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858"/>
  </bookViews>
  <sheets>
    <sheet name="大白鲨" sheetId="12" r:id="rId1"/>
    <sheet name="彩盒MA" sheetId="3" r:id="rId2"/>
    <sheet name="产品MA" sheetId="2" r:id="rId3"/>
    <sheet name="客版MA" sheetId="15" r:id="rId4"/>
    <sheet name="取消单" sheetId="16" r:id="rId5"/>
  </sheets>
  <definedNames>
    <definedName name="_xlnm._FilterDatabase" localSheetId="0" hidden="1">大白鲨!$A$1:$AS$569</definedName>
    <definedName name="_xlnm._FilterDatabase" localSheetId="1" hidden="1">彩盒MA!$B$3:$O$90</definedName>
    <definedName name="_xlnm._FilterDatabase" localSheetId="4" hidden="1">取消单!$A$1:$AR$22</definedName>
    <definedName name="_xlnm._FilterDatabase" localSheetId="2" hidden="1">产品MA!$B$3:$AG$3</definedName>
    <definedName name="_xlnm.Print_Area" localSheetId="2">产品MA!$A$1:$H$80</definedName>
    <definedName name="_xlnm.Print_Titles" localSheetId="0">大白鲨!#REF!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E339" authorId="0">
      <text>
        <r>
          <rPr>
            <b/>
            <sz val="9"/>
            <rFont val="宋体"/>
            <charset val="134"/>
          </rPr>
          <t>Administrator:</t>
        </r>
        <r>
          <rPr>
            <sz val="9"/>
            <rFont val="宋体"/>
            <charset val="134"/>
          </rPr>
          <t xml:space="preserve">
0086948 10/31补开单 1398pc</t>
        </r>
      </text>
    </comment>
    <comment ref="AE340" authorId="0">
      <text>
        <r>
          <rPr>
            <b/>
            <sz val="9"/>
            <rFont val="宋体"/>
            <charset val="134"/>
          </rPr>
          <t>Administrator:</t>
        </r>
        <r>
          <rPr>
            <sz val="9"/>
            <rFont val="宋体"/>
            <charset val="134"/>
          </rPr>
          <t xml:space="preserve">
0086948 10/31补开单 102pc</t>
        </r>
      </text>
    </comment>
    <comment ref="AE342" authorId="0">
      <text>
        <r>
          <rPr>
            <b/>
            <sz val="9"/>
            <rFont val="宋体"/>
            <charset val="134"/>
          </rPr>
          <t>Administrator:</t>
        </r>
        <r>
          <rPr>
            <sz val="9"/>
            <rFont val="宋体"/>
            <charset val="134"/>
          </rPr>
          <t xml:space="preserve">
0086948 10/31补开单 414pcs</t>
        </r>
      </text>
    </comment>
    <comment ref="AE362" authorId="0">
      <text>
        <r>
          <rPr>
            <b/>
            <sz val="9"/>
            <rFont val="宋体"/>
            <charset val="134"/>
          </rPr>
          <t>Administrator:</t>
        </r>
        <r>
          <rPr>
            <sz val="9"/>
            <rFont val="宋体"/>
            <charset val="134"/>
          </rPr>
          <t xml:space="preserve">
0086762 9/16 816pcs</t>
        </r>
      </text>
    </comment>
    <comment ref="AE363" authorId="0">
      <text>
        <r>
          <rPr>
            <b/>
            <sz val="9"/>
            <rFont val="宋体"/>
            <charset val="134"/>
          </rPr>
          <t>Administrator:</t>
        </r>
        <r>
          <rPr>
            <sz val="9"/>
            <rFont val="宋体"/>
            <charset val="134"/>
          </rPr>
          <t xml:space="preserve">
0086755 9/13 1416pcs</t>
        </r>
      </text>
    </comment>
    <comment ref="AE364" authorId="0">
      <text>
        <r>
          <rPr>
            <b/>
            <sz val="9"/>
            <rFont val="宋体"/>
            <charset val="134"/>
          </rPr>
          <t>Administrator:</t>
        </r>
        <r>
          <rPr>
            <sz val="9"/>
            <rFont val="宋体"/>
            <charset val="134"/>
          </rPr>
          <t xml:space="preserve">
0086847 9/11 300pcs</t>
        </r>
      </text>
    </comment>
    <comment ref="AE365" authorId="0">
      <text>
        <r>
          <rPr>
            <b/>
            <sz val="9"/>
            <rFont val="宋体"/>
            <charset val="134"/>
          </rPr>
          <t>Administrator:</t>
        </r>
        <r>
          <rPr>
            <sz val="9"/>
            <rFont val="宋体"/>
            <charset val="134"/>
          </rPr>
          <t xml:space="preserve">
0086846 9/11 1638pcs
0086762 9/16 564pcs
</t>
        </r>
      </text>
    </comment>
    <comment ref="AE367" authorId="0">
      <text>
        <r>
          <rPr>
            <b/>
            <sz val="9"/>
            <rFont val="宋体"/>
            <charset val="134"/>
          </rPr>
          <t>Administrator:</t>
        </r>
        <r>
          <rPr>
            <sz val="9"/>
            <rFont val="宋体"/>
            <charset val="134"/>
          </rPr>
          <t xml:space="preserve">
0086756 9/13 324pcs</t>
        </r>
      </text>
    </comment>
    <comment ref="AE368" authorId="0">
      <text>
        <r>
          <rPr>
            <b/>
            <sz val="9"/>
            <rFont val="宋体"/>
            <charset val="134"/>
          </rPr>
          <t>Administrator:</t>
        </r>
        <r>
          <rPr>
            <sz val="9"/>
            <rFont val="宋体"/>
            <charset val="134"/>
          </rPr>
          <t xml:space="preserve">
0086846 9/11 1500pcs</t>
        </r>
      </text>
    </comment>
    <comment ref="AE369" authorId="0">
      <text>
        <r>
          <rPr>
            <b/>
            <sz val="9"/>
            <rFont val="宋体"/>
            <charset val="134"/>
          </rPr>
          <t>Administrator:</t>
        </r>
        <r>
          <rPr>
            <sz val="9"/>
            <rFont val="宋体"/>
            <charset val="134"/>
          </rPr>
          <t xml:space="preserve">
0086846 9/12 1372pcs
0086847 9/11 294pcs
</t>
        </r>
      </text>
    </comment>
    <comment ref="AE370" authorId="0">
      <text>
        <r>
          <rPr>
            <b/>
            <sz val="9"/>
            <rFont val="宋体"/>
            <charset val="134"/>
          </rPr>
          <t>Administrator:</t>
        </r>
        <r>
          <rPr>
            <sz val="9"/>
            <rFont val="宋体"/>
            <charset val="134"/>
          </rPr>
          <t xml:space="preserve">
0086754 9/12 1274pcs
0086755 9/13 294pcs</t>
        </r>
      </text>
    </comment>
    <comment ref="AE371" authorId="0">
      <text>
        <r>
          <rPr>
            <b/>
            <sz val="9"/>
            <rFont val="宋体"/>
            <charset val="134"/>
          </rPr>
          <t>Administrator:</t>
        </r>
        <r>
          <rPr>
            <sz val="9"/>
            <rFont val="宋体"/>
            <charset val="134"/>
          </rPr>
          <t xml:space="preserve">
0086847 9/11 294pcs
</t>
        </r>
      </text>
    </comment>
    <comment ref="AE372" authorId="0">
      <text>
        <r>
          <rPr>
            <b/>
            <sz val="9"/>
            <rFont val="宋体"/>
            <charset val="134"/>
          </rPr>
          <t>Administrator:</t>
        </r>
        <r>
          <rPr>
            <sz val="9"/>
            <rFont val="宋体"/>
            <charset val="134"/>
          </rPr>
          <t xml:space="preserve">
0086757 9/13 1470pcs</t>
        </r>
      </text>
    </comment>
    <comment ref="AE373" authorId="0">
      <text>
        <r>
          <rPr>
            <b/>
            <sz val="9"/>
            <rFont val="宋体"/>
            <charset val="134"/>
          </rPr>
          <t>Administrator:</t>
        </r>
        <r>
          <rPr>
            <sz val="9"/>
            <rFont val="宋体"/>
            <charset val="134"/>
          </rPr>
          <t xml:space="preserve">
0086759 9/15 1176pcs</t>
        </r>
      </text>
    </comment>
    <comment ref="AE374" authorId="0">
      <text>
        <r>
          <rPr>
            <b/>
            <sz val="9"/>
            <rFont val="宋体"/>
            <charset val="134"/>
          </rPr>
          <t>Administrator:</t>
        </r>
        <r>
          <rPr>
            <sz val="9"/>
            <rFont val="宋体"/>
            <charset val="134"/>
          </rPr>
          <t xml:space="preserve">
0086753 9/12 490pcs
0086756 9/13 1372pcs
0086754 9/13 98pcs</t>
        </r>
      </text>
    </comment>
    <comment ref="AE375" authorId="0">
      <text>
        <r>
          <rPr>
            <b/>
            <sz val="9"/>
            <rFont val="宋体"/>
            <charset val="134"/>
          </rPr>
          <t>Administrator:</t>
        </r>
        <r>
          <rPr>
            <sz val="9"/>
            <rFont val="宋体"/>
            <charset val="134"/>
          </rPr>
          <t xml:space="preserve">
0086759 9/15 392pcs
0086760 9/15 98pcs
</t>
        </r>
      </text>
    </comment>
    <comment ref="AE376" authorId="0">
      <text>
        <r>
          <rPr>
            <b/>
            <sz val="9"/>
            <rFont val="宋体"/>
            <charset val="134"/>
          </rPr>
          <t>Administrator:</t>
        </r>
        <r>
          <rPr>
            <sz val="9"/>
            <rFont val="宋体"/>
            <charset val="134"/>
          </rPr>
          <t xml:space="preserve">
0086760 9/15 784pcs</t>
        </r>
      </text>
    </comment>
    <comment ref="AE377" authorId="0">
      <text>
        <r>
          <rPr>
            <b/>
            <sz val="9"/>
            <rFont val="宋体"/>
            <charset val="134"/>
          </rPr>
          <t>Administrator:</t>
        </r>
        <r>
          <rPr>
            <sz val="9"/>
            <rFont val="宋体"/>
            <charset val="134"/>
          </rPr>
          <t xml:space="preserve">
0086759 9/15 196pcs
0086758 9/15 294pcs</t>
        </r>
      </text>
    </comment>
    <comment ref="AE378" authorId="0">
      <text>
        <r>
          <rPr>
            <b/>
            <sz val="9"/>
            <rFont val="宋体"/>
            <charset val="134"/>
          </rPr>
          <t>Administrator:</t>
        </r>
        <r>
          <rPr>
            <sz val="9"/>
            <rFont val="宋体"/>
            <charset val="134"/>
          </rPr>
          <t xml:space="preserve">
0086760 9/15 490pcs
</t>
        </r>
      </text>
    </comment>
    <comment ref="AE379" authorId="0">
      <text>
        <r>
          <rPr>
            <b/>
            <sz val="9"/>
            <rFont val="宋体"/>
            <charset val="134"/>
          </rPr>
          <t>Administrator:</t>
        </r>
        <r>
          <rPr>
            <sz val="9"/>
            <rFont val="宋体"/>
            <charset val="134"/>
          </rPr>
          <t xml:space="preserve">
0086847 9/11 196pcs
0086840 9/10 294pcs</t>
        </r>
      </text>
    </comment>
    <comment ref="AE382" authorId="0">
      <text>
        <r>
          <rPr>
            <b/>
            <sz val="9"/>
            <rFont val="宋体"/>
            <charset val="134"/>
          </rPr>
          <t>Administrator:</t>
        </r>
        <r>
          <rPr>
            <sz val="9"/>
            <rFont val="宋体"/>
            <charset val="134"/>
          </rPr>
          <t xml:space="preserve">
0086755 9/13 686pcs</t>
        </r>
      </text>
    </comment>
    <comment ref="AE383" authorId="0">
      <text>
        <r>
          <rPr>
            <b/>
            <sz val="9"/>
            <rFont val="宋体"/>
            <charset val="134"/>
          </rPr>
          <t>Administrator:</t>
        </r>
        <r>
          <rPr>
            <sz val="9"/>
            <rFont val="宋体"/>
            <charset val="134"/>
          </rPr>
          <t xml:space="preserve">
0086755 9/13 98pcs
0086756 9/13 196pcs
0086757 9/13 392pcs
</t>
        </r>
      </text>
    </comment>
    <comment ref="AE384" authorId="0">
      <text>
        <r>
          <rPr>
            <b/>
            <sz val="9"/>
            <rFont val="宋体"/>
            <charset val="134"/>
          </rPr>
          <t>Administrator:</t>
        </r>
        <r>
          <rPr>
            <sz val="9"/>
            <rFont val="宋体"/>
            <charset val="134"/>
          </rPr>
          <t xml:space="preserve">
0086757 9/13 686pcs</t>
        </r>
      </text>
    </comment>
    <comment ref="AE386" authorId="0">
      <text>
        <r>
          <rPr>
            <b/>
            <sz val="9"/>
            <rFont val="宋体"/>
            <charset val="134"/>
          </rPr>
          <t>Administrator:</t>
        </r>
        <r>
          <rPr>
            <sz val="9"/>
            <rFont val="宋体"/>
            <charset val="134"/>
          </rPr>
          <t xml:space="preserve">
0086764 9/17 126pcs
</t>
        </r>
      </text>
    </comment>
    <comment ref="AE387" authorId="0">
      <text>
        <r>
          <rPr>
            <b/>
            <sz val="9"/>
            <rFont val="宋体"/>
            <charset val="134"/>
          </rPr>
          <t>Administrator:</t>
        </r>
        <r>
          <rPr>
            <sz val="9"/>
            <rFont val="宋体"/>
            <charset val="134"/>
          </rPr>
          <t xml:space="preserve">
0086764 9/17 240pcs
</t>
        </r>
      </text>
    </comment>
    <comment ref="AE388" authorId="0">
      <text>
        <r>
          <rPr>
            <b/>
            <sz val="9"/>
            <rFont val="宋体"/>
            <charset val="134"/>
          </rPr>
          <t>Administrator:</t>
        </r>
        <r>
          <rPr>
            <sz val="9"/>
            <rFont val="宋体"/>
            <charset val="134"/>
          </rPr>
          <t xml:space="preserve">
0086764 9/17 216pcs
</t>
        </r>
      </text>
    </comment>
    <comment ref="AE389" authorId="0">
      <text>
        <r>
          <rPr>
            <b/>
            <sz val="9"/>
            <rFont val="宋体"/>
            <charset val="134"/>
          </rPr>
          <t>Administrator:</t>
        </r>
        <r>
          <rPr>
            <sz val="9"/>
            <rFont val="宋体"/>
            <charset val="134"/>
          </rPr>
          <t xml:space="preserve">
0086764 9/17 186pcs
</t>
        </r>
      </text>
    </comment>
    <comment ref="AE390" authorId="0">
      <text>
        <r>
          <rPr>
            <b/>
            <sz val="9"/>
            <rFont val="宋体"/>
            <charset val="134"/>
          </rPr>
          <t>Administrator:</t>
        </r>
        <r>
          <rPr>
            <sz val="9"/>
            <rFont val="宋体"/>
            <charset val="134"/>
          </rPr>
          <t xml:space="preserve">
0086764 9/17 1284pcs
</t>
        </r>
      </text>
    </comment>
    <comment ref="AE391" authorId="0">
      <text>
        <r>
          <rPr>
            <b/>
            <sz val="9"/>
            <rFont val="宋体"/>
            <charset val="134"/>
          </rPr>
          <t>Administrator:</t>
        </r>
        <r>
          <rPr>
            <sz val="9"/>
            <rFont val="宋体"/>
            <charset val="134"/>
          </rPr>
          <t xml:space="preserve">
0086765 9/17 1314pcs
</t>
        </r>
      </text>
    </comment>
    <comment ref="AE393" authorId="0">
      <text>
        <r>
          <rPr>
            <b/>
            <sz val="9"/>
            <rFont val="宋体"/>
            <charset val="134"/>
          </rPr>
          <t>Administrator:</t>
        </r>
        <r>
          <rPr>
            <sz val="9"/>
            <rFont val="宋体"/>
            <charset val="134"/>
          </rPr>
          <t xml:space="preserve">
0086765 9/17 504pcs</t>
        </r>
      </text>
    </comment>
    <comment ref="AE394" authorId="0">
      <text>
        <r>
          <rPr>
            <b/>
            <sz val="9"/>
            <rFont val="宋体"/>
            <charset val="134"/>
          </rPr>
          <t>Administrator:</t>
        </r>
        <r>
          <rPr>
            <sz val="9"/>
            <rFont val="宋体"/>
            <charset val="134"/>
          </rPr>
          <t xml:space="preserve">
0086774 9/25 1500pcs</t>
        </r>
      </text>
    </comment>
    <comment ref="AE395" authorId="0">
      <text>
        <r>
          <rPr>
            <b/>
            <sz val="9"/>
            <rFont val="宋体"/>
            <charset val="134"/>
          </rPr>
          <t>Administrator:</t>
        </r>
        <r>
          <rPr>
            <sz val="9"/>
            <rFont val="宋体"/>
            <charset val="134"/>
          </rPr>
          <t xml:space="preserve">
0086769 9/19 1158pcs
0086768 9/19 2340pcs</t>
        </r>
      </text>
    </comment>
    <comment ref="AE396" authorId="0">
      <text>
        <r>
          <rPr>
            <b/>
            <sz val="9"/>
            <rFont val="宋体"/>
            <charset val="134"/>
          </rPr>
          <t>Administrator:</t>
        </r>
        <r>
          <rPr>
            <sz val="9"/>
            <rFont val="宋体"/>
            <charset val="134"/>
          </rPr>
          <t xml:space="preserve">
0086771 9/20 2844pcs
0086772 9/20 1836pcs</t>
        </r>
      </text>
    </comment>
    <comment ref="AE397" authorId="0">
      <text>
        <r>
          <rPr>
            <b/>
            <sz val="9"/>
            <rFont val="宋体"/>
            <charset val="134"/>
          </rPr>
          <t>Administrator:</t>
        </r>
        <r>
          <rPr>
            <sz val="9"/>
            <rFont val="宋体"/>
            <charset val="134"/>
          </rPr>
          <t xml:space="preserve">
0086764 9/17 267pcs</t>
        </r>
      </text>
    </comment>
    <comment ref="AE398" authorId="0">
      <text>
        <r>
          <rPr>
            <b/>
            <sz val="9"/>
            <rFont val="宋体"/>
            <charset val="134"/>
          </rPr>
          <t>Administrator:</t>
        </r>
        <r>
          <rPr>
            <sz val="9"/>
            <rFont val="宋体"/>
            <charset val="134"/>
          </rPr>
          <t xml:space="preserve">
0086765 9/17 435pcs
</t>
        </r>
      </text>
    </comment>
    <comment ref="AE399" authorId="0">
      <text>
        <r>
          <rPr>
            <b/>
            <sz val="9"/>
            <rFont val="宋体"/>
            <charset val="134"/>
          </rPr>
          <t>Administrator:</t>
        </r>
        <r>
          <rPr>
            <sz val="9"/>
            <rFont val="宋体"/>
            <charset val="134"/>
          </rPr>
          <t xml:space="preserve">
0086766  9/16 381pcs</t>
        </r>
      </text>
    </comment>
    <comment ref="AE400" authorId="0">
      <text>
        <r>
          <rPr>
            <b/>
            <sz val="9"/>
            <rFont val="宋体"/>
            <charset val="134"/>
          </rPr>
          <t>Administrator:</t>
        </r>
        <r>
          <rPr>
            <sz val="9"/>
            <rFont val="宋体"/>
            <charset val="134"/>
          </rPr>
          <t xml:space="preserve">
0086774 9/25 1296pcs</t>
        </r>
      </text>
    </comment>
    <comment ref="AE401" authorId="0">
      <text>
        <r>
          <rPr>
            <b/>
            <sz val="9"/>
            <rFont val="宋体"/>
            <charset val="134"/>
          </rPr>
          <t>Administrator:</t>
        </r>
        <r>
          <rPr>
            <sz val="9"/>
            <rFont val="宋体"/>
            <charset val="134"/>
          </rPr>
          <t xml:space="preserve">
0086773 9/25 1806psc
</t>
        </r>
      </text>
    </comment>
    <comment ref="AE402" authorId="0">
      <text>
        <r>
          <rPr>
            <b/>
            <sz val="9"/>
            <rFont val="宋体"/>
            <charset val="134"/>
          </rPr>
          <t>Administrator:</t>
        </r>
        <r>
          <rPr>
            <sz val="9"/>
            <rFont val="宋体"/>
            <charset val="134"/>
          </rPr>
          <t xml:space="preserve">
0086775 9/25 5392pcs
</t>
        </r>
      </text>
    </comment>
    <comment ref="AE403" authorId="0">
      <text>
        <r>
          <rPr>
            <b/>
            <sz val="9"/>
            <rFont val="宋体"/>
            <charset val="134"/>
          </rPr>
          <t>Administrator:</t>
        </r>
        <r>
          <rPr>
            <sz val="9"/>
            <rFont val="宋体"/>
            <charset val="134"/>
          </rPr>
          <t xml:space="preserve">
0086926 9/25 294pcs
0086775 9/25 294pcs
</t>
        </r>
      </text>
    </comment>
    <comment ref="AE404" authorId="0">
      <text>
        <r>
          <rPr>
            <b/>
            <sz val="9"/>
            <rFont val="宋体"/>
            <charset val="134"/>
          </rPr>
          <t>Administrator:</t>
        </r>
        <r>
          <rPr>
            <sz val="9"/>
            <rFont val="宋体"/>
            <charset val="134"/>
          </rPr>
          <t xml:space="preserve">
0086775 9/25 686pcs
</t>
        </r>
      </text>
    </comment>
    <comment ref="AE405" authorId="0">
      <text>
        <r>
          <rPr>
            <b/>
            <sz val="9"/>
            <rFont val="宋体"/>
            <charset val="134"/>
          </rPr>
          <t>Administrator:</t>
        </r>
        <r>
          <rPr>
            <sz val="9"/>
            <rFont val="宋体"/>
            <charset val="134"/>
          </rPr>
          <t xml:space="preserve">
0086773 9/25 600psc
</t>
        </r>
      </text>
    </comment>
    <comment ref="AE406" authorId="0">
      <text>
        <r>
          <rPr>
            <b/>
            <sz val="9"/>
            <rFont val="宋体"/>
            <charset val="134"/>
          </rPr>
          <t>Administrator:</t>
        </r>
        <r>
          <rPr>
            <sz val="9"/>
            <rFont val="宋体"/>
            <charset val="134"/>
          </rPr>
          <t xml:space="preserve">
00869289/29 588pcs</t>
        </r>
      </text>
    </comment>
    <comment ref="AE407" authorId="0">
      <text>
        <r>
          <rPr>
            <b/>
            <sz val="9"/>
            <rFont val="宋体"/>
            <charset val="134"/>
          </rPr>
          <t>Administrator:</t>
        </r>
        <r>
          <rPr>
            <sz val="9"/>
            <rFont val="宋体"/>
            <charset val="134"/>
          </rPr>
          <t xml:space="preserve">
00869289/29 588pcs
</t>
        </r>
      </text>
    </comment>
    <comment ref="AE408" authorId="0">
      <text>
        <r>
          <rPr>
            <b/>
            <sz val="9"/>
            <rFont val="宋体"/>
            <charset val="134"/>
          </rPr>
          <t>Administrator:</t>
        </r>
        <r>
          <rPr>
            <sz val="9"/>
            <rFont val="宋体"/>
            <charset val="134"/>
          </rPr>
          <t xml:space="preserve">
0086926 9/25 252pcs</t>
        </r>
      </text>
    </comment>
    <comment ref="AE409" authorId="0">
      <text>
        <r>
          <rPr>
            <b/>
            <sz val="9"/>
            <rFont val="宋体"/>
            <charset val="134"/>
          </rPr>
          <t>Administrator:</t>
        </r>
        <r>
          <rPr>
            <sz val="9"/>
            <rFont val="宋体"/>
            <charset val="134"/>
          </rPr>
          <t xml:space="preserve">
0086773 9/25 504psc
</t>
        </r>
      </text>
    </comment>
    <comment ref="AE410" authorId="0">
      <text>
        <r>
          <rPr>
            <b/>
            <sz val="9"/>
            <rFont val="宋体"/>
            <charset val="134"/>
          </rPr>
          <t>Administrator:</t>
        </r>
        <r>
          <rPr>
            <sz val="9"/>
            <rFont val="宋体"/>
            <charset val="134"/>
          </rPr>
          <t xml:space="preserve">
0086762 9/16 1500pcs</t>
        </r>
      </text>
    </comment>
    <comment ref="AE411" authorId="0">
      <text>
        <r>
          <rPr>
            <b/>
            <sz val="9"/>
            <rFont val="宋体"/>
            <charset val="134"/>
          </rPr>
          <t>Administrator:</t>
        </r>
        <r>
          <rPr>
            <sz val="9"/>
            <rFont val="宋体"/>
            <charset val="134"/>
          </rPr>
          <t xml:space="preserve">
0086769 9/19 591pcs
0086773 9/25 30psc</t>
        </r>
      </text>
    </comment>
    <comment ref="AE412" authorId="0">
      <text>
        <r>
          <rPr>
            <b/>
            <sz val="9"/>
            <rFont val="宋体"/>
            <charset val="134"/>
          </rPr>
          <t>Administrator:</t>
        </r>
        <r>
          <rPr>
            <sz val="9"/>
            <rFont val="宋体"/>
            <charset val="134"/>
          </rPr>
          <t xml:space="preserve">
0086768 9/19 900pcs</t>
        </r>
      </text>
    </comment>
    <comment ref="AE413" authorId="0">
      <text>
        <r>
          <rPr>
            <b/>
            <sz val="9"/>
            <rFont val="宋体"/>
            <charset val="134"/>
          </rPr>
          <t>Administrator:</t>
        </r>
        <r>
          <rPr>
            <sz val="9"/>
            <rFont val="宋体"/>
            <charset val="134"/>
          </rPr>
          <t xml:space="preserve">
0086769 9/19 300pcs</t>
        </r>
      </text>
    </comment>
    <comment ref="AE414" authorId="0">
      <text>
        <r>
          <rPr>
            <b/>
            <sz val="9"/>
            <rFont val="宋体"/>
            <charset val="134"/>
          </rPr>
          <t>Administrator:</t>
        </r>
        <r>
          <rPr>
            <sz val="9"/>
            <rFont val="宋体"/>
            <charset val="134"/>
          </rPr>
          <t xml:space="preserve">
0086926 9/25 156pcs</t>
        </r>
      </text>
    </comment>
    <comment ref="AE415" authorId="0">
      <text>
        <r>
          <rPr>
            <b/>
            <sz val="9"/>
            <rFont val="宋体"/>
            <charset val="134"/>
          </rPr>
          <t>Administrator:</t>
        </r>
        <r>
          <rPr>
            <sz val="9"/>
            <rFont val="宋体"/>
            <charset val="134"/>
          </rPr>
          <t xml:space="preserve">
0086931 9/30 936pcs
0086933 10/8 3276pcs
0086934 10/8 1620pcs
0086935 10/8 2172pcs</t>
        </r>
      </text>
    </comment>
    <comment ref="AE416" authorId="0">
      <text>
        <r>
          <rPr>
            <b/>
            <sz val="9"/>
            <rFont val="宋体"/>
            <charset val="134"/>
          </rPr>
          <t>Administrator:</t>
        </r>
        <r>
          <rPr>
            <sz val="9"/>
            <rFont val="宋体"/>
            <charset val="134"/>
          </rPr>
          <t xml:space="preserve">
0086775 9/25 504pcs</t>
        </r>
      </text>
    </comment>
    <comment ref="AE417" authorId="0">
      <text>
        <r>
          <rPr>
            <b/>
            <sz val="9"/>
            <rFont val="宋体"/>
            <charset val="134"/>
          </rPr>
          <t>Administrator:</t>
        </r>
        <r>
          <rPr>
            <sz val="9"/>
            <rFont val="宋体"/>
            <charset val="134"/>
          </rPr>
          <t xml:space="preserve">
0086932 9/30 3006</t>
        </r>
      </text>
    </comment>
    <comment ref="AE418" authorId="0">
      <text>
        <r>
          <rPr>
            <b/>
            <sz val="9"/>
            <rFont val="宋体"/>
            <charset val="134"/>
          </rPr>
          <t>Administrator:</t>
        </r>
        <r>
          <rPr>
            <sz val="9"/>
            <rFont val="宋体"/>
            <charset val="134"/>
          </rPr>
          <t xml:space="preserve">
0086934 10/8 558pcs
</t>
        </r>
      </text>
    </comment>
    <comment ref="AE419" authorId="0">
      <text>
        <r>
          <rPr>
            <b/>
            <sz val="9"/>
            <rFont val="宋体"/>
            <charset val="134"/>
          </rPr>
          <t>Administrator:</t>
        </r>
        <r>
          <rPr>
            <sz val="9"/>
            <rFont val="宋体"/>
            <charset val="134"/>
          </rPr>
          <t xml:space="preserve">
0086934 10/8 1056pcs
</t>
        </r>
      </text>
    </comment>
    <comment ref="AE420" authorId="0">
      <text>
        <r>
          <rPr>
            <b/>
            <sz val="9"/>
            <rFont val="宋体"/>
            <charset val="134"/>
          </rPr>
          <t>Administrator:</t>
        </r>
        <r>
          <rPr>
            <sz val="9"/>
            <rFont val="宋体"/>
            <charset val="134"/>
          </rPr>
          <t xml:space="preserve">
00869289/29 588pcs
</t>
        </r>
      </text>
    </comment>
    <comment ref="AE421" authorId="0">
      <text>
        <r>
          <rPr>
            <b/>
            <sz val="9"/>
            <rFont val="宋体"/>
            <charset val="134"/>
          </rPr>
          <t>Administrator:</t>
        </r>
        <r>
          <rPr>
            <sz val="9"/>
            <rFont val="宋体"/>
            <charset val="134"/>
          </rPr>
          <t xml:space="preserve">
0086930 9/29 588pcs
</t>
        </r>
      </text>
    </comment>
    <comment ref="AE422" authorId="0">
      <text>
        <r>
          <rPr>
            <b/>
            <sz val="9"/>
            <rFont val="宋体"/>
            <charset val="134"/>
          </rPr>
          <t>Administrator:</t>
        </r>
        <r>
          <rPr>
            <sz val="9"/>
            <rFont val="宋体"/>
            <charset val="134"/>
          </rPr>
          <t xml:space="preserve">
0086931 9/30 1500pcs</t>
        </r>
      </text>
    </comment>
    <comment ref="AE423" authorId="0">
      <text>
        <r>
          <rPr>
            <b/>
            <sz val="9"/>
            <rFont val="宋体"/>
            <charset val="134"/>
          </rPr>
          <t>Administrator:</t>
        </r>
        <r>
          <rPr>
            <sz val="9"/>
            <rFont val="宋体"/>
            <charset val="134"/>
          </rPr>
          <t xml:space="preserve">
0086769 9/19 54pcs
0086937 10/11 450pcs</t>
        </r>
      </text>
    </comment>
    <comment ref="AE424" authorId="0">
      <text>
        <r>
          <rPr>
            <b/>
            <sz val="9"/>
            <rFont val="宋体"/>
            <charset val="134"/>
          </rPr>
          <t>Administrator:</t>
        </r>
        <r>
          <rPr>
            <sz val="9"/>
            <rFont val="宋体"/>
            <charset val="134"/>
          </rPr>
          <t xml:space="preserve">
0086774 9/25 1500pcs</t>
        </r>
      </text>
    </comment>
    <comment ref="AE425" authorId="0">
      <text>
        <r>
          <rPr>
            <b/>
            <sz val="9"/>
            <rFont val="宋体"/>
            <charset val="134"/>
          </rPr>
          <t>Administrator:</t>
        </r>
        <r>
          <rPr>
            <sz val="9"/>
            <rFont val="宋体"/>
            <charset val="134"/>
          </rPr>
          <t xml:space="preserve">
0086937 10/1 2484pcs
0086936 10/11 1710pcs</t>
        </r>
      </text>
    </comment>
    <comment ref="AE426" authorId="0">
      <text>
        <r>
          <rPr>
            <b/>
            <sz val="9"/>
            <rFont val="宋体"/>
            <charset val="134"/>
          </rPr>
          <t>Administrator:</t>
        </r>
        <r>
          <rPr>
            <sz val="9"/>
            <rFont val="宋体"/>
            <charset val="134"/>
          </rPr>
          <t xml:space="preserve">
0086930 9/29 1188pcs
0086932 9/29 12pcs</t>
        </r>
      </text>
    </comment>
    <comment ref="AE427" authorId="0">
      <text>
        <r>
          <rPr>
            <b/>
            <sz val="9"/>
            <rFont val="宋体"/>
            <charset val="134"/>
          </rPr>
          <t>Administrator:</t>
        </r>
        <r>
          <rPr>
            <sz val="9"/>
            <rFont val="宋体"/>
            <charset val="134"/>
          </rPr>
          <t xml:space="preserve">
0086930 9/29 1284pcs</t>
        </r>
      </text>
    </comment>
    <comment ref="AE428" authorId="0">
      <text>
        <r>
          <rPr>
            <b/>
            <sz val="9"/>
            <rFont val="宋体"/>
            <charset val="134"/>
          </rPr>
          <t>Administrator:</t>
        </r>
        <r>
          <rPr>
            <sz val="9"/>
            <rFont val="宋体"/>
            <charset val="134"/>
          </rPr>
          <t xml:space="preserve">
0086930 9/29 216pcs
</t>
        </r>
      </text>
    </comment>
    <comment ref="AE429" authorId="0">
      <text>
        <r>
          <rPr>
            <b/>
            <sz val="9"/>
            <rFont val="宋体"/>
            <charset val="134"/>
          </rPr>
          <t>Administrator:</t>
        </r>
        <r>
          <rPr>
            <sz val="9"/>
            <rFont val="宋体"/>
            <charset val="134"/>
          </rPr>
          <t xml:space="preserve">
0086931 9/30 1260pcs
0086927 9/29 3744pcs</t>
        </r>
      </text>
    </comment>
    <comment ref="AE430" authorId="0">
      <text>
        <r>
          <rPr>
            <b/>
            <sz val="9"/>
            <rFont val="宋体"/>
            <charset val="134"/>
          </rPr>
          <t>Administrator:</t>
        </r>
        <r>
          <rPr>
            <sz val="9"/>
            <rFont val="宋体"/>
            <charset val="134"/>
          </rPr>
          <t xml:space="preserve">
0086938 10/14 1002pcs</t>
        </r>
      </text>
    </comment>
    <comment ref="AE431" authorId="0">
      <text>
        <r>
          <rPr>
            <b/>
            <sz val="9"/>
            <rFont val="宋体"/>
            <charset val="134"/>
          </rPr>
          <t>Administrator:</t>
        </r>
        <r>
          <rPr>
            <sz val="9"/>
            <rFont val="宋体"/>
            <charset val="134"/>
          </rPr>
          <t xml:space="preserve">
0086939 10/16 420pcs
</t>
        </r>
      </text>
    </comment>
    <comment ref="AE432" authorId="0">
      <text>
        <r>
          <rPr>
            <b/>
            <sz val="9"/>
            <rFont val="宋体"/>
            <charset val="134"/>
          </rPr>
          <t>Administrator:</t>
        </r>
        <r>
          <rPr>
            <sz val="9"/>
            <rFont val="宋体"/>
            <charset val="134"/>
          </rPr>
          <t xml:space="preserve">
0086939 10/16 1080pcs
</t>
        </r>
      </text>
    </comment>
    <comment ref="AE433" authorId="0">
      <text>
        <r>
          <rPr>
            <b/>
            <sz val="9"/>
            <rFont val="宋体"/>
            <charset val="134"/>
          </rPr>
          <t>Administrator:</t>
        </r>
        <r>
          <rPr>
            <sz val="9"/>
            <rFont val="宋体"/>
            <charset val="134"/>
          </rPr>
          <t xml:space="preserve">
0086938 10/14 420pcs</t>
        </r>
      </text>
    </comment>
    <comment ref="AE434" authorId="0">
      <text>
        <r>
          <rPr>
            <b/>
            <sz val="9"/>
            <rFont val="宋体"/>
            <charset val="134"/>
          </rPr>
          <t>Administrator:</t>
        </r>
        <r>
          <rPr>
            <sz val="9"/>
            <rFont val="宋体"/>
            <charset val="134"/>
          </rPr>
          <t xml:space="preserve">
0086938 10/14 1002pcs
</t>
        </r>
      </text>
    </comment>
    <comment ref="AE435" authorId="0">
      <text>
        <r>
          <rPr>
            <b/>
            <sz val="9"/>
            <rFont val="宋体"/>
            <charset val="134"/>
          </rPr>
          <t>Administrator:</t>
        </r>
        <r>
          <rPr>
            <sz val="9"/>
            <rFont val="宋体"/>
            <charset val="134"/>
          </rPr>
          <t xml:space="preserve">
0086940 10/17 504pcs</t>
        </r>
      </text>
    </comment>
    <comment ref="AE436" authorId="0">
      <text>
        <r>
          <rPr>
            <b/>
            <sz val="9"/>
            <rFont val="宋体"/>
            <charset val="134"/>
          </rPr>
          <t>Administrator:</t>
        </r>
        <r>
          <rPr>
            <sz val="9"/>
            <rFont val="宋体"/>
            <charset val="134"/>
          </rPr>
          <t xml:space="preserve">
0086940 10/17 504pcs
</t>
        </r>
      </text>
    </comment>
    <comment ref="AE437" authorId="0">
      <text>
        <r>
          <rPr>
            <b/>
            <sz val="9"/>
            <rFont val="宋体"/>
            <charset val="134"/>
          </rPr>
          <t>Administrator:</t>
        </r>
        <r>
          <rPr>
            <sz val="9"/>
            <rFont val="宋体"/>
            <charset val="134"/>
          </rPr>
          <t xml:space="preserve">
0086942 10/22 495pcs</t>
        </r>
      </text>
    </comment>
    <comment ref="AE438" authorId="0">
      <text>
        <r>
          <rPr>
            <b/>
            <sz val="9"/>
            <rFont val="宋体"/>
            <charset val="134"/>
          </rPr>
          <t>Administrator:</t>
        </r>
        <r>
          <rPr>
            <sz val="9"/>
            <rFont val="宋体"/>
            <charset val="134"/>
          </rPr>
          <t xml:space="preserve">
0086942 10/22 804pcs
</t>
        </r>
      </text>
    </comment>
    <comment ref="AE439" authorId="0">
      <text>
        <r>
          <rPr>
            <b/>
            <sz val="9"/>
            <rFont val="宋体"/>
            <charset val="134"/>
          </rPr>
          <t>Administrator:</t>
        </r>
        <r>
          <rPr>
            <sz val="9"/>
            <rFont val="宋体"/>
            <charset val="134"/>
          </rPr>
          <t xml:space="preserve">
0086943 10/24 1200pcs</t>
        </r>
      </text>
    </comment>
    <comment ref="AE440" authorId="0">
      <text>
        <r>
          <rPr>
            <b/>
            <sz val="9"/>
            <rFont val="宋体"/>
            <charset val="134"/>
          </rPr>
          <t>Administrator:</t>
        </r>
        <r>
          <rPr>
            <sz val="9"/>
            <rFont val="宋体"/>
            <charset val="134"/>
          </rPr>
          <t xml:space="preserve">
0086946 10/30 656pcs
</t>
        </r>
      </text>
    </comment>
    <comment ref="AE441" authorId="0">
      <text>
        <r>
          <rPr>
            <b/>
            <sz val="9"/>
            <rFont val="宋体"/>
            <charset val="134"/>
          </rPr>
          <t>Administrator:</t>
        </r>
        <r>
          <rPr>
            <sz val="9"/>
            <rFont val="宋体"/>
            <charset val="134"/>
          </rPr>
          <t xml:space="preserve">
0086945 10/27 504pcs
</t>
        </r>
      </text>
    </comment>
    <comment ref="AE442" authorId="0">
      <text>
        <r>
          <rPr>
            <b/>
            <sz val="9"/>
            <rFont val="宋体"/>
            <charset val="134"/>
          </rPr>
          <t>Administrator:</t>
        </r>
        <r>
          <rPr>
            <sz val="9"/>
            <rFont val="宋体"/>
            <charset val="134"/>
          </rPr>
          <t xml:space="preserve">
0086942 10/22 686pcs
</t>
        </r>
      </text>
    </comment>
    <comment ref="AE443" authorId="0">
      <text>
        <r>
          <rPr>
            <b/>
            <sz val="9"/>
            <rFont val="宋体"/>
            <charset val="134"/>
          </rPr>
          <t>Administrator:</t>
        </r>
        <r>
          <rPr>
            <sz val="9"/>
            <rFont val="宋体"/>
            <charset val="134"/>
          </rPr>
          <t xml:space="preserve">
0086944 10/24 980pcs
</t>
        </r>
      </text>
    </comment>
    <comment ref="AE444" authorId="0">
      <text>
        <r>
          <rPr>
            <b/>
            <sz val="9"/>
            <rFont val="宋体"/>
            <charset val="134"/>
          </rPr>
          <t>Administrator:</t>
        </r>
        <r>
          <rPr>
            <sz val="9"/>
            <rFont val="宋体"/>
            <charset val="134"/>
          </rPr>
          <t xml:space="preserve">
0086945 10/27 588pcs</t>
        </r>
      </text>
    </comment>
    <comment ref="AE445" authorId="0">
      <text>
        <r>
          <rPr>
            <b/>
            <sz val="9"/>
            <rFont val="宋体"/>
            <charset val="134"/>
          </rPr>
          <t>Administrator:</t>
        </r>
        <r>
          <rPr>
            <sz val="9"/>
            <rFont val="宋体"/>
            <charset val="134"/>
          </rPr>
          <t xml:space="preserve">
0086944 10/24 588pcs</t>
        </r>
      </text>
    </comment>
    <comment ref="AE446" authorId="0">
      <text>
        <r>
          <rPr>
            <b/>
            <sz val="9"/>
            <rFont val="宋体"/>
            <charset val="134"/>
          </rPr>
          <t>Administrator:</t>
        </r>
        <r>
          <rPr>
            <sz val="9"/>
            <rFont val="宋体"/>
            <charset val="134"/>
          </rPr>
          <t xml:space="preserve">
0086943 10/24 980pcs
</t>
        </r>
      </text>
    </comment>
    <comment ref="AE447" authorId="0">
      <text>
        <r>
          <rPr>
            <b/>
            <sz val="9"/>
            <rFont val="宋体"/>
            <charset val="134"/>
          </rPr>
          <t>Administrator:</t>
        </r>
        <r>
          <rPr>
            <sz val="9"/>
            <rFont val="宋体"/>
            <charset val="134"/>
          </rPr>
          <t xml:space="preserve">
0086944 10/24 588pcs</t>
        </r>
      </text>
    </comment>
    <comment ref="AE448" authorId="0">
      <text>
        <r>
          <rPr>
            <b/>
            <sz val="9"/>
            <rFont val="宋体"/>
            <charset val="134"/>
          </rPr>
          <t>Administrator:</t>
        </r>
        <r>
          <rPr>
            <sz val="9"/>
            <rFont val="宋体"/>
            <charset val="134"/>
          </rPr>
          <t xml:space="preserve">
0086945 10/27 588pcs
</t>
        </r>
      </text>
    </comment>
    <comment ref="AE449" authorId="0">
      <text>
        <r>
          <rPr>
            <b/>
            <sz val="9"/>
            <rFont val="宋体"/>
            <charset val="134"/>
          </rPr>
          <t>Administrator:</t>
        </r>
        <r>
          <rPr>
            <sz val="9"/>
            <rFont val="宋体"/>
            <charset val="134"/>
          </rPr>
          <t xml:space="preserve">
0086949 11/1 1002pcs
</t>
        </r>
      </text>
    </comment>
    <comment ref="AE450" authorId="0">
      <text>
        <r>
          <rPr>
            <b/>
            <sz val="9"/>
            <rFont val="宋体"/>
            <charset val="134"/>
          </rPr>
          <t>Administrato
0086946 10/30 396pcs
0086949 11/1 510pcs</t>
        </r>
      </text>
    </comment>
    <comment ref="AE451" authorId="0">
      <text>
        <r>
          <rPr>
            <b/>
            <sz val="9"/>
            <rFont val="宋体"/>
            <charset val="134"/>
          </rPr>
          <t>Administrator:</t>
        </r>
        <r>
          <rPr>
            <sz val="9"/>
            <rFont val="宋体"/>
            <charset val="134"/>
          </rPr>
          <t xml:space="preserve">
0086949 11/1 600pcs
</t>
        </r>
      </text>
    </comment>
    <comment ref="AE452" authorId="0">
      <text>
        <r>
          <rPr>
            <b/>
            <sz val="9"/>
            <rFont val="宋体"/>
            <charset val="134"/>
          </rPr>
          <t>Administrator:</t>
        </r>
        <r>
          <rPr>
            <sz val="9"/>
            <rFont val="宋体"/>
            <charset val="134"/>
          </rPr>
          <t xml:space="preserve">
0086949 11/1 498pcs</t>
        </r>
      </text>
    </comment>
    <comment ref="AE453" authorId="0">
      <text>
        <r>
          <rPr>
            <b/>
            <sz val="9"/>
            <rFont val="宋体"/>
            <charset val="134"/>
          </rPr>
          <t>Administrator:</t>
        </r>
        <r>
          <rPr>
            <sz val="9"/>
            <rFont val="宋体"/>
            <charset val="134"/>
          </rPr>
          <t xml:space="preserve">
0086939 10/16 516pcs</t>
        </r>
      </text>
    </comment>
    <comment ref="AE454" authorId="0">
      <text>
        <r>
          <rPr>
            <b/>
            <sz val="9"/>
            <rFont val="宋体"/>
            <charset val="134"/>
          </rPr>
          <t>Administrator:</t>
        </r>
        <r>
          <rPr>
            <sz val="9"/>
            <rFont val="宋体"/>
            <charset val="134"/>
          </rPr>
          <t xml:space="preserve">
兴信a车间完成
</t>
        </r>
      </text>
    </comment>
    <comment ref="AE455" authorId="0">
      <text>
        <r>
          <rPr>
            <b/>
            <sz val="9"/>
            <rFont val="宋体"/>
            <charset val="134"/>
          </rPr>
          <t>Administrator:</t>
        </r>
        <r>
          <rPr>
            <sz val="9"/>
            <rFont val="宋体"/>
            <charset val="134"/>
          </rPr>
          <t xml:space="preserve">
兴信a车间完成
</t>
        </r>
      </text>
    </comment>
    <comment ref="AE456" authorId="0">
      <text>
        <r>
          <rPr>
            <b/>
            <sz val="9"/>
            <rFont val="宋体"/>
            <charset val="134"/>
          </rPr>
          <t>Administrator:</t>
        </r>
        <r>
          <rPr>
            <sz val="9"/>
            <rFont val="宋体"/>
            <charset val="134"/>
          </rPr>
          <t xml:space="preserve">
兴信a车间完成，差尾数未完成
</t>
        </r>
      </text>
    </comment>
    <comment ref="AE457" authorId="0">
      <text>
        <r>
          <rPr>
            <b/>
            <sz val="9"/>
            <rFont val="宋体"/>
            <charset val="134"/>
          </rPr>
          <t>Administrator:</t>
        </r>
        <r>
          <rPr>
            <sz val="9"/>
            <rFont val="宋体"/>
            <charset val="134"/>
          </rPr>
          <t xml:space="preserve">
从此单开始转华登生产</t>
        </r>
      </text>
    </comment>
    <comment ref="AE458" authorId="0">
      <text>
        <r>
          <rPr>
            <b/>
            <sz val="9"/>
            <rFont val="宋体"/>
            <charset val="134"/>
          </rPr>
          <t xml:space="preserve">Administrator
</t>
        </r>
        <r>
          <rPr>
            <sz val="9"/>
            <rFont val="宋体"/>
            <charset val="134"/>
          </rPr>
          <t>兴信a车间完成</t>
        </r>
      </text>
    </comment>
  </commentList>
</comments>
</file>

<file path=xl/sharedStrings.xml><?xml version="1.0" encoding="utf-8"?>
<sst xmlns="http://schemas.openxmlformats.org/spreadsheetml/2006/main" count="9936" uniqueCount="2453">
  <si>
    <t>接单期</t>
  </si>
  <si>
    <t>第三方客户名称</t>
  </si>
  <si>
    <t>国家</t>
  </si>
  <si>
    <t>PO号</t>
  </si>
  <si>
    <t>小PO号</t>
  </si>
  <si>
    <t>SKU</t>
  </si>
  <si>
    <t>货号</t>
  </si>
  <si>
    <t>名称</t>
  </si>
  <si>
    <t>PO数量(只)</t>
  </si>
  <si>
    <t>内箱装箱数量(只)</t>
  </si>
  <si>
    <t>外箱装箱数量(只)</t>
  </si>
  <si>
    <t>总箱数</t>
  </si>
  <si>
    <t>客PO期</t>
  </si>
  <si>
    <t>计划验货期</t>
  </si>
  <si>
    <t>第三方验货期</t>
  </si>
  <si>
    <t>验货结果</t>
  </si>
  <si>
    <t>船期SO</t>
  </si>
  <si>
    <r>
      <rPr>
        <sz val="10"/>
        <color rgb="FF2727F0"/>
        <rFont val="等线"/>
        <charset val="134"/>
      </rPr>
      <t>蓝色表示寄出</t>
    </r>
    <r>
      <rPr>
        <sz val="10"/>
        <rFont val="等线"/>
        <charset val="134"/>
      </rPr>
      <t xml:space="preserve">
</t>
    </r>
    <r>
      <rPr>
        <sz val="10"/>
        <color rgb="FFFF0000"/>
        <rFont val="等线"/>
        <charset val="134"/>
      </rPr>
      <t>黄色表示出单</t>
    </r>
  </si>
  <si>
    <t>是否有外箱贴纸</t>
  </si>
  <si>
    <t>箱唛资料</t>
  </si>
  <si>
    <t>客贴纸</t>
  </si>
  <si>
    <t>其他物料</t>
  </si>
  <si>
    <t>日期码</t>
  </si>
  <si>
    <t>备注</t>
  </si>
  <si>
    <t>客跟单</t>
  </si>
  <si>
    <t>单价USD</t>
  </si>
  <si>
    <t>金额USD</t>
  </si>
  <si>
    <t>发票号</t>
  </si>
  <si>
    <t>系统货号</t>
  </si>
  <si>
    <t>是否是系统</t>
  </si>
  <si>
    <t>已完成数量</t>
  </si>
  <si>
    <t>欠数</t>
  </si>
  <si>
    <t>贴纸情况</t>
  </si>
  <si>
    <t>包装</t>
  </si>
  <si>
    <t>标准=0,客版=1</t>
  </si>
  <si>
    <t>说明书</t>
  </si>
  <si>
    <t>走货情况(离厂日期)</t>
  </si>
  <si>
    <t>71126 产品数</t>
  </si>
  <si>
    <t>71126 MA 1L彩盒</t>
  </si>
  <si>
    <t>71126 MA 3L彩盒</t>
  </si>
  <si>
    <t>71126 MA 9L说明书</t>
  </si>
  <si>
    <t>71126EC展示架24个装</t>
  </si>
  <si>
    <t>MSLD90展示架</t>
  </si>
  <si>
    <t>WAL-MART STORES INC. USA</t>
  </si>
  <si>
    <t>美国</t>
  </si>
  <si>
    <t>4500134661-140</t>
  </si>
  <si>
    <t>71126SLB-S001</t>
  </si>
  <si>
    <t>大白鲨卡装</t>
  </si>
  <si>
    <t>7/16 自检</t>
  </si>
  <si>
    <t>PASS</t>
  </si>
  <si>
    <t>无</t>
  </si>
  <si>
    <t>翻单4500127751</t>
  </si>
  <si>
    <t>欠RFID贴纸</t>
  </si>
  <si>
    <t>日期码格式：ZURU DGYYMMDD CHINA(日期避开周末和法定节假日） 日期：按实际生产日期
Packaging Info: "1.包装信息：
71126：MA 1L A版彩盒+ MA A版说明书
翻单：4500127749"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</si>
  <si>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Elena Zhang</t>
  </si>
  <si>
    <t>88997-1.13</t>
  </si>
  <si>
    <t>是</t>
  </si>
  <si>
    <t>标准 1L</t>
  </si>
  <si>
    <t>标准 9L</t>
  </si>
  <si>
    <t>ZURU</t>
  </si>
  <si>
    <t>库有</t>
  </si>
  <si>
    <t>ZMPO24691</t>
  </si>
  <si>
    <t>71126-S001</t>
  </si>
  <si>
    <t>大白鲨</t>
  </si>
  <si>
    <t>大货最新版本/大货标准箱装箱/箱唛请参照邮件附件;备注： 收到样品订单后尽快安排 ，注意样板品质质量要求要高于大货品质要求 ，送货时必须要附带送货单(没有送货单和QC检验合格报告的仓库一律拒绝收货)，请知悉，谢谢！</t>
  </si>
  <si>
    <t>T. PLANET SHOPS SL</t>
  </si>
  <si>
    <t>西班牙</t>
  </si>
  <si>
    <t>4500150446-40</t>
  </si>
  <si>
    <t>日期码格式：ZURU INC(BVI) 标准格式 日期：按实际生产日期
Packaging Info: 1.71126 最新MA 3L EAN 彩盒 + MA 说明书+进口商贴纸+产品贴纸 + 环保标贴纸
Remark: 1, 此货出西班牙，请确保所有包装都有西班牙环保标。
2，出货前两周需寄1套大货样品和1套测试样品，请多备料
3, 此客人推期有罚款，请按时完货
3, 出货前要验货图片给客人确认OK后才出货
4, 如有胶袋，需要增加胶袋警告语贴纸</t>
  </si>
  <si>
    <t>Jade Wang</t>
  </si>
  <si>
    <t>94066-1.16</t>
  </si>
  <si>
    <t>71126-S001-1</t>
  </si>
  <si>
    <t>标准 3L</t>
  </si>
  <si>
    <t>标准 9L B版</t>
  </si>
  <si>
    <t>TARGET US</t>
  </si>
  <si>
    <t>10001075663-3890</t>
  </si>
  <si>
    <t>4500150244-10</t>
  </si>
  <si>
    <t>有</t>
  </si>
  <si>
    <t>11/27客供外箱贴纸</t>
  </si>
  <si>
    <t xml:space="preserve">日期码格式：ZURU INC(BVI) 标准格式 日期：按实际生产日期
Packaging Info: 71126:MA 1L包装+说明书
Remark: 1.71126-S001-ROBO ALIVE - SHARK ATTACK - SERIES 1-SWIMMING SHARK- WINDOW BOX - 6PCS/CTN ,MA 1L包装+说明书，UPC 显示193052064240；
 2. 外箱正唛左上角位置粘贴条码箱贴纸，每箱只贴一张由ZURU订购,来料DPCI显示087-02-5015， UPC 10193052064247.
 3. 产品和包装上印刷tracking code信息，格式为ZURU常规格式
 4. 出货方式：货代自提，兴信出货
</t>
  </si>
  <si>
    <t>Paul Hu</t>
  </si>
  <si>
    <t>88831-1.2</t>
  </si>
  <si>
    <t>WALGREEN CO.</t>
  </si>
  <si>
    <t>4500153786-40</t>
  </si>
  <si>
    <t>71126-S004</t>
  </si>
  <si>
    <t>ZURU INC(BVI) 标准格式:DG20241206</t>
  </si>
  <si>
    <t>日期码格式：ZURU INC(BVI) 标准格式:DG20241206 日期：12-06-2024
Packaging Info:
71126 MA 包装 + WIC 贴纸 （WIC # 772947）
Remark: 1. 产品和包装上要有ZURU 标准格式 tracking code DG20241206
2. 12/07抽板测试，抽板测试通过后才可以出货。所有来料都要测试符合美国联邦法规和州法规后才可以做大货。如因测试问题延期造成罚款需由工厂承担。
3. 收到PO后寄出各一套样品给实验室，请在12/16寄出大货样各2套</t>
  </si>
  <si>
    <t>Cara Li</t>
  </si>
  <si>
    <t>94040-1.15</t>
  </si>
  <si>
    <t>4500153786-50</t>
  </si>
  <si>
    <t>94027-1.14</t>
  </si>
  <si>
    <t>Miniso Depot CA Inc.</t>
  </si>
  <si>
    <t>4500149149-10</t>
  </si>
  <si>
    <t>日期码格式：ZURU INC(BVI) 标准格式 日期：按实际生产日期
Packaging Info: 1. 包装方式：MA UPC 优先1L 最新包装，出口美国；
2. 产品和包装上印刷tracking code信息，格式为ZURU常规.
Remark:</t>
  </si>
  <si>
    <t>Iris Yuan</t>
  </si>
  <si>
    <t>94158-1.23</t>
  </si>
  <si>
    <t>4500149149-30</t>
  </si>
  <si>
    <t xml:space="preserve"> TJX COMPANIES, INC</t>
  </si>
  <si>
    <t>Marshalls
DC#881-126PCS
,
DC#884-96PCS,
DC#886-138PCS
,
DC#887-120PCS
,
DC#888-120PCS</t>
  </si>
  <si>
    <t>4500147789-80</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</si>
  <si>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</si>
  <si>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Emily Wu</t>
  </si>
  <si>
    <t>94169-1.23</t>
  </si>
  <si>
    <t>Amazon EU SARL, Ndl Deutschland</t>
  </si>
  <si>
    <t>德国</t>
  </si>
  <si>
    <t>4WZA5DAX</t>
  </si>
  <si>
    <t>4500148999-20</t>
  </si>
  <si>
    <t>空白外箱（加印带Zuru字样的最新logo，除了邮包盒直接做外箱的产品）</t>
  </si>
  <si>
    <t>3张贴纸(1张UPC#+1张IT sorting label，参考翻单PO#4500138235；1张ES回收环保标志1号，参考翻单PO#4500143120)</t>
  </si>
  <si>
    <t>日期码格式：ZURU INC(BVI) 标准格式 日期：按实际生产日期 Tracking Code:
Packaging Info: Amazon DE 71126
 2.71126: 1pc/window box,6window boxes/ctn; MA 3L(23L warning EAN#)A 开窗彩盒+4张贴纸(1张UPC#+1张IT sorting label，参考翻单PO#4500138235；1张ES回
收环保标志1号，参考翻单PO#4500143120；1张ZURU邮箱)+MA9L B说明书+MA 其他最新包装；
 5. ZURU 验货最迟不得晚于2024/12/26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</si>
  <si>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Zoe Chen</t>
  </si>
  <si>
    <t>88946-1.8</t>
  </si>
  <si>
    <t>10001075671-3890</t>
  </si>
  <si>
    <t>4500151332-10</t>
  </si>
  <si>
    <t>12/2客供外箱贴纸</t>
  </si>
  <si>
    <t>日期码格式：ZURU INC(BVI) 标准格式 日期：按实际生产日期 Tracking Code:
Packaging Info: MA 1L包装+说明书
Remark: 1.71126-S001-ROBO ALIVE - SHARK ATTACK - SERIES 1-SWIMMING SHARK- WINDOW BOX - 6PCS/CTN ,MA 1L包装+说明书，UPC 显示193052064240；
 2. 外箱正唛左上角位置粘贴条码箱贴纸，每箱只贴一张由ZURU订购,来料DPCI显示087-02-5015， UPC 10193052064247.
 3. 产品和包装上印刷tracking code信息，格式为ZURU常规格式
 4. 出货方式：货代自提，兴信出货</t>
  </si>
  <si>
    <t>Holly Zheng</t>
  </si>
  <si>
    <t>88918-1.7</t>
  </si>
  <si>
    <t>KING JOUET LOGISTIQUE</t>
  </si>
  <si>
    <t>法国</t>
  </si>
  <si>
    <t>4500150212-10</t>
  </si>
  <si>
    <t>1张进口商贴纸
1张产品贴纸</t>
  </si>
  <si>
    <t>日期码格式：LOT2452 日期： Tracking Code:
Packaging Info: 71126:MA 3L EAN彩卡+1张进口商贴纸+1张产品贴纸+1张额外电池黑白说明书+MA 5L最新说明书
Remark: 1. 签板和大货样各需1套，请多备料；
 2. 客版日期码LOT2452, 产品/彩盒/外箱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t>
  </si>
  <si>
    <t>88834-1.2</t>
  </si>
  <si>
    <t>10001046268-3890</t>
  </si>
  <si>
    <t>4500151331-10</t>
  </si>
  <si>
    <t>88885-1.6</t>
  </si>
  <si>
    <t>GP TURKEY</t>
  </si>
  <si>
    <t>土耳其</t>
  </si>
  <si>
    <t>083719</t>
  </si>
  <si>
    <t>4500149267-20</t>
  </si>
  <si>
    <t>ZUR4345</t>
  </si>
  <si>
    <t>日期码格式：ZUR4362 日期： Tracking Code:
Packaging Info: 1.MA包装+进口商贴纸含EAN条码; 客版说明书
 2.客户日期码：ZUR4362, 产品/包装/外箱请保持一致。
3.产前样每款1pcs，大货样版2套寄到客户地址如下，请多备料
 Attn: Sylvia Li
 Company name: GP Services HK Limited
 Company address: Suite 1502, 15th Floor, Chinachem Golden Plaza, 77 Mody Road, TST East, Kowloon, Hong Kong
 Company address (Chinese): 香港九龍尖沙咀東部麼地道77號華懋廣場1502室
 Contact Tel: +852 2739 5363
Remark: 71126:3PCS AAA BATTERIES (NOT INCLUDED)
 one assorment</t>
  </si>
  <si>
    <t>Lena Huang</t>
  </si>
  <si>
    <t>88857-1.3</t>
  </si>
  <si>
    <t>71126-S001-13</t>
  </si>
  <si>
    <t>客版说明书</t>
  </si>
  <si>
    <t>Amazon CA (Vendor Center)</t>
  </si>
  <si>
    <t>加拿大</t>
  </si>
  <si>
    <t>2O4E3EUA</t>
  </si>
  <si>
    <t>4500150978-150</t>
  </si>
  <si>
    <t xml:space="preserve">UPC贴纸资料跟翻单#4500146603，UPC:193052064240
</t>
  </si>
  <si>
    <t>日期码格式：ZURU INC(BVI) 标准格式 日期：按实际生产日期
Packaging Info: 出口加拿大，包装需要至少2/3L UPC版，无硼版本
#71126 MA 3L加UPC贴纸，贴纸资料跟翻单#4500146603。 UPC:193052064240.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t>
  </si>
  <si>
    <t>Kelly/Mia</t>
  </si>
  <si>
    <t>88919-1.7</t>
  </si>
  <si>
    <t>MENARD, INC.</t>
  </si>
  <si>
    <t>PO#SHDC722177
42</t>
  </si>
  <si>
    <t>4500146285-10</t>
  </si>
  <si>
    <t>71126-S003</t>
  </si>
  <si>
    <t>日期码格式：ZURU INC(BVI) 标准格式 日期：按实际生产日期
Packaging Info: 2.大货配比：
#71126: S003-ROBO ALIVE-WATER ACTIVATED-SERIES 1-SWIMMING SHARK-WINDOW BOX-2PCS/CTN
3.出货时柜子要贴柜门纸（装箱单），如果没有贴导致客户罚款，费用会跟工厂收取
装柜要拍照留底，记录如何装柜，以防客户投诉货物短装时无证据
Remark: 1.#71126：MA 1L包装</t>
  </si>
  <si>
    <t>88852-1.3</t>
  </si>
  <si>
    <t>TJ MAXX
DC#891-162PCS
,
DC#894-138PCS
,
DC#896-126PCS
,
DC#897-246PCS
,
DC#898-126PCS</t>
  </si>
  <si>
    <t>4500147798-110</t>
  </si>
  <si>
    <t>94174-1.23</t>
  </si>
  <si>
    <t>4500147794-110</t>
  </si>
  <si>
    <t>94176-1.23</t>
  </si>
  <si>
    <t>DM LLC</t>
  </si>
  <si>
    <t>俄罗斯联邦</t>
  </si>
  <si>
    <r>
      <rPr>
        <sz val="10"/>
        <color rgb="FF2727F0"/>
        <rFont val="宋体"/>
        <charset val="134"/>
      </rPr>
      <t>出</t>
    </r>
    <r>
      <rPr>
        <sz val="10"/>
        <color rgb="FF2727F0"/>
        <rFont val="Arial"/>
        <charset val="134"/>
      </rPr>
      <t>Bekasovo 2</t>
    </r>
  </si>
  <si>
    <t>4500150336-60</t>
  </si>
  <si>
    <t>日期码格式：外包装/外箱不要打ZURU标准日期码 日期：
Packaging Info: 注意 ：外包装 (指: 收缩膜/彩卡/铝箔袋/挂卡/PDQ) /外箱不要打ZURU标准日期码！胶件可以打日期码。
71126 : MA 最新彩卡 + 进口商贴纸（含EAN条码）， MA 说明书（如有）
Remark: 标准配比 ；
请按期完货， 会有罚金。
出2个港口Bekasovo 2和Ural .</t>
  </si>
  <si>
    <t>Ann Zhang</t>
  </si>
  <si>
    <t>94046-1.15</t>
  </si>
  <si>
    <r>
      <rPr>
        <sz val="10"/>
        <color rgb="FF2727F0"/>
        <rFont val="宋体"/>
        <charset val="134"/>
      </rPr>
      <t>出</t>
    </r>
    <r>
      <rPr>
        <sz val="10"/>
        <color rgb="FF2727F0"/>
        <rFont val="Arial"/>
        <charset val="134"/>
      </rPr>
      <t>Ural</t>
    </r>
  </si>
  <si>
    <t>4500150336-120</t>
  </si>
  <si>
    <t>WM
PO#0876497081
/WM
item#66896981
8/GTIN#001930
52064240/STK#
71126</t>
  </si>
  <si>
    <t>4500152346-10</t>
  </si>
  <si>
    <t>翻PO#4500127751</t>
  </si>
  <si>
    <t>欠10*10cm 白色艾利贴纸 一张普通贴纸（可用A4纸打印，尺寸不可比艾利贴纸小）</t>
  </si>
  <si>
    <t>12/3RFID贴纸</t>
  </si>
  <si>
    <t>Elena</t>
  </si>
  <si>
    <t>88996-1.13</t>
  </si>
  <si>
    <t>WM
PO#0876497095
/WM
item#66896981
8/GTIN#001930
52064240/STK#
71126</t>
  </si>
  <si>
    <t>4500152346-20</t>
  </si>
  <si>
    <t>94101-1.18</t>
  </si>
  <si>
    <t>Inventive Toys</t>
  </si>
  <si>
    <t>4500150836-110</t>
  </si>
  <si>
    <t>2025/1/8装柜</t>
  </si>
  <si>
    <t xml:space="preserve"> 进口商贴纸
EAN条码贴纸</t>
  </si>
  <si>
    <t>日期码格式：外包装/外箱不要打ZURU标准日期码 日期：
Packaging Info: 注意 ：外包装 (指: 收缩膜/彩卡/铝箔袋/挂卡/PDQ) /外箱不要打ZURU标准日期码！胶件可以打日期码。
外包装（包括收缩膜/彩卡/PDQ）都不能含Instagram and facebook logo等社交logo;
1L MA 收缩膜 或者彩卡+ 进口商贴纸； MA PDQ + EAN条码贴纸 ， MA指南/说明书（如有）;
Remark: 标准配比 ；整单货期2025年1月3</t>
  </si>
  <si>
    <t>94071-1.16</t>
  </si>
  <si>
    <t>TARGET AUSTRALIA PTY LTD</t>
  </si>
  <si>
    <t>澳大利亚</t>
  </si>
  <si>
    <t>4500152438-20</t>
  </si>
  <si>
    <t>12/25SSCClabel外箱贴纸</t>
  </si>
  <si>
    <t>日期码格式：ZURU INC(BVI) 标准格式 日期：按实际生产日期
Packaging Info: 
2. 71126：英文MA包装UPC版本（首选1L, 如无1L可选多语含英语）+箱唛+SSCClabel外箱贴纸
71126:1 ASSORTMENT;3PCS AAA BATTERIES (NOT INCLUDED)
Remark: 1.客人要求箱唛不可出现任何手写内容，重量与实际一致且不可手写;
2.此单去澳大利亚，请按相应澳新标准生产;
3.取消使用TARGET新版封箱胶封顶，外箱全部使用普通透明封箱胶纸；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</si>
  <si>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Christine Li</t>
  </si>
  <si>
    <t>88977-1.10</t>
  </si>
  <si>
    <t>10001046252-3890</t>
  </si>
  <si>
    <t>4500152526-10</t>
  </si>
  <si>
    <t>12/5客供外箱贴纸</t>
  </si>
  <si>
    <t>日期码格式：ZURU INC(BVI) 标准格式 日期：按实际生产日期
Packaging Info: 71126:MA 1L包装+说明书
Remark: 1.71126-S001-ROBO ALIVE - SHARK ATTACK - SERIES 1-SWIMMING SHARK- WINDOW BOX - 6PCS/CTN ,MA 1L包装+说明书，UPC 显示193052064240；
2. 外箱正唛左上角位置粘贴条码箱贴纸，每箱只贴一张由ZURU订购,来料DPCI显示087-02-5015， UPC 10193052064247.
3. 产品和包装上印刷tracking code信息，格式为ZURU常规格式
4. 出货方式：货代自提，兴信出货</t>
  </si>
  <si>
    <t>94075-1.17</t>
  </si>
  <si>
    <t>KENSHO Szolgaltato Kft.</t>
  </si>
  <si>
    <t>匈牙利</t>
  </si>
  <si>
    <t>4500150178-30</t>
  </si>
  <si>
    <t>日期码格式：ZURU INC(BVI) 标准格式 日期：按实际生产日期
Packaging Info:71126: MA A版1L 彩盒+警告语贴纸+客版说明书
Remark: 此单出Hungary， 需满足EU测试标准要求，不能含微塑料。</t>
  </si>
  <si>
    <t>Sharon Zhao</t>
  </si>
  <si>
    <t>94105-1.18</t>
  </si>
  <si>
    <t>71126-S001-14</t>
  </si>
  <si>
    <t>WABRO</t>
  </si>
  <si>
    <t>阿根廷</t>
  </si>
  <si>
    <t>4500152720-60</t>
  </si>
  <si>
    <t>1/8开仓</t>
  </si>
  <si>
    <t>日期码格式：ZURU INC(BVI) 标准格式 日期：按实际生产日期
Packaging Info:
71126:MA 3L包装+MA 5L说明书+进口商贴纸+箱唛
Remark: LR44 电池品牌为ONLY</t>
  </si>
  <si>
    <t>Ava Liang</t>
  </si>
  <si>
    <t>88958-1.9</t>
  </si>
  <si>
    <t>SMYTHS TOYS HQ UC</t>
  </si>
  <si>
    <t>4500152778-10</t>
  </si>
  <si>
    <t>德语callout贴纸翻4500123428</t>
  </si>
  <si>
    <t>日期码格式：ZURU INC(BVI) 标准格式 日期：按实际生产日期
Packaging Info: 1.71126:MA 3L EAN包装+1张德语callout贴纸翻4500123428+MA 5L+9L说明书(包含英法德意荷语言)
Remark: 1、此单出法国，所有包装都需要含有法语&lt;(&gt;&amp;&lt;)&gt;法国回收logo, 需要满足Zuru Standard欧洲标准测试要求；
2、请准时出货，推期会有罚款；
3、出法国的产品需不含微塑料；
4、有出口法国的产品, 法规规定禁止在包装和公众用的印刷品中使用含有矿物油的物质，包装印刷油墨中含有的MOAH/MOSH的质量浓度不能超过1%, 否则出货到法
国被抽检出现问题, 供应商需要对此负责。</t>
  </si>
  <si>
    <t>Ula Zhao</t>
  </si>
  <si>
    <t>88979-1.10</t>
  </si>
  <si>
    <t>Smyths Toys HQ UC UK</t>
  </si>
  <si>
    <t>英国</t>
  </si>
  <si>
    <t>4500152750-10</t>
  </si>
  <si>
    <t>贴纸以及位置图翻单#4500123428</t>
  </si>
  <si>
    <t>日期码格式：ZURU INC(BVI) 标准格式 日期：按实际生产日期 Tracking Code:
Packaging Info: 1.71126: MA 3L (23L Warning)EAN包装+德语callout贴纸+MA 5L+9L warning说明书
 贴纸以及位置图翻单#4500123428
EAN#4894680033405，请先检查条码是否正确再安排做货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</si>
  <si>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Amy Ding</t>
  </si>
  <si>
    <t>94100-1.18</t>
  </si>
  <si>
    <t>4500148645-10</t>
  </si>
  <si>
    <t>德语callout贴纸  贴纸以及位置图翻单#4500123428</t>
  </si>
  <si>
    <t>日期码格式：ZURU INC(BVI) 标准格式 日期：按实际生产日期
Packaging Info: 1.71126: MA 3L (23L Warning)EAN包装+德语callout贴纸+MA 5L+9L warning说明书
贴纸以及位置图翻单#4500123428
EAN#4894680033405，请先检查条码是否正确再安排做货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</si>
  <si>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Sheba Ye</t>
  </si>
  <si>
    <t>94120-1.20</t>
  </si>
  <si>
    <t>SUBURBIA S DE R. L. DE C. V.</t>
  </si>
  <si>
    <t>墨西哥</t>
  </si>
  <si>
    <t>4500145574-20</t>
  </si>
  <si>
    <t>11/28外箱贴纸</t>
  </si>
  <si>
    <t>日期码格式：ZURU INC(BVI) 标准格式 日期：按实际生产日期
Packaging Info:71126：MA 3L 包装+MA 多语说明书+UPC贴纸+进口商贴纸+价标贴纸+说明书贴纸
1.外箱只需四面印Zuru logo，再加2张贴纸，1张Hu贴纸（条码贴），1张ASN贴纸（尺寸6.5cm*6.3cm,潘通色号2597C），都贴于侧唛，只需贴1面(备注HU'S &lt;(&gt;&amp;
&lt;)&gt; ASN贴纸客供）
2. 一个外箱对应一个HU’S(条形码),不可以混条码包装
3.含有说明书需要增加说明书贴纸
4.价格贴纸覆盖原有彩盒的条形码
Remark: 
71126：3PCS AAA BATTERIES (NOT INCLUDED)
此单有监柜要求，需要每款多准备一套完整物料，用于监柜，不可以随大货走</t>
  </si>
  <si>
    <t>Zoe Luo</t>
  </si>
  <si>
    <t>94085-1.17</t>
  </si>
  <si>
    <t>Wonderland Toys Inc DBA The Zoofy G</t>
  </si>
  <si>
    <t>4500151650-10</t>
  </si>
  <si>
    <t>12/12外箱UCC贴纸</t>
  </si>
  <si>
    <t>日期码格式：ZURU INC(BVI) 标准格式 日期：按实际生产日期
Packaging Info: 1. 出口美国，MA UPC 版本包装，优先1L。
2. 产品需要价格贴纸， 贴纸资料后面提供。
#71126: PRICER TICK-18.99; 3PCS AAA BATTERIES (NOT INCLUDED)
3. 外箱需要UCC贴纸。贴纸资料后面提供。
Remark: 4. Zuru QC 验货即可。</t>
  </si>
  <si>
    <t>Abby Mai, Lluviazeng</t>
  </si>
  <si>
    <t>94076-1.17</t>
  </si>
  <si>
    <t>COOLSHOP(ENTERTAINMENT TRADINGS APS</t>
  </si>
  <si>
    <t>丹麦</t>
  </si>
  <si>
    <t>4500151829-10</t>
  </si>
  <si>
    <t>2025/1/7出</t>
  </si>
  <si>
    <t>进口商贴纸
黑白电池说明书</t>
  </si>
  <si>
    <t>日期码格式：ZURU INC(BVI) 标准格式 日期：按实际生产日期
Packaging Info: 1.71126：MA 3L EAN包装+进口商贴纸+MA B 5L-9L warning说明书+黑白电池说明书(瑞典/挪威/芬兰语翻译)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71126-AAA*3 Not included
8.SKU-客户款号-条码
71126-1254068-4894680033405</t>
  </si>
  <si>
    <t>88933-1.8</t>
  </si>
  <si>
    <t>AMAZON UK</t>
  </si>
  <si>
    <t>Amazon
UK:8KANX99A</t>
  </si>
  <si>
    <t>4500151302-20</t>
  </si>
  <si>
    <t>空白外箱（加印带Zuru字样的最新logo，除了邮包盒直接做外箱的产品</t>
  </si>
  <si>
    <t>3张贴纸(1张UPC#+1张IT sorting label，参考翻单PO#4500138235，1张ES回收环保标志1号，参考翻单PO#4500143120)</t>
  </si>
  <si>
    <t>12/9客供外箱贴纸</t>
  </si>
  <si>
    <t>日期码格式：ZURU INC(BVI) 标准格式 日期：按实际生产日期 Tracking Code:
Packaging Info: Amazon UK(9543B, 71126, 71109B)/DE(9543B, 7150B)
 2. 71126：1pc/window box,6window boxes/ctn; MA 3L(23L warning EAN#)A 开窗彩盒+3张贴纸(1张UPC#+1张IT sorting label，参考翻单PO#4500138235；1张ES
回收环保标志1号，参考翻单PO#4500143120)+MA9L B说明书+MA 其他最新包装；
 5. 最迟验货不得晚于2024/1/13;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</si>
  <si>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Crystal Chen</t>
  </si>
  <si>
    <t>94154-1.22</t>
  </si>
  <si>
    <t>Amazon
UK:6YZ1YV9F</t>
  </si>
  <si>
    <t>4500151302-30</t>
  </si>
  <si>
    <t>ZURU France</t>
  </si>
  <si>
    <t>4500149708-50</t>
  </si>
  <si>
    <t>71126-S001-MTS</t>
  </si>
  <si>
    <t>日期码格式：ZURU INC(BVI) 标准格式 日期：按实际生产日期
Packaging Info:
4.71126:最新MA 3L EAN彩卡+MA5L说明书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</si>
  <si>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94099-1.18</t>
  </si>
  <si>
    <t>10001046203-3890</t>
  </si>
  <si>
    <t>4500152525-10</t>
  </si>
  <si>
    <t>1/13取货</t>
  </si>
  <si>
    <t>88995-1.13</t>
  </si>
  <si>
    <t>4500153786-10</t>
  </si>
  <si>
    <t>2025/1/14入中建投仓</t>
  </si>
  <si>
    <t>450015378620</t>
  </si>
  <si>
    <t>4500153786-30</t>
  </si>
  <si>
    <t>4500153786-60</t>
  </si>
  <si>
    <t>4500153786-70</t>
  </si>
  <si>
    <t>4500153786-80</t>
  </si>
  <si>
    <t>4500153786-90</t>
  </si>
  <si>
    <t>4500153786-100</t>
  </si>
  <si>
    <t>Marshalls
DC#881-126PCS
,
DC#884-96PCS,
DC#886-138PCS
,
DC#887-114PCS
,
DC#888-126PCS</t>
  </si>
  <si>
    <t>4500147799-110</t>
  </si>
  <si>
    <t>94278-2.18</t>
  </si>
  <si>
    <t>4500147801-110</t>
  </si>
  <si>
    <t>94280-2.18</t>
  </si>
  <si>
    <t>4500153576-10</t>
  </si>
  <si>
    <t>日期码格式：ZURU INC(BVI) 标准格式 日期：按实际生产日期 
Packaging Info: 71126: MA 3L EAN包装+1张德语callout贴纸翻4500123428+MA 5L+9L说明书(包含英法德意荷语言)
 条码用4894680033405 请先检查条码是否正确再安排做货如有问题请告知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需要符合欧洲标准不能含有闪粉和微塑料，否则不和法规会有客诉产生</t>
  </si>
  <si>
    <t>94149-1.22</t>
  </si>
  <si>
    <t>361XSAHB</t>
  </si>
  <si>
    <t>4500152544-110</t>
  </si>
  <si>
    <t>贴纸资料跟翻单#4500146603</t>
  </si>
  <si>
    <t>12/19客供外箱贴纸</t>
  </si>
  <si>
    <t>日期码格式：ZURU INC(BVI) 标准格式 日期：按实际生产日期
Packaging Info: 出口加拿大，包装需要至少2/3L UPC版，无硼版本。
#71126 MA 3L加UPC贴纸，贴纸资料跟翻单#4500146603。 UPC:193052064240.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</si>
  <si>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94134-1.21</t>
  </si>
  <si>
    <t>FREDMEYER INC</t>
  </si>
  <si>
    <t>PO#0000373338
59</t>
  </si>
  <si>
    <t>4500153169-20</t>
  </si>
  <si>
    <t>2025/1/16提柜</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</si>
  <si>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t>
  </si>
  <si>
    <t>Vicky Wu</t>
  </si>
  <si>
    <t>94067-1.16</t>
  </si>
  <si>
    <t>JUGUETES Y PELUCHES SANCHIS S.A.</t>
  </si>
  <si>
    <t>4500153328-60</t>
  </si>
  <si>
    <t>日期码格式：ZURU INC(BVI) 标准格式 日期：按实际生产日期
Packaging Info:
6.71126：最新MA 3L EAN版本包装+一张客户警语贴纸（含环保标）+MA 5L 说明书；
此单需要各item 准备一套大货样，请注意备料；
Remark: 产品均符合EU微塑料法规要求：不含有微塑料，不含有闪粉；
此单需要安排年前出货，请注意安排装柜人员；</t>
  </si>
  <si>
    <t>Sherry Chen</t>
  </si>
  <si>
    <t>94266-2.17</t>
  </si>
  <si>
    <t>DIAMANT TOYS LTD</t>
  </si>
  <si>
    <t>以色列</t>
  </si>
  <si>
    <t>4500153669-10</t>
  </si>
  <si>
    <t>进口商贴纸 彩色贴纸翻4500144128</t>
  </si>
  <si>
    <t>日期码格式：ZURU INC(BVI) 标准格式 日期：按实际生产日期
Packaging Info: 71126:1L MA包装+进口商贴纸翻4500144128+彩色贴纸翻4500144128; MA说明书
Remark: 标准产品标准配比</t>
  </si>
  <si>
    <t>94126-1.20</t>
  </si>
  <si>
    <t xml:space="preserve"> ZMPO24972</t>
  </si>
  <si>
    <t>Remark：大货最新版本/大货标准箱装箱/箱唛请参照邮件附件                                                                                   备注： 收到样品订单后尽快安排 ，注意样板品质质量要求要高于大货品质要求 ，送货时必须要附带送货单(没有送货单和QC检验合格报告的仓库一律拒绝收货)，请知悉，谢谢！</t>
  </si>
  <si>
    <t xml:space="preserve">Angus </t>
  </si>
  <si>
    <t>94389-2.27</t>
  </si>
  <si>
    <t>WM
PO#0881132668
/WM
item#66896981
8/GTIN#001930
52064240/STK#
71126</t>
  </si>
  <si>
    <t>4500153474-30</t>
  </si>
  <si>
    <t>2025/1/20第三方</t>
  </si>
  <si>
    <t>箱唛排版可follow PO#4500127751</t>
  </si>
  <si>
    <t>SLIP SHEET上贴一张10*10cm 白色艾利贴纸  一张普通贴纸（可用A4纸打印，尺寸不可比艾利贴纸小</t>
  </si>
  <si>
    <t>12/13RFID贴纸</t>
  </si>
  <si>
    <t>日期码格式：ZURU DGYYMMDD CHINA(日期避开周末和法定节假日） 日期：按实际生产日期 
Packaging Info: 
 "1.包装信息：
 71126：MA 1L A版彩盒+ MA A版说明书
 翻单：4500127749"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</si>
  <si>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Maggie Xie</t>
  </si>
  <si>
    <t>94257-2.17</t>
  </si>
  <si>
    <t>WM
PO#0881132688
/WM
item#66896981
8/GTIN#001930
52064240/STK#
71126</t>
  </si>
  <si>
    <t>4500153474-50</t>
  </si>
  <si>
    <t>94245-2.14</t>
  </si>
  <si>
    <t>WM
PO#0881132744
/WM
item#66896981
8/GTIN#001930
52064240/STK#
71126</t>
  </si>
  <si>
    <t>4500153474-90</t>
  </si>
  <si>
    <t>94284-2.19</t>
  </si>
  <si>
    <t>WM
PO#0881132807
/WM
item#66896981
8/GTIN#001930
52064240/STK#
71126</t>
  </si>
  <si>
    <t>4500153474-110</t>
  </si>
  <si>
    <t>94301-2.20</t>
  </si>
  <si>
    <t>WM
PO#0881132821
/WM
item#66896981
8/GTIN#001930
52064240/STK#
71126</t>
  </si>
  <si>
    <t>4500153474-130</t>
  </si>
  <si>
    <t>日期码格式：ZURU DGYYMMDD CHINA(日期避开周末和法定节假日） 日期：按实际生产日期 
Packaging Info: "1.包装信息：
 71126：MA 1L A版彩盒+ MA A版说明书
 翻单：4500127749"
Remark:"71126: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</si>
  <si>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94344-2.25</t>
  </si>
  <si>
    <t>WAL-MART CANADA CORP.</t>
  </si>
  <si>
    <t>4500154742-10</t>
  </si>
  <si>
    <t>71126-S002</t>
  </si>
  <si>
    <t>2025/1/20自检</t>
  </si>
  <si>
    <t>(UPC条码贴纸翻单: 4500126515)</t>
  </si>
  <si>
    <t>日期码格式：ZURU INC(BVI) 标准格式 日期：按实际生产日期 
Packaging Info: #71126: MA3L彩盒+UPC条码贴纸(UPC: 193052064240)+MA5L说明书 (UPC条码贴纸翻单: 4500126515)
Remark: 1.#71126 必须在原来错误的EAN条码上用黑色粗头笔涂黑直至不能扫描，再贴上正确的UPC;
 2. 此单有箱唛;
 3.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</si>
  <si>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</si>
  <si>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94187-2.8</t>
  </si>
  <si>
    <t>71126-S002-1</t>
  </si>
  <si>
    <t>COMERCIAL JOMAN S.L.</t>
  </si>
  <si>
    <t>4500153788-10</t>
  </si>
  <si>
    <t>日期码格式：ZURU INC(BVI) 标准格式 日期：按实际生产日期
Packaging Info: 1.71126 ：最新MA 3L EAN 版本包装+一张进口商贴纸（含环保标）+MA 5L说明书；
Remark: 订单出西班牙，不能含微塑料/闪粉；</t>
  </si>
  <si>
    <t>94218-2.11</t>
  </si>
  <si>
    <t>M
PO#0881132715
/WM
item#66896981
8/GTIN#001930
52064240/STK#
71126</t>
  </si>
  <si>
    <t>4500153474-70</t>
  </si>
  <si>
    <t>2025/2/18第三方</t>
  </si>
  <si>
    <t>94463-3.6</t>
  </si>
  <si>
    <t>WM
PO#0885600892
/WM
item#66896981
8/GTIN#001930
52064240/STK#
71126</t>
  </si>
  <si>
    <t>4500154550-30</t>
  </si>
  <si>
    <t>张10*10cm 白色艾利贴纸， 一张普通贴纸（可用A4纸打印，尺寸不可比艾利贴纸小）</t>
  </si>
  <si>
    <t>12/27RFID 贴纸</t>
  </si>
  <si>
    <t>日期码格式：ZURU DGYYMMDD CHINA(日期避开周末和法定节假日） 日期：按实际生产日期
Packaging Info: "1.包装信息：
 71126：MA 1L A版彩盒+ MA A版说明书
 翻单：4500127749"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</si>
  <si>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94285-2.19</t>
  </si>
  <si>
    <t>WM
PO#0885600903
/WM
item#66896981
8/GTIN#001930
52064240/STK#
71126</t>
  </si>
  <si>
    <t>4500154550-40</t>
  </si>
  <si>
    <t>94302-2.20</t>
  </si>
  <si>
    <t>WM
PO#0885600906
/WM
item#66896981
8/GTIN#001930
52064240/STK#
71126</t>
  </si>
  <si>
    <t>4500154550-50</t>
  </si>
  <si>
    <t>94367-2.27</t>
  </si>
  <si>
    <t>Juguettos Ltd</t>
  </si>
  <si>
    <t>4500154244-30</t>
  </si>
  <si>
    <t>日期码格式：ZURU INC(BVI) 标准格式 日期：按实际生产日期 
Packaging Info:
 3.71126 ：最新MA 3L EAN版本包装+一张环保标贴纸+MA 5L说明书；
Remark: 西班牙订单，需要符合EU标准，不能含微塑料/闪粉；</t>
  </si>
  <si>
    <t>94428-3.4</t>
  </si>
  <si>
    <t>AB Gee of Ripley Ltd.</t>
  </si>
  <si>
    <t>777 1MAR25</t>
  </si>
  <si>
    <t>4500154651-10</t>
  </si>
  <si>
    <t>日期码格式：ZURU INC(BVI) 标准格式 日期：按实际生产日期 
Packaging Info: MA 最新UPC包装，各款的条码如下，请先检查条码是否正确再安排做货，如有问题请告知
 71126-S001:193052064240
 配比跟MA
Remark: 1.产品及包装需要印UKCA图标，包装需要有ZURU UK LTD/ZURU France地址信息，QC同事请核查，如有问题与跟单确认。
 2. 需要符合欧洲标准不能含有闪粉和微塑料，否则不和法规会有客诉产生</t>
  </si>
  <si>
    <t>Yoga Huang</t>
  </si>
  <si>
    <t>94345-2.25</t>
  </si>
  <si>
    <t>AMAZON FR</t>
  </si>
  <si>
    <t>Amazon
DE:58GNW25D</t>
  </si>
  <si>
    <t>4500154798-30</t>
  </si>
  <si>
    <t>2/28入仓</t>
  </si>
  <si>
    <t>空白外箱</t>
  </si>
  <si>
    <t>4张贴纸(1张UPC#+1张IT环保标，参考翻单PO#4500138235；1张ES回收环保
标志1号，参考翻单PO#4500143120；1张ZURU邮箱，参考翻单PO#4500148999)</t>
  </si>
  <si>
    <t xml:space="preserve"> 1/3 SSCC LABEL贴纸</t>
  </si>
  <si>
    <t>日期码格式：ZURU INC(BVI) 标准格式 日期：按实际生产日期 
Packaging Info: Amazon UK(71126/9543A/9297G/71109B)/FR(9543A)/DE(9543A/71126)
 2. 71126：1pc/window box,6window boxes/ctn; MA 3L(23L warning EAN#)A 开窗彩盒+4张贴纸(1张UPC#+1张IT环保标，参考翻单PO#4500138235；1张ES回收环保
标志1号，参考翻单PO#4500143120；1张ZURU邮箱，参考翻单PO#4500148999)+MA9L B说明书+MA 其他最新包装；
 5. 最迟验货不得晚于2025/02/18;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</si>
  <si>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94424-3.4</t>
  </si>
  <si>
    <t>Amazon
UK:86Y63FRH</t>
  </si>
  <si>
    <t>4500154798-40</t>
  </si>
  <si>
    <t>Amazon
UK:4AJH2P8U</t>
  </si>
  <si>
    <t>4500154798-60</t>
  </si>
  <si>
    <t>94444-3.5</t>
  </si>
  <si>
    <t>ROSS PROCUREMENT.INC</t>
  </si>
  <si>
    <t>4500151569-20</t>
  </si>
  <si>
    <t>1/20客供价格贴纸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</si>
  <si>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</si>
  <si>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Minny Peng</t>
  </si>
  <si>
    <t>94540-3.13</t>
  </si>
  <si>
    <t>4500150215-10</t>
  </si>
  <si>
    <t>进口商贴纸+产品贴纸+额外电池黑白说明书（翻4500150212）</t>
  </si>
  <si>
    <t>日期码格式：LOT2508 日期：
Packaging Info: 71126:MA 3L EAN彩卡+1张进口商贴纸+1张产品贴纸+1张额外电池黑白说明书+MA 5L最新说明书 （翻4500150212）
Remark: 1. 签板和大货样各需1套，请多备料；
2. 客版日期码LOT2508, 产品/彩盒/外箱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t>
  </si>
  <si>
    <t>94355-2.26</t>
  </si>
  <si>
    <t>Smyths Toys HQ UC IE</t>
  </si>
  <si>
    <t>爱尔兰</t>
  </si>
  <si>
    <t>4500153577-10</t>
  </si>
  <si>
    <t>日期码格式：ZURU INC(BVI) 标准格式 日期：按实际生产日期
Packaging Info: 71126: MA 3L EAN包装+1张德语callout贴纸翻4500123428+MA 5L+9L说明书(包含英法德意荷语言)
 条码用4894680033405 请先检查条码是否正确再安排做货如有问题请告知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需要符合欧洲标准不能含有闪粉和微塑料，否则不和法规会有客诉产生</t>
  </si>
  <si>
    <t>94258-2.17</t>
  </si>
  <si>
    <t>WM
PO#0885600918
/WM
item#66896981
8/GTIN#001930
52064240/STK#
71126</t>
  </si>
  <si>
    <t>4500154550-60</t>
  </si>
  <si>
    <t>日期码格式：ZURU DGYYMMDD CHINA(日期避开周末和法定节假日） 日期：按实际生产日期 
Packaging Info: "1.包装信息：
 71126：MA 1L A版彩盒+ MA A版说明书
 翻单：4500127749"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</si>
  <si>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94256-2.17</t>
  </si>
  <si>
    <t>4500154439-10</t>
  </si>
  <si>
    <t>日期码格式：ZURU INC(BVI) 标准格式 日期：按实际生产日期 
Packaging Info: 1.71126：MA 3L EAN包装+1张德语callout贴纸翻4500123428+MA 5L+9L说明书(包含英法德意荷语言)
Remark: 1、此单出法国，所有包装都需要含有法语&lt;(&gt;&amp;&lt;)&gt;法国回收logo, 需要满足Zuru Standard欧洲标准测试要求；
 2、请准时出货，推期会有罚款；
 3、有出口法国的产品, 法规规定禁止在包装和公众用的印刷品中使用含有矿物油的物质，包装印刷油墨中含有的MOAH/MOSH的质量浓度不能超过1%, 否则出货到法
 国被抽检出现问题, 供应商需要对此负责。</t>
  </si>
  <si>
    <t>94244-2.14</t>
  </si>
  <si>
    <t>WM
PO#0885600890
/WM
item#66896981
8/GTIN#001930
52064240/STK#
71126</t>
  </si>
  <si>
    <t>4500154550-20</t>
  </si>
  <si>
    <t>94356-2.26</t>
  </si>
  <si>
    <t>WM
PO#0885600927
/WM
item#66896981
8/GTIN#001930
52064240/STK#
71126</t>
  </si>
  <si>
    <t>4500154550-70</t>
  </si>
  <si>
    <t>94367-2.27   94414-3.3</t>
  </si>
  <si>
    <t>4500147804-120</t>
  </si>
  <si>
    <t>2025/2/19开仓</t>
  </si>
  <si>
    <t>94381-2.27</t>
  </si>
  <si>
    <t>4500147806-120</t>
  </si>
  <si>
    <t>94380-2.27</t>
  </si>
  <si>
    <t>10001075673-3890</t>
  </si>
  <si>
    <t>4500154231-10</t>
  </si>
  <si>
    <t>2/19提货</t>
  </si>
  <si>
    <t>日期码格式：ZURU INC(BVI) 标准格式 日期：按实际生产日期 
Packaging Info: 71126:MA 1L包装+说明书
Remark: 1.71126-S001-ROBO ALIVE - SHARK ATTACK - SERIES 1-SWIMMING SHARK- WINDOW BOX - 6PCS/CTN ,MA 1L包装+说明书，UPC 显示193052064240；
 2. 外箱正唛左上角位置粘贴条码箱贴纸，每箱只贴一张由ZURU订购,来料DPCI显示087-02-5015， UPC 10193052064247.
 3. 产品和包装上印刷tracking code信息，格式为ZURU常规格式
 4. 出货方式：货代自提，兴信出货</t>
  </si>
  <si>
    <t>94283-2.19</t>
  </si>
  <si>
    <t>MTA Trade</t>
  </si>
  <si>
    <t>哈萨克斯坦</t>
  </si>
  <si>
    <t>4500151799-40</t>
  </si>
  <si>
    <t>日期码格式：ZURU INC(BVI) 标准格式 日期：按实际生产日期 Tracking Code:
Packaging Info:
 71126:MA UPC 包装+进口商贴纸；MA指南/说明书（如有）
Remark: 标准配比</t>
  </si>
  <si>
    <t>94747-4.10</t>
  </si>
  <si>
    <t>4500150351-20</t>
  </si>
  <si>
    <t>日期码格式：外包装/外箱不要打ZURU标准日期码 日期：
Packaging Info: 注意 ：外包装 (指: 收缩膜/彩卡/铝箔袋/挂卡/PDQ) /外箱不要打ZURU标准日期码！胶件可以打日期码。
71126 : MA 最新彩卡 + 进口商贴纸（含EAN条码）翻4500150336 ， MA 说明书（如有）
Remark: 标准配比 ；
请按期完货， 会有罚金。
出港口Bekasovo 2 。</t>
  </si>
  <si>
    <t>94310-2.20</t>
  </si>
  <si>
    <t>MCD BRANDS SAS</t>
  </si>
  <si>
    <t>乌拉圭</t>
  </si>
  <si>
    <t>4500153776-20</t>
  </si>
  <si>
    <t>箱唛翻单PO4500141981</t>
  </si>
  <si>
    <t>进口商贴纸翻单PO4500141981</t>
  </si>
  <si>
    <t>日期码格式：ZURU INC(BVI) 标准格式 日期：按实际生产日期 
Packaging Info:
 71126:MA 3L包装+进口商贴纸+箱唛，进口商贴纸/箱唛翻单PO4500141981
 翻单箱唛请注意ZURU LOGO需要使用最新的
Remark: 进口商贴纸请多备料5pcs,出货后需要寄给客户</t>
  </si>
  <si>
    <t>94577-3.18</t>
  </si>
  <si>
    <t>WM
PO#0885600866
/WM
item#66896981
8/GTIN#001930
52064240/STK#
71126</t>
  </si>
  <si>
    <t>4500154550-10</t>
  </si>
  <si>
    <t>94327-2.24</t>
  </si>
  <si>
    <t>TESCO CE</t>
  </si>
  <si>
    <t>斯洛伐克</t>
  </si>
  <si>
    <t>999-29068</t>
  </si>
  <si>
    <t>4500150411-50</t>
  </si>
  <si>
    <t>日期码格式：ZURU INC(BVI) 标准格式 日期：按实际生产日期
Packaging Info:
5. 71126-S001：MA 最新1L+23Lwarning包装含有Czech-Hugarian-Polish-Slovak警告语),MA最新说明书，
UPC#193052064240，请先检查包装条码是否正确再安排做货"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
3.外箱上有条码要求，排版时请留意并请确保条码清晰可扫描（封箱胶不要黏到条码上), 否则客人会有罚款；
4. 如含硼的话， 需用低硼版本(小于300ppm),硼含量需要符合欧洲标准,否则客人会退货有罚款产生</t>
  </si>
  <si>
    <t>Sharon</t>
  </si>
  <si>
    <t>94497-3.10</t>
  </si>
  <si>
    <t>I-VISION TOYS.INC</t>
  </si>
  <si>
    <t>韩国</t>
  </si>
  <si>
    <t>IVI-1217XMC</t>
  </si>
  <si>
    <t>4500155294-10</t>
  </si>
  <si>
    <t>箱唛翻单4500148452</t>
  </si>
  <si>
    <t>日期码格式：ZURU INC(BVI) 标准格式 日期：按实际生产日期
Packaging Info: MA 1L PKG +韩语贴纸（新稿）+客版韩语说明书（新稿），箱唛翻单4500148452
 请确保大货包装的生产年月 信息跟到到贴纸上的一致。
生产日信息不做特别要求，可安排统一日期，但必须确保生产年份"2025" 月份"02"
Remark: 由于韩国法律法规要求，吸塑需PET材质，产品需符合韩国KC测试标准。
 71126大货品质需严格跟到上单4500148452一致</t>
  </si>
  <si>
    <t>Doris Shou</t>
  </si>
  <si>
    <t>94366-2.27</t>
  </si>
  <si>
    <t>71126-S001-12</t>
  </si>
  <si>
    <t>TOYS "R" US – JAPAN, LTD</t>
  </si>
  <si>
    <t>日本</t>
  </si>
  <si>
    <t>47:0003112020</t>
  </si>
  <si>
    <t>4500153605-10</t>
  </si>
  <si>
    <t>日语贴纸（贴纸AW和位置图翻单4500153585）</t>
  </si>
  <si>
    <t>日期码格式：ZURU INC(BVI) 标准格式 日期：按实际生产日期
Packaging Info: MA 1L PKG+1张日语贴纸（贴纸AW和位置图翻单4500153585）
Remark: 大货的产品内容和MA包装版本以及产品品质需严格跟到4500153585这张单。</t>
  </si>
  <si>
    <t>94458-3.6</t>
  </si>
  <si>
    <t>47:0003111702</t>
  </si>
  <si>
    <t>4500153587-10</t>
  </si>
  <si>
    <t>日期码格式：ZURU INC(BVI) 标准格式 日期：按实际生产日期 
Packaging Info: MA 1L PKG+1张日语贴纸（贴纸AW和位置图翻单4500153585）
Remark: 大货的产品内容和MA包装版本以及产品品质需严格跟到4500153585这张单。</t>
  </si>
  <si>
    <t>94457-3.6</t>
  </si>
  <si>
    <t>46:0003112019</t>
  </si>
  <si>
    <t>4500153603-10</t>
  </si>
  <si>
    <t>94460-3.6</t>
  </si>
  <si>
    <t>46:0003111701</t>
  </si>
  <si>
    <t>4500153585-10</t>
  </si>
  <si>
    <t>日期码格式：ZURU INC(BVI) 标准格式 日期：按实际生产日期
Packaging Info: MA 1L PKG+1张日语贴纸（贴纸AW待提供）
Remark: 出日本首单需安排样板测试， 请按邮件要求先寄出MA包装的样板做测试。
 大货的产品内容和MA包装版本以及产品品质需严格跟到寄出的测试版。</t>
  </si>
  <si>
    <t>94459-3.6</t>
  </si>
  <si>
    <t>WM
PO#0881132689
/WM
item#66896981
8/GTIN#001930
52064240/STK#
71126</t>
  </si>
  <si>
    <t>4500153482-30</t>
  </si>
  <si>
    <t>日期码格式：ZURU DGYYMMDD CHINA(日期避开周末和法定节假日） 日期：按实际生产日期
Packaging Info: 
 "1.包装信息：
 71126：MA 1L A版彩盒+ MA A版说明书
 翻单：4500127749"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</si>
  <si>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94438-3.5</t>
  </si>
  <si>
    <t>WM
PO#0881132761
/WM
item#66896981
8/GTIN#001930
52064240/STK#
71126</t>
  </si>
  <si>
    <t>4500153482-50</t>
  </si>
  <si>
    <t>94568-3.17</t>
  </si>
  <si>
    <t>WM
PO#0881132823
/WM
item#66896981
8/GTIN#001930
52064240/STK#
71126</t>
  </si>
  <si>
    <t>4500153482-70</t>
  </si>
  <si>
    <t>94555-3.14</t>
  </si>
  <si>
    <t>WM
PO#0881132862
/WM
item#66896981
8/GTIN#001930
52064240/STK#
71126</t>
  </si>
  <si>
    <t>4500153482-90</t>
  </si>
  <si>
    <t>ZB00006-3.19</t>
  </si>
  <si>
    <t>WM
PO#0881132890
/WM
item#66896981
8/GTIN#001930
52064240/STK#
71126</t>
  </si>
  <si>
    <t>4500153482-110</t>
  </si>
  <si>
    <t>WM
PO#0885600859
/WM
item#66896981
8/GTIN#001930
52064240/STK#
71126</t>
  </si>
  <si>
    <t>4500154554-10</t>
  </si>
  <si>
    <t>日期码格式：ZURU DGYYMMDD CHINA(日期避开周末和法定节假日） 日期：按实际生产日期 Tracking Code:
Packaging Info: "1.包装信息：
 71126：MA 1L A版彩盒+ MA A版说明书
 翻单：4500127749"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</si>
  <si>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94556-3.14</t>
  </si>
  <si>
    <t>M
PO#0885600878
/WM
item#66896981
8/GTIN#001930
52064240/STK#
71126</t>
  </si>
  <si>
    <t>4500154554-20</t>
  </si>
  <si>
    <t>ZB00002-3.18</t>
  </si>
  <si>
    <t>WM
PO#0885600897
/WM
item#66896981
8/GTIN#001930
52064240/STK#
71126
 30 71126
71126-STD
PRODUCT
ROBO</t>
  </si>
  <si>
    <t>4500154554-30</t>
  </si>
  <si>
    <t>94567-3.17</t>
  </si>
  <si>
    <t>WM
PO#0885600901
/WM
item#66896981
8/GTIN#001930
52064240/STK#
71126</t>
  </si>
  <si>
    <t>4500154554-40</t>
  </si>
  <si>
    <t>94479-3.7</t>
  </si>
  <si>
    <t>WM
PO#0891486792
/WM
item#66896981
8/GTIN#001930
52064240/STK#
71126</t>
  </si>
  <si>
    <t>4500156005-10</t>
  </si>
  <si>
    <t>一张10*10cm 白色艾利贴纸 一张普通贴纸（可用A4纸打印，尺寸不可比艾利贴纸小）</t>
  </si>
  <si>
    <t xml:space="preserve">2/10 RFID </t>
  </si>
  <si>
    <t>ZB00009-3.19</t>
  </si>
  <si>
    <t>10001075677-3890</t>
  </si>
  <si>
    <t>4500155623-10</t>
  </si>
  <si>
    <t>日期码格式：ZURU INC(BVI) 标准格式 日期：按实际生产日期 
Packaging Info: MA 1L包装+说明书
Remark:
 1.71126-S001-ROBO ALIVE - SHARK ATTACK - SERIES 1-SWIMMING SHARK- WINDOW BOX - 6PCS/CTN ,MA 1L包装+说明书，UPC 显示193052064240；
 2. 外箱正唛左上角位置粘贴条码箱贴纸，每箱只贴一张由ZURU订购,来料DPCI显示087-02-5015， UPC 10193052064247.
 3. 产品和包装上印刷tracking code信息，格式为ZURU常规格式
 4. 出货方式：货代自提，兴信出货</t>
  </si>
  <si>
    <t>94539-3.13</t>
  </si>
  <si>
    <t>HOBBY LOBBY INC.</t>
  </si>
  <si>
    <t>W0702343</t>
  </si>
  <si>
    <t>4500155143-40</t>
  </si>
  <si>
    <t>3/26出</t>
  </si>
  <si>
    <t>日期码格式：ZURU INC(BVI) 标准格式 日期：按实际生产日期 Tracking Code:
Packaging Info: 1. MA UPC版包装，优先1L，需要加贴价格贴纸(价格贴纸文档跟单提供)，出美国。
 2. 外箱正唛右下角贴条码贴纸2张，贴纸大小：2.75 x 1.5 inch。(跟单提供文档，工厂采购)
Remark: 1. 产品外包装及产品本身都必须有日期跟踪码，格式为：ZURU 标准日期码。
 2. ZURU QC验货，无测试。
 3. #MB139：混装#7150 - 8pcs + #71137 - 4pcs 入同一外箱，total 12pcs/ctn。</t>
  </si>
  <si>
    <t>Eleven Zhang</t>
  </si>
  <si>
    <t>ZB00051</t>
  </si>
  <si>
    <t>Po#ECDC722177
28</t>
  </si>
  <si>
    <t>4500146287-10</t>
  </si>
  <si>
    <t>94477-3.7   ZB00020-3.7</t>
  </si>
  <si>
    <t>PO#PLDC722177
34</t>
  </si>
  <si>
    <t>4500146289-10</t>
  </si>
  <si>
    <t>ZB00022</t>
  </si>
  <si>
    <t>PO#HCDC722177
35</t>
  </si>
  <si>
    <t>4500146290-10</t>
  </si>
  <si>
    <t>94478-3.7   ZB00021</t>
  </si>
  <si>
    <t>PO#SHDC722177
44</t>
  </si>
  <si>
    <t>4500146292-10</t>
  </si>
  <si>
    <t>ZB00023</t>
  </si>
  <si>
    <t>ASIA GOAL LIMITED TAIWAN BRANCH (H.</t>
  </si>
  <si>
    <t>台湾</t>
  </si>
  <si>
    <t>AG240332-TW</t>
  </si>
  <si>
    <t>4500156253-10</t>
  </si>
  <si>
    <t>日期码格式：ZURU INC(BVI) 标准格式 日期：按实际生产日期 
Packaging Info: 此单出台湾
 71126：MA PKG，优先1L, MA 说明书，+1张警语贴纸
Remark:</t>
  </si>
  <si>
    <t>94476-3.7</t>
  </si>
  <si>
    <t>Sparkys s.r.o.</t>
  </si>
  <si>
    <t>捷克共和国</t>
  </si>
  <si>
    <t>SP20241202</t>
  </si>
  <si>
    <t>4500154980-10</t>
  </si>
  <si>
    <t>3/24出盐田</t>
  </si>
  <si>
    <t>日期码格式：ZURU INC(BVI) 标准格式 日期：按实际生产日期
Packaging Info: 71126：1L MA UPC 彩盒+进口商贴纸；B 版 5L MA 说明书+额外说明书书纸
Remark: 1、所有item 均用MA UPC 条码，若包装不是UPC 条码的请告知
 2、此单出欧洲需满足EU测试标准要求</t>
  </si>
  <si>
    <t>Snowy</t>
  </si>
  <si>
    <t>94616-3.24</t>
  </si>
  <si>
    <t>4500155113-10</t>
  </si>
  <si>
    <t>MEC245-S00
1-MTS</t>
  </si>
  <si>
    <t>日期码格式：ZURU INC(BVI) 标准格式 日期：按实际生产日期 
Packaging Info:
 71126: 最新MA3L+23LwarningEAN条码包装，MA5L说明书，1张西班牙环保标贴纸,,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</si>
  <si>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94895-4.30</t>
  </si>
  <si>
    <t>MEC245-71126-S001-MTS</t>
  </si>
  <si>
    <t>71126-STD
PRODUCT</t>
  </si>
  <si>
    <t>7149/7150/7151/7152/71126/71115混装</t>
  </si>
  <si>
    <t>KMART AUSTRALIA LTD(NEW ZEALAND)</t>
  </si>
  <si>
    <t>新西兰</t>
  </si>
  <si>
    <t>4500156240-20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</si>
  <si>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</si>
  <si>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</si>
  <si>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94533-3.13</t>
  </si>
  <si>
    <t>4500156224-50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</si>
  <si>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</si>
  <si>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94538-3.13</t>
  </si>
  <si>
    <t>W0706538</t>
  </si>
  <si>
    <t>4500156768-20</t>
  </si>
  <si>
    <t>日期码格式：ZURU INC(BVI) 标准格式 日期：按实际生产日期
Packaging Info: 1. MA UPC版包装，优先1L，需要加贴价格贴纸(价格贴纸文档跟单提供)，出美国。
2. 外箱正唛右下角贴条码贴纸2张，贴纸大小：2.75 x 1.5 inch。(跟单提供文档，工厂采购)
Remark: 1. 产品外包装及产品本身都必须有日期跟踪码，格式为：ZURU 标准日期码。
2. ZURU QC验货，无测试。</t>
  </si>
  <si>
    <t>94570-3.17</t>
  </si>
  <si>
    <t>ARGOS LIMITED</t>
  </si>
  <si>
    <t>4500153827-10</t>
  </si>
  <si>
    <t>白色Cat.label 1张覆盖ZURU条码（切勿翻旧订单购买）</t>
  </si>
  <si>
    <t>日期码格式：ZURU INC(BVI) 标准格式 日期：按实际生产日期
Packaging Info: MA -1L 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</si>
  <si>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94528-3.13</t>
  </si>
  <si>
    <t>Bol.com</t>
  </si>
  <si>
    <t>4500156115-290</t>
  </si>
  <si>
    <t>日期码格式：ZURU INC(BVI) 标准格式 日期：按实际生产日期 Tracking Code:
Packaging Info: BOL NL(71126/77515/92104ABDEGH/92107ABDE/92108ABDE/9258ABDEGH/9281BDEGH/9283ABDE/9296ABDEGH/9298ABDEGH/9543ABDE/9548/9549ABD)
 1. 71126: 1pc/window box, 6 window boxes/ctn,3PCS AAA BATTERIES(NOT INCLUDED), one assortment; MA 3L(23L warning EAN) A 透明窗彩盒+MA 5L(9L warn
 ing) B 说明书；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</si>
  <si>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94548-3.14</t>
  </si>
  <si>
    <t>PPTOYS PTE LTD (SG)</t>
  </si>
  <si>
    <t>新加坡</t>
  </si>
  <si>
    <t>ZU25012001SG</t>
  </si>
  <si>
    <t>4500157001-10</t>
  </si>
  <si>
    <t>进口商贴纸翻4500135387</t>
  </si>
  <si>
    <t>日期码格式：ZURU INC(BVI) 标准格式 日期：按实际生产日期
Packaging Info: MA UPC包装（优先1L)+1张进口商贴纸,贴纸图稿及位置图翻单如下
 71126-4500135387
 所有item贴纸都是一样的（尺寸有很小差别并不影响），请一起订购节省成本
Remark: 71126-one assorment；3PCS AAA BATTERIES(NOT INCLUDED)</t>
  </si>
  <si>
    <t>Emma Wu</t>
  </si>
  <si>
    <t>94575-3.18</t>
  </si>
  <si>
    <t>JUGUETES PASTOR S.L</t>
  </si>
  <si>
    <t>4500155907-50</t>
  </si>
  <si>
    <t>一张西班牙环保标贴纸 贴纸翻单4500154244</t>
  </si>
  <si>
    <t>日期码格式：ZURU INC(BVI) 标准格式 日期：按实际生产日期
Packaging Info:
5.71126:最新MA 3L EAN版本包装+一张西班牙环保标贴纸+MA 5L说明书；（贴纸翻单4500154244）；                                                                                                                       Remark:</t>
  </si>
  <si>
    <t>Miya Fang</t>
  </si>
  <si>
    <t>94709-4.7</t>
  </si>
  <si>
    <t>PLASTICOSUR S.A.</t>
  </si>
  <si>
    <t>4500155934-60</t>
  </si>
  <si>
    <t>贴纸翻单4500154244</t>
  </si>
  <si>
    <t>日期码格式：ZURU INC(BVI) 标准格式 日期：按实际生产日期
Packaging Info: 
6.71126:最新MA 3L EAN版本包装+一张西班牙环保标贴纸+MA 5L说明书；（贴纸翻单4500154244）；</t>
  </si>
  <si>
    <t>94601-3.21</t>
  </si>
  <si>
    <t>Gullskógar ehf - DOM</t>
  </si>
  <si>
    <t>冰岛</t>
  </si>
  <si>
    <t>4500156797-20</t>
  </si>
  <si>
    <t>日期码格式：ZURU INC(BVI) 标准格式 日期：按实际生产日期
Packaging Info:
71126：MA EAN 3L A+说明书 MA 5L+9L B(无需额外贴纸）
Remark: 1/ 配比/ratio:
71126: one assortment; 77625GQ2: 9 assortments
2/ 产品和包装要求无硼无香，包装不能含有PVC
3/ 如有微塑料，必须合规欧洲标准，闪粉也是微塑料的一种，目前仅接受三张方式1.去除，2.用可降解材料，和3. 永久封印在固体。
4/ 如带电池出货，请注意电池标志需要符合欧洲新规(EU) 2023-1542</t>
  </si>
  <si>
    <t>Zoe Zhou</t>
  </si>
  <si>
    <t>94599-3.21</t>
  </si>
  <si>
    <t>Prenatal Retail Group Spain S.L.</t>
  </si>
  <si>
    <t>4500156067-50</t>
  </si>
  <si>
    <t>4/2入仓</t>
  </si>
  <si>
    <t>日期码格式：LOT2511 日期：
Packaging Info: 
 5.71126：最新MA 3L EAN彩盒+最新MA5L说明书+一张黑白WEEE说明书纸 +一张进口商贴纸（含西班牙环保贴）+一张产品贴纸
Remark: 1. 订单出欧洲国家-西班牙，产品不能含有闪粉/微塑料，请确保所有包装都有西班牙环保标。
 2. 客人格式日期码 LOT2511，产品（蛋壳等）/包装（收缩膜等）/外箱都需要印此日期码，请务必保持一致。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6，此客户需要第三方验货，请在约三方验货前必须PASS ZURU验货。</t>
  </si>
  <si>
    <t>94699-4.3</t>
  </si>
  <si>
    <t>360 SALES SOLUTIONS INC</t>
  </si>
  <si>
    <t>2025ZURU10</t>
  </si>
  <si>
    <t>4500157213-30</t>
  </si>
  <si>
    <t>日期码格式： 标准格式 日期：按实际生产日期
Packaging Info: 
71126 MA 多语EAN+UPC贴纸包装 UPC 193052064240
Remark: 出加拿大
Zuru验货.日期跟踪码：产品外包装及产品本身都必须有日期跟踪码，ZURU标准格式日期码。（箱唛日期码按跟单提供格式）</t>
  </si>
  <si>
    <t>Summer Mo</t>
  </si>
  <si>
    <t>94638-3.25</t>
  </si>
  <si>
    <t>Royal Foods LLC</t>
  </si>
  <si>
    <t>阿塞拜疆</t>
  </si>
  <si>
    <t>4500157780-100</t>
  </si>
  <si>
    <t>日期码格式：ZURU INC(BVI) 标准格式 日期：按实际生产日期
Packaging Info: 1. 无进口商贴纸；
 3. 71126 ： 1L MA 彩卡， MA 说明书 ；
Remark: 标准配比</t>
  </si>
  <si>
    <t>94710-4.7</t>
  </si>
  <si>
    <t>TJX COMPANIES, INC</t>
  </si>
  <si>
    <t>Marshalls
DC#881-132PCS
,
DC#884-96PCS,
DC#886-138PCS
,
DC#887-114PCS
,
DC#888-120PCS</t>
  </si>
  <si>
    <t>4500157297-130</t>
  </si>
  <si>
    <t>Emily Wu</t>
  </si>
  <si>
    <t>ZB00053   ZB00100-4.3</t>
  </si>
  <si>
    <t>TJ MAXX
DC#891-162PCS
,
DC#894-132PCS
,
DC#896-126PCS
,
DC#897-252PCS
,
DC#898-126PCS</t>
  </si>
  <si>
    <t>4500157300-130</t>
  </si>
  <si>
    <t>3/29出盐田</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</si>
  <si>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</si>
  <si>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ZB00060     ZB00074  ZB00099-4.3</t>
  </si>
  <si>
    <t>THE WAREHOUSE LIMITED</t>
  </si>
  <si>
    <t>4500158576-20</t>
  </si>
  <si>
    <t>4/2出蛇口</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</si>
  <si>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71126: 3PCS AAA BATTERIES(NOT INCLUDED)</t>
  </si>
  <si>
    <t>Abby Liang</t>
  </si>
  <si>
    <t>94697-4.3</t>
  </si>
  <si>
    <t>4500158583-20</t>
  </si>
  <si>
    <t>4/1出蛇口</t>
  </si>
  <si>
    <t>日期码格式：ZURU INC(BVI) 标准格式 日期：按实际生产日期 Tracking Code:
Packaging Info: MA UPC 英语包装（优先1L英语版本，或者3L/5L含英语都可）
 此客人不接受易掉落或者剥落或者可直接触碰的闪粉，可降解也不行，但可以接受符合欧洲微塑料标准的珠光粉或者闪片。
Remark:71126: 3PCS AAA BATTERIES(NOT INCLUDED)</t>
  </si>
  <si>
    <t>94682-4.1</t>
  </si>
  <si>
    <t>ALL BRANDS TOYS PTY LTD</t>
  </si>
  <si>
    <t>4500157982-10</t>
  </si>
  <si>
    <t>客人通用进口商贴纸(翻单4500125432</t>
  </si>
  <si>
    <t>日期码格式：ZURU INC(BVI) 标准格式 日期：按实际生产日期
Packaging Info: 1.71126:英文MA包装UPC版本（首选1L,无1L可选多语含英语）+客人通用进口商贴纸(翻单4500125432)+箱唛.
Remark: 1.按实际生产日期;
2.出澳大利亚，请按照相应标准生产;
3.71126-S001:;3PCS AAA BATTERIES (NOT INCLUDED ）</t>
  </si>
  <si>
    <t>94662-3.28</t>
  </si>
  <si>
    <t>TJ MAXX
DC#891-192PCS
,
DC#894-162PCS
,
DC#896-150PCS
,
DC#898-294PCS</t>
  </si>
  <si>
    <t>4500157304-20</t>
  </si>
  <si>
    <t>日期码格式：ZURU INC(BVI) 标准格式 日期：按实际生产日期 
Packaging Info: MA UPC包装+价格贴纸，价格贴纸客供。
Remark: 1. 产品和包装上印刷tracking code信息，格式为ZURU常规格式。
 2. 分4-5个DC出货，每款产品每个DC的箱唛资料不同。具体分DC数量，请参考后面行项目备注。
 3. ZURU QC验货。</t>
  </si>
  <si>
    <t xml:space="preserve">ZB00095-4.2   ZB00115-4.9   </t>
  </si>
  <si>
    <t>4500157303-20</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</si>
  <si>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</si>
  <si>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ZB00087-4.1   ZB00094-4.2   ZB00114-4.9   ZB00121-4.10</t>
  </si>
  <si>
    <t>IVI-0227SA</t>
  </si>
  <si>
    <t>4500159460-10</t>
  </si>
  <si>
    <t>客版韩语说明书（翻单4500148452）</t>
  </si>
  <si>
    <t>日期码格式：ZURU INC(BVI) 标准格式 日期：按实际生产日期
Packaging Info: 71126: MA 1L PKG +韩语贴纸（新稿）+客版韩语说明书（翻单4500148452）， 箱唛翻单4500148452
Remark: 由于韩国法律法规要求，吸塑需PET材质，产品需符合韩国KC测试标准。
71126大货品质需严格跟到上单4500148452一致</t>
  </si>
  <si>
    <t>94730-4.9</t>
  </si>
  <si>
    <t>4500158787-60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</si>
  <si>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</si>
  <si>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94743-4.10</t>
  </si>
  <si>
    <t>KMART AUSTRALIA LTD</t>
  </si>
  <si>
    <t>4500158785-60</t>
  </si>
  <si>
    <t>94744-4.10</t>
  </si>
  <si>
    <t>LLC CSI</t>
  </si>
  <si>
    <t>4500158125-30</t>
  </si>
  <si>
    <t>日期码格式：ZURU INC(BVI) 标准格式 日期：按实际生产日期
Packaging Info: 71126 ： 1L MA包装 （UPC 条码）+进口商贴纸(含客人条码）， MA说明书/指南（如有）；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</si>
  <si>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94829-4.22</t>
  </si>
  <si>
    <t>HARVEY WHOLESALE LTD</t>
  </si>
  <si>
    <t>4500159074-20</t>
  </si>
  <si>
    <t>日期码格式：ZURU INC(BVI) 标准格式 日期：按实际生产日期
Packaging Info: #71126:one assorment;3PCS AAA BATTERIES(NOT INCLUDED)
Remark: MA UPC 英语包装（优先1L英语版本,或者3L/L含英语即可</t>
  </si>
  <si>
    <t>94768-4.15</t>
  </si>
  <si>
    <t>Marshalls      DC#881-132PCS
,
DC#884-96PCS,
DC#886-138PCS
,
DC#887-114PCS
,
DC#888-120PCS</t>
  </si>
  <si>
    <t>4500157310-40</t>
  </si>
  <si>
    <t>4/22交仓</t>
  </si>
  <si>
    <t>ZB00138-4.16   ZB00155-4.22  ZB00172-4.23</t>
  </si>
  <si>
    <t>4500157311-40</t>
  </si>
  <si>
    <t>ZB00137-4.16  ZB00173-4.24</t>
  </si>
  <si>
    <t>LLC &lt;&lt;Rich Family&gt;&gt;</t>
  </si>
  <si>
    <t>4500159190-60</t>
  </si>
  <si>
    <t>日期码格式：ZURU INC(BVI) 标准格式 日期：按实际生产日期 
Packaging Info: 71126 ： 1L MA 包装+ 进口商贴纸（含客户EAN 条码）， MA 说明书/指南（如有）；
Remark: 标准配比</t>
  </si>
  <si>
    <t>94863-4.28</t>
  </si>
  <si>
    <t>ZURU LLC</t>
  </si>
  <si>
    <t>4500159706-50</t>
  </si>
  <si>
    <t>日期码格式：ZURU INC(BVI) 标准格式 日期：按实际生产日期
Packaging Info: 
#71126 MA 1L UPC版本
Remark: 1.Amazon domestic 订单。出口美国。外箱最长边不能超过25" （超过了，case pack只能为1），不符合要求的大货，一律不接受。
2.无第三方验货/测试要求。
3.日期码使用ZURU标准版本。</t>
  </si>
  <si>
    <t>Kelly Shen/Mia Pan/P</t>
  </si>
  <si>
    <t>ZB00142-4.16</t>
  </si>
  <si>
    <t>Walmart Central America-GT</t>
  </si>
  <si>
    <t>危地马拉</t>
  </si>
  <si>
    <t>4500158447-160</t>
  </si>
  <si>
    <t>日期码格式：ZURU INC(BVI) 标准格式 日期：按实际生产日期 
Packaging Info: 
 10.71126：MA 3L EAN包装+UPC条码贴纸+MA 多语说明书+进口商贴纸+箱唛
 以上所有贴纸翻单PO4500158302
Remark: 1.使用双坑外箱
 2.请注意产品包装条形码必须是UPC
 3.无第三方验货
 71126：3PCS AAA BATTERIES(NOT INCLUDED)</t>
  </si>
  <si>
    <t>Ever Li</t>
  </si>
  <si>
    <t>94923-5.5</t>
  </si>
  <si>
    <t>Walmart Central America-CR</t>
  </si>
  <si>
    <t>哥斯达黎加</t>
  </si>
  <si>
    <t>4500158535-170</t>
  </si>
  <si>
    <t>日期码格式：ZURU INC(BVI) 标准格式 日期：按实际生产日期
Packaging Info: 
 10.71126：MA 3L EAN包装+UPC条码贴纸+MA 多语说明书+进口商贴纸+箱唛
 以上贴纸翻单PO 4500158302
Remark: 1.使用双坑外箱
 2.请注意产品包装条形码必须是UPC
 3.无第三方验货
 71126：3PCS AAA BATTERIES(NOT INCLUDED)</t>
  </si>
  <si>
    <t>94882-4.29</t>
  </si>
  <si>
    <t>Walmart Central America</t>
  </si>
  <si>
    <t>萨尔瓦多</t>
  </si>
  <si>
    <t>4500158302-190</t>
  </si>
  <si>
    <t>日期码格式：ZURU INC(BVI) 标准格式 日期：按实际生产日期 
Packaging Info: 
 10.71126：MA 3L EAN包装+UPC条码贴纸+MA 多语说明书+进口商贴纸+箱唛
Remark: 1.使用双坑外箱
 2.请注意产品包装条形码必须是UPC
 3.无第三方验货</t>
  </si>
  <si>
    <t>94865-4.28</t>
  </si>
  <si>
    <t>Distruibuciones Universales, SA - D</t>
  </si>
  <si>
    <t>洪都拉斯</t>
  </si>
  <si>
    <t>4500160421-10</t>
  </si>
  <si>
    <t>日期码格式：ZURU INC(BVI) 标准格式 日期：按实际生产日期
Packaging Info: 71126：MA多语EAN包装+UPC贴纸+MA多语说明书+箱唛
Remark: 71126: 3PCS AAA BATTERIES(NOT INCLUDED)</t>
  </si>
  <si>
    <t>94795-4.18</t>
  </si>
  <si>
    <t>2MOQ8HQR</t>
  </si>
  <si>
    <t>4500158947-140</t>
  </si>
  <si>
    <t>UPC翻单#4500146603。</t>
  </si>
  <si>
    <t>日期码格式：ZURU INC(BVI) 标准格式 日期：按实际生产日期
Packaging Info: 出口加拿大，包装需要至少2/3L UPC版，无硼版本。
 #71126 MA 3L加UPC贴纸，贴纸资料跟翻单#4500146603。 UPC:193052064240.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</si>
  <si>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94855-4.28</t>
  </si>
  <si>
    <t>Amazon UK:
4CH8E1NS</t>
  </si>
  <si>
    <t>4500159542-30</t>
  </si>
  <si>
    <t>空白外箱（加印带Zuru字样的最新logo，除了邮包盒直接做外箱的产品） + SSCC LABEL一张, 无箱唛，MADE IN CHINA 外箱只印一正一侧。箱唛资料按照给定的
 标准去做即可，无需发回我方再行审批(新标准将另行通知)。</t>
  </si>
  <si>
    <t>日期码格式：ZURU INC(BVI) 标准格式 日期：按实际生产日期
Packaging Info: Amazon UK(9548/92104G/71126/9279EG/9543BD)
3. 71126：1pc/window box,6window boxes/ctn; MA 3L(23L warning EAN#)A 开窗彩盒+4张贴纸(1张UPC#+1张IT环保标，参考翻单PO#4500138235；1张ES回收环保
标志1号，参考翻单PO#4500143120；1张ZURU邮箱，参考翻单PO#4500148999)+MA9L B说明书+MA 其他最新包装；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</si>
  <si>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94872-4.29</t>
  </si>
  <si>
    <t>4500150219-10</t>
  </si>
  <si>
    <t>标志1号，参考翻单PO#4500143120；1张ZURU邮箱，参考翻单PO#4500148999)</t>
  </si>
  <si>
    <t>日期码格式：LOT2517 日期：
Packaging Info: 71126:MA 3L EAN彩卡+1张进口商贴纸+1张产品贴纸+1张额外电池黑白说明书+MA 5L最新说明书 （翻4500150212）
Remark: 1. 签板和大货样各需1套，请多备料；
2. 客版日期码LOT2517, 产品/彩盒/外箱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t>
  </si>
  <si>
    <t>94826-4.24</t>
  </si>
  <si>
    <t>TJX CANADA</t>
  </si>
  <si>
    <r>
      <rPr>
        <sz val="10"/>
        <color rgb="FF2727F0"/>
        <rFont val="宋体"/>
        <charset val="134"/>
      </rPr>
      <t>客户</t>
    </r>
    <r>
      <rPr>
        <sz val="10"/>
        <color rgb="FF2727F0"/>
        <rFont val="Arial"/>
        <charset val="134"/>
      </rPr>
      <t>PO
35521352</t>
    </r>
  </si>
  <si>
    <t>4500159075-100</t>
  </si>
  <si>
    <t>日期码格式： 标准格式 日期：按实际生产日期 
Packaging Info: 
 71126 MA 多语EAN+UPC贴纸包装。UPC号码193052064240
Remark: 出加拿大
 每行对应不同的客户PO， 客户PO已分别备注
Zuru验货.日期跟踪码：产品外包装及产品本身都必须有日期跟踪码，ZURU标准格式
 日期码</t>
  </si>
  <si>
    <t>94816-4.22</t>
  </si>
  <si>
    <r>
      <rPr>
        <sz val="10"/>
        <color rgb="FF2727F0"/>
        <rFont val="宋体"/>
        <charset val="134"/>
      </rPr>
      <t>客户</t>
    </r>
    <r>
      <rPr>
        <sz val="10"/>
        <color rgb="FF2727F0"/>
        <rFont val="Arial"/>
        <charset val="134"/>
      </rPr>
      <t>PO
35521930</t>
    </r>
  </si>
  <si>
    <t>4500159075-290</t>
  </si>
  <si>
    <t>日期码格式： 标准格式 日期：按实际生产日期 
Packaging Info:
 71126 MA 多语EAN+UPC贴纸包装。UPC号码193052064240
Remark: 出加拿大
 每行对应不同的客户PO， 客户PO已分别备注
Zuru验货.日期跟踪码：产品外包装及产品本身都必须有日期跟踪码，ZURU标准格式
 日期码</t>
  </si>
  <si>
    <r>
      <rPr>
        <sz val="10"/>
        <color rgb="FF2727F0"/>
        <rFont val="宋体"/>
        <charset val="134"/>
      </rPr>
      <t>客户</t>
    </r>
    <r>
      <rPr>
        <sz val="10"/>
        <color rgb="FF2727F0"/>
        <rFont val="Arial"/>
        <charset val="134"/>
      </rPr>
      <t>PO
35521401</t>
    </r>
  </si>
  <si>
    <t>4500159075-150</t>
  </si>
  <si>
    <t>日期码格式： 标准格式 日期：按实际生产日期
Packaging Info:
 71126 MA 多语EAN+UPC贴纸包装。UPC号码193052064240
Remark: 出加拿大
 每行对应不同的客户PO， 客户PO已分别备注
Zuru验货.日期跟踪码：产品外包装及产品本身都必须有日期跟踪码，ZURU标准格式
 日期码</t>
  </si>
  <si>
    <r>
      <rPr>
        <sz val="10"/>
        <color rgb="FF2727F0"/>
        <rFont val="宋体"/>
        <charset val="134"/>
      </rPr>
      <t>客户</t>
    </r>
    <r>
      <rPr>
        <sz val="10"/>
        <color rgb="FF2727F0"/>
        <rFont val="Arial"/>
        <charset val="134"/>
      </rPr>
      <t>PO
30369077</t>
    </r>
  </si>
  <si>
    <t>4500158924-50</t>
  </si>
  <si>
    <t>日期码格式：ZURU INC(BVI) 标准格式 日期：按实际生产日期 
Packaging Info: 
 71126 MA 多语EAN+UPC贴纸包装。UPC号码193052064240
Remark: 出加拿大
 有客供价格贴
 每行对应不同的客户PO， 客户PO已分别备注
Zuru验货.日期跟踪码：产品外包装及产品本身都必须有日期跟踪码，ZURU标准格式
 日期码</t>
  </si>
  <si>
    <t>94814-4.22</t>
  </si>
  <si>
    <r>
      <rPr>
        <sz val="10"/>
        <color rgb="FF2727F0"/>
        <rFont val="宋体"/>
        <charset val="134"/>
      </rPr>
      <t>客户</t>
    </r>
    <r>
      <rPr>
        <sz val="10"/>
        <color rgb="FF2727F0"/>
        <rFont val="Arial"/>
        <charset val="134"/>
      </rPr>
      <t>PO
30369212</t>
    </r>
  </si>
  <si>
    <t>4500158924-150</t>
  </si>
  <si>
    <r>
      <rPr>
        <sz val="10"/>
        <color rgb="FF2727F0"/>
        <rFont val="宋体"/>
        <charset val="134"/>
      </rPr>
      <t>客户</t>
    </r>
    <r>
      <rPr>
        <sz val="10"/>
        <color rgb="FF2727F0"/>
        <rFont val="Arial"/>
        <charset val="134"/>
      </rPr>
      <t>PO
30369320</t>
    </r>
  </si>
  <si>
    <t>4500158924-260</t>
  </si>
  <si>
    <r>
      <rPr>
        <sz val="10"/>
        <color rgb="FF2727F0"/>
        <rFont val="宋体"/>
        <charset val="134"/>
      </rPr>
      <t>客户</t>
    </r>
    <r>
      <rPr>
        <sz val="10"/>
        <color rgb="FF2727F0"/>
        <rFont val="Arial"/>
        <charset val="134"/>
      </rPr>
      <t>PO
30369373</t>
    </r>
  </si>
  <si>
    <t>4500158873-30</t>
  </si>
  <si>
    <t>日期码格式： 标准格式 日期：按实际生产日期 
Packaging Info: 
 71126 MA 多语EAN+UPC贴纸包装。UPC号码193052064240
Remark: 出加拿大
 有客供价格贴
 每行对应不同的客户PO， 客户PO已分别备注
Zuru验货.日期跟踪码：产品外包装及产品本身都必须有日期跟踪码，ZURU标准格式
 日期码</t>
  </si>
  <si>
    <t>94805-4.21</t>
  </si>
  <si>
    <r>
      <rPr>
        <sz val="10"/>
        <color rgb="FF2727F0"/>
        <rFont val="宋体"/>
        <charset val="134"/>
      </rPr>
      <t>客户</t>
    </r>
    <r>
      <rPr>
        <sz val="10"/>
        <color rgb="FF2727F0"/>
        <rFont val="Arial"/>
        <charset val="134"/>
      </rPr>
      <t>PO
30369736</t>
    </r>
  </si>
  <si>
    <t>4500158873-210</t>
  </si>
  <si>
    <t>94815-4.22</t>
  </si>
  <si>
    <r>
      <rPr>
        <sz val="10"/>
        <color rgb="FF2727F0"/>
        <rFont val="宋体"/>
        <charset val="134"/>
      </rPr>
      <t>客户</t>
    </r>
    <r>
      <rPr>
        <sz val="10"/>
        <color rgb="FF2727F0"/>
        <rFont val="Arial"/>
        <charset val="134"/>
      </rPr>
      <t>PO
30369517</t>
    </r>
  </si>
  <si>
    <t>4500158873-110</t>
  </si>
  <si>
    <t>4500160268-20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</si>
  <si>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92119实际为LCL出货</t>
  </si>
  <si>
    <t>94836-4.24</t>
  </si>
  <si>
    <t>B&amp;M RETAIL LIMITED</t>
  </si>
  <si>
    <t>客户PO:019226
25/1</t>
  </si>
  <si>
    <t>4500159326-10</t>
  </si>
  <si>
    <t>日期码格式：ZURU INC(BVI) 标准格式 日期：按实际生产日期
Packaging Info: 标准配比
Remark: 此订单对应4个客户PO，一个PO一条柜， 请分开做货不要混装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</si>
  <si>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94869-4.29</t>
  </si>
  <si>
    <t>客户PO:019226
26/1</t>
  </si>
  <si>
    <t>4500159326-20</t>
  </si>
  <si>
    <t>客户PO:019226
27/1</t>
  </si>
  <si>
    <t>4500159326-30</t>
  </si>
  <si>
    <t>客户PO:019226
28/1</t>
  </si>
  <si>
    <t>4500159326-40</t>
  </si>
  <si>
    <t>Babyhouse</t>
  </si>
  <si>
    <t>乌兹别克斯坦</t>
  </si>
  <si>
    <t>4500159866-80</t>
  </si>
  <si>
    <t>日期码格式：ZURU INC(BVI) 标准格式 日期：按实际生产日期
Packaging Info:
71126 : 1L MA 彩卡+ 进口商贴纸 ; MA 说明书/指南（如有）;
Remark: 标准配比</t>
  </si>
  <si>
    <t>94879-4.29</t>
  </si>
  <si>
    <t>TOY KINGDOM (PTY) LTD</t>
  </si>
  <si>
    <t>南非</t>
  </si>
  <si>
    <t>4500161136-30</t>
  </si>
  <si>
    <t>日期码格式：ZURU INC(BVI) 标准格式 日期：按实际生产日期
Packaging Info: MA PKG ,优先1L
Remark:</t>
  </si>
  <si>
    <t>94837-4.24</t>
  </si>
  <si>
    <t>Marshalls
DC#881-198PCS
,
DC#884-114PCS
,
DC#886-168PCS
,
DC#887-120PCS</t>
  </si>
  <si>
    <t>4500157316-50</t>
  </si>
  <si>
    <t>日期码格式：ZURU INC(BVI) 标准格式 日期：按实际生产日期
Packaging Info: MA UPC包装。
Remark: 1. 产品和包装上印刷tracking code信息，格式为ZURU常规格式。
2. 分4-5个DC出货，每款产品每个DC的箱唛资料不同。具体分DC数量，请参考后面行项目备注。
3. ZURU QC验货。</t>
  </si>
  <si>
    <t>ZB00202-5.7</t>
  </si>
  <si>
    <t>TJ MAXX
DC#891-132PCS
,
DC#894-162PCS
,
DC#896-138PCS
,
DC#897-198PCS
,
DC#898-168PCS</t>
  </si>
  <si>
    <t>4500157317-50</t>
  </si>
  <si>
    <t>ZB00203-5.7</t>
  </si>
  <si>
    <t>CORPORACION FAVORITA C.A.</t>
  </si>
  <si>
    <t>厄多瓜尔</t>
  </si>
  <si>
    <t>25-2101100JEC</t>
  </si>
  <si>
    <t>4500160092-50</t>
  </si>
  <si>
    <t>日期码格式：2025-05 日期： 
Packaging Info: 
 71126：MA多语EAN包装+UPC贴纸+MA多语说明书+进口商贴纸+箱唛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71126: 3PCS AAA BATTERIES(NOT INCLUDED)</t>
  </si>
  <si>
    <t>94973-5.12</t>
  </si>
  <si>
    <t>Andrés Dauhajre SA (LA NOVIA DE VIL</t>
  </si>
  <si>
    <t>多米尼加共和国</t>
  </si>
  <si>
    <t>4500160345-20</t>
  </si>
  <si>
    <t>日期码格式：ZURU INC(BVI) 标准格式 日期：按实际生产日期
Packaging Info: 
71126：MA多语EAN包装+UPC贴纸+MA多语说明书+箱唛
Remark:
71126: 3PCS AAA BATTERIES(NOT INCLUDED)</t>
  </si>
  <si>
    <t>94881-4.29</t>
  </si>
  <si>
    <t>DISTRIBUIDORA COMERCIAL DEL NORTE</t>
  </si>
  <si>
    <t>厄瓜多尔</t>
  </si>
  <si>
    <t>2025-0337</t>
  </si>
  <si>
    <t>4500160575-10</t>
  </si>
  <si>
    <t>进口商贴纸（进口商贴纸+UPC贴纸合并为一张）</t>
  </si>
  <si>
    <t>日期码格式：ZURU INC(BVI) 标准格式 日期：按实际生产日期
Packaging Info: 71126：MA 多语包装+多语说明书+进口商贴纸（进口商贴纸+UPC贴纸合并为一张）+箱唛
Remark:</t>
  </si>
  <si>
    <t>94920-5.5</t>
  </si>
  <si>
    <t>Amazon
UK:6EDHPBSN</t>
  </si>
  <si>
    <t>4500160662-40</t>
  </si>
  <si>
    <t>空白外箱（加印带Zuru字样的最新logo，除了邮包盒直接做外箱的产品） + SSCC LABEL一张, 无箱唛，MADE IN CHINA 外箱只印一正一侧。</t>
  </si>
  <si>
    <t>(1张UPC#+1张IT环保标，参考翻单PO#4500138235；1张ES回收环保
标志1号，参考翻单PO#4500143120；1张ZURU邮箱，参考翻单PO#4500148999</t>
  </si>
  <si>
    <t>日期码格式：ZURU INC(BVI) 标准格式 日期：按实际生产日期
Packaging Info: Amazon UK(15701A/15711B/71109D/71126/77486/92104H/9296A/9548)/FR(77555)/DE(9258G)
4. 71126：1pc/window box,6window boxes/ctn; MA 3L(23L warning EAN#)A 开窗彩盒+4张贴纸(1张UPC#+1张IT环保标，参考翻单PO#4500138235；1张ES回收环保
标志1号，参考翻单PO#4500143120；1张ZURU邮箱，参考翻单PO#4500148999)+MA9L B说明书+MA 其他最新包装；
11. 最迟验货不得晚于2025/4/30;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</si>
  <si>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94970-5.12</t>
  </si>
  <si>
    <t>MILLS FLEET FARM</t>
  </si>
  <si>
    <t>PO#4647601</t>
  </si>
  <si>
    <t>4500160726-100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</si>
  <si>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</si>
  <si>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</si>
  <si>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ZB00493-6.17</t>
  </si>
  <si>
    <t>4500161138-10</t>
  </si>
  <si>
    <t>日期码格式：ZURU INC(BVI) 标准格式 日期：按实际生产日期
Packaging Info: 71126：英文MA包装UPC版本（首选1L, 如无1L可选多语含英语）+箱唛+SSCC label外箱贴纸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</si>
  <si>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Christine Liao</t>
  </si>
  <si>
    <t>94943-5.8</t>
  </si>
  <si>
    <t>TJ MAXX
DC#891-114PCS
,
DC#894-174PCS
,
DC#896-150PCS
,
DC#897-180PCS
,
DC#898-180PCS</t>
  </si>
  <si>
    <t>4500157321-50</t>
  </si>
  <si>
    <t>ZB00289-5.21</t>
  </si>
  <si>
    <t>Marshalls
DC#884-120PCS
,
DC#886-186PCS
,
DC#887-108PCS
,
DC#888-186PCS</t>
  </si>
  <si>
    <t>4500157320-50</t>
  </si>
  <si>
    <t>ZB00288-5.21</t>
  </si>
  <si>
    <t>4500161960-80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</si>
  <si>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</si>
  <si>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94991-5.15</t>
  </si>
  <si>
    <t>4500161963-70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</si>
  <si>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</si>
  <si>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94992-5.15</t>
  </si>
  <si>
    <t>Amazon UK:
7BKTWTAI</t>
  </si>
  <si>
    <t>4500162456-10</t>
  </si>
  <si>
    <t>4张贴纸(1张UPC#+1张IT环保标，参考翻单PO#4500138235；1张ES回收环保
标志1号，参考翻单PO#4500143120；1张ZURU邮箱，参考翻单PO#4500148999)+MA9L 欠外箱贴纸</t>
  </si>
  <si>
    <t>日期码格式：ZURU INC(BVI) 标准格式 日期：按实际生产日期
Packaging Info: Amazon UK(71126/9283D)/FR(9543BD)/DE(92104GH/9543BD)
1. 71126：1pc/window box,6window boxes/ctn; MA 3L(23L warning EAN#)A 开窗彩盒+4张贴纸(1张UPC#+1张IT环保标，参考翻单PO#4500138235；1张ES回收环保
标志1号，参考翻单PO#4500143120；1张ZURU邮箱，参考翻单PO#4500148999)+MA9L B说明书+MA 其他最新包装；
5.最迟验货不得晚于2025/5/16;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</si>
  <si>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95054-5.24</t>
  </si>
  <si>
    <t>ESAL TRADING L.L.C.</t>
  </si>
  <si>
    <t>阿拉伯联合酋长国</t>
  </si>
  <si>
    <t>4500162345-40</t>
  </si>
  <si>
    <t>进口商贴纸翻4500127654(含QR code, 阿拉伯警语); 贴纸上的QR code需微信可扫</t>
  </si>
  <si>
    <t>日期码格式：ZURU INC(BVI) 标准格式 日期：按实际生产日期
Packaging Info:
 71126：1L MA包装（含G Mark)+进口商贴纸翻4500127654(含QR code, 阿拉伯警语); 贴纸上的QR code需微信可扫，扫描结果55427+ MA说明书
Remark:
 71126:3PCS AAA BATTERIES (NOT INCLUDED)</t>
  </si>
  <si>
    <t>95349-6.19</t>
  </si>
  <si>
    <t>TAS IMPORT AS(Lekekassen)</t>
  </si>
  <si>
    <t>挪威</t>
  </si>
  <si>
    <t>4500161075-30</t>
  </si>
  <si>
    <t>日期码格式：ZURU INC(BVI) 标准格式 日期：按实际生产日期
Packaging Info: 
3. 71126: MA A 3L(23L warning) EAN版彩盒+客人进口商地址贴纸+MA 5L(9L warning)说明书+不带电池走货北欧六语通用黑白电池说明书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71126:4894680033405</t>
  </si>
  <si>
    <t>Sheba</t>
  </si>
  <si>
    <t>95091R1-5.28</t>
  </si>
  <si>
    <t>WALMART INC.</t>
  </si>
  <si>
    <t>WM
PO#0910728509
/WM
item#66896981
8/GTIN#001930
52064240/STK#
71126</t>
  </si>
  <si>
    <t>4500163969-10</t>
  </si>
  <si>
    <t>5/28 BV验货5/16抽板4PCS消耗MO20250120</t>
  </si>
  <si>
    <t>RFID贴纸（已提供）</t>
  </si>
  <si>
    <t>日期码格式：ZURU DGYYMMDD CHINA(日期避开周末和法定节假日） 日期：按实际生产日期
Packaging Info: "1.包装信息：
71126：MA 1L A版彩盒+ MA A版说明书
翻单：4500127749"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
9. 此款要重新安排产中抽板和测试，计划在2025/5/16抽板，需要完成298pcs,抽板完当天需要将其中4 pcs寄到实验室。
10.数量可以消耗safety stock: 手工单MO20250120</t>
  </si>
  <si>
    <t>Lorraine Liang</t>
  </si>
  <si>
    <t>ZB00517-6.19</t>
  </si>
  <si>
    <t>TOYS "R" US (CANADA) LTD.</t>
  </si>
  <si>
    <t>4500163457-10</t>
  </si>
  <si>
    <t>5/27第三方</t>
  </si>
  <si>
    <t>日期码格式：ZURU INC(BVI) 标准格式 日期：按实际生产日期
Packaging Info: 1. 出口加拿大市场，MA UPC版本包装。
##71126: MA 3L EAN版本 + UPC贴纸；UPC#193052064240; 3PCS AAA BATTERIES(NOT INCLUDED)
2. 产品、包装、外箱上面tracking code的时间格式需要一致
Remark: 3. 需要第三方SGS验货，验货时间2025/05/19，每款每色请备1PC完整带包装样品供验货人员参考。用完后若无损坏可以放回大货里。</t>
  </si>
  <si>
    <t>Abby Mai,Lluvia Zeng</t>
  </si>
  <si>
    <t>95221-6.6</t>
  </si>
  <si>
    <t>ZURU Denmark ApS</t>
  </si>
  <si>
    <t>4500164397-30</t>
  </si>
  <si>
    <t>客版说明书（翻单4500125999）+ 北欧六语通用不带电池出货黑白电池说明书(翻单4500162346-7150)；</t>
  </si>
  <si>
    <t>日期码格式：ZURU INC(BVI) 标准格式 日期：按实际生产日期
Packaging Info:
3.71126：MA 3L+23L警语 EAN 最新版包装 +客版说明书（翻单4500125999）+ 北欧六语通用不带电池出货黑白电池说明书(翻单4500162346-7150)；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</si>
  <si>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</si>
  <si>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95027-5.20</t>
  </si>
  <si>
    <t>71126-S001-5</t>
  </si>
  <si>
    <t>客版说明书翻4500125999</t>
  </si>
  <si>
    <t>Outlet Drift AS</t>
  </si>
  <si>
    <t>4500162375-110</t>
  </si>
  <si>
    <t>日期码格式：ZURU INC(BVI) 标准格式 日期：按实际生产日期
Packaging Info: 
71126: 彩盒MA EAN 3L A+客版说明书
Remark: 1/配比:
71126: one assorment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</si>
  <si>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95040R1-5.22</t>
  </si>
  <si>
    <t>10001257091-3891</t>
  </si>
  <si>
    <t>4500162010-10</t>
  </si>
  <si>
    <t>日期码格式：ZURU INC(BVI) 标准格式 日期：按实际生产日期
Packaging Info: 71126：MA 1L包装
Remark: 71126：
1.71126-S001-ROBO ALIVE - SHARK ATTACK - SERIES 1-SWIMMING SHARK- WINDOW BOX - 6PCS/CTN
2. MA 1L包装，彩盒上的UPC 显示193052064240；
3. 每个外箱正唛箱唛信息左上方位置粘贴条码箱贴纸，每箱只贴一张,由ZURU订购,来料贴纸显示DPCI 087-02-5015， UPC 10193052064247.
此订单所有item：
1. 产品和包装上要印刷tracking code信息，格式为ZURU常规；
2. 出货方式：货代自提5. 出货方式：货代自提，兴信出货</t>
  </si>
  <si>
    <t>ZB00332-5.26</t>
  </si>
  <si>
    <t>COMSED PLC</t>
  </si>
  <si>
    <t>保加利亚</t>
  </si>
  <si>
    <t>4500159898-50</t>
  </si>
  <si>
    <t>否</t>
  </si>
  <si>
    <t>客版说明书（翻4500126672）</t>
  </si>
  <si>
    <t>日期码格式：ZURU INC(BVI) 标准格式 日期：按实际生产日期
Packaging Info: 
71126：A 版 1L MA 彩盒+进口商贴纸；客版说明书（翻4500126672）
Remark: "1、所有item 均用MA UPC 条码，若包装不是UPC 条码的请告知
2、此单出欧洲需满足EU测试标准要求"</t>
  </si>
  <si>
    <t>95248-6.9</t>
  </si>
  <si>
    <t>71126-S001-4</t>
  </si>
  <si>
    <t>SHOPRITE CHECKERS (PTY) LTD</t>
  </si>
  <si>
    <t>BRK1177100734</t>
  </si>
  <si>
    <t>4500163743-20</t>
  </si>
  <si>
    <t>日期码格式：ZURU INC(BVI) 标准格式 日期：按实际生产日期
Packaging Info: MA PKG, 优先1L
Remark: 请留意箱唛色带高度为40mm, 色带顶部需留出10mm高空白地方
客户PO#BRK1177100734</t>
  </si>
  <si>
    <t>95209R1-6.5</t>
  </si>
  <si>
    <t>LLC SALUS</t>
  </si>
  <si>
    <t>4500162283-70</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</si>
  <si>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71126 ： 1L MA 包装+ 进口商贴纸（含客户EAN条码）+ QR code贴纸（要求每1PCS 的QR 不一样）， MA 说明书；
Remark: 标准配比，出厂价</t>
  </si>
  <si>
    <t>Ann</t>
  </si>
  <si>
    <t>95114R1-5.29</t>
  </si>
  <si>
    <t>K􀃤rkk􀃤inen Oy /Centrawla rehouse</t>
  </si>
  <si>
    <t>芬兰</t>
  </si>
  <si>
    <t>4500161573-50</t>
  </si>
  <si>
    <t>日期码格式：ZURU INC(BVI) 标准格式 日期：按实际生产日期
Packaging Info:
5. 71126: MA A 3L(23L warning) EAN版彩盒+MA 5L(9L warning)说明书+不带电池走货北欧六语通用黑白电池说明书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71126:4894680033405</t>
  </si>
  <si>
    <t>95198-6.4</t>
  </si>
  <si>
    <t>4500162969-60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</si>
  <si>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</si>
  <si>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95156R1-5.28</t>
  </si>
  <si>
    <t>4500162968-110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</si>
  <si>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</si>
  <si>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95157-5.28</t>
  </si>
  <si>
    <t>Jiwildy Ltd</t>
  </si>
  <si>
    <t>毛里求斯</t>
  </si>
  <si>
    <t>4500163069-60</t>
  </si>
  <si>
    <t>日期码格式：ZURU INC(BVI) 标准格式 日期：按实际生产日期
Packaging Info: MA PKG, 优先1L（全部为 UPC 12位数字的条码）
Remark:</t>
  </si>
  <si>
    <t>95208-6.5</t>
  </si>
  <si>
    <t>4500164539-20</t>
  </si>
  <si>
    <t>日期码格式：ZURU INC(BVI) 标准格式 日期：按实际生产日期
Packaging Info: 71126
1.MA 1L UPC 最新全套包装+客人白色Cat.label 1张覆盖ZURU条码+WEEE不带电池走货欧洲30语通用黑白说明书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3.请先检查条码是否正确再安排做，标签上的目录编号数字（5799598）高度必须至少为5mm （14.17pt）
71126条码扫描结果应为：5799598
-此订单对应客户5个PO号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</si>
  <si>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</si>
  <si>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95150-5.30</t>
  </si>
  <si>
    <t>999-44517 999-44528</t>
  </si>
  <si>
    <t>4500164228-40</t>
  </si>
  <si>
    <t>需要ZURU France地址信息贴纸</t>
  </si>
  <si>
    <t>日期码格式：ZURU INC(BVI) 标准格式 日期：按实际生产日期
Packaging Info: 
- 71126：MA 最新1L+23Lwarning包装含有Czech-Hugarian-Polish-Slovak警告语),MA最新说明书，
UPC#193052064240，请先检查包装条码是否正确再安排做货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</si>
  <si>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95267-6.11</t>
  </si>
  <si>
    <t>Amazon
DE:1GEH8QAE</t>
  </si>
  <si>
    <t>4500164250-40</t>
  </si>
  <si>
    <t>日期码格式：ZURU INC(BVI) 标准格式 日期：按实际生产日期
Packaging Info: Amazon UK(15714K/7150B/77673/77723/92119AH/9279B/9561)/FR(9543D)/DE(71126/77555/77731/92104G/9543E)
8. 71126: 1pc/window box,6window boxes/ctn; MA 3L(23L warning EAN#)A 开窗彩盒+1张贴纸(UPC#+IT/ES环保标+ZURU邮箱)+MA9L B说明书+MA 其他最新包装；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</si>
  <si>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95330-6.17</t>
  </si>
  <si>
    <t>4500164179-40</t>
  </si>
  <si>
    <t>2025/6/11第三方</t>
  </si>
  <si>
    <t>日期码格式：ZURU INC(BVI) 标准格式 日期：按实际生产日期
Packaging Info: 1. 出口加拿大市场。
#71126: MA 3L EAN版本 + UPC贴纸；UPC#193052064240; 3PCS AAA BATTERIES(NOT INCLUDED)
2. 产品、包装、外箱上面tracking code的时间格式需要一致，tracking code的时间为：DG20250526
Remark: 3. 需要第三方SGS验货，验货时间2025/06/09，每款每色请备1PC完整带包装样品供验货人员参考。用完后若无损坏可以放回大货里。</t>
  </si>
  <si>
    <t>95403-6.24</t>
  </si>
  <si>
    <t>Meloman Home Video LLP</t>
  </si>
  <si>
    <t>4500164596-100</t>
  </si>
  <si>
    <t>日期码格式：ZURU INC(BVI) 标准格式 日期：按实际生产日期
Packaging Info: 1L MA UPC 包装+ 通用进口商贴纸， MA 指南/说明书（如果有的话）
Remark: 标准配比</t>
  </si>
  <si>
    <t>95344R1-6.18</t>
  </si>
  <si>
    <t>SUOMEN OSUUSKAUPPOJEN KESKUSKUNTA</t>
  </si>
  <si>
    <t>4500160378-60</t>
  </si>
  <si>
    <t>客版说明书翻单4500162375</t>
  </si>
  <si>
    <t>日期码格式：ZURU INC(BVI) 标准格式 日期：按实际生产日期
Packaging Info:
 6. 71126: MA A 3L(23L warning) EAN版彩盒+care@zuru.com邮箱地址/外包装电池信息翻译做成一张纸贴在彩盒上+客版6L说明书(翻单4500162375)
 7. 配比跟MA
Remark:
 请在6/2之前各提供一套大货签板给我们签回供第三方验货用，签板必须跟大货完全一致，否则验货会不合格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71126-S001:4894680033405</t>
  </si>
  <si>
    <t>95522-7.1</t>
  </si>
  <si>
    <t>WM
PO#0913496389
/WM
item#66896981
8/GTIN#001930
52064240/STK#
71126</t>
  </si>
  <si>
    <t>4500165281-10</t>
  </si>
  <si>
    <t>消耗手工单 MO20250120</t>
  </si>
  <si>
    <t>71126箱唛排版可follow PO#4500127751</t>
  </si>
  <si>
    <t>知悉此备料已贴RFID贴纸</t>
  </si>
  <si>
    <t>ZB00575-6.25</t>
  </si>
  <si>
    <t>ZU25042302SG</t>
  </si>
  <si>
    <t>4500165878-30</t>
  </si>
  <si>
    <t>日期码格式：ZURU INC(BVI) 标准格式 日期：按实际生产日期
Packaging Info: MA UPC包装（优先1L)+1张进口商贴纸
71126-贴纸AW、位置图如邮件附件
此客人用的贴纸内容都是一样的，个别item可能存在尺寸差别，如果发现贴纸尺寸没差别，就请都统一订购节省成本
Remark:
71126-one assorment，3PCS AAA BATTERIES(NOT INCLUDED)</t>
  </si>
  <si>
    <t>95478-6.30</t>
  </si>
  <si>
    <t>10001257090-3890</t>
  </si>
  <si>
    <t>4500167008-10</t>
  </si>
  <si>
    <t>日期码格式：ZURU INC(BVI) 标准格式 日期：按实际生产日期
Packaging Info: 71126: MA 1L包装+说明书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此订单所有item：
1. 产品和包装上要印刷tracking code信息，格式为ZURU常规；
2. 出货方式：货代自提</t>
  </si>
  <si>
    <t>ZB00482-6.16</t>
  </si>
  <si>
    <t>JUGUETERIAS REUNIDAS S.L.</t>
  </si>
  <si>
    <t>4500163490-30</t>
  </si>
  <si>
    <t>日期码格式：ZURU INC(BVI) 标准格式 日期：按实际生产日期
Packaging Info:
71126：最新MA 3L EAN版本包装+一张客户进口商贴纸+MA 5L说明书；
Remark:</t>
  </si>
  <si>
    <t>Mary Zhong</t>
  </si>
  <si>
    <t>95375-6.21</t>
  </si>
  <si>
    <t xml:space="preserve"> AB Gee of Ripley Ltd.</t>
  </si>
  <si>
    <t>777 25APR2526</t>
  </si>
  <si>
    <t>4500166127-80</t>
  </si>
  <si>
    <t>WEEE不带电池走货欧洲30语通用黑白说明书)</t>
  </si>
  <si>
    <t>日期码格式：ZURU INC(BVI) 标准格式 日期：按实际生产日期
Packaging Info: 各款的条码如下，配比请跟MA, 请先检查条码是否正确再安排做货，如有问题请告知
 71126-S001：193052064240(MA 最新UPC包装+WEEE不带电池走货欧洲30语通用黑白说明书)
Remark: 1.产品及包装需要印UKCA图标，包装需要有ZURU UK LTD/ZURU France地址信息，QC同事请核查，如有问题与跟单确认。
 2. 需要符合欧洲标准不能含有闪粉和微塑料，否则不合法规会有客诉产生</t>
  </si>
  <si>
    <t xml:space="preserve"> Yoga Huang</t>
  </si>
  <si>
    <t>95446-6.25</t>
  </si>
  <si>
    <t>SIPLEC</t>
  </si>
  <si>
    <t>4500162245-40</t>
  </si>
  <si>
    <t>日期码格式：1042701-23 日期：
Packaging Info:
2.71126:MA3L EAN彩卡+1张警语条码贴纸+客版说明书+1张产品贴纸+1张30LWEEE声明书(不含电池版)
Remark: 1.预计6/16第三方验货+抽板测试，此单需每款抽办8套左右测试，请多备料。5/20前准备好2套大货签板；
2.纸箱上加4张条形码贴纸, 外箱条码参考如下：
71126:53660441938403
3. 需在客户指定贴纸供货商Checkpoint订购， 联系方式如下, 并订购时请把范本发给Checkpoint Systems (ZJG) Co. Ltd.
B Block, 28 Gang-ao Road, Zhangjiagang Free Trade Zone,
Jiangsu, China, 215634
Office:+(86) 512 3500 3769
Mia.Wang
Email: Mia.Wang@checkpt.com
4.每箱放3包透明颗粒状干燥剂(每包约5g)，包干燥剂的袋子要有"SILICA GEL - DO NOT EAT - DESSICANT - THROW AWAY " 字样
5. 包装禁止使用PVC塑料;
6. 此票出法国，需符合EU标准及微塑料法规，包装需含法国回收logo;</t>
  </si>
  <si>
    <t>95727-7.22</t>
  </si>
  <si>
    <t>71126-S001-16</t>
  </si>
  <si>
    <t>4500162245-80</t>
  </si>
  <si>
    <t>6/18第三方验货</t>
  </si>
  <si>
    <t xml:space="preserve"> ROFU Kinderland Spielwarenhandelsge</t>
  </si>
  <si>
    <t>4500166352-30</t>
  </si>
  <si>
    <t>(+WEEE 不带电池走货 通用30L 说明书)+ZURU地址贴纸</t>
  </si>
  <si>
    <t>日期码格式：ZURU INC(BVI) 标准格式 日期：按实际生产日期
Packaging Info: 
71126: MA 3L EAN彩盒+1*客供价格贴纸+ MA B版说明书(+WEEE 不带电池走货 通用30L 说明书)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</si>
  <si>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 xml:space="preserve"> Winnie Zhong</t>
  </si>
  <si>
    <t>95386-6.23</t>
  </si>
  <si>
    <t>WM
PO#0916570373
/WM
item#66896981
8/GTIN#001930
52064240/STK#
71126</t>
  </si>
  <si>
    <t>4500166490-10</t>
  </si>
  <si>
    <t>消耗手工单MO20250120</t>
  </si>
  <si>
    <t>翻4500127751</t>
  </si>
  <si>
    <t>RFID贴纸已提供</t>
  </si>
  <si>
    <t>ZB00605-6.30</t>
  </si>
  <si>
    <t>2000007579</t>
  </si>
  <si>
    <t>4500165276-20</t>
  </si>
  <si>
    <t>6/27第三方</t>
  </si>
  <si>
    <t>1张进口商贴纸+1张产品贴纸+1张额外电池黑白说明书+MA 5L最新说明书 都翻4500150212</t>
  </si>
  <si>
    <t>日期码格式：LOT2525 日期：
Packaging Info:
2.71126:MA 3L EAN彩卡+1张进口商贴纸+1张产品贴纸+1张额外电池黑白说明书+MA 5L最新说明书 （翻4500150212）
Remark: 1. 大货样品2套/item，用于客人验货签板。验货后还会抽办1套/item，请多备料；
2. 客版日期码LOT2525,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包装印刷油墨中含的MOAH/MOSH的质量浓度不能超过1%, 否则出货
到法国被抽检出现问题, 供应商需要对此负责;
7. 此客户需要第三方验货，请在约三方验货前必须PASS ZURU验货。</t>
  </si>
  <si>
    <t>Christine He</t>
  </si>
  <si>
    <t>95540-7.3</t>
  </si>
  <si>
    <t xml:space="preserve"> KMART AUSTRALIA LTD</t>
  </si>
  <si>
    <t>4500165860-20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</si>
  <si>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</si>
  <si>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Lydia Wu</t>
  </si>
  <si>
    <t>95428-6.26</t>
  </si>
  <si>
    <t xml:space="preserve"> KMART AUSTRALIA LTD(NEW ZEALAND)</t>
  </si>
  <si>
    <t>4500165861-10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</si>
  <si>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</si>
  <si>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95425-6.26</t>
  </si>
  <si>
    <t>Mid-States Distributing, LLC</t>
  </si>
  <si>
    <t>Farm &lt;(&gt;&amp;&lt;)&gt;
Home Supply
PO 1620196-99</t>
  </si>
  <si>
    <t>4500161570-420</t>
  </si>
  <si>
    <t>日期码格式：ZURU INC(BVI) 标准格式 日期：按实际生产日期
Packaging Info: 1.使用 MA UPC版本包装，优先1L，出口美国。
Remark: 1.产品和包装上印刷tracking code信息，格式为ZURU常规。
2.ZURU QC验货</t>
  </si>
  <si>
    <t>ZB00601-6.28</t>
  </si>
  <si>
    <t>CONTINENTE S.A.</t>
  </si>
  <si>
    <t>哥伦比亚</t>
  </si>
  <si>
    <t>COL66-25-FALL</t>
  </si>
  <si>
    <t>4500163691-70</t>
  </si>
  <si>
    <t>日期码格式：DG20250520 日期：
Packaging Info:71126::MA 3L EAN 包装+进口商贴纸（进口商贴纸和UPC贴纸合并为一张）+箱唛
Remark:</t>
  </si>
  <si>
    <t>95523-7.1</t>
  </si>
  <si>
    <t>AUCHAN SPAIN</t>
  </si>
  <si>
    <t>4500161102-10</t>
  </si>
  <si>
    <t>6/23第三方</t>
  </si>
  <si>
    <t>日期码格式：DG20250616</t>
  </si>
  <si>
    <t>日期码格式：DG20250616 日期：
71126：MA3L EAN A版彩卡+1张西班牙环保贴纸+MA5L B版说明书+1张30LWEEE声明书(不含电池版)
Remark: 1. 预计6/23第三方验货，请多备料1-2套大货样；
 2. 指定日期码：包装上的日期码需打在条码上方;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</si>
  <si>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95783-7.26</t>
  </si>
  <si>
    <t>8TTCUR6G</t>
  </si>
  <si>
    <t>4500167378-10</t>
  </si>
  <si>
    <t>Kelly Shen</t>
  </si>
  <si>
    <t>95588-7.8</t>
  </si>
  <si>
    <t>4ZGISTGY</t>
  </si>
  <si>
    <t>4500167378-20</t>
  </si>
  <si>
    <t>4500166269-20</t>
  </si>
  <si>
    <t>客版说明书（翻单4500162375）</t>
  </si>
  <si>
    <t>日期码格式：ZURU INC(BVI) 标准格式 日期：按实际生产日期
Packaging Info: 
71126:MA 彩盒EAN 3L+23L A+客版说明书（翻单4500162375）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
71126：one assorment</t>
  </si>
  <si>
    <t>95700-7.19</t>
  </si>
  <si>
    <t>Smyths Toys EU HQ UC</t>
  </si>
  <si>
    <t>4500165774-20</t>
  </si>
  <si>
    <t>德语callout贴纸（翻单#4500123428）+1张Zuru France地址产品贴纸（翻4500064042）+ WEEE声明通用30L说
明书(不带电池）</t>
  </si>
  <si>
    <t>日期码格式：ZURU INC(BVI) 标准格式 日期：按实际生产日期
Packaging Info:
71126: MA 3L+23L EAN包装+MA 5L+9L warning说明书+德语callout贴纸（翻单#4500123428）+1张Zuru France地址产品贴纸（翻4500064042）+ WEEE声明通用30L说
明书(不带电池）
EAN#4894680033405，请先检查条码是否正确再安排做货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</si>
  <si>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Joan Wang</t>
  </si>
  <si>
    <t>95426-6.26</t>
  </si>
  <si>
    <t xml:space="preserve"> ARGOS LIMITED</t>
  </si>
  <si>
    <t>Customer PO:
255746</t>
  </si>
  <si>
    <t>4500164499-30</t>
  </si>
  <si>
    <t>客人白色Cat.label+WEEE不带电池走货欧洲30语通用黑白说明书（WEEE说明书翻单PO#4500164539）</t>
  </si>
  <si>
    <t>日期码格式：ZURU INC(BVI) 标准格式 日期：按实际生产日期
Packaging Info:71126
 1.MA 1L UPC 最新全套包装+客人白色Cat.label 1张覆盖ZURU条码+WEEE不带电池走货欧洲30语通用黑白说明书（WEEE说明书翻单PO#4500164539）
2.白色CAT.LABEL待提供，贴纸位置图翻单PO#4500164539
 3.注意Cat.label （要求易撕类贴纸，但是粘性不能过低），同时此贴纸每个订单都是不相同的（会显示客户对应的订单号），切勿翻旧订单购买。此贴纸由ZURU
 提供贴纸图稿和贴纸位置图给工厂后，工厂自行购买。
4.请先检查条码是否正确再安排做，标签上的目录编号数字（5799598）高度必须至少为5mm （14.17pt）
 71126条码扫描结果应为：5799598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</si>
  <si>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95566-7.5</t>
  </si>
  <si>
    <t xml:space="preserve"> Sirius Sales (PTY) Ltd</t>
  </si>
  <si>
    <t>4500166516-110</t>
  </si>
  <si>
    <t>日期码格式：ZURU INC(BVI) 标准格式 日期：按实际生产日期
Packaging Info: 1. MA UPC PKG(优先1L)
Remark: 71126, 出货前请各寄2pcs 样板到我们深圳办公室</t>
  </si>
  <si>
    <t xml:space="preserve"> Doris Shou</t>
  </si>
  <si>
    <t>95520-7.1</t>
  </si>
  <si>
    <t>4500166668-20</t>
  </si>
  <si>
    <t>日期码格式：ZURU INC(BVI) 标准格式 日期：按实际生产日期
Packaging Info:
2. 71126：英文MA包装UPC版本（首选1L, 如无1L可选多语含英语）+箱唛+SSCC label外箱贴纸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</si>
  <si>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95547-7.4</t>
  </si>
  <si>
    <t xml:space="preserve"> J D Williams &amp; Company Limited</t>
  </si>
  <si>
    <t>CUS
PO#1141620CUS
SKU#TC905</t>
  </si>
  <si>
    <t>4500166275-20</t>
  </si>
  <si>
    <t>WEEE(不带)电池走货欧洲30语通用黑白说明书</t>
  </si>
  <si>
    <t>日期码格式：ZURU INC(BVI) 标准格式 日期：按实际生产日期
Packaging Info: 
 71126: MA-1L 最新UPC包装+WEEE(不带)电池走货欧洲30语通用黑白说明书，单个产品入外箱，外箱需加贴1张白色产品号贴于1侧面右下角
Remark: 1# MA版本按工厂现有最新库存即可,订单出英国，请注意检查产品及包装应带UKCA图标，包装显示ZURU UK LTD信息，QC同事请查核，如有问题与跟单确认。
 2# 当2个或2个以上装一箱时 ，外箱尺寸范围应为以下，如产品开发过程中发现订单显示尺寸不符（外箱不能留空），务必要与ZURU跟单确认并在尺寸确认ok 的前
 提下及时要求ZURU跟单更新尺寸在订单上以免数据不一致导致出现错误而产生高额罚款(工厂承担)；外箱一旦完成打样，请用测量工具度量出外箱实际尺寸并拍照给
 跟单进行留底（订舱前的数据复核）。
 长25-63cm
 宽25-33cm
 高20-40cm
 3# 产品应符合英国当地法规，涉及到硼的请使用无硼/低硼版本，不含微塑料；
 4# 所有订单都需要经过ZURU QC验货并且通过后方可出货，ZURU QC务必要按照订单显示尺寸验货同时注意与工厂复核以上第2点，验货时请用测量工具度量出外箱
 实际尺寸并拍照给跟单进行留底（出货前的数据复核），如有疑问请及时与跟单沟通。</t>
  </si>
  <si>
    <t xml:space="preserve"> Sandy Shao</t>
  </si>
  <si>
    <t>95585-7.8</t>
  </si>
  <si>
    <t>H-E-B, LP</t>
  </si>
  <si>
    <t>PO#60X686709</t>
  </si>
  <si>
    <t>4500167106-60</t>
  </si>
  <si>
    <t>2025/6/25 第三方+抽板</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</si>
  <si>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#71126需6月25日前需寄出3套大货样板(含PDQ)，样板须跟大货一模一样（含日期码）。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*2套（盲盒类的：4pcs成品球+2个空PDQ+2套散件）寄到以下地址：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</si>
  <si>
    <t>Elsa Zheng</t>
  </si>
  <si>
    <t>ZB00886R1-7.26</t>
  </si>
  <si>
    <t>UPD, INC.</t>
  </si>
  <si>
    <t>PO# 35016</t>
  </si>
  <si>
    <t>4500168016-10</t>
  </si>
  <si>
    <t>日期码格式：ZURU INC(BVI) 标准格式 日期：按实际生产日期
Packaging Info: 1. 包装方式：MA UPC 优先1L 最新包装，出口美国
Remark: 2. 外箱箱唛红色和黑色双色印刷
3. 产品和包装上印刷tracking code信息，格式为ZURU常规</t>
  </si>
  <si>
    <t>ZB00658-7.5</t>
  </si>
  <si>
    <t>10001256870-3890</t>
  </si>
  <si>
    <t>4500167569-10</t>
  </si>
  <si>
    <t>ZB00638-7.3</t>
  </si>
  <si>
    <t>MEIJER DISTRIBUTION, INC.</t>
  </si>
  <si>
    <t>4500167638-10</t>
  </si>
  <si>
    <t>日期码格式：ZURU INC(BVI) 标准格式 日期：
Packaging Info: 1. MA 1L 包装
2. 客人指定箱唛排版
Remark: 出货前 Zuru QC 验货</t>
  </si>
  <si>
    <t>Cherie Li</t>
  </si>
  <si>
    <t>ZB00667-7.7</t>
  </si>
  <si>
    <t>4500167639-10</t>
  </si>
  <si>
    <t>ZB00637-7.3</t>
  </si>
  <si>
    <t xml:space="preserve"> TOYS "R" US – JAPAN, LTD</t>
  </si>
  <si>
    <t>47:0003139905</t>
  </si>
  <si>
    <t>4500166578-10</t>
  </si>
  <si>
    <t>1张日语贴纸，日语贴纸同4500153585</t>
  </si>
  <si>
    <t>日期码格式：ZURU INC(BVI) 标准格式 日期：按实际生产日期
Packaging Info: 翻单，MA 1L PKG+1张日语贴纸，日语贴纸同4500153585
Remark: one assorment，3PCS AAA BATTERIES(NOT INCLUDED)</t>
  </si>
  <si>
    <t xml:space="preserve"> Aimee Huang</t>
  </si>
  <si>
    <t>95686-7.18</t>
  </si>
  <si>
    <t>TOYS CENTRE SL</t>
  </si>
  <si>
    <t>4500168264-10</t>
  </si>
  <si>
    <t>西班牙环保标贴纸+MA 5L说明书+WEEE不带电池走货欧洲30语通用黑白说明书 ；（贴纸翻单4500154244）</t>
  </si>
  <si>
    <t>日期码格式：ZURU INC(BVI) 标准格式 日期：按实际生产日期
Packaging Info: 1.71126:最新MA 3L EAN版本包装+西班牙环保标贴纸+MA 5L说明书+WEEE不带电池走货欧洲30语通用黑白说明书 ；（贴纸翻单4500154244）
Remark: 1.此单出西班牙市场，需满足EU测试标准要求，微塑料需符合EU法规。
2.此单每款产品需各寄2套大货样到深圳办公室，请注意备料；</t>
  </si>
  <si>
    <t>95627-7.12</t>
  </si>
  <si>
    <t>4500166290-20</t>
  </si>
  <si>
    <t>95858-7.31</t>
  </si>
  <si>
    <t>4500166289-20</t>
  </si>
  <si>
    <t>95857-7.31</t>
  </si>
  <si>
    <t>CABELA'S CANADA</t>
  </si>
  <si>
    <t>1032260#</t>
  </si>
  <si>
    <t>4500168495-10</t>
  </si>
  <si>
    <t>UPC贴纸已提供 外箱贴纸翻4500131859</t>
  </si>
  <si>
    <t>日期码格式：ZURU INC(BVI) 标准格式 日期：按实际生产日期
Packaging Info: MA 3L 加UPC贴纸 UPC: 193052064240
外箱UPC贴纸翻单4500131859
Remark: 出口加拿大
外箱加UPC 贴纸
ZURU 验货，日期跟踪码：产品外包装及产品本身都必须有日期跟踪码，ZURU标准格式期码</t>
  </si>
  <si>
    <t>95672-7.17</t>
  </si>
  <si>
    <t>Amazon UK:
57KDD8KJ</t>
  </si>
  <si>
    <t>4500168472-70</t>
  </si>
  <si>
    <t>日期码格式：ZURU INC(BVI) 标准格式 日期：按实际生产日期
Packaging Info: Amazon UK(77555/71126/77515)/DE(15701AB/71126/92104AG/9258G)/FR(15711D)
2. 71126: 1pc/window box,6window boxes/ctn; MA 3L(23L warning EAN#)A 开窗彩盒+1张贴纸(UPC#+IT/ES环保标+ZURU邮箱，参考翻单PO#4500164250)+MA9L B
说明书+MA 其他最新包装+WEEE电子产品说明书30L(不带电池走货版)；
8. 验货时间不迟于2025/7/10.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</si>
  <si>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95713-7.21</t>
  </si>
  <si>
    <t>Amazon DE:
7E16HDXQ</t>
  </si>
  <si>
    <t>4500168472-90</t>
  </si>
  <si>
    <t>95796-7.28</t>
  </si>
  <si>
    <t>4500168926-30</t>
  </si>
  <si>
    <t>2025/7/10第三方</t>
  </si>
  <si>
    <t>日期码格式：ZURU INC(BVI) 标准格式 日期：按实际生产日期
Packaging Info: 1. 出口加拿大市场。
#71126: MA 3L EAN版本 + UPC贴纸, 说明书 MA 5L；UPC#193052064240; 3PCS AAA BATTERIES(NOT INCLUDED)
2. 产品、包装、外箱上面tracking code的时间格式需要一致.
Remark: 3. 需要第三方SGS验货，验货时间2025/07/09，每款每色请备1PC完整带包装样品供验货人员参考。用完后若无损坏可以放回大货里。</t>
  </si>
  <si>
    <t>95745-7.23</t>
  </si>
  <si>
    <t>10001257078-3891</t>
  </si>
  <si>
    <t>4500168560-10</t>
  </si>
  <si>
    <t>ZB00780-7.17</t>
  </si>
  <si>
    <t>Modelo Continebte International Tra</t>
  </si>
  <si>
    <t>4500167790-10</t>
  </si>
  <si>
    <t>7/15第三方</t>
  </si>
  <si>
    <t>日期码格式：ZURU INC(BVI) 标准格式 日期：按实际生产日期
Packaging Info: 71126: MA 3L最新彩盒含EAN条码4894680033405 + 1张进口商&lt;(&gt;&amp;&lt;)&gt;邮箱地址贴纸+最新MA B版本说明书含葡萄牙语+WEEE不带电池走货欧洲30语通用黑白说明书
Remark: 1.此单有第三方验货，请多备料。
2.大货样品2套/item，CRD前两周寄出。
3. 此单出葡萄牙，需满足EU测试标准，微塑料需符合法规。
4.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bebés e
crian as!</t>
  </si>
  <si>
    <t>95761-7.24</t>
  </si>
  <si>
    <t>4500168730-30</t>
  </si>
  <si>
    <t>日期码格式：ZURU INC(BVI) 标准格式 日期：按实际生产日期
Packaging Info: 
71126：MA UPC窗盒+进口商贴纸；MA说明书；
Remark: 标准配比</t>
  </si>
  <si>
    <t>Cora Zhou</t>
  </si>
  <si>
    <t>96586-9.30</t>
  </si>
  <si>
    <t>AHLBERG-DOLLARSTORE AB</t>
  </si>
  <si>
    <t>瑞典</t>
  </si>
  <si>
    <t>4500168801-10</t>
  </si>
  <si>
    <t xml:space="preserve">71126：MA EAN 3L _A WINDOW BOX+价钱贴纸+警语贴纸+客版说明书（翻单4500162375）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
 71126：one assortment;
 </t>
  </si>
  <si>
    <t>95802-7.28</t>
  </si>
  <si>
    <t>4500165776-10</t>
  </si>
  <si>
    <t>德语callout贴纸（翻单#4500123428）+1张Zuru France地址产品贴纸（翻4500064042）+ WEEE声明通用30L说
 明书(不带电池）</t>
  </si>
  <si>
    <t>日期码格式：ZURU INC(BVI) 标准格式 日期：按实际生产日期
Packaging Info: 71126: MA 3L+23L EAN包装+MA 5L+9L warning说明书+德语callout贴纸（翻单#4500123428）+1张Zuru France地址产品贴纸（翻4500064042）+ WEEE声明通用30L说
明书(不带电池）
EAN#4894680033405，请先检查条码是否正确再安排做货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</si>
  <si>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96062-8.9</t>
  </si>
  <si>
    <t>B0CPNJMKWG</t>
  </si>
  <si>
    <t>4500169495-190</t>
  </si>
  <si>
    <t>日期码格式：ZURU INC(BVI) 标准格式 日期：按实际生产日期
Packaging Info: 
#71126 MA 1L UPC版本
Remark: 1.Amazon domestic 订单。出口美国。外箱最长边不能超过25" （超过了，case pack只能为1），不符合要求的大货，一律不接受。
2.无第三方验货/测试要求。
3.日期码使用ZURU标准版本。
4.邮包盒要印刷日期码。</t>
  </si>
  <si>
    <t>ZB01104R1-8.6</t>
  </si>
  <si>
    <t>CRG</t>
  </si>
  <si>
    <t>ZU03-25</t>
  </si>
  <si>
    <t>4500167463-20</t>
  </si>
  <si>
    <t>日期码格式：ZURU INC(BVI) 标准格式 日期：按实际生产日期
Packaging Info:
2. 71126: MA 多语EAN 包装+UPC贴纸+MA 多语说明书+进口商贴纸+箱唛，进口商贴纸翻单4500132343
Remark:
2. 71126: 1 assorment；3PCS AAA BATTERIES(NOT INCLUDED)</t>
  </si>
  <si>
    <t>95882-8.1</t>
  </si>
  <si>
    <t>4500169306-20</t>
  </si>
  <si>
    <t>1张进口商贴纸+1张产品贴纸+1张额外电池黑白说明书 （翻4500150212）</t>
  </si>
  <si>
    <t>LOT2529</t>
  </si>
  <si>
    <t>日期码格式：LOT2529 日期：
Packaging Info: 
2. 71126:MA 3L EAN彩卡+1张进口商贴纸+1张产品贴纸+1张额外电池黑白说明书+MA 5L最新说明书 （翻4500150212）
Remark: 1. 大货样品2套/item，用于客人验货签板。验货后还会抽办1套/item，请多备料；
2. 客版日期码LOT2529,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</si>
  <si>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96000-8.13</t>
  </si>
  <si>
    <t>WM
PO#0925961809
/WM
item#66896981
8/GTIN#001930
52064240/STK#
71126</t>
  </si>
  <si>
    <t>4500171135-10</t>
  </si>
  <si>
    <t>follow PO#4500127751</t>
  </si>
  <si>
    <t>RFID贴纸</t>
  </si>
  <si>
    <t>ZURU DGYYMMDD CHINA</t>
  </si>
  <si>
    <t>日期码格式：ZURU DGYYMMDD CHINA(日期避开周末和法定节假日） 日期：按实际生产日期
Packaging Info: "1.包装信息：
71126：MA 1L A版彩盒+ MA B版说明书"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</si>
  <si>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ZB00964-7.30</t>
  </si>
  <si>
    <t>CENTRO CUESTA NACIONAL</t>
  </si>
  <si>
    <t>25-1068241JDO</t>
  </si>
  <si>
    <t>4500164774-70</t>
  </si>
  <si>
    <t>2025-07</t>
  </si>
  <si>
    <t>日期码格式：2025-07 日期：
Packaging Info: 71126：MA多语EAN包装+UPC贴纸+MA多语说明书+进口商贴纸+箱唛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71126: 3PCS AAA BATTERIES(NOT INCLUDED)
Hershey's-Chocolate Syrup 24 oz
Hershey's-Mini Chocolate Syrup 24 oz
Hershey's-Strawberry Syrup 22 oz</t>
  </si>
  <si>
    <t>96593-2-9.30</t>
  </si>
  <si>
    <t>AMAZON.COM SERVICES LLC</t>
  </si>
  <si>
    <t>65FEWU8X</t>
  </si>
  <si>
    <t>4500168600-10</t>
  </si>
  <si>
    <t>日期码格式：ZURU INC(BVI) 标准格式 日期：按实际生产日期
Packaging Info: #71126 MA 1L 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</si>
  <si>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ZB00925-7.28</t>
  </si>
  <si>
    <t>4500170480-110</t>
  </si>
  <si>
    <t>贴纸及其位置图跟回PO#4500125432</t>
  </si>
  <si>
    <t>日期码格式：ZURU INC(BVI) 标准格式 日期：按实际生产日期
Packaging Info:71126： MA_UPC版本包装（收缩膜和说明书, MA首选1L，如无1L可用多语且含英语的配套多语UPC包装）+ 1张客人通用进口商贴纸
71126贴纸及其位置图跟回PO#4500125432
Remark: 1.按实际生产日期;
2.出澳大利亚，请按照相应标准生产;</t>
  </si>
  <si>
    <t>95778-7.25</t>
  </si>
  <si>
    <t>Zhuyu(Shenzhen)Trading Co.,Ltd.</t>
  </si>
  <si>
    <t>中国</t>
  </si>
  <si>
    <t>4500170580-50</t>
  </si>
  <si>
    <t>日期码格式：ZURU INC(BVI) 标准格式 日期：按实际生产日期
Packaging Info: 物料要求 SKU
3 71126 MA +中文说明书+中文3C贴纸 翻单： 4500147348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</si>
  <si>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Dona Tang</t>
  </si>
  <si>
    <t>95816-7.29</t>
  </si>
  <si>
    <t>71126-S001-6</t>
  </si>
  <si>
    <t>中文说明书</t>
  </si>
  <si>
    <t>SMYTHS TOYS HQ UC IE</t>
  </si>
  <si>
    <t>4500169911-10</t>
  </si>
  <si>
    <t>客版彩盒 客版说明书</t>
  </si>
  <si>
    <t>日期码格式：ZURU INC(BVI) 标准格式 日期：按实际生产日期
Packaging Info: 1. 71126: 客版5L EAN彩盒(英法德callout/英法德意荷警告语/法国sorting logo直接印刷在包装上)+客版5L说明书(英法德意荷语言/WEEE信息直接印刷在说明书上
)
EAN#4894680033405,请检查条码是否正确再安排做货，如有问题请告知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</si>
  <si>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95817-7.29</t>
  </si>
  <si>
    <t>71126-S001-17</t>
  </si>
  <si>
    <t>客版</t>
  </si>
  <si>
    <t>TSB LIVING LTD</t>
  </si>
  <si>
    <t>T5-105</t>
  </si>
  <si>
    <t>4500170444-20</t>
  </si>
  <si>
    <t>210725</t>
  </si>
  <si>
    <t>日期码格式：210725 日期：
Packaging Info: 1.此单出新西兰
2.日期码按客人格式印:210725 (DDMMYY) - 产品/包装/外箱上日期码要显示一致
3.包装：MA_UPC版本（优先1L英语版本,或者3L/L含英语即可）
5.CRD日期基于我司 QC完成验货;
6.请确保发货100%的订单数量/ sku;
7. 我司验货日期(请联系Mia Yu Mia.yu@zuru.com提前预定验货日期)，预约验货至少需在完货日期前一周申请;
Remark:</t>
  </si>
  <si>
    <t>Jess Huang</t>
  </si>
  <si>
    <t>95829-7.30</t>
  </si>
  <si>
    <t>PR􀃉NATAL RETAIL GROUP ASIA PACIFIC</t>
  </si>
  <si>
    <t>意大利</t>
  </si>
  <si>
    <t>4500170062-60</t>
  </si>
  <si>
    <t>客版3L说明书（英+意+希腊，含WEEE说明）</t>
  </si>
  <si>
    <t>日期码格式：LOT2529 日期：
Packaging Info: 
6.71126：最新MA 3L EAN彩盒+一张进口商贴纸(含意大利环保标+希腊警语）+一张产品贴纸+客版3L说明书（英+意+希腊，含WEEE说明）
Remark: 1.RATIO 同MA 一致。
2.客人日期码：LOT2529，产品（蛋壳等）/包装（收缩膜等）/外箱 请保持一致。
3.产品均符合EU微塑料法规要求：不能含有微塑料/闪粉
4. SMASHERS 或含Slime产品，所有化合物使用无硼版本出意大利。
5. 本订单所有 具有 baby items / assorted items 的款式，零售包装上都要用 母 EAN;
7. 本单需要通过ZURU 验货结果后才能出货 (工厂需要主动提前同ZURU QC预约验货避免延期出货造成不必要麻烦)</t>
  </si>
  <si>
    <t>95913-8.5</t>
  </si>
  <si>
    <t>71126-S001-18</t>
  </si>
  <si>
    <t>10001256795-3891</t>
  </si>
  <si>
    <t>4500170050-10</t>
  </si>
  <si>
    <t>日期码格式：ZURU INC(BVI) 标准格式 日期：按实际生产日期
Packaging Info: 71126：MA 1L包装+说明书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此订单所有item：
1. 产品和包装上要印刷tracking code信息，格式为ZURU常规；
2. 出货方式：货代自提</t>
  </si>
  <si>
    <t>ZB01010-8.1</t>
  </si>
  <si>
    <t>10001257077-3890</t>
  </si>
  <si>
    <t>4500170051-10</t>
  </si>
  <si>
    <t>ZB01031-8.4</t>
  </si>
  <si>
    <t>85CFEKBQ</t>
  </si>
  <si>
    <t>4500169708-480</t>
  </si>
  <si>
    <t>日期码格式：ZURU INC(BVI) 标准格式 日期：按实际生产日期
Packaging Info:
#71126 MA 3L加UPC贴纸，贴纸资料跟翻单#4500146603。 UPC:193052064240.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</si>
  <si>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96101-8.7</t>
  </si>
  <si>
    <t>5MPPAN2X</t>
  </si>
  <si>
    <t>4500169708-490</t>
  </si>
  <si>
    <t>25D5KGJB</t>
  </si>
  <si>
    <t>4500169708-500</t>
  </si>
  <si>
    <t>AMAZON CA (VENDOR CENTER)</t>
  </si>
  <si>
    <t>18R7SXPH</t>
  </si>
  <si>
    <t>4500169971-280</t>
  </si>
  <si>
    <t>96102-8.7</t>
  </si>
  <si>
    <t>5DL46HZU</t>
  </si>
  <si>
    <t>4500169971-290</t>
  </si>
  <si>
    <t>5ACSK61T</t>
  </si>
  <si>
    <t>4500169971-300</t>
  </si>
  <si>
    <t>53V7CH3R</t>
  </si>
  <si>
    <t>4500169971-310</t>
  </si>
  <si>
    <t>6FS18V1M</t>
  </si>
  <si>
    <t>4500169971-320</t>
  </si>
  <si>
    <t>3OOWTAJF</t>
  </si>
  <si>
    <t>4500169971-330</t>
  </si>
  <si>
    <t>2J5T4G1B</t>
  </si>
  <si>
    <t>4500169971-340</t>
  </si>
  <si>
    <t>6BGXR3EC</t>
  </si>
  <si>
    <t>4500169971-350</t>
  </si>
  <si>
    <t>7UF1G8HL</t>
  </si>
  <si>
    <t>4500169971-360</t>
  </si>
  <si>
    <t>81CM1BWH</t>
  </si>
  <si>
    <t>4500169971-370</t>
  </si>
  <si>
    <t>7MZZ1S2D</t>
  </si>
  <si>
    <t>4500169971-380</t>
  </si>
  <si>
    <t>4KEAMHYU</t>
  </si>
  <si>
    <t>4500169971-390</t>
  </si>
  <si>
    <t>46S5NNAL</t>
  </si>
  <si>
    <t>4500170146-220</t>
  </si>
  <si>
    <t>96099-8.7</t>
  </si>
  <si>
    <t>36H219VG</t>
  </si>
  <si>
    <t>4500170146-230</t>
  </si>
  <si>
    <t>2XO8JW6Y</t>
  </si>
  <si>
    <t>4500170146-240</t>
  </si>
  <si>
    <t>87WUBKSW</t>
  </si>
  <si>
    <t>4500170146-250</t>
  </si>
  <si>
    <t>5J912EIA</t>
  </si>
  <si>
    <t>4500170146-260</t>
  </si>
  <si>
    <t>1FZC3JGM</t>
  </si>
  <si>
    <t>4500170146-270</t>
  </si>
  <si>
    <t>6SZXWBTL</t>
  </si>
  <si>
    <t>4500170146-280</t>
  </si>
  <si>
    <t>57Z4R27L</t>
  </si>
  <si>
    <t>4500170146-290</t>
  </si>
  <si>
    <t>4500169077-30</t>
  </si>
  <si>
    <t>日期码格式：ZURU INC(BVI) 标准格式 日期：按实际生产日期
Packaging Info: Amazon UK(15701A/9548/71126)/DE(15701B/9548/71126)/FR(9548)
3.71126: 1pc/window box,6window boxes/ctn; MA 3L(23L warning EAN#)A 开窗彩盒+1张贴纸(UPC#+IT/ES环保标+ZURU邮箱，参考翻单PO#4500164250)+MA 5L(9L
warning) B说明书+MA 其他最新包装+WEEE电子产品说明书30L(不带电池走货版)；
4.验货时间不迟于2025/7/25.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</si>
  <si>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95903-8.4</t>
  </si>
  <si>
    <t>Amazon DE:
4NNS954D</t>
  </si>
  <si>
    <t>4500169077-70</t>
  </si>
  <si>
    <r>
      <rPr>
        <sz val="10"/>
        <color rgb="FF2727F0"/>
        <rFont val="Arial"/>
        <charset val="134"/>
      </rPr>
      <t>Customer PO</t>
    </r>
    <r>
      <rPr>
        <sz val="10"/>
        <color rgb="FF2727F0"/>
        <rFont val="宋体"/>
        <charset val="134"/>
      </rPr>
      <t>：</t>
    </r>
    <r>
      <rPr>
        <sz val="10"/>
        <color rgb="FF2727F0"/>
        <rFont val="Arial"/>
        <charset val="134"/>
      </rPr>
      <t xml:space="preserve">
255821</t>
    </r>
  </si>
  <si>
    <t>4500164246-10</t>
  </si>
  <si>
    <t>日期码格式：ZURU INC(BVI) 标准格式 日期：按实际生产日期
Packaging Info: 71126：
1.MA 1L UPC 最新全套包装+客人白色Cat.label 1张覆盖ZURU条码+WEEE不带电池走货欧洲30语通用黑白说明书（WEEE不带电池走货说明是翻单PO#4500164539）。
2.白色cat.label贴纸待提供，贴纸位置图翻单PO#4500164539。
-注意Cat.label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
71126条码扫描结果应为5799598。
此订单对应客户4个PO号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</si>
  <si>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96061-8.9</t>
  </si>
  <si>
    <t>BURLINGTON STORES, INC.</t>
  </si>
  <si>
    <t>4500171334-240</t>
  </si>
  <si>
    <t>客供价格贴纸+外箱贴纸</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</si>
  <si>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</si>
  <si>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Jessi Xu</t>
  </si>
  <si>
    <t>ZB01117-8.7</t>
  </si>
  <si>
    <t>WM
PO#0925961786
/WM
item#66896981
8/GTIN#001930
52064240/STK#
71126</t>
  </si>
  <si>
    <t>4500171100-10</t>
  </si>
  <si>
    <t>8/1BV</t>
  </si>
  <si>
    <t>follow PO#4500129991</t>
  </si>
  <si>
    <t>日期码格式：ZURU DGYYMMDD CHINA(日期避开周末和法定节假日） 日期：按实际生产日期
Packaging Info: 
"1.包装信息：
71126：MA 1L A版彩盒+ MA B版说明书"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</si>
  <si>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ZB01231-8.13</t>
  </si>
  <si>
    <t>WM
PO#0925961789
/WM
item#66896981
8/GTIN#001930
52064240/STK#
71126</t>
  </si>
  <si>
    <t>4500171100-20</t>
  </si>
  <si>
    <t>ZB01370-8.20</t>
  </si>
  <si>
    <t>WM
PO#0925961806
/WM
item#66896981
8/GTIN#001930
52064240/STK#
71126</t>
  </si>
  <si>
    <t>4500171100-50</t>
  </si>
  <si>
    <t>ZB01338-8.19</t>
  </si>
  <si>
    <t>AMIC TRADING (PTY) LTD</t>
  </si>
  <si>
    <t>6006-007765</t>
  </si>
  <si>
    <t>4500170860-20</t>
  </si>
  <si>
    <t>进口商贴纸翻单4500154694</t>
  </si>
  <si>
    <t>日期码格式：ZURU INC(BVI) 标准格式 日期：按实际生产日期
Packaging Info: MA PKG, 优先1L +1张进口商贴纸（通用进口商贴纸翻单4500154694）</t>
  </si>
  <si>
    <t>95999R1-8.13</t>
  </si>
  <si>
    <t>4500171730-30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</si>
  <si>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</si>
  <si>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Taylor Liao</t>
  </si>
  <si>
    <t>ZB01187-8.11</t>
  </si>
  <si>
    <t>DD'S DISCOUNTS</t>
  </si>
  <si>
    <t>4500171824-40</t>
  </si>
  <si>
    <t>ZB01155-8.8</t>
  </si>
  <si>
    <t>4500170561-10</t>
  </si>
  <si>
    <t>日期码格式：ZURU INC(BVI) 标准格式 日期：按实际生产日期
Packaging Info: 1. 出口加拿大市场。
#71126: MA 3L EAN版本 + UPC贴纸, 说明书 MA 5L；UPC#193052064240; 3PCS AAA BATTERIES(NOT INCLUDED)
2. 产品、包装、外箱上面tracking code的时间格式需要一致.
Remark: 3. 需要第三方SGS验货，验货时间暂定2025/08/05,每款每色请备1PC完整带包装样品供验货人员参考。用完后若无损坏可以放回大货里。</t>
  </si>
  <si>
    <t>96058-8.19</t>
  </si>
  <si>
    <t>4500172379-30</t>
  </si>
  <si>
    <t>ZB01258-8.14</t>
  </si>
  <si>
    <t>CUS
PO#4400494417</t>
  </si>
  <si>
    <t>4500172673-10</t>
  </si>
  <si>
    <t>英法德callout/英法德意荷警告语/法国sorting logo直接印刷在包装上)翻PO#4500169911</t>
  </si>
  <si>
    <t>客版彩盒 新稿
客版说明书 翻4500169911</t>
  </si>
  <si>
    <t>日期码格式：ZURU INC(BVI) 标准格式 日期：按实际生产日期
Packaging Info: 71126: 客版5L EAN彩盒(英法德callout/英法德意荷警告语/法国sorting logo直接印刷在包装上)翻PO#4500169911+客版5L说明书(英法德意荷语言/WEEE信息直接
印刷在说明书上) 翻PO4500169911
EAN#4894680033405,请检查条码是否正确再安排做货，如有问题请告知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</si>
  <si>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Sherry Lu</t>
  </si>
  <si>
    <t>96044-8.19</t>
  </si>
  <si>
    <t>PICK N PAY RETAILERS (PTY) LTD.</t>
  </si>
  <si>
    <t>4500165940-40</t>
  </si>
  <si>
    <t xml:space="preserve">日期码格式：ZURU INC(BVI) 标准格式 日期：按实际生产日期
Packaging Info: MA PKG, 优先1L
Remark: </t>
  </si>
  <si>
    <t>96264-8.8</t>
  </si>
  <si>
    <t>H&amp;D RETAIL PTY LTD T/AS TOYMATE</t>
  </si>
  <si>
    <t>PO1132539-YTF
CL-PER</t>
  </si>
  <si>
    <t>4500173092-40</t>
  </si>
  <si>
    <t>日期码格式：ZURU INC(BVI) 标准格式 日期：按实际生产日期
Packaging Info: 1. 71126：英文MA包装UPC版本（首选1L, 如无1L可选多语含英语）+箱唛+1张进口商贴纸；
Remark: 1. 此单出澳大利亚，请按澳洲标准生产并满足当地法规要求</t>
  </si>
  <si>
    <t>96106-8.20</t>
  </si>
  <si>
    <t>PO1132534-YTF
C1-SYD</t>
  </si>
  <si>
    <t>4500173087-20</t>
  </si>
  <si>
    <t>日期码格式：ZURU INC(BVI) 标准格式 日期：按实际生产日期
Packaging Info:
71126：英文MA包装UPC版本（首选1L, 如无1L可选多语含英语）+箱唛+1张进口商贴纸；
Remark: 此单出澳大利亚，请按澳洲标准生产并满足当地法规要求</t>
  </si>
  <si>
    <t>96104-8.21</t>
  </si>
  <si>
    <t>PO1132538-YTF
CL-PARA</t>
  </si>
  <si>
    <t>4500173094-50</t>
  </si>
  <si>
    <t>日期码格式：ZURU INC(BVI) 标准格式 日期：按实际生产日期
Packaging Info: 
2. 71126：英文MA包装UPC版本（首选1L, 如无1L可选多语含英语）+箱唛+1张进口商贴纸；
Remark: 1. 此单出澳大利亚，请按澳洲标准生产并满足当地法规要求</t>
  </si>
  <si>
    <t>96107-2-8.21</t>
  </si>
  <si>
    <t>PO1132540-YTF
CL-TWNS</t>
  </si>
  <si>
    <t>4500173090-50</t>
  </si>
  <si>
    <t>日期码格式：ZURU INC(BVI) 标准格式 日期：按实际生产日期
Packaging Info:
2. 71126：英文MA包装UPC版本（首选1L, 如无1L可选多语含英语）+箱唛+1张进口商贴纸；
Remark: 1. 此单出澳大利亚，请按澳洲标准生产并满足当地法规要求</t>
  </si>
  <si>
    <t>96159-8.26</t>
  </si>
  <si>
    <t>JUGUESAL S.A. DE C.V.</t>
  </si>
  <si>
    <t>25-1068242JUS</t>
  </si>
  <si>
    <t>4500159848-50</t>
  </si>
  <si>
    <t>日期码格式：2025-07 日期：
Packaging Info:
71126：MA多语EAN包装+UPC贴纸+MA多语说明书+进口商贴纸+箱唛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71126: 3PCS AAA BATTERIES(NOT INCLUDED)
Hershey's-Chocolate Syrup 24 oz
Hershey's-Mini Chocolate Syrup 24 oz
Hershey's-Strawberry Syrup 22 oz</t>
  </si>
  <si>
    <t>96592-9.30</t>
  </si>
  <si>
    <t>SMYTHS TOYS HQ UC UK</t>
  </si>
  <si>
    <t xml:space="preserve"> 
4400491947</t>
  </si>
  <si>
    <t>4500169913-10</t>
  </si>
  <si>
    <t>日期码格式：ZURU INC(BVI) 标准格式 日期：按实际生产日期
Packaging Info: 1. 71126: 客版5L EAN彩盒(英法德callout/英法德意荷警告语/法国sorting logo直接印刷在包装上)+客版5L说明书(英法德意荷语言/WEEE信息直接印刷在说明书上
)--客版彩盒和说明书翻PO#4500169911
EAN#4894680033405,请检查条码是否正确再安排做货，如有问题请告知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</si>
  <si>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96077-8.20</t>
  </si>
  <si>
    <t>NASA PANAMA</t>
  </si>
  <si>
    <t>巴拿马</t>
  </si>
  <si>
    <t>4500171286-140</t>
  </si>
  <si>
    <t>货期待复</t>
  </si>
  <si>
    <t>欠UPC贴纸</t>
  </si>
  <si>
    <t>日期码格式：ZURU INC(BVI) 标准格式 日期：按实际生产日期
Packaging Info: 
71126：MA 多语EAN 包装+UPC贴纸+MA 多语说明书+箱唛
Remark:
71126：1 assorment；3PCS AAA BATTERIES(NOT INCLUDED)</t>
  </si>
  <si>
    <t>Aimee Huang</t>
  </si>
  <si>
    <t>96364-2-9.8</t>
  </si>
  <si>
    <t>AMAZON EU SARL, NDL DEUTSCHLAND</t>
  </si>
  <si>
    <t>Amazon DE:
8PTZAHMD</t>
  </si>
  <si>
    <t>4500171176-10</t>
  </si>
  <si>
    <t>日期码格式：ZURU INC(BVI) 标准格式 日期：按实际生产日期
Packaging Info: Amazon DE(71126/92104GH)/FR(92104GH)
1. 71126：1pc/window box,6window boxes/ctn; MA 3L(23L warning EAN#)A 开窗彩盒+1张贴纸(UPC#+IT/ES环保标+GPSR邮箱care@zuru.com，参考翻单PO#450016
4250)+MA 5L(9L warning) B说明书+MA 其他最新包装+WEEE电子产品说明书30L(不带电池走货B版)；
3.最迟验货不得晚于2025/8/8;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</si>
  <si>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96142-8.25</t>
  </si>
  <si>
    <t>SUCKOT SAC</t>
  </si>
  <si>
    <t>秘鲁</t>
  </si>
  <si>
    <t>4500166157-20</t>
  </si>
  <si>
    <t>日期码格式：ZURU INC(BVI) 标准格式 日期：按实际生产日期
Packaging Info: 1.71126：MA 多语EAN 包装+UPC贴纸+MA 多语说明书+进口商贴纸+箱唛
Remark: 
2. 71126：1 assorment；3PCS AAA BATTERIES(NOT INCLUDED)</t>
  </si>
  <si>
    <t>96196-8.28</t>
  </si>
  <si>
    <t>10001407514-3891</t>
  </si>
  <si>
    <t>4500172696-10</t>
  </si>
  <si>
    <t>日期码格式：ZURU INC(BVI) 标准格式 日期：按实际生产日期
Packaging Info: MA 1L包装+说明书
Remark: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4. 产品和包装上印刷tracking code信息，格式为ZURU常规格式
5. 出货方式：货代自提，兴信出货</t>
  </si>
  <si>
    <t>ZB01413-8.22</t>
  </si>
  <si>
    <t>ZU25060602SG</t>
  </si>
  <si>
    <t>4500173053-20</t>
  </si>
  <si>
    <t>进口商贴纸翻4500157001</t>
  </si>
  <si>
    <t>日期码格式：ZURU INC(BVI) 标准格式 日期：按实际生产日期
Packaging Info: MA 1L UPC包装+1张固定进口商贴纸;贴纸资料翻以下订单,贴纸图稿是一样的, 可统一订购
71126-4500157001
Remark: 71126-one assorment</t>
  </si>
  <si>
    <t>96133-8.23</t>
  </si>
  <si>
    <t>4500168041-10</t>
  </si>
  <si>
    <t>德语callout贴纸（翻单#4500123428）+ WEEE声明不带电池走货欧洲通用30L说明书</t>
  </si>
  <si>
    <t>日期码格式：ZURU INC(BVI) 标准格式 日期：按实际生产日期
Packaging Info: 最新 MA 3L+23L EAN包装+MA 5L+9L warning说明书+德语callout贴纸（翻单#4500123428）+ WEEE声明不带电池走货欧洲通用30L说明书
EAN#4894680033405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</si>
  <si>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96174-8.27</t>
  </si>
  <si>
    <t>FUN TIME ENTERPRISES INCORPORATED</t>
  </si>
  <si>
    <t>菲律宾</t>
  </si>
  <si>
    <t>ZUR-F250623-01</t>
  </si>
  <si>
    <t>4500171409-30</t>
  </si>
  <si>
    <t>日期码格式：ZURU INC(BVI) 标准格式 日期：按实际生产日期
Packaging Info: MA PKG ，优先1L
Remark:</t>
  </si>
  <si>
    <t>Chelsea Luo</t>
  </si>
  <si>
    <t>96195-8.28</t>
  </si>
  <si>
    <t>4500172669-120</t>
  </si>
  <si>
    <t>日期码格式：ZURU INC(BVI) 标准格式 日期：按实际生产日期
Packaging Info:
71126： MA_UPC版本包装（ MA首选1L，如无1L可用多语且含英语的配套多语UPC包装）+ 1张客人通用进口商贴纸
71126贴纸及其位置图跟回PO#4500125432
Remark: 1.按实际生产日期;
2.出澳大利亚，请按照相应标准生产;</t>
  </si>
  <si>
    <t>96183-8.27</t>
  </si>
  <si>
    <t>OTTO SIMON B.V.</t>
  </si>
  <si>
    <t>荷兰</t>
  </si>
  <si>
    <t>IO-2501981</t>
  </si>
  <si>
    <t>4500174183-90</t>
  </si>
  <si>
    <t>日期码格式：ZURU INC(BVI) 标准格式 日期：按实际生产日期
Packaging Info: 92105:MA A版3L+23L警语 收缩膜+1张客人款号带EAN条码（4894680033412）贴纸，MA A版布标，MA A版5L+23L收藏指南，MA A版 5L领养证明，MA 配件袋，MA贴纸
71126:MA 3L+23L警语彩盒+1张客人款号带EAN条码（4894680033405）贴纸，MA 5L+9L警语说明书，WEEE_不带电池走货 _ 说明书欧洲EN+30L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71126:576-7113</t>
  </si>
  <si>
    <t>96118-8.22</t>
  </si>
  <si>
    <t>4500171837-50</t>
  </si>
  <si>
    <t>ZB01532-8.27</t>
  </si>
  <si>
    <t>FRATELLO (PTY) LTD</t>
  </si>
  <si>
    <t>100029671-3</t>
  </si>
  <si>
    <t>4500173241-10</t>
  </si>
  <si>
    <t>: 日期码格式：ZURU INC(BVI) 标准格式 日期：按实际生产日期
Packaging Info: MA PKG , 优先1L</t>
  </si>
  <si>
    <t>96463-8.26</t>
  </si>
  <si>
    <t>4500173295-30</t>
  </si>
  <si>
    <t>外包装/外箱不要打ZURU标准日期码</t>
  </si>
  <si>
    <t>日期码格式：外包装/外箱不要打ZURU标准日期码 日期：
Packaging Info: 注意:外包装(指:收缩膜/彩卡/铝箔袋/挂卡/PDQ)/外箱不要打ZURU标准日期码!胶件可以打日期码。
71126 ： MA UPC 彩卡+ 进口商贴纸（含EAN条码）， MA 说明书/指南（如有） ;
Remark: 标准配比 ；
请按期完货， 会有罚金。
出港口Bekasovo 2 和 Ural</t>
  </si>
  <si>
    <t>96332-9.6</t>
  </si>
  <si>
    <t>4500173295-60</t>
  </si>
  <si>
    <t>96327-9.5</t>
  </si>
  <si>
    <t>Amazon FR:
3DJ4TDBL</t>
  </si>
  <si>
    <t>4500173446-60</t>
  </si>
  <si>
    <t>日期码格式：ZURU INC(BVI) 标准格式 日期：按实际生产日期
Packaging Info: Amazon UK(92104H/71109D/77486)/DE(92104H/9296E)/FR(71126/15701A)
5. 71126: 1pc/window box,6window boxes/ctn; MA 3L(23L warning EAN#)A 开窗彩盒+1张贴纸(UPC#+IT/ES环保标+GPSR邮箱care@zuru.com，参考翻单PO#450016
4250)+MA 5L(9L warning) B说明书+MA 其他最新包装+WEEE电子产品说明书30L(不带电池走货B版)；
7. 验货时间不迟于2025/8/20.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</si>
  <si>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96326-9.5</t>
  </si>
  <si>
    <t>4500173613-10</t>
  </si>
  <si>
    <t>ZB01544-8.28</t>
  </si>
  <si>
    <t>SMYTHS TOYS EU HQ UC</t>
  </si>
  <si>
    <t>4500174453-20</t>
  </si>
  <si>
    <t>德语callout贴纸（翻单#4500123428）+1张Zuru France地址产品贴纸（翻4500064042）</t>
  </si>
  <si>
    <t>日期码格式：ZURU INC(BVI) 标准格式 日期：按实际生产日期
Packaging Info: 
71126：最新 MA 3L+23L EAN包装+MA 5L+9L warning说明书+德语callout贴纸（翻单#4500123428）+1张Zuru France地址产品贴纸（翻4500064042）+ B版WEEE声明
通用30L说明书(不带电池）
EAN#4894680033405，请先检查条码是否正确再安排做货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</si>
  <si>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96173-8.27</t>
  </si>
  <si>
    <t>4500174459-20</t>
  </si>
  <si>
    <t>日期码格式：ZURU INC(BVI) 标准格式 日期：按实际生产日期
Packaging Info: 
71126:MA 3L+23L EAN包装+MA 5L+9L warning说明书+德语callout贴纸（翻单#4500123428）+1张Zuru France地址产品贴纸（翻4500064042）+ WEEE声明通用30L说
明书(不带电池）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</si>
  <si>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96353-9.8</t>
  </si>
  <si>
    <t>10001407515-3890</t>
  </si>
  <si>
    <t>4500173544-10</t>
  </si>
  <si>
    <t xml:space="preserve"> 
Kathy Du</t>
  </si>
  <si>
    <t>ZB01642-9.2</t>
  </si>
  <si>
    <t>4500170965-20</t>
  </si>
  <si>
    <t>1张进口商贴纸+1张产品贴纸+1张额外电池黑白说明书（翻4500150212）</t>
  </si>
  <si>
    <t>LOT2534</t>
  </si>
  <si>
    <t>日期码格式：LOT2534 日期：
Packaging Info:
2.71126:MA 3L EAN彩卡+1张进口商贴纸+1张产品贴纸+1张额外电池黑白说明书+MA 5L最新说明书 （翻4500150212）
Remark: 1. 大货样品2套/item，用于客人验货签板。验货后还会抽办1套/item，请多备料；
2. 客版日期码LOT2534,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</si>
  <si>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96411-9.12</t>
  </si>
  <si>
    <t>PO1132544-YTF
CL-MELB</t>
  </si>
  <si>
    <t>4500173377-30</t>
  </si>
  <si>
    <t>日期码格式：ZURU INC(BVI) 标准格式 日期：按实际生产日期
Packaging Info:
3. 71126：英文MA包装UPC版本（首选1L, 如无1L可选多语含英语）+箱唛+1张进口商贴纸
Remark: 1. 此单出澳大利亚，请按澳洲标准生产并满足当地法规要求</t>
  </si>
  <si>
    <t>96204-8.29</t>
  </si>
  <si>
    <t>PO1132543-YTF
CL-BRIS</t>
  </si>
  <si>
    <t>4500173375-30</t>
  </si>
  <si>
    <t>96203-8.29</t>
  </si>
  <si>
    <t>PO1132541-YTF
C1-SYD</t>
  </si>
  <si>
    <t>4500173373-30</t>
  </si>
  <si>
    <t>96190-8.28</t>
  </si>
  <si>
    <t>AB GEE OF RIPLEY LTD.</t>
  </si>
  <si>
    <t>777 2SEP</t>
  </si>
  <si>
    <t>4500173502-80</t>
  </si>
  <si>
    <t>日期码格式：ZURU INC(BVI) 标准格式 日期：按实际生产日期
Packaging Info: 
71126-S001:MA 最新UPC包装upc193052064240
"请先检查条码是否正确再安排做货，如有问题请告知
2.配比跟MA"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</si>
  <si>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96194-8.28</t>
  </si>
  <si>
    <t>10001356738-3890</t>
  </si>
  <si>
    <t>4500174355-10</t>
  </si>
  <si>
    <t>ZB01782-9.9</t>
  </si>
  <si>
    <t>WM
PO#0927514858
/WM
item#66896981
8/GTIN#001930
52064240/STK#
71126</t>
  </si>
  <si>
    <t>4500171957-10</t>
  </si>
  <si>
    <t>2025/8/29BV</t>
  </si>
  <si>
    <t>日期码格式：ZURU DGYYMMDD CHINA(日期避开周末和法定节假日） 日期：按实际生产日期
Packaging Info:
"1.包装信息：
71126：MA 1L A版彩盒+ MA B版说明书"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</si>
  <si>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ZB01963-9.17</t>
  </si>
  <si>
    <t>WM
PO#0927514862
/WM
item#66896981
8/GTIN#001930
52064240/STK#
71126</t>
  </si>
  <si>
    <t>4500171957-20</t>
  </si>
  <si>
    <t>ZB01742-9.6</t>
  </si>
  <si>
    <t>WM
PO#0927514877
/WM
item#66896981
8/GTIN#001930
52064240/STK#
71126</t>
  </si>
  <si>
    <t>4500171957-40</t>
  </si>
  <si>
    <t>ZB01827-9.10</t>
  </si>
  <si>
    <t>WM
PO#0927514881
/WM
item#66896981
8/GTIN#001930
52064240/STK#
71126</t>
  </si>
  <si>
    <t>4500171957-50</t>
  </si>
  <si>
    <t>ZB01924-9.15</t>
  </si>
  <si>
    <t>WM
PO#0927514868
/WM
item#66896981
8/GTIN#001930
52064240/STK#
71126</t>
  </si>
  <si>
    <t>4500171957-30</t>
  </si>
  <si>
    <t>ZB01842-9.11</t>
  </si>
  <si>
    <t>WM
PO#0927514912
/WM
item#66896981
8/GTIN#001930
52064240/STK#
71126</t>
  </si>
  <si>
    <t>4500171957-60</t>
  </si>
  <si>
    <t>ZB01922-9.15</t>
  </si>
  <si>
    <t>WM
PO#0931285121
/WM
item#66896981
8/GTIN#001930
52064240/STK#
71126</t>
  </si>
  <si>
    <t>4500173826-20</t>
  </si>
  <si>
    <t>日期码格式：ZURU DGYYMMDD CHINA(日期避开周末和法定节假日） 日期：按实际生产日期
Packaging Info: 
"1.包装信息：
71126：MA 1L A版彩盒+ MA B版说明书"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</si>
  <si>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ZB01830(REV1)-9.10  ZB01901-9.15</t>
  </si>
  <si>
    <t>WM
PO#0931285150
/WM
item#66896981
8/GTIN#001930
52064240/STK#
71126</t>
  </si>
  <si>
    <t>4500173826-30</t>
  </si>
  <si>
    <t>ZB01957-9.17</t>
  </si>
  <si>
    <t>WM
PO#0931285152
/WM
item#66896981
8/GTIN#001930
52064240/STK#
71126</t>
  </si>
  <si>
    <t>4500173826-40</t>
  </si>
  <si>
    <t>ZB01830-9.9</t>
  </si>
  <si>
    <t>WM
PO#0931285173
/WM
item#66896981
8/GTIN#001930
52064240/STK#
71126</t>
  </si>
  <si>
    <t>4500173826-50</t>
  </si>
  <si>
    <t>ZB01783-9.9</t>
  </si>
  <si>
    <t>WM
PO#0931285175
/WM
item#66896981
8/GTIN#001930
52064240/STK#
71126</t>
  </si>
  <si>
    <t>4500173826-60</t>
  </si>
  <si>
    <t>ZB01900-9.15</t>
  </si>
  <si>
    <t>Aldi, Inc.</t>
  </si>
  <si>
    <t>4500169119-10</t>
  </si>
  <si>
    <t>MUQ60-S001-71126</t>
  </si>
  <si>
    <t>混装 （7127A+7149B+71126）</t>
  </si>
  <si>
    <t>已完货</t>
  </si>
  <si>
    <t>日期码格式：ZURU INC(BVI) 标准格式 日期：按实际生产日期
Packaging Info: 1. 包材：ZURU MA 1L UPC 版本 + 客版1L PDQ
#71126: UPC 1L A版本彩盒
彩盒设计稿以上版本，如版本有更新需提前告知跟单
产品需按照PDQ rendering 照片顺序摆放;
Remark: 2. 日期跟踪码：ZURU标准格式日期码，产品包装及产品本身都必须有ZURU标准格式日期码，并且确保两者信息保持一致(请自行调整具体年月日生产期，但不能为
周末）。
3. 样板
* 7月6日前需寄出 MA 版本每款每色5pcs 测试样做测试（样板可以不带PDQ，样板日期码打寄样之前的日期)，测试通过后才能出货。测试样板直接寄到以下测试行
地址：
公司：广州天祥质量技术服务有限公司
地址：广州高新技术开发区科学城光谱西路69号TCL文化产业园汇创空间111
电话：+86 020 82139443
收件人：Cherry Yu
测试用的样板有随样文件 Regulatory Testing Letter + Test Request Form，这两个文件跟单稍后会邮件发给工厂，工厂在寄样时打印出来放纸箱内随样寄走。
注意：客户对以下测试点有要求，寄测试样板时留意下，确保测试能过
*客户对领苯有特别要求，值不能超过100mg/kg
*客户对重金属要求不能超过以下限值（单位mg/kg）：
锑(Sb) 60、砷(As) 25、钡(Ba) 1000、镉(Cd) 75、铬(Cr) 60、铅(Pb) 90、汞(Hg) 60、硒(Se) 500
*甲醛不得超过0.05%
*8月6日前寄大货样和广告样各一满PDQ（含客户纸箱）到以下深圳跟单地址：
收件地址：
地址：广东省深圳市罗湖区东门南路1006号文锦渡口岸大厦A栋7楼
收件人：Elsa Zheng
电话：0755 6688 1988 Ext3337
4. 出货配比：
#MUQ60-S001-ROBO ALIVE-MIXED-SERIES 1-MIX GREEN T-REX/SHARK/GREEN LIZARD IN PDQ-WINDOW BOX,1FACING4PCS/PDQ/CTN
4PCS/PDQ/carton
71126 shark:1pc
5. 外箱封箱尺寸务必保持 42*41*22cm, 装 7 X 40HQ.</t>
  </si>
  <si>
    <t>ZB01752-9.6</t>
  </si>
  <si>
    <t>4500171366-10</t>
  </si>
  <si>
    <t>9月8出货</t>
  </si>
  <si>
    <t>德语callout贴纸（翻单#4500123428）</t>
  </si>
  <si>
    <t>日期码格式：ZURU INC(BVI) 标准格式 日期：按实际生产日期
Packaging Info: 71126: MA 3L+23L EAN包装+德语callout贴纸（翻单#4500123428）+MA 5L+9L warning说明书+ B版 WEEE声明不带电池走货欧洲 30 语通用黑白说明书
EAN#4894680033405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</si>
  <si>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96393-9.11</t>
  </si>
  <si>
    <t>4500172982-20</t>
  </si>
  <si>
    <t>日期码格式：ZURU INC(BVI) 标准格式 日期：按实际生产日期
Packaging Info:
71126:MA 多语 EAN包装+进口商贴纸+箱唛，进口商贴纸翻单PO4500141981
Remark: 进口商贴纸请多备料5pcs,出货后需要寄给客户</t>
  </si>
  <si>
    <t>96427-9.13</t>
  </si>
  <si>
    <t>10001356584-3891</t>
  </si>
  <si>
    <t>4500175282-10</t>
  </si>
  <si>
    <t>日期码格式：ZURU INC(BVI) 标准格式 日期：按实际生产日期
Packaging Info: 71126： MA 1L包装+说明书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4. 产品和包装上印刷tracking code信息，格式为ZURU常规格式
5. 出货方式：货代自提，兴信出货</t>
  </si>
  <si>
    <t>ZB01754-9.8</t>
  </si>
  <si>
    <t>4500174478-20</t>
  </si>
  <si>
    <t>9/8 SI</t>
  </si>
  <si>
    <t>客版彩盒和说明书翻PO#4500169911</t>
  </si>
  <si>
    <t>日期码格式：ZURU INC(BVI) 标准格式 日期：按实际生产日期
Packaging Info: 
71126:客版5L EAN彩盒(英法德callout/英法德意荷警告语/法国sorting logo直接印刷在包装上)+客版5L说明书(英法德意荷语言/WEEE信息直接印刷在说明书上)--
客版彩盒和说明书翻PO#4500169911</t>
  </si>
  <si>
    <t>96384-9.10</t>
  </si>
  <si>
    <t>客版彩盒</t>
  </si>
  <si>
    <t>4500174379-10</t>
  </si>
  <si>
    <t>9/7 SI截补料</t>
  </si>
  <si>
    <t>96368-9.9</t>
  </si>
  <si>
    <t>日期码格式：ZURU INC(BVI) 标准格式 日期：按实际生产日期
Packaging Info: 客版5L EAN彩盒(英法德callout/英法德意荷警告语/法国sorting logo直接印刷在包装上)+客版5L说明书(英法德意荷语言/WEEE信息直接印刷在说明书上)--客版彩
盒和说明书翻PO#4500169911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</si>
  <si>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London Supply Group SA</t>
  </si>
  <si>
    <t>4500169604-10</t>
  </si>
  <si>
    <t>日期码格式：ZURU INC(BVI) 标准格式 日期：按实际生产日期
Packaging Info: 71126: MA 3L EAN PKG+UPC 条码贴纸+MA 多语说明书+箱唛
Remark: 71126: 3PCS AAA BATTERIES(NOT INCLUDED)</t>
  </si>
  <si>
    <t>96590-9.30</t>
  </si>
  <si>
    <t>4500169751-20</t>
  </si>
  <si>
    <t>进口商贴纸可翻单PO#4500141981</t>
  </si>
  <si>
    <t>日期码格式：ZURU INC(BVI) 标准格式 日期：按实际生产日期
Packaging Info: 
71126:MA 3L EAN PKG+MA 多语说明书+进口商贴纸+箱唛，进口商贴纸可翻单PO#4500141981
Remark:
71126:3PCS AAA BATTERIES(NOT INCLUDED)</t>
  </si>
  <si>
    <t>95976-8.13</t>
  </si>
  <si>
    <t>4500171253-50</t>
  </si>
  <si>
    <r>
      <rPr>
        <sz val="10"/>
        <rFont val="等线"/>
        <charset val="134"/>
      </rPr>
      <t xml:space="preserve">日期码格式：ZURU INC(BVI) 标准格式 日期：按实际生产日期
Packaging Info: 
</t>
    </r>
    <r>
      <rPr>
        <sz val="10"/>
        <color rgb="FFFF0000"/>
        <rFont val="等线"/>
        <charset val="134"/>
      </rPr>
      <t>71126 MA 多语EAN 包装+MA 多语说明书+进口商贴纸（进口商贴纸同UPC贴纸合并一张）+箱唛</t>
    </r>
    <r>
      <rPr>
        <sz val="10"/>
        <rFont val="等线"/>
        <charset val="134"/>
      </rPr>
      <t xml:space="preserve">
Remark: LR44 BATTERY 指定品牌 NEW LEADER；AAA BATTERIES 指定品牌 VINNIC
71126 1 assorment；3PCS AAA BATTERIES(NOT INCLUDED)</t>
    </r>
  </si>
  <si>
    <t>96587-9.30</t>
  </si>
  <si>
    <t>Amazon UK:
7APM9TGV</t>
  </si>
  <si>
    <t>4500169785-40</t>
  </si>
  <si>
    <t>日期码格式：ZURU INC(BVI) 标准格式 日期：按实际生产日期
Packaging Info: Amazon UK(77731/9561/15701A/71126)
4. 71126: 1pc/window box,6window boxes/ctn; MA 3L(23L warning EAN#)A 开窗彩盒+1张贴纸(UPC#+IT/ES环保标+ZURU邮箱，参考翻单PO#4500164250)+MA 5L(9
L warning) B说明书+MA 其他最新包装+WEEE电子产品说明书30L(不带电池走货版)；
5. 验货时间不迟于2025/8/8.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</si>
  <si>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96067-8.19</t>
  </si>
  <si>
    <t>10001256793-3890</t>
  </si>
  <si>
    <t>4500171552-10</t>
  </si>
  <si>
    <t>日期码格式：ZURU INC(BVI) 标准格式 日期：按实际生产日期
Packaging Info: 71126：MA 1L包装+说明书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此订单所有item：
1. 产品和包装上要印刷tracking code信息，格式为ZURU常规；
2. 出货方式：货代自提</t>
  </si>
  <si>
    <t>ZB01322-8.18</t>
  </si>
  <si>
    <t>4500171263-10</t>
  </si>
  <si>
    <t>日期码格式：ZURU INC(BVI) 标准格式 日期：按实际生产日期
Packaging Info: 1. 71126：英文MA包装UPC版本（首选1L, 如无1L可选多语含英语+箱唛+SSCC label外箱贴纸;
Ratio: bule/purple/pink/orange =5:6:6:5; 2PCS AAA BATTERIES(NOT INCLUDED)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</si>
  <si>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96045-8.16</t>
  </si>
  <si>
    <t>4500172597-20</t>
  </si>
  <si>
    <t>96071-8.16</t>
  </si>
  <si>
    <t>4500172600-20</t>
  </si>
  <si>
    <t>96072-8.16</t>
  </si>
  <si>
    <t>po#60X269950</t>
  </si>
  <si>
    <t>4500169184-70</t>
  </si>
  <si>
    <t>8/14第三方+抽板</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</si>
  <si>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#15727签样同旧单4500167106&lt;(&gt;,&lt;)&gt;但如订单最终出货有物料变更，须提前告知跟单决定是否重新寄签样。
#77685GQ1-S002/92119-S007/77711GQ1-S002-NA/77673-S004/92104TQ2-S001 /71126-S003&lt;(&gt;,&lt;)&gt;需7月25日前需寄出3套大货样板(含PDQ)，样板须跟大货一模一样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#15727（不出L款）
6. ZURU QA 验货时需拍齐每款角色的产品和产品包装上的日期码照片（供实验室review）</t>
  </si>
  <si>
    <t>Amber liang</t>
  </si>
  <si>
    <t>ZB01666-9.3</t>
  </si>
  <si>
    <t>PT.MAP AKTIF ADIPERKASA, TBK</t>
  </si>
  <si>
    <t>印度尼西亚</t>
  </si>
  <si>
    <t>251006-7MAAJKTQ225-ZURU</t>
  </si>
  <si>
    <t>4500172603-10</t>
  </si>
  <si>
    <t>贴纸AW、位置图翻单如下：
 71126-4500132195</t>
  </si>
  <si>
    <t>日期码格式：ZURU INC(BVI) 标准格式 日期：按实际生产日期
Packaging Info: MA UPC包装（优先1L)+1张进口商贴纸
贴纸AW、位置图翻单如下：
71126-4500132195
1.可能会被抽大货样做测试，请多备料，CRD前半个月会通知是否有抽到该订单中的item。
2.此订单送仓，送仓后会有第三方验货，所以需要按CRD准时完货。
Remark: 71126-one assorment，3PCS AAA BATTERIES(NOT INCLUDED)</t>
  </si>
  <si>
    <t>95992-8.13</t>
  </si>
  <si>
    <t>HOBBY LOBBY STORES, INC.</t>
  </si>
  <si>
    <t>W0726956</t>
  </si>
  <si>
    <t>4500171299-40</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</si>
  <si>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</si>
  <si>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Yvonne Feng</t>
  </si>
  <si>
    <t>ZB01390-8.21</t>
  </si>
  <si>
    <t>WM
PO#0927503393
/WM
item#66896981
8/GTIN#001930
52064240/STK#
71126</t>
  </si>
  <si>
    <t>4500171947-10</t>
  </si>
  <si>
    <t>2025/8/15BV</t>
  </si>
  <si>
    <t>ZB01664-9.3</t>
  </si>
  <si>
    <t>WM
PO#0927503420
/WM
item#66896981
8/GTIN#001930
52064240/STK#
71126</t>
  </si>
  <si>
    <t>4500171947-20</t>
  </si>
  <si>
    <t>ZB01489-8.26</t>
  </si>
  <si>
    <t>WM
PO#0927503453
/WM
item#66896981
8/GTIN#001930
52064240/STK#
71126</t>
  </si>
  <si>
    <t>4500171947-30</t>
  </si>
  <si>
    <t>ZB01525-8.27</t>
  </si>
  <si>
    <t>4500165779-10</t>
  </si>
  <si>
    <t>96063-8.18</t>
  </si>
  <si>
    <t>PO1132537-YTF
CL-MELB</t>
  </si>
  <si>
    <t>4500173120-50</t>
  </si>
  <si>
    <t>96108-2-8.21</t>
  </si>
  <si>
    <t>PO1132536-YTF
CL-BRIS</t>
  </si>
  <si>
    <t>4500173107-50</t>
  </si>
  <si>
    <t>96105-2-8.21</t>
  </si>
  <si>
    <t>10001356746-3891</t>
  </si>
  <si>
    <t>4500172801-10</t>
  </si>
  <si>
    <t>日期码格式：ZURU INC(BVI) 标准格式 日期：按实际生产日期
Packaging Info: MA 1L包装
Remark: 1.71126-S001-ROBO ALIVE - SHARK ATTACK - SERIES 1-SWIMMING SHARK- WINDOW BOX - 6PCS/CTN
2. MA 1L包装，彩盒上的UPC 显示193052064240；
3. 每个外箱正唛箱唛信息左上方位置粘贴条码箱贴纸，每箱只贴一张,由ZURU订购,来料贴纸显示DPCI 087-02-5015，UPC 10193052064247.
4. 产品和包装上要印刷tracking code信息，格式为ZURU常规；
5. 出货方式：货代自提，兴信出货</t>
  </si>
  <si>
    <t>ZB01488-8.26</t>
  </si>
  <si>
    <t>PO#38933060</t>
  </si>
  <si>
    <t>4500160963-30</t>
  </si>
  <si>
    <t>，已完成暂停出货</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</si>
  <si>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t>
  </si>
  <si>
    <t>ZB00421-6.6</t>
  </si>
  <si>
    <r>
      <rPr>
        <sz val="10"/>
        <color rgb="FF3E2CEA"/>
        <rFont val="宋体"/>
        <charset val="134"/>
      </rPr>
      <t>出</t>
    </r>
    <r>
      <rPr>
        <sz val="10"/>
        <color rgb="FF3E2CEA"/>
        <rFont val="Arial"/>
        <charset val="134"/>
      </rPr>
      <t>Bekasovo 2</t>
    </r>
  </si>
  <si>
    <t>4500173317-30</t>
  </si>
  <si>
    <t>进口商贴纸翻4500173295（含EAN条码）</t>
  </si>
  <si>
    <t>日期码格式：外包装/外箱不要打ZURU标准日期码 日期：
Packaging Info: 注意:外包装(指:收缩膜/彩卡/铝箔袋/挂卡/PDQ)/外箱不要打ZURU标准日期码!胶件可以打日期码。
71126 ： MA UPC 彩卡+ 进口商贴纸翻4500173295（含EAN条码）， MA 说明书/指南（如有） ;
Remark: 标准配比 ；
请按期完货， 会有罚金。
出港口Bekasovo 2 和 Ural</t>
  </si>
  <si>
    <t>96331-2-9.6</t>
  </si>
  <si>
    <r>
      <rPr>
        <sz val="10"/>
        <color rgb="FF3E2CEA"/>
        <rFont val="宋体"/>
        <charset val="134"/>
      </rPr>
      <t>出</t>
    </r>
    <r>
      <rPr>
        <sz val="10"/>
        <color rgb="FF3E2CEA"/>
        <rFont val="Arial"/>
        <charset val="134"/>
      </rPr>
      <t>Ural</t>
    </r>
  </si>
  <si>
    <t>4500173317-60</t>
  </si>
  <si>
    <t>96319-9.4</t>
  </si>
  <si>
    <t>4500172403-30</t>
  </si>
  <si>
    <t>9/6入仓</t>
  </si>
  <si>
    <t>96339-9.6</t>
  </si>
  <si>
    <t>4500172405-30</t>
  </si>
  <si>
    <t>9/5交仓</t>
  </si>
  <si>
    <t>96340-9.6</t>
  </si>
  <si>
    <t>Amazon UK:
5UXKX1EW</t>
  </si>
  <si>
    <t>4500175025-40</t>
  </si>
  <si>
    <t>9/12 SI 截补料</t>
  </si>
  <si>
    <t>日期码格式：ZURU INC(BVI) 标准格式 日期：按实际生产日期
Packaging Info: Amazon UK(71126/7190/92104G/9279BD)/DE(71109D/71126/92104H/9279AB/9543B)/FR(71126/92104H/9279ABD/9543B)
1. 71126: 1pc/window box,6window boxes/ctn; MA 3L(23L warning EAN#)A 开窗彩盒+1张贴纸(UPC#+IT/ES环保标+GPSR邮箱care@zuru.com，参考翻单PO#450016
4250)+MA 5L(9L warning) B说明书+MA 其他最新包装+WEEE电子产品说明书30L(不带电池走货B版)；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</si>
  <si>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8KOD4CZT</t>
  </si>
  <si>
    <t>4500175025-60</t>
  </si>
  <si>
    <t>Amazon FR:
8RBMCXGP</t>
  </si>
  <si>
    <t>4500175025-140</t>
  </si>
  <si>
    <t>W0730434</t>
  </si>
  <si>
    <t>4500174788-30</t>
  </si>
  <si>
    <t>9/5船期</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</si>
  <si>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</si>
  <si>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ZB01848-9.11</t>
  </si>
  <si>
    <t>BEALL'S OUTLET STORES, INC.</t>
  </si>
  <si>
    <t>4500174609-10</t>
  </si>
  <si>
    <t>9/3截补料</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</si>
  <si>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</si>
  <si>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</si>
  <si>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ZB01712-9.5</t>
  </si>
  <si>
    <t>4500174606-10</t>
  </si>
  <si>
    <t>ZB01713-9.5</t>
  </si>
  <si>
    <t>Amazon UK:
159Q94LS</t>
  </si>
  <si>
    <t>4500174198-10</t>
  </si>
  <si>
    <t>9/14入仓</t>
  </si>
  <si>
    <t>IC用新单价</t>
  </si>
  <si>
    <t>日期码格式：ZURU INC(BVI) 标准格式 日期：按实际生产日期
Packaging Info: Amazon UK(71126)
1. 71126: 1pc/window box,6window boxes/ctn; MA 3L(23L warning EAN#)A 开窗彩盒+1张贴纸(UPC#+IT/ES环保标+GPSR邮箱care@zuru.com，参考翻单PO#450016
4250)+MA 5L(9L warning) B说明书+MA 其他最新包装+WEEE电子产品说明书30L(不带电池走货B版)；
2. 验货时间不迟于2025/9/5.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</si>
  <si>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PO#40745496</t>
  </si>
  <si>
    <t>4500175521-60</t>
  </si>
  <si>
    <t>9/11入仓</t>
  </si>
  <si>
    <t>日期码格式：ZURU INC(BVI) 标准格式 日期：按实际生产日期
Packaging Info: 包装方式：#MEC360: MA UPC优先1L最新版+客版展示架，外箱四面需粘贴一张禁运贴纸，出口美国
其他items: MA UPC优先1L最新版，出口美国
Remark: 2、无测试无验货要求
3、纸箱4面印ZURU LOGO + 箱唛
4、日期码请按ZURU标准版执行即可
5、ZURU OQC验货</t>
  </si>
  <si>
    <t>ZB02180-9.27</t>
  </si>
  <si>
    <t>6006-008172</t>
  </si>
  <si>
    <t>4500174099-40</t>
  </si>
  <si>
    <t>1张进口商贴纸（通用进口商贴纸翻单4500154694）</t>
  </si>
  <si>
    <t>日期码格式：ZURU INC(BVI) 标准格式 日期：按实际生产日期
Packaging Info: MA PKG, 优先1L +1张进口商贴纸（通用进口商贴纸新稿，适用订单所有产品）
71126进口商贴纸位置图翻单4500170860
Remark: 此单Customer PO#6006-008172 PI#1100029505-1</t>
  </si>
  <si>
    <t>4500174481-10</t>
  </si>
  <si>
    <t>9/6 SI</t>
  </si>
  <si>
    <t>日期码格式：ZURU INC(BVI) 标准格式 日期：按实际生产日期
Packaging Info: 71126:客版5L EAN彩盒(英法德callout/英法德意荷警告语/法国sorting logo直接印刷在包装上)+客版5L说明书(英法德意荷语言/WEEE信息直接印刷在说明书上)--
客版彩盒和说明书翻PO#4500169911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t>
  </si>
  <si>
    <t>96527-9.26</t>
  </si>
  <si>
    <t>4500174027-30</t>
  </si>
  <si>
    <t>71126贴纸及其位置图跟回PO#4500125432</t>
  </si>
  <si>
    <t>日期码格式：ZURU INC(BVI) 标准格式 日期：按实际生产日期
Packaging Info: 71126： MA_UPC版本包装（ MA首选1L，如无1L可用多语且含英语的配套多语UPC包装）+ 1张客人通用进口商贴纸2
71126贴纸及其位置图跟回PO#4500125432
Remark: 1.按实际生产日期;
2.出澳大利亚，请按照相应标准生产;</t>
  </si>
  <si>
    <t>96436-9.15</t>
  </si>
  <si>
    <t>WONDERLAND TOYS, INC.</t>
  </si>
  <si>
    <t>4500175531-10</t>
  </si>
  <si>
    <t>日期码格式：ZURU INC(BVI) 标准格式 日期：按实际生产日期
Packaging Info: 1. 出口美国，MA UPC 版本包装，优先1L。
#71126: 3PCS AAA BATTERIES(NOT INCLUDED);
Remark: 2. Zuru QC 验货即可</t>
  </si>
  <si>
    <t>ZB01926-9.15</t>
  </si>
  <si>
    <t>4500175222-20</t>
  </si>
  <si>
    <t>日期码格式：ZURU INC(BVI) 标准格式 日期：按实际生产日期
Packaging Info: 
2. 71126：英文MA包装UPC版本（首选1L, 如无1L可选多语含英语）+箱唛+SSCC label外箱贴纸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</si>
  <si>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WM
PO#0927515753
/WM
item#66896981
8/GTIN#001930
52064240/STK#
71126</t>
  </si>
  <si>
    <t>4500173831-160</t>
  </si>
  <si>
    <t>ZB02078-9.25</t>
  </si>
  <si>
    <t>WM
PO#0927515767
/WM
item#66896981
8/GTIN#001930
52064240/STK#
71126</t>
  </si>
  <si>
    <t>4500173831-170</t>
  </si>
  <si>
    <t>ZB02172-9.27</t>
  </si>
  <si>
    <t>WM
PO#0927515783
/WM
item#66896981
8/GTIN#001930
52064240/STK#
71126</t>
  </si>
  <si>
    <t>4500173831-180</t>
  </si>
  <si>
    <t>ZB02046-9.23</t>
  </si>
  <si>
    <t>WM
PO#0927515797
/WM
item#66896981
8/GTIN#001930
52064240/STK#
71126</t>
  </si>
  <si>
    <t>4500173831-190</t>
  </si>
  <si>
    <t>ZB02171-9.27</t>
  </si>
  <si>
    <t>WM
PO#0927515808
/WM
item#66896981
8/GTIN#001930
52064240/STK#
71126</t>
  </si>
  <si>
    <t>4500173831-200</t>
  </si>
  <si>
    <t>ZB02244-9.30</t>
  </si>
  <si>
    <t>WM
PO#0927515887
/WM
item#66896981
8/GTIN#001930
52064240/STK#
71126</t>
  </si>
  <si>
    <t>4500173831-210</t>
  </si>
  <si>
    <t>ZB02209-9.29</t>
  </si>
  <si>
    <t>WM
PO#0931285441
/WM
item#66896981
8/GTIN#001930
52064240/STK#
71126</t>
  </si>
  <si>
    <t>4500173831-230</t>
  </si>
  <si>
    <t>ZB02048-9.23</t>
  </si>
  <si>
    <t>WM
PO#0931285448
/WMitem#66896981
8/GTIN#001930
52064240/STK#
71126</t>
  </si>
  <si>
    <t>4500173831-240</t>
  </si>
  <si>
    <t>ZB02210-9.29</t>
  </si>
  <si>
    <t>WM
PO#0931285465
/WM
item#66896981
8/GTIN#001930
52064240/STK#
71126</t>
  </si>
  <si>
    <t>4500173831-250</t>
  </si>
  <si>
    <t>ZB02245-9.30</t>
  </si>
  <si>
    <t>WM
PO#0931285486
/WM
item#66896981
8/GTIN#001930
52064240/STK#
71126</t>
  </si>
  <si>
    <t>4500173831-260</t>
  </si>
  <si>
    <t>ZB02047-9.23</t>
  </si>
  <si>
    <t>WM
PO#0935361694
/WM
item#66896981
8/GTIN#001930
52064240/STK#
71126</t>
  </si>
  <si>
    <t>4500175859-20</t>
  </si>
  <si>
    <t>每PCS要加RFID 贴纸</t>
  </si>
  <si>
    <t>ZB02077-9.25</t>
  </si>
  <si>
    <t>WM
PO#0935361724
/WM
item#66896981
8/GTIN#001930
52064240/STK#
71126</t>
  </si>
  <si>
    <t>4500175859-30</t>
  </si>
  <si>
    <t>ZB02173-9.27</t>
  </si>
  <si>
    <t>WM
PO#0935361702
/WM
item#66896981
8/GTIN#001930
52064240/STK#
71126</t>
  </si>
  <si>
    <t>4500175861-10</t>
  </si>
  <si>
    <t>9/23 SI</t>
  </si>
  <si>
    <t>ZB02121-9.26</t>
  </si>
  <si>
    <t>WM
PO#0935361713
/WM
item#66896981
8/GTIN#001930
52064240/STK#
71126</t>
  </si>
  <si>
    <t>4500175861-20</t>
  </si>
  <si>
    <t>ZB02123-9.26</t>
  </si>
  <si>
    <t>WM
PO#0935361716
/WM
item#66896981
8/GTIN#001930
52064240/STK#
71126</t>
  </si>
  <si>
    <t>4500175861-30</t>
  </si>
  <si>
    <t>ZB02174-9.27</t>
  </si>
  <si>
    <t>WM
PO#0935361727
/WM
item#66896981
8/GTIN#001930
52064240/STK#
71126</t>
  </si>
  <si>
    <t>4500175861-40</t>
  </si>
  <si>
    <t>ZB02122-9.26</t>
  </si>
  <si>
    <t>WM
PO#0935361729
/WM
item#66896981
8/GTIN#001930
52064240/STK#
71126</t>
  </si>
  <si>
    <t>4500175861-50</t>
  </si>
  <si>
    <t>ZB02206-9.29</t>
  </si>
  <si>
    <t>ARCHIBRAND, S.A. DE C.V.</t>
  </si>
  <si>
    <t>4500175843-30</t>
  </si>
  <si>
    <t>9/18出货</t>
  </si>
  <si>
    <t>日期码格式：ZURU INC(BVI) 标准格式 日期：按实际生产日期
Packaging Info: 
2. 71126：MA 3L EAN 包装+UPC 条码贴纸+MA 多语说明书+保证书+进口商贴纸+箱唛
除了71126不用加胶袋，剩余款都要按照单个产品入polybag胶袋后再装箱出货，需打孔，胶袋需封口
Remark: 
71126：3PCS AAA BATTERIES(NOT INCLUDED)</t>
  </si>
  <si>
    <t>96585-9.30</t>
  </si>
  <si>
    <t>CDM TRADE LLC</t>
  </si>
  <si>
    <t>4500175614-60</t>
  </si>
  <si>
    <t>日期码格式：ZURU INC(BVI) 标准格式 日期：按实际生产日期
Packaging Info: 1L MA UPC 包装+ 进口商贴纸， MA PDQ/指南/说明书 （如STD 产品包含）
Remark:</t>
  </si>
  <si>
    <t>A96644-2-10.14</t>
  </si>
  <si>
    <t>4500175925-30</t>
  </si>
  <si>
    <t>9/17入仓</t>
  </si>
  <si>
    <t>测试</t>
  </si>
  <si>
    <t>4500175925-50</t>
  </si>
  <si>
    <t>4500175924-30</t>
  </si>
  <si>
    <t>96807-10.31</t>
  </si>
  <si>
    <t>21012331</t>
  </si>
  <si>
    <t>4500175924-50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</si>
  <si>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Order Modi</t>
  </si>
  <si>
    <t>4500176307-20</t>
  </si>
  <si>
    <t>9/19入仓</t>
  </si>
  <si>
    <t>4500174917-20</t>
  </si>
  <si>
    <t>ZB02006-9.19</t>
  </si>
  <si>
    <t>4500171743-30</t>
  </si>
  <si>
    <t>ZB02128-9.26</t>
  </si>
  <si>
    <t>10001356580-3890</t>
  </si>
  <si>
    <t>4500175283-10</t>
  </si>
  <si>
    <t>9/20出货</t>
  </si>
  <si>
    <t>ZB02052-9.23</t>
  </si>
  <si>
    <t>IVI-0811SA</t>
  </si>
  <si>
    <t>4500176967-10</t>
  </si>
  <si>
    <t>96497-9.22</t>
  </si>
  <si>
    <t>customer PO
218100843,DC
802</t>
  </si>
  <si>
    <t>4500177795-10</t>
  </si>
  <si>
    <t>截SI
9/22</t>
  </si>
  <si>
    <t>日期码格式：ZURU INC(BVI) 标准格式 日期：按实际生产日期
Packaging Info: MA 1L UPC 版本
跟单提供外箱箱唛图稿
Remark: 出货前 Zuru QC 验货</t>
  </si>
  <si>
    <t>Agnes Zheng</t>
  </si>
  <si>
    <t>ZB02087-9.25</t>
  </si>
  <si>
    <t>customer PO
218100842,DC
086</t>
  </si>
  <si>
    <t>4500177795-20</t>
  </si>
  <si>
    <t>ZB02211-9.29</t>
  </si>
  <si>
    <t>4500176613-10</t>
  </si>
  <si>
    <t>ZB02292-10.9</t>
  </si>
  <si>
    <t>10001491681-3891</t>
  </si>
  <si>
    <t>4500177800-10</t>
  </si>
  <si>
    <t>2025/9/22提货</t>
  </si>
  <si>
    <t>条码箱贴纸，每箱只贴一张,由ZURU订购,来料贴纸显示DPCI 087-02-5015， UPC 10193052064247</t>
  </si>
  <si>
    <t>ZB02120-9.26</t>
  </si>
  <si>
    <t>10001491679-3890</t>
  </si>
  <si>
    <t>4500177798-10</t>
  </si>
  <si>
    <t>ZB02076-9.25</t>
  </si>
  <si>
    <t>WM
PO#0931285509
/WM
item#66896981
8/GTIN#001930
52064240/STK#
71126</t>
  </si>
  <si>
    <t>4500176998-120</t>
  </si>
  <si>
    <t>自检</t>
  </si>
  <si>
    <t>贴RFID贴纸</t>
  </si>
  <si>
    <t>日期码格式：ZURU DGYYMMDD CHINA(日期避开周末和法定节假日） 日期：按实际生产日期
Packaging Info: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
Remark:
"1.包装信息：
71126：MA 1L A版彩盒+ MA B版说明书"</t>
  </si>
  <si>
    <t>ZB02459-10.16</t>
  </si>
  <si>
    <t>WM
PO#0931285518
/WM
item#66896981
8/GTIN#00193052064240/STK#
71126</t>
  </si>
  <si>
    <t>4500176998-130</t>
  </si>
  <si>
    <t>ZB02408-10.14</t>
  </si>
  <si>
    <t>WM
PO#0931285526
/WM
item#66896981
8/GTIN#001930
52064240/STK#
71126</t>
  </si>
  <si>
    <t>4500176998-140</t>
  </si>
  <si>
    <t>ZB02460-10.16</t>
  </si>
  <si>
    <t>ZHUYU(SHENZHEN)TRADING CO.,LTD.</t>
  </si>
  <si>
    <t>4500177169-20</t>
  </si>
  <si>
    <t>翻4500170580</t>
  </si>
  <si>
    <t>中文说明书+中文3C贴纸</t>
  </si>
  <si>
    <t>日期码格式：ZURU INC(BVI) 标准格式 日期：按实际生产日期
Packaging Info: 物料要求 SKU
2 71126 MA +中文说明书+中文3C贴纸 翻单： 4500170580
71126 需要4个大货样 谢谢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</si>
  <si>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96554-9.29</t>
  </si>
  <si>
    <t>WM
PO#0938656082
/WM
item#66896981
8/GTIN#001930
52064240/STK#
71126</t>
  </si>
  <si>
    <t>4500177401-20</t>
  </si>
  <si>
    <t>转自检</t>
  </si>
  <si>
    <t xml:space="preserve">翻4500127751 </t>
  </si>
  <si>
    <t>ZB02261-10.8</t>
  </si>
  <si>
    <t>WM
PO#0938656141
/WM
item#66896981
8/GTIN#001930
52064240/STK#
71126</t>
  </si>
  <si>
    <t>4500177401-30</t>
  </si>
  <si>
    <t>ZB02409-10.14</t>
  </si>
  <si>
    <t>4500178179-10</t>
  </si>
  <si>
    <t>日期码格式：ZURU INC(BVI) 标准格式 日期：按实际生产日期
Packaging Info: 71126：最新 MA 3L+23L EAN包装+MA 5L+9L warning说明书+德语callout贴纸（翻单#4500123428）+ B版WEEE声明通用30L说明书(不带电池）
EAN#4894680033405，请先检查条码是否正确再安排做货
Remark: Smyths 法国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电子产品需增加一张WEEE声明30L通用黑白说明书(不接受A版本，翻译有误)，区分带电池和不带电池版本, 如已做客版说明书可忽略此要求；
5. 出口法国的产品, 法规规定禁止在包装和共公众用的印刷品中使用矿物油中含有的物质, 包装印刷油墨中含有的MOAH/MOSH的质量浓度不能超过1%, 否则出货到
法国被抽检出现问题, 供应商需要对此负责;
6.订单备注显示有分批的（不同仓库/订单号） ，注意分开做货出货，否则会导致罚款 。
7.包装日期码按ZURU格式即可，请确保不迟于外箱日期码，可等于或者早于外箱日期码，必须为法定工作日。</t>
  </si>
  <si>
    <t>96541-9.27</t>
  </si>
  <si>
    <t>DISCHEM SOUTH AFRICA</t>
  </si>
  <si>
    <t>4500176287-30</t>
  </si>
  <si>
    <t>日期码格式：ZURU INC(BVI) 标准格式 日期：按实际生产日期
Packaging Info: MA UPC pkg (1L优先）
Remark:
3. 71126: 1 assorment；3PCS AAA BATTERIES(NOT INCLUDED)</t>
  </si>
  <si>
    <t>A96624-10.10</t>
  </si>
  <si>
    <t>4500174710-40</t>
  </si>
  <si>
    <t>Sharon Yang</t>
  </si>
  <si>
    <t>ZB02351(REV1)-10.11</t>
  </si>
  <si>
    <t>4500176612-10</t>
  </si>
  <si>
    <t>10/4号交仓</t>
  </si>
  <si>
    <t>ZB02291-10.9</t>
  </si>
  <si>
    <t>29120435</t>
  </si>
  <si>
    <t>4500176837-30</t>
  </si>
  <si>
    <t>日期码格式：ZURU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#71126：3PCS AAA BATTERIES(NOT INCLUDED)；one assorment</t>
  </si>
  <si>
    <t>Ivy Li</t>
  </si>
  <si>
    <t>A96671-10.16</t>
  </si>
  <si>
    <t>4500176837-40</t>
  </si>
  <si>
    <t>MELOMAN HOME VIDEO LLP</t>
  </si>
  <si>
    <t>4500176381-110</t>
  </si>
  <si>
    <t xml:space="preserve">
</t>
  </si>
  <si>
    <t>日期码格式：ZURU INC(BVI) 标准格式 日期：按实际生产日期
Packaging Info: MA UPC最新包装+ 通用进口商贴纸 ， MA PDQ ，MA 指南/说明书（如果有的话）
Remark: 标准配比</t>
  </si>
  <si>
    <t>Joyce</t>
  </si>
  <si>
    <t>A96679-3-10.17</t>
  </si>
  <si>
    <t>10001498299-3890</t>
  </si>
  <si>
    <t>4500177915-10</t>
  </si>
  <si>
    <t>日期码格式：ZURU INC(BVI) 标准格式 日期：按实际生产日期
Packaging Info: 71126: MA 1L包装+说明书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4. 产品和包装上印刷tracking code信息，格式为ZURU常规格式
5. 出货方式：货代自提，兴信出货</t>
  </si>
  <si>
    <t>ZB02294-10.9</t>
  </si>
  <si>
    <t>777 3OCT</t>
  </si>
  <si>
    <t>4500175110-20</t>
  </si>
  <si>
    <t>10/10 出货</t>
  </si>
  <si>
    <t>日期码格式：ZURU INC(BVI) 标准格式 日期：按实际生产日期
Packaging Info: 1.最新MA UPC包装,各款的条码如下，请先检查条码是否正确再安排做货，如有问题请告知
71126:193052064240+B版 WEEE声明不带电池走货欧洲 30 语通用黑白说明书
2.配比都跟MA
Remark: 1.产品及包装需要印UKCA图标，包装需要有ZURU UK LTD/ZURU France地址信息，QC同事请核查，如有问题与跟单确认。
2. 需要符合欧洲标准不能含有闪粉和微塑料，否则不合法规会有客诉产生</t>
  </si>
  <si>
    <t>A96654-10.15</t>
  </si>
  <si>
    <t>10001455740-3891</t>
  </si>
  <si>
    <t>4500177758-10</t>
  </si>
  <si>
    <t>日期码格式：ZURU INC(BVI) 标准格式 日期：按实际生产日期
Packaging Info: 71126：MA 1L包装+说明书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4. 产品和包装上印刷tracking code信息，格式为ZURU常规格式
5. 出货方式：货代自提，兴信出货
71137：
1. 71137-S002-ROBO ALIVE-STANDARD-SERIES 1-COBRA-WINDOW BOX-6PCS/CTN
2. MA 1L包装，彩盒UPC显示193052069641；
3. 每个外箱正唛箱唛信息左上方位置粘贴条码箱贴纸，每箱只贴一张,由ZURU订购, 来料贴纸显示客户的DPCI#087-02-7260，UPC显示10193052069648；
4. 产品和包装上要印刷tracking code信息，格式为ZURU常规；
5 出货方式：货代自提，兴信出货。</t>
  </si>
  <si>
    <t>ZB02418-10.14</t>
  </si>
  <si>
    <t>MARKET GROUP􀂻 LLC</t>
  </si>
  <si>
    <t>Order 19</t>
  </si>
  <si>
    <t>4500178086-50</t>
  </si>
  <si>
    <t>进口商贴纸翻4500178070</t>
  </si>
  <si>
    <t>日期码格式：ZURU INC(BVI) 标准格式 日期：按实际生产日期
Packaging Info:71126: 3LMA EAN 彩卡+进口商贴纸翻4500178070，MA说明书；
2. 货期不能延后，客人有罚金。
Remark: 1.标准配比;
2.分两批出货; 需要提供self inspection report 给客户review 确认后才能放货；</t>
  </si>
  <si>
    <t>96895-2-11.8</t>
  </si>
  <si>
    <t>order 18</t>
  </si>
  <si>
    <t>4500178070-50</t>
  </si>
  <si>
    <t>进口商贴纸</t>
  </si>
  <si>
    <t>日期码格式：ZURU INC(BVI) 标准格式 日期：按实际生产日期
Packaging Info:71126: 3LMA EAN 彩卡+进口商贴纸，MA说明书；
2. 货期不能延后，客人有罚金。
Remark: 1.标准配比;
2.分两批出货; 需要提供self inspection report 给客户review 确认后才能放货；</t>
  </si>
  <si>
    <t>96894-2-11.8</t>
  </si>
  <si>
    <t>WM
PO#0941748558
/WM
item#66896981
8/GTIN#001930
52064240/STK#
71126</t>
  </si>
  <si>
    <t>4500178346-10</t>
  </si>
  <si>
    <t>10/10BV到厂验货</t>
  </si>
  <si>
    <t>ZB02682-10.29</t>
  </si>
  <si>
    <t>WM
PO#0941748850
/WM
item#66896981
8/GTIN#001930
52064240/STK#
71126</t>
  </si>
  <si>
    <t>4500178346-20</t>
  </si>
  <si>
    <t>ZB02623-10.25</t>
  </si>
  <si>
    <t>4500174747-30</t>
  </si>
  <si>
    <t>ZB02607-10.24</t>
  </si>
  <si>
    <t>4500176230-20</t>
  </si>
  <si>
    <t>ZB02610-10.24</t>
  </si>
  <si>
    <t>4500173984-40</t>
  </si>
  <si>
    <t>ZB02609-10.24</t>
  </si>
  <si>
    <t>10001455739-3890</t>
  </si>
  <si>
    <t>4500178462-10</t>
  </si>
  <si>
    <t>粘贴条码箱贴纸，每箱只贴一张,由ZURU订购,</t>
  </si>
  <si>
    <t>日期码格式：ZURU INC(BVI) 标准格式 日期：按实际生产日期
Packaging Info: 71126：MA 1L包装+说明书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4. 产品和包装上印刷tracking code信息，格式为ZURU常规格式
5. 出货方式：货代自提，兴信出货</t>
  </si>
  <si>
    <t>ZB02688-10.29</t>
  </si>
  <si>
    <t>W0734381</t>
  </si>
  <si>
    <t>4500176896-40</t>
  </si>
  <si>
    <t>ZB02445(REV1)-10.15</t>
  </si>
  <si>
    <t>4500177236-20</t>
  </si>
  <si>
    <t xml:space="preserve">10/10交仓
</t>
  </si>
  <si>
    <t>A96625-10.10</t>
  </si>
  <si>
    <t>4500177240-20</t>
  </si>
  <si>
    <t>A96626-10.10</t>
  </si>
  <si>
    <t>10001498297-3891</t>
  </si>
  <si>
    <t>4500177916-10</t>
  </si>
  <si>
    <t xml:space="preserve">10/7提货
</t>
  </si>
  <si>
    <t>ZB02290-10.9</t>
  </si>
  <si>
    <t>ZUR-F250813-03</t>
  </si>
  <si>
    <t>4500178677-20</t>
  </si>
  <si>
    <t>日期码格式：ZURU INC(BVI) 标准格式 日期：按实际生产日期
Packaging Info: MA PKG, 优先1L
Remark:</t>
  </si>
  <si>
    <t>4500178926-10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</si>
  <si>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</si>
  <si>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A96722-10.14</t>
  </si>
  <si>
    <t xml:space="preserve"> 
21105429</t>
  </si>
  <si>
    <t>4500178925-10</t>
  </si>
  <si>
    <t>日期码格式：ZURU INC(BVI) 标准格式 日期：按实际生产日期
Packaging Info: 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</si>
  <si>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A96721-10.24</t>
  </si>
  <si>
    <t>O’KEY</t>
  </si>
  <si>
    <t>4500173349-30</t>
  </si>
  <si>
    <t>日期码格式：ZURU INC(BVI) 标准格式 日期：按实际生产日期
Packaging Info:
71126：3L EAN 彩卡+进口商贴纸，加一张客版说明书做成书纸（同MA说明书放在一起）MA 说明书；
Remark: 标准配比</t>
  </si>
  <si>
    <t>10001468385-0581</t>
  </si>
  <si>
    <t>4500178464-10</t>
  </si>
  <si>
    <t>ZB02689-10.29</t>
  </si>
  <si>
    <t>WM
PO#0945196886
/WM
item#66896981
8/GTIN#001930
52064240/STK#
71126</t>
  </si>
  <si>
    <t>4500179644-20</t>
  </si>
  <si>
    <t>BV转自检</t>
  </si>
  <si>
    <t>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t>
  </si>
  <si>
    <t>欠RFID 贴纸</t>
  </si>
  <si>
    <t>ZB02745-11.1</t>
  </si>
  <si>
    <t>WM
PO#0945197057
/WM
item#66896981
8/GTIN#001930
52064240/STK#
71126</t>
  </si>
  <si>
    <t>4500179644-30</t>
  </si>
  <si>
    <t>ZB02905-11.13</t>
  </si>
  <si>
    <t>218109133 DC
802</t>
  </si>
  <si>
    <t>4500179184-100</t>
  </si>
  <si>
    <t>ZB02885-11.12</t>
  </si>
  <si>
    <t>218109132 DC
086</t>
  </si>
  <si>
    <t>4500179184-120</t>
  </si>
  <si>
    <t>ZB02866-11-10</t>
  </si>
  <si>
    <t>W0738938</t>
  </si>
  <si>
    <t>4500179747-30</t>
  </si>
  <si>
    <t>贴价格贴纸</t>
  </si>
  <si>
    <t>ZB03096-11.25</t>
  </si>
  <si>
    <t>4500180437-40</t>
  </si>
  <si>
    <t>客人白色Cat.label 1张覆盖ZURU条码</t>
  </si>
  <si>
    <t>日期码格式：ZURU INC(BVI) 标准格式 日期：按实际生产日期
Packaging Info: 1.1L MA 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3.请先检查条码是否正确再安排做，标签上的目录编号数字（7729528和5799598）高度必须至少为5mm （14.17pt），71152条码扫描结果应为7729528;71126扫描结
果为5799598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</si>
  <si>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777 2JAN26</t>
  </si>
  <si>
    <t>4500179105-50</t>
  </si>
  <si>
    <t>日期码格式：ZURU INC(BVI) 标准格式 日期：按实际生产日期
Packaging Info: MA 最新UPC包装，各款的条码如下，请先检查条码是否正确再安排做货，如有问题请告知
配比跟MA
4.71126-S001:最新MA UPC包装+B版 WEEE声明不带电池走货欧洲 30 语通用黑白说明书;UPC#193052064240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</si>
  <si>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97000-11.22</t>
  </si>
  <si>
    <t>WM
PO#0947943637
/WM
item#66896981
8/GTIN#001930
52064240/STK#
71126</t>
  </si>
  <si>
    <t>4500180675-20</t>
  </si>
  <si>
    <t>日期码格式：ZURU DGYYMMDD CHINA(日期避开周末和法定节假日） 日期：按实际生产日期
Packaging Info:
"1.包装信息：
71126：MA 1L A版彩盒+ MA B版说明书"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</si>
  <si>
    <t>ZB02919-11.15</t>
  </si>
  <si>
    <t>WM
PO#0947943639
/WM
item#66896981
8/GTIN#001930
52064240/STK#
71126</t>
  </si>
  <si>
    <t>4500180675-30</t>
  </si>
  <si>
    <t>ZB03042-11.22</t>
  </si>
  <si>
    <t>WM
PO#0947943642
/WM
item#66896981
8/GTIN#001930
52064240/STK#
71126</t>
  </si>
  <si>
    <t>4500180675-40</t>
  </si>
  <si>
    <t>ZB02920-11.15</t>
  </si>
  <si>
    <t>WM
PO#0947943647
/WM
item#66896981
8/GTIN#001930
52064240/STK#
71126</t>
  </si>
  <si>
    <t>4500180675-60</t>
  </si>
  <si>
    <t>ZB03044-11.22</t>
  </si>
  <si>
    <t>WM
PO#0947943656
/WM
item#66896981
8/GTIN#001930
52064240/STK#
71126</t>
  </si>
  <si>
    <t>4500180675-100</t>
  </si>
  <si>
    <t>ZB03109-11.26</t>
  </si>
  <si>
    <t>WM
PO#0947943658
/WM
item#66896981
8/GTIN#001930
52064240/STK#
71126</t>
  </si>
  <si>
    <t>4500180675-110</t>
  </si>
  <si>
    <t>ZB03107-11.26</t>
  </si>
  <si>
    <t>WM
PO#0947943659
/WM
item#66896981
8/GTIN#001930
52064240/STK#
71126</t>
  </si>
  <si>
    <t>4500180675-120</t>
  </si>
  <si>
    <t>ZB03158-11.29</t>
  </si>
  <si>
    <t>CUS PO
4400512539</t>
  </si>
  <si>
    <t>4500180804-10</t>
  </si>
  <si>
    <t>日期码格式：ZURU INC(BVI) 标准格式 日期：按实际生产日期
Packaging Info: 71126: MA3L-23Lwarning EAN彩盒+MA 5L-9Lwarning说明书+WEEE声明(不带电池)走货欧洲通用30L-B版说明书
EAN#4894680033405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</si>
  <si>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AMAZON ES</t>
  </si>
  <si>
    <t>Amazon
ES:1BDHPG3S</t>
  </si>
  <si>
    <t>4500179692-40</t>
  </si>
  <si>
    <t>SSCC LABEL一张+1张贴纸(UPC#+IT/ES环保标+GPSR邮箱care@zuru.com，参考翻单PO#450016
 4250)</t>
  </si>
  <si>
    <t>日期码格式：ZURU INC(BVI) 标准格式 日期：按实际生产日期
Packaging Info: Amazon ES(71126/71137/92104A/9279H/9543E/15701A/15710AB/15726E/15728B/15763BD/77515)/IT(77731/92104H/9543E/15711B)
1. 71126：1pc/window box,6window boxes/ctn; MA 3L(23L warning EAN#)A 开窗彩盒+1张贴纸(UPC#+IT/ES环保标+GPSR邮箱care@zuru.com，参考翻单PO#450016
4250)+MA 5L(9L warning) B说明书+MA 其他最新包装+WEEE电子产品说明书30L(不带电池走货B版)；
最迟验货不得晚于2025/11/7;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</si>
  <si>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Mandy Hu</t>
  </si>
  <si>
    <t>4500180345-30</t>
  </si>
  <si>
    <t>中文3C贴纸 翻单： 4500177169</t>
  </si>
  <si>
    <t>日期码格式：ZURU INC(BVI) 标准格式 日期：按实际生产日期
Packaging Info: 物料要求 SKU
3 71126 MA +中文说明书+中文3C贴纸 翻单： 4500177169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此单启用防窜码 贴纸</t>
  </si>
  <si>
    <t>97043-11.27</t>
  </si>
  <si>
    <t>Amazon UK:
6JRLKDYI</t>
  </si>
  <si>
    <t>4500180739-20</t>
  </si>
  <si>
    <t>SSCC LABEL一张</t>
  </si>
  <si>
    <t>1张贴纸(UPC#+IT/ES环保标+GPSR邮箱care@zuru.com，参考翻单PO#450016
 4250</t>
  </si>
  <si>
    <t>日期码格式：ZURU INC(BVI) 标准格式 日期：按实际生产日期
Packaging Info: Amazon UK(77731/71126)
2. 71126: 1pc/window box,6window boxes/ctn; MA 3L(23L warning EAN#)A 开窗彩盒+1张贴纸(UPC#+IT/ES环保标+GPSR邮箱care@zuru.com，参考翻单PO#450016
4250)+MA 5L(9L warning) B说明书+MA 其他最新包装+WEEE电子产品说明书30L(不带电池走货B版)；
3.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</si>
  <si>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SCHEEL'S ALL SPORTS, INC.</t>
  </si>
  <si>
    <t>020643130</t>
  </si>
  <si>
    <t>4500178974-40</t>
  </si>
  <si>
    <t>产品包装及产品本身都必须有日期跟踪码，并且确保两者的日期跟踪码要一致；ZURU标准格式日期码(请自行调整具体年月日生产期，但不能为周
 末）。</t>
  </si>
  <si>
    <t>日期码格式：ZURU INC(BVI) 标准格式 日期：按实际生产日期
Packaging Info: 1. 包装：ZURU MA 最新UPC版本；出口美国，CA；
Remark: 2. 日期跟踪码：产品包装及产品本身都必须有日期跟踪码，并且确保两者的日期跟踪码要一致；ZURU标准格式日期码(请自行调整具体年月日生产期，但不能为周
末）。
3. 此单有3个客户PO， 请见侧边备注；
4. 出货配比: Zuru 标版配比。</t>
  </si>
  <si>
    <t>ZB02903-11.13</t>
  </si>
  <si>
    <t>PO#60X454090</t>
  </si>
  <si>
    <t>4500180967-70</t>
  </si>
  <si>
    <t>验货+ 抽板 （同一天进行）
预约11月13日第三方（利丰）到工厂做100%大货现场验货和抽板，验货需打印EPM出来跟客户回签样板供第三方验货参考。
 PS:EPM是跟单提供。</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</si>
  <si>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#71126 签样同旧单4500169184，但如果包材有更新需重新寄更新的包材重新签样。
一套样板将寄到美国HEB，两套寄到以下深圳利丰地址，到时利丰会回签一套用于第三方100%大货验货。
回签的样板工厂需要保存好，只要产品物料没更新，签样一年内有效，一年内将不再走客户签样流程。
* #92129TQ2; #93125: 3pcs 成品+1个空PDQ样板
*#77773GQ1: 4pcs成品球+1个空PDQ 样板
寄到以下地址
深圳雨禾伟业实业有限公司
地址：广东省深圳市罗湖区东门南路1006号文锦渡口岸大厦B栋7楼
收件人：Elsa
电话：0755 6688 1988 Ext3337
* #92129TQ2; #93125: 每款每色2pcs成品+2个空PDQ+ 2套散件（如果产品涉及散件的话）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</si>
  <si>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PO# 35464</t>
  </si>
  <si>
    <t>4500181018-40</t>
  </si>
  <si>
    <t>Angel Lin</t>
  </si>
  <si>
    <t>ZB03045-11.22</t>
  </si>
  <si>
    <t>288786</t>
  </si>
  <si>
    <t>4500180575-20</t>
  </si>
  <si>
    <t>care@zuru.com邮箱地址/外包装电池信息翻译做成一张纸贴在彩盒上(贴纸和位置图翻PO#4500160378)+play instruction/to replace battery/battery safety information/WEEE全部信息翻译成德语荷兰语做成贴纸贴在说明书上(位置图覆盖图片
 ，不能覆盖其他语言</t>
  </si>
  <si>
    <t>客版6L说明书
 (翻单4500162375)</t>
  </si>
  <si>
    <t>日期码格式：ZURU INC(BVI) 标准格式 日期：按实际生产日期
Packaging Info: 
2. 71126: MA A 3L(23L warning) EAN版彩盒+care@zuru.com邮箱地址/外包装电池信息翻译做成一张纸贴在彩盒上(贴纸和位置图翻PO#4500160378)+客版6L说明书
(翻单4500162375)+play instruction/to replace battery/battery safety information/WEEE全部信息翻译成德语荷兰语做成贴纸贴在说明书上(位置图覆盖图片
，不能覆盖其他语言)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71126-S001:4894680033405</t>
  </si>
  <si>
    <t>96989-11.21</t>
  </si>
  <si>
    <t>客版6L说明书(翻单4500162375)</t>
  </si>
  <si>
    <t>0953842279</t>
  </si>
  <si>
    <t>4500183179-90</t>
  </si>
  <si>
    <t>11/17BV</t>
  </si>
  <si>
    <r>
      <rPr>
        <sz val="9"/>
        <color rgb="FF010CDD"/>
        <rFont val="STSong-Light-Identity-H"/>
        <charset val="134"/>
      </rPr>
      <t xml:space="preserve">RFID </t>
    </r>
    <r>
      <rPr>
        <sz val="9"/>
        <color rgb="FF010CDD"/>
        <rFont val="宋体"/>
        <charset val="134"/>
      </rPr>
      <t>贴纸</t>
    </r>
  </si>
  <si>
    <t>上贴一张10*10cm 白色艾利贴纸</t>
  </si>
  <si>
    <t>4500175911-50</t>
  </si>
  <si>
    <t>日期码格式：ZURU INC(BVI) 标准格式 日期：按实际生产日期
Packaging Info: 
5. 71126: MA A 3L(23L warning) EAN版彩盒+care@zuru.com邮箱地址/外包装电池信息翻译做成一张纸贴在彩盒上(贴纸和位置图翻PO#4500160378)+客版6L说明书
(翻单4500162375)
Remark: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71126-S001:4894680033405</t>
  </si>
  <si>
    <t>97053-11.28</t>
  </si>
  <si>
    <t>WM
PO#0951148671
/WM
item#66896981
8/GTIN#001930
52064240/STK#
71126</t>
  </si>
  <si>
    <r>
      <rPr>
        <sz val="10"/>
        <color rgb="FF010CDD"/>
        <rFont val="等线"/>
        <charset val="134"/>
      </rPr>
      <t>4500181902</t>
    </r>
    <r>
      <rPr>
        <b/>
        <sz val="10"/>
        <color rgb="FF010CDD"/>
        <rFont val="等线"/>
        <charset val="134"/>
      </rPr>
      <t>-10</t>
    </r>
  </si>
  <si>
    <t>OUTLET DRIFT AS</t>
  </si>
  <si>
    <t>4500181980-80</t>
  </si>
  <si>
    <t>日期码格式：ZURU INC(BVI) 标准格式 日期：按实际生产日期
Packaging Info:
71126： MA EAN 3L A+ 客版6L说明书（翻单4500162375）
Remark: 1/配比:
71126: One assortment
2/产品和包装要求无硼无香，包装不能含有PVC
3/如有微塑料，必须合规欧洲标准，并增加微塑料合规IFUD声明在说明书上
4/带电池出货的产品，所用到的电池需要符合欧洲电池新规(EU)2023-1542，并增加对应WEEE 说明</t>
  </si>
  <si>
    <t>96999-11.22</t>
  </si>
  <si>
    <t>ECDC72799425</t>
  </si>
  <si>
    <t>4500182080-10</t>
  </si>
  <si>
    <t>日期码格式：ZURU INC(BVI) 标准格式 日期：按实际生产日期
Packaging Info: 1. ZURU MA UPC 优先1L 最新包装，版本统一，不得混包材， 出口美国
Remark: 2. 产品和包装需有日期码, ZURU标准日期码格式, 按照实际生产自行调整日期,但不能为周末,日期保持一致。
3.出货时柜子要贴柜门纸（装箱单），如果没有贴导致客户罚款，费用会跟工厂收取
装柜要拍照留底，记录如何装柜，以防客户投诉货物短装时无证据
4.大货配比： ZURU 标准配比
5. 出货前一周寄两箱大货样到深圳办公室以便寄给客人。 样品要求跟大货一样。</t>
  </si>
  <si>
    <t>HCDC72799446</t>
  </si>
  <si>
    <t>4500182080-20</t>
  </si>
  <si>
    <t>PLDC72799438</t>
  </si>
  <si>
    <t>4500182080-30</t>
  </si>
  <si>
    <t>SHXD72799451</t>
  </si>
  <si>
    <t>4500182080-40</t>
  </si>
  <si>
    <t>4500182634-10</t>
  </si>
  <si>
    <t>进口商贴纸(贴纸翻单4500144128)+彩色贴纸(贴纸翻单4500144128)</t>
  </si>
  <si>
    <t>日期码格式：ZURU INC(BVI) 标准格式 日期：按实际生产日期
Packaging Info: 71126：包装MA-1L-UPC彩盒+进口商贴纸+彩色贴纸(贴纸翻单4500144128)，彩盒UPC条码显示193052064240，产品年龄3+；
客人箱唛排版，印4面，条码需要可扫，条码内容193052064240；</t>
  </si>
  <si>
    <t>Nora Pan</t>
  </si>
  <si>
    <t>4500181881-10</t>
  </si>
  <si>
    <t>进口商贴纸+ QR code贴纸（要求每1PCS 的QR 不一样 ）</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</si>
  <si>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</si>
  <si>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97109-12.1</t>
  </si>
  <si>
    <t>MID-STATES DISTRIBUTING, LLC</t>
  </si>
  <si>
    <t>Murdoch's
Ranch &lt;(&gt;&amp;&lt;)&gt;
Home Southern
671837600</t>
  </si>
  <si>
    <t>4500182883-90</t>
  </si>
  <si>
    <t>Murdoch's
Ranch &lt;(&gt;&amp;&lt;)&gt;
Home Tx
671837716</t>
  </si>
  <si>
    <t>4500182883-260</t>
  </si>
  <si>
    <t>12/8入仓</t>
  </si>
  <si>
    <t>0953842269</t>
  </si>
  <si>
    <t>4500183179-70</t>
  </si>
  <si>
    <t>2025/12/5 BV</t>
  </si>
  <si>
    <t>0953842274</t>
  </si>
  <si>
    <t>4500183179-80</t>
  </si>
  <si>
    <t>CUS PO#4400518038</t>
  </si>
  <si>
    <t>4500182620-10</t>
  </si>
  <si>
    <t xml:space="preserve">日期码格式：ZURU INC(BVI) 标准格式 日期：按实际生产日期
Packaging Info: 71126: MA3L-23Lwarning EAN彩盒+MA 5L-9Lwarning说明书+WEEE声明(不带电池)走货欧洲通用30L-B版说明书
 EAN#4894680033405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
</t>
  </si>
  <si>
    <t>Murdoch's
Ranch &lt;(&gt;&amp;&lt;)&gt;
Home Northern
671837618</t>
  </si>
  <si>
    <t>4500182883-210</t>
  </si>
  <si>
    <t>TAS IMPORT AS(LEKEKASSEN)</t>
  </si>
  <si>
    <t>4500177965-20</t>
  </si>
  <si>
    <t>客人进口商地址贴纸(贴纸和位置图翻PO#4500161075)+客版6L说明书(翻单4500162375)</t>
  </si>
  <si>
    <t>日期码格式：ZURU INC(BVI) 标准格式 日期：按实际生产日期
Packaging Info:
2. 71126: MA A 3L(23L warning) EAN版彩盒+客人进口商贴纸+客版6L说明书(翻单4500162375)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71126-S001:4894680033405</t>
  </si>
  <si>
    <t>WM
PO#0957323064
/WM
item#66896981
8/GTIN#001930
52064240/STK#
71126</t>
  </si>
  <si>
    <t>4500185179-30</t>
  </si>
  <si>
    <t>2025/12/19 BV验货</t>
  </si>
  <si>
    <r>
      <rPr>
        <sz val="10"/>
        <color rgb="FF010CDD"/>
        <rFont val="等线"/>
        <charset val="134"/>
      </rPr>
      <t>日期码格式：ZURU DGYYMMDD CHINA(日期避开周末和法定节假日） 日期：按实际生产日期
Packaging Info:</t>
    </r>
    <r>
      <rPr>
        <sz val="11"/>
        <color rgb="FF010CDD"/>
        <rFont val="等线"/>
        <charset val="134"/>
      </rPr>
      <t xml:space="preserve">
"1.包装信息：</t>
    </r>
    <r>
      <rPr>
        <sz val="10"/>
        <color rgb="FF010CDD"/>
        <rFont val="等线"/>
        <charset val="134"/>
      </rPr>
      <t xml:space="preserve">
71126：MA 1L A版彩盒+ MA B版说明书"
Remark:
"71126:
""2. 此单走SLIP SHEET，外箱印刷RFID箱唛（四面右下角印ZURU logo并要有""""Made in China""""字样, 外箱一面正唛直接印刷订单内容（从每行remark处获取
），不再贴贴纸)。
3. SLIP SHEET上贴一张10*10cm 白色艾利贴纸(由工厂自行找自己合作开的供应商采购, 参照艾利贴纸的材质和字体,字体颜色黑色, 14位条码类型选ITF 14, 按
每行remark的内容安排, 确保条码清晰可读可被成功扫描) + 一张普通贴纸（可用A4纸打印，尺寸不可比艾利贴纸小）。
4.在产品和包装上要有日期码、MADE IN CHINA和ZURU字样
5. 产品如有扎带口要剪平，不能刮手。
6. 71126: 1pcs装一箱，98箱/slip sheet 3pcs AAA batteries are not included
7. 此单需要验货，烦请多备包装物料
8. 每PCS要加RFID 贴纸，严格按照我们提供的位置图，不可擅自调整位置，贴纸也不可有任何破损或折坏，不可淋湿!!"""</t>
    </r>
  </si>
  <si>
    <t>WM
PO#0957323066
/WM
item#66896981
8/GTIN#001930
52064240/STK#
71126</t>
  </si>
  <si>
    <t>4500185179-40</t>
  </si>
  <si>
    <t>WM
PO#0957323090
/WM
item#66896981
8/GTIN#001930
52064240/STK#
71126</t>
  </si>
  <si>
    <t>4500185179-130</t>
  </si>
  <si>
    <t>COMERCIALIZADORA MEXICO AMERICANA S</t>
  </si>
  <si>
    <t>5251219086</t>
  </si>
  <si>
    <t>4500184485-60.</t>
  </si>
  <si>
    <t>客户进口商贴纸</t>
  </si>
  <si>
    <t>日期码格式：LOTDGYYYYMMDD 日期：按实际生产日期
Packaging Info: 
5. 71126： MA 3L EAN包装+UPC条码贴纸+MA多语说明书+客户进口商贴纸+保证书+箱唛，产品/包装/说明书上各贴1张进口商贴纸；保证书翻单PO4500139258，贴纸
请等我们提供
Remark: 1. 客版日期码要求：LOT+ZURU标准日期码格式。东莞生产的格式：LOTDGYYYYMMDD, DG是东莞拼音首字母，
YYYYMMDD是实际的年月日，例如(LOTDG20240920)
2.
71126：71126：3PCS AAA BATTERIES (NOT INCLUDED)
4. 此单有第三方监柜，至少多备一套完整的物料用于监柜，请多备料。
5. WM墨西哥防霉的新要求:货物必须在出货主箱和集装箱中按要求放置干燥剂，干燥剂指定品牌干霸
71126：需要在每箱放入14小包干燥剂，每包干燥剂重量2-3g
如走柜货等loading plan 确认后再通知集装箱干燥剂数量
此单将由工厂安排1*40HC，每个HC需要放置20包干燥剂，每包干燥剂1KG</t>
  </si>
  <si>
    <t>42367255</t>
  </si>
  <si>
    <t>4500185399-30</t>
  </si>
  <si>
    <t>1/14入仓</t>
  </si>
  <si>
    <t>日期码格式：ZURU INC(BVI) 标准格式 日期：按实际生产日期
Packaging Info: 1、包装方式：
其他款：MA UPC优先1L最新版，出口美国
Remark: 2、无第三方测试&lt;(&gt;&amp;&lt;)&gt;验货要求
3、纸箱4面印ZURU LOGO + 箱唛
4、日期码请按ZURU标准版执行即可
5、ZURU OQC验货</t>
  </si>
  <si>
    <t>47:0003176514</t>
  </si>
  <si>
    <t>4500184553-10</t>
  </si>
  <si>
    <t>1张日语贴纸（请留意贴纸不得遮挡日期码）（贴纸资料翻单PO#4500166578</t>
  </si>
  <si>
    <t>日期码格式：ZURU INC(BVI) 标准格式 日期：按实际生产日期
Packaging Info: 71126：MA 1L PKG+1张日语贴纸（请留意贴纸不得遮挡日期码）（贴纸资料翻单PO#4500166578）
Remark: 1.产品品质和内容材质以及包装版本等都需跟到上一单（4500166578）
2. 请多备几个外箱出货，避免外箱到仓库后出现破损情况。</t>
  </si>
  <si>
    <t>WALGREENS CO.</t>
  </si>
  <si>
    <t>4560812712</t>
  </si>
  <si>
    <t>4500185001-30</t>
  </si>
  <si>
    <t>2/16抽板测试</t>
  </si>
  <si>
    <t>WIC 贴纸 （WIC # 772947，同PO4500153786）</t>
  </si>
  <si>
    <t>日期码格式：ZURU INC(BVI) 标准格式 日期：12-15-2025
Packaging Info: MA 包装 + WIC 贴纸 （WIC # 772947，同PO4500153786）
Remark: 产品和包装上要有ZURU 标准格式 tracking code DG20251215
请在12/23前寄出2套大货样。</t>
  </si>
  <si>
    <t>4560812895</t>
  </si>
  <si>
    <t>4500185001-90</t>
  </si>
  <si>
    <t>4560812747</t>
  </si>
  <si>
    <t>4500185001-10</t>
  </si>
  <si>
    <t>4560812743</t>
  </si>
  <si>
    <t>4500185001-20</t>
  </si>
  <si>
    <t>4560812682</t>
  </si>
  <si>
    <t>4500185001-40</t>
  </si>
  <si>
    <t>4560812872</t>
  </si>
  <si>
    <t>4500185001-50</t>
  </si>
  <si>
    <t>4560812847</t>
  </si>
  <si>
    <t>4500185001-60</t>
  </si>
  <si>
    <t>4560813059</t>
  </si>
  <si>
    <t>4500185001-70</t>
  </si>
  <si>
    <t>4560812804</t>
  </si>
  <si>
    <t>4500185001-80</t>
  </si>
  <si>
    <t>4560812946</t>
  </si>
  <si>
    <t>4500185001-100</t>
  </si>
  <si>
    <t>4500185070-50</t>
  </si>
  <si>
    <t>进口商贴纸（进口商贴纸同UPC贴纸合并一张）</t>
  </si>
  <si>
    <t>日期码格式：ZURU INC(BVI) 标准格式 日期：按实际生产日期
Packaging Info: 1. 请注意有电池指定品牌：
2. 请确保包装上的条形码是UPC，如果是babyUPC，需要用mother UPC覆盖，如有不一致，请及时提出。谢谢!
71126MA 多语EAN 包装+MA 多语说明书+进口商贴纸（进口商贴纸同UPC贴纸合并一张）+箱唛,,
Remark: 
71126,,one assorment,,</t>
  </si>
  <si>
    <t>0960241800</t>
  </si>
  <si>
    <t>4500187126-20</t>
  </si>
  <si>
    <t>箱唛翻单：4500185179</t>
  </si>
  <si>
    <t>日期码格式：ZURU DGYYMMDD CHINA(日期避开周末和法定节假日） 日期：按实际生产日期
Packaging Info: 包装/箱唛翻单：4500185179
1.包装方式：
71126 UPC：193052064240
4.此单需要验货，请自行多备包装物料。
5.产品如有扎带口要剪平，不能刮手
6.在产品上和包装上要有日期码、MADE IN CHINA和ZURU字样。
7.此批单都为Slip sheet出货，Slip sheet上贴外箱条码（工厂自己打印或订购贴纸，不可用A4纸打印！）+普通贴纸（普通贴纸可用A4纸打印，尺寸不可比艾利贴
纸小），普通贴纸见附件。
71126SLB-S001: 1pcs/CTN,98CTN/98PCS/Slip sheet
8.每PCS要加RFID 贴纸，严格按照我们提供的位置图，不可擅自调整位置，贴纸也不可有任何破损或折坏，不可淋湿（如缺数请及时告知）</t>
  </si>
  <si>
    <t>Nikki Mo</t>
  </si>
  <si>
    <t>0960241840</t>
  </si>
  <si>
    <t>4500187129-20</t>
  </si>
  <si>
    <t>日期码格式：ZURU DGYYMMDD CHINA(日期避开周末和法定节假日） 日期：按实际生产日期
Packaging Info: 包装/箱唛翻单：4500185179
1.包装方式：
71126：MA 1L+23L Warning A版-UPC版本彩盒+ MA B版说明书
Remark: 2. 外箱四面印刷紫色RFID箱唛
主唛左前下角印刷艾利贴纸替代标箱唛(ITF-14格式)，条码只印刷一面。
主唛右下角加印 MADE IN CHINA以及ZURU LOGO
3.71126 UPC：193052064240
4.此单需要验货，请自行多备包装物料。
5.产品如有扎带口要剪平，不能刮手
6.在产品上和包装上要有日期码、MADE IN CHINA和ZURU字样。
7.此批单71126为Slip sheet出货。Slip sheet上贴外箱条码（工厂自己打印或订购贴纸，不可用A4纸打印！）+普通贴纸（普通贴纸
可用A4纸打印，尺寸不可比艾利贴纸小），普通贴纸见附件。
71126SLB-S001: 1pcs/CTN,98CTN/98PCS/Slip sheet
8.每PCS要加RFID 贴纸，严格按照我们提供的位置图，不可擅自调整位置，贴纸也不可有任何破损或折坏，不可淋湿（如缺数请及时告知）</t>
  </si>
  <si>
    <t>0960241851</t>
  </si>
  <si>
    <t>4500187131-20</t>
  </si>
  <si>
    <t>BV1/7</t>
  </si>
  <si>
    <t>0960241826</t>
  </si>
  <si>
    <t>4500187133-20</t>
  </si>
  <si>
    <t>0960241805</t>
  </si>
  <si>
    <t>4500187136-20</t>
  </si>
  <si>
    <t>日期码格式：ZURU DGYYMMDD CHINA(日期避开周末和法定节假日） 日期：按实际生产日期
Packaging Info: 包装/箱唛翻单：4500185179
1.包装方式：
71126：MA 1L+23L Warning A版-UPC版本彩盒+ MA B版说明书
Remark: 2. 外箱四面印刷紫色RFID箱唛
主唛左前下角印刷艾利贴纸替代标箱唛(ITF-14格式)，条码只印刷一面。
主唛右下角加印 MADE IN CHINA以及ZURU LOGO
3.71126 UPC：193052064240
4.此单需要验货，请自行多备包装物料。
5.产品如有扎带口要剪平，不能刮手
6.在产品上和包装上要有日期码、MADE IN CHINA和ZURU字样。
7.此批单71126为Slip sheet出货。Slip sheet上贴外箱条码（工厂自己打印或订购贴纸，不可用A4纸打印！）+普通贴纸（普通贴纸
可用A4纸打印，尺寸不可比艾利贴纸小），普通贴纸见附件。
71126SLB-S001: 1pcs/CTN, 98CTN/98PCS/Slip sheet
8.每PCS要加RFID 贴纸，严格按照我们提供的位置图，不可擅自调整位置，贴纸也不可有任何破损或折坏，不可淋湿（如缺数请及时告知）</t>
  </si>
  <si>
    <t>0960241866</t>
  </si>
  <si>
    <t>4500187137-20</t>
  </si>
  <si>
    <t>0960248531</t>
  </si>
  <si>
    <t>4500187138-20</t>
  </si>
  <si>
    <t>日期码格式：ZURU DGYYMMDD CHINA(日期避开周末和法定节假日） 日期：按实际生产日期
Packaging Info: 包装/箱唛翻单：4500185179
1.包装方式：
71126：MA 1L+23L Warning A版-UPC版本彩盒+ MA B版说明书
Remark: 2. 外箱四面印刷紫色RFID箱唛
主唛左前下角印刷艾利贴纸替代标箱唛(ITF-14格式)，条码只印刷一面。
主唛右下角加印 MADE IN CHINA以及ZURU LOGO
3.71126 UPC：193052064240
4.此单需要验货，请自行多备包装物料。
5.产品如有扎带口要剪平，不能刮手
6.在产品上和包装上要有日期码、MADE IN CHINA和ZURU字样。
7.此批单都为Slip sheet出货，Slip sheet上贴外箱条码（工厂自己打印或订购贴纸，不可用A4纸打印！）+普通贴纸（普通贴纸可用A4纸打印，尺寸不可比艾利贴
纸小），普通贴纸见附件。
71126SLB-S001: 1pcs/CTN, 98CTN/98PCS/Slip sheet
8.每PCS要加RFID 贴纸，严格按照我们提供的位置图，不可擅自调整位置，贴纸也不可有任何破损或折坏，不可淋湿（如缺数请及时告知）</t>
  </si>
  <si>
    <t>60263683</t>
  </si>
  <si>
    <t>4500185343-40</t>
  </si>
  <si>
    <t>客供价格贴纸</t>
  </si>
  <si>
    <t>Blanche Huang</t>
  </si>
  <si>
    <t>ZU02-26</t>
  </si>
  <si>
    <t>4500183616-30</t>
  </si>
  <si>
    <t>进口商贴纸+UPC贴纸</t>
  </si>
  <si>
    <t xml:space="preserve">日期码格式：ZURU INC(BVI) 标准格式 日期：按实际生产日期
Packaging Info:
其余item：MA 多语EAN包装+进口商贴纸+UPC贴纸+箱唛
Remark: </t>
  </si>
  <si>
    <t>4500187427-20</t>
  </si>
  <si>
    <t>日期码格式：ZURU INC(BVI) 标准格式 日期：按实际生产日期
Packaging Info: 
"71126: MA3L-23Lwarning EAN彩盒+MA 5L-9Lwarning说明书+WEEE声明(不带电池)走货欧洲通用30L-B版说明书
EAN#4894680033405"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</si>
  <si>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4500187838-50</t>
  </si>
  <si>
    <t>一张进口商贴纸（含环保标）（贴纸翻单4500153788）</t>
  </si>
  <si>
    <t>日期码格式：ZURU INC(BVI) 标准格式 日期：按实际生产日期
Packaging Info: 
5.71126：最新MA 3L EAN 版本包装+一张进口商贴纸（含环保标）+MA 5L说明书+WEEE不带电池走货欧洲30语通用黑白说明书；（贴纸翻单4500153788）；
Remark: 1.此单出西班牙市场，需满足EU测试标准要求，微塑料需符合EU法规。
2.包装必须要含西班牙环保标和 care@zuru.com 邮箱地址以及CE LOGO；
3.毛绒玩具需要西班牙语言的洗涤说明；
4.电子产品需要WEEE说明书；</t>
  </si>
  <si>
    <t>4500188139-10</t>
  </si>
  <si>
    <t>1/12第三方</t>
  </si>
  <si>
    <t>包装/箱唛翻单：4500187126</t>
  </si>
  <si>
    <t>RFID 贴纸</t>
  </si>
  <si>
    <t>外箱条码（工厂自己打印或订购贴纸，不可用A4纸打印！）+普通贴纸（普通贴纸可用A4纸打印，尺寸不可比艾
 利贴纸小）</t>
  </si>
  <si>
    <t>日期码格式：DGYYYYMMDD(日期避开周末和法定节假日) 日期：按实际生产日期
Packaging Info: 包装/箱唛翻单：4500187126（箱唛仅更改对应订单的WMPO即可）
1.包装方式：
71126：MA 1L+23L Warning A版-UPC版本彩盒+ MA B版说明书
Remark: 2. 外箱四面印刷紫色RFID箱唛
主唛左前下角印刷艾利贴纸替代标箱唛(ITF-14格式)，条码只印刷一面。
主唛右下角加印 MADE IN CHINA以及ZURU LOGO
3. #71126 UPC：193052064240
4.此批单#71126为Slip sheet出货，Slip sheet上贴外箱条码（工厂自己打印或订购贴纸，不可用A4纸打印！）+普通贴纸（普通贴纸可用A4纸打印，尺寸不可比艾
利贴纸小），普通贴纸见附件。
71126SLB-S001: 1pcs/CTN ,98CTN/98PCS/Slip sheet
5.此单需要验货，请自行多备包装物料。产品如有扎带口要剪平，不能刮手
6. 产品和包装上要有日期码、MADE IN CHINA和ZURU字样。
7.每PCS要加RFID 贴纸，严格按照我们提供的位置图，不可擅自调整位置，贴纸也不可有任何破损或折坏，不可淋湿（如缺数请及时告知）</t>
  </si>
  <si>
    <t>4500188139-20</t>
  </si>
  <si>
    <t>4500188139-30</t>
  </si>
  <si>
    <t>4500188139-40</t>
  </si>
  <si>
    <t>4500188139-50</t>
  </si>
  <si>
    <t>4500188139-60</t>
  </si>
  <si>
    <t>ECDC72799436</t>
  </si>
  <si>
    <t>4500187656-10</t>
  </si>
  <si>
    <t>日期码格式：ZURU INC(BVI) 标准格式 日期：按实际生产日期
Packaging Info: 1. ZURU MA UPC 优先1L 最新包装，版本统一，不得混包材， 出口美国
Remark: 2. 产品和包装需有日期码, ZURU标准日期码格式, 按照实际生产自行调整日期,但不能为周末,遵循产品-内包装-外箱的日期要求， 同一项内容日期码要求保持一致
3.出货时柜子要贴柜门纸（装箱单），如果没有贴导致客户罚款，费用会跟工厂收取
装柜要拍照留底，记录如何装柜，以防客户投诉货物短装时无证据
4.大货配比： ZURU 标准配比
5. 工厂发票需要按照客人PO拆分开</t>
  </si>
  <si>
    <t>HCDC72799447</t>
  </si>
  <si>
    <t>4500187656-20</t>
  </si>
  <si>
    <t>PLDC72799441</t>
  </si>
  <si>
    <t>4500187656-30</t>
  </si>
  <si>
    <t>SHXD72799453</t>
  </si>
  <si>
    <t>4500187656-40</t>
  </si>
  <si>
    <t>PO#60X483312</t>
  </si>
  <si>
    <t>4500184978-60</t>
  </si>
  <si>
    <t>验货+ 抽板 （同一天进行）
1/15</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</si>
  <si>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#71126：签样同旧单4500180967 , 但如果签样超过一年或包材有更新需重新寄样重新签。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4pcs 成品球+1个空PDQ，寄到以下地址
深圳雨禾伟业实业有限公司
地址：广东省深圳市罗湖区东门南路1006号文锦渡口岸大厦B栋7楼
收件人：Elsa
电话：0755 6688 1988 Ext3337
*4pcs成品+2个空PDQ+2套散件（如果产品涉及散件的话））寄到以下地址：
Li Fung　
深圳市福田区绒花路8号深福保大厦附楼3楼。
收件人： Yoland Dai　电话：+0755 8825 3756
4. 验货+ 抽板 （同一天进行）
预约1月15日第三方（利丰）到工厂做100%大货现场验货和抽板，验货需打印EPM出来跟客户回签样板供第三方验货参考。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</si>
  <si>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4500188385-10</t>
  </si>
  <si>
    <t>客人白色Cat.label</t>
  </si>
  <si>
    <t>日期码格式：ZURU INC(BVI) 标准格式 日期：按实际生产日期
Packaging Info: 71126
1.MA 1L UPC 最新包装+客人白色Cat.label 1张覆盖ZURU条码+B版 WEEE不带电池走货欧洲30语通用黑白说明书
-注意Cat.label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
71126条码扫描结果应为5799598。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</si>
  <si>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JUGUETTOS CENTRAL DE COMPRAS, S.COO</t>
  </si>
  <si>
    <t>PC25224</t>
  </si>
  <si>
    <t>4500188043-10</t>
  </si>
  <si>
    <t>一张西班牙环保标&lt;(&gt;&amp;&lt;)&gt;地址邮箱贴纸</t>
  </si>
  <si>
    <t>日期码格式：ZURU INC(BVI) 标准格式 日期：按实际生产日期
Packaging Info: 71126：最新【MA 3LEAN包装+一张西班牙环保标&lt;(&gt;&amp;&lt;)&gt;地址邮箱贴纸】+最新MA 5L 说明书；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在1/16前寄到深圳办公室 ，需备料</t>
  </si>
  <si>
    <t>JUGUETES PASTOR S.L.</t>
  </si>
  <si>
    <t>4500188181-70</t>
  </si>
  <si>
    <t>西班牙环保标贴纸+贴纸翻单4500154244</t>
  </si>
  <si>
    <t>日期码格式：ZURU INC(BVI) 标准格式 日期：按实际生产日期
Packaging Info: 
71126：最新MA 3L EAN版本包装+西班牙环保标贴纸+MA 5L说明书+WEEE不带电池走货欧洲30语通用黑白说明书；（贴纸翻单4500154244）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</si>
  <si>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COL-15-26-SPR</t>
  </si>
  <si>
    <t>4500187640-20</t>
  </si>
  <si>
    <t>日期码格式：DG20260120 日期：按实际生产日期
Packaging Info: 其余item：MA 多语包装+进口商贴纸+UPC贴纸+箱唛
Remark: 外箱/产品/包装-指定日期码：DG20260120</t>
  </si>
  <si>
    <t>4500189030-10</t>
  </si>
  <si>
    <t>日期码格式：ZURU INC(BVI) 标准格式 日期：按实际生产日期
Packaging Info: "71126: MA3L-23Lwarning EAN彩盒+MA 5L-9Lwarning说明书+WEEE声明(不带电池)走货欧洲通用30L-B版说明书
EAN#4894680033405"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</si>
  <si>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4500189030-20</t>
  </si>
  <si>
    <t>4500189088-30</t>
  </si>
  <si>
    <t>西班牙环保标贴纸（贴纸翻单4500154244）</t>
  </si>
  <si>
    <t>日期码格式：ZURU INC(BVI) 标准格式 日期：按实际生产日期
Packaging Info:
71126：最新MA 3L EAN版本包装+西班牙环保标贴纸+MA 5L说明书+WEEE不带电池走货欧洲30语通用黑白说明书；（贴纸翻单4500154244）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</si>
  <si>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ZURU FRANCE</t>
  </si>
  <si>
    <t>4500189484-10</t>
  </si>
  <si>
    <t>日期码格式：ZURU INC(BVI) 标准格式 日期：按实际生产日期
Packaging Info: 71126: 最新MA 3L (23L warning)EAN彩卡+MA5L说明书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t>
  </si>
  <si>
    <t>SD83</t>
  </si>
  <si>
    <t>4500188307-30</t>
  </si>
  <si>
    <t>如果是EAN条码请用UPC 贴纸覆盖</t>
  </si>
  <si>
    <t xml:space="preserve">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t>
  </si>
  <si>
    <t>4500190234-10</t>
  </si>
  <si>
    <t xml:space="preserve">日期码格式：ZURU INC(BVI) 标准格式 日期：按实际生产日期
Packaging Info: 1.优先多语 MA UPC或者3L/5L MA EAN 包装
2.请确保包装上的条形码是UPC，如果是babyUPC、需要用mother UPC覆盖，如有不一致，请及时提出。谢谢!
Remark: </t>
  </si>
  <si>
    <t>CORPORACION EL ROSADO S.A. 9</t>
  </si>
  <si>
    <t>2025-4911</t>
  </si>
  <si>
    <t>4500188900-30</t>
  </si>
  <si>
    <t>2/6 出货</t>
  </si>
  <si>
    <t>欠</t>
  </si>
  <si>
    <t>UPC贴纸+进口商贴纸</t>
  </si>
  <si>
    <t>日期码格式：ZURU INC(BVI) 标准格式 日期：按实际生产日期
Packaging Info: 
71126,,MA 多语EAN 包装+UPC贴纸+MA 多语说明书+进口商贴纸+箱唛,,
Remark: 
71126,,one assorment,,</t>
  </si>
  <si>
    <t>4500189267-90</t>
  </si>
  <si>
    <t>日期码格式：ZURU INC(BVI) 标准格式 日期：按实际生产日期
Packaging Info: 
71126：最新MA 3L EAN 版本包装+一张进口商贴纸（含环保标）+MA 5L说明书+WEEE不带电池走货欧洲30语通用黑白说明书；（贴纸翻单4500153788）；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</si>
  <si>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4500189637-10</t>
  </si>
  <si>
    <t>日期码格式：ZURU INC(BVI) 标准格式 日期：按实际生产日期
Packaging Info: 1. 出口美国，MA UPC 版本包装，1L优先。
2. 71126 出货不含电池。 UPC#193052064240
Remark: 9. ZURU QC 验货即可。</t>
  </si>
  <si>
    <t>Abby Mai</t>
  </si>
  <si>
    <t>4500190102-40</t>
  </si>
  <si>
    <t>防窜码贴纸</t>
  </si>
  <si>
    <t>翻单</t>
  </si>
  <si>
    <t>中文3C贴纸 翻单： 4500180345</t>
  </si>
  <si>
    <t>日期码格式：ZURU INC(BVI) 标准格式 日期：按实际生产日期
Packaging Info: 物料要求 SKU
2 71126 MA +中文说明书+中文3C贴纸 翻单： 4500180345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</si>
  <si>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4500190045-20</t>
  </si>
  <si>
    <t>UPC条码贴纸+进口商贴纸</t>
  </si>
  <si>
    <t>日期码格式：ZURU INC(BVI) 标准格式 日期：按实际生产日期
Packaging Info:
2. 71126： MA 3L EAN包装+UPC条码贴纸+MA多语说明书+进口商贴纸+保证书+箱唛
所有带电产品的保证书是通用的
Remark: 
2. 71126：3PCS AAA BATTERIES (NOT INCLUDED)</t>
  </si>
  <si>
    <t>JUGATOYS S.L.</t>
  </si>
  <si>
    <t>4500185670-20</t>
  </si>
  <si>
    <t>客户进口商贴纸含西班牙环保标</t>
  </si>
  <si>
    <t>日期码格式：ZURU INC(BVI) 标准格式 日期：按实际生产日期
Packaging Info:
2.71126：最新【MA 3LEAN包装+一张客户进口商贴纸含西班牙环保标】+最新MA 5L 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t>
  </si>
  <si>
    <t>ZURU GERMANY GMBH</t>
  </si>
  <si>
    <t>4500188280-30</t>
  </si>
  <si>
    <t>1*GR警语贴纸</t>
  </si>
  <si>
    <t>日期码格式：ZURU INC(BVI) 标准格式 日期：按实际生产日期
Packaging Info: 
71126：最新MA 3L+23L警语 EAN彩盒 +1*GR警语贴纸+最新5L+9L说明书+1*B版WEEE不带电池走货说明书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如产品太小，也可忽略。如无法加字唛，可以用贴纸的形式加在产品身上。（需与包装上的法国地址一致）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</si>
  <si>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Niki Chen</t>
  </si>
  <si>
    <t>10001664439-3
891</t>
  </si>
  <si>
    <t>4500190280-10</t>
  </si>
  <si>
    <t>粘贴条码箱贴纸，每箱只贴一张,由ZURU订购,来料贴纸显示DPCI 087-02-5015， UPC 10193052064247.</t>
  </si>
  <si>
    <t>日期码格式：ZURU INC(BVI) 标准格式 日期：按实际生产日期
Packaging Info: 71126: MA 1L包装
Remark: 71126:
1.71126-S001-ROBO ALIVE - SHARK ATTACK - SERIES 1-SWIMMING SHARK- WINDOW BOX - 6PCS/CTN
2. MA 1L包装+说明书，彩盒上的UPC 显示193052064240；
3. 每个外箱正唛箱唛信息左上方位置粘贴条码箱贴纸，每箱只贴一张,由ZURU订购,来料贴纸显示DPCI 087-02-5015， UPC 10193052064247.
4. 产品和包装上印刷tracking code信息，格式为ZURU常规格式
5. 出货方式：货代自提，兴信出货</t>
  </si>
  <si>
    <t>10001664438-3
890</t>
  </si>
  <si>
    <t>4500190281-10</t>
  </si>
  <si>
    <t>粘贴条码箱贴纸，每箱只贴一张,由ZURU订购,来料贴纸显示DPCI 087-02-5015， UPC 10193052064247</t>
  </si>
  <si>
    <t>2025-4892</t>
  </si>
  <si>
    <t>4500190081-30</t>
  </si>
  <si>
    <t>欠UPC贴纸+进口商贴纸</t>
  </si>
  <si>
    <t>日期码格式：ZURU INC(BVI) 标准格式 日期：按实际生产日期
Packaging Info: 1.优先多语 MA UPC或者3L/5L MA EAN 包装+进口商贴纸
2.请确保包装上的条形码是UPC，如果是babyUPC、需要用mother UPC覆盖，如有不一致，请及时提出。谢谢!
Remark:
#71126:MA 多语EAN 包装+UPC贴纸+MA 多语说明书+进口商贴纸+箱唛</t>
  </si>
  <si>
    <t>4GMDVWAV</t>
  </si>
  <si>
    <t>4500190061-130</t>
  </si>
  <si>
    <t>SSCC LABEL（客供贴纸)</t>
  </si>
  <si>
    <t>3L加UPC贴纸，贴纸资料跟翻单#4500146603</t>
  </si>
  <si>
    <t>6ZL8TT6M</t>
  </si>
  <si>
    <t>4500190061-140</t>
  </si>
  <si>
    <t>4400524425</t>
  </si>
  <si>
    <t>4500186304-10</t>
  </si>
  <si>
    <t>ECDC72799437</t>
  </si>
  <si>
    <t>4500190818-10</t>
  </si>
  <si>
    <t>HCDC72799450</t>
  </si>
  <si>
    <t>4500190818-20</t>
  </si>
  <si>
    <t>PLDC72799444</t>
  </si>
  <si>
    <t>4500190818-30</t>
  </si>
  <si>
    <t>SHXD72799456</t>
  </si>
  <si>
    <t>4500190818-40</t>
  </si>
  <si>
    <t>DIST72799457</t>
  </si>
  <si>
    <t>4500190818-50</t>
  </si>
  <si>
    <t>4500190510-80</t>
  </si>
  <si>
    <t>一张客户警语进口商内容和ES环保标贴纸（贴纸翻单4500153328）</t>
  </si>
  <si>
    <t>日期码格式：ZURU INC(BVI) 标准格式 日期：按实际生产日期
Packaging Info: 
8.71126：最新MA 3L EAN版本包装+一张客户警语进口商内容和ES环保标贴纸+MA 5L说明书+WEEE不带电池走货欧洲30语通用黑白说明书；（贴纸翻单4500153328）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</si>
  <si>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10001664454-3891</t>
  </si>
  <si>
    <t>4500190658-10</t>
  </si>
  <si>
    <t>粘贴条码箱贴纸，每箱只贴一张</t>
  </si>
  <si>
    <t>4500186750-20</t>
  </si>
  <si>
    <t>欠客供贴纸</t>
  </si>
  <si>
    <r>
      <rPr>
        <sz val="10"/>
        <rFont val="等线"/>
        <charset val="134"/>
      </rPr>
      <t xml:space="preserve">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5.跟单提供ROSS/DD's 箱唛模版和资料，工厂根据实际外箱尺寸，重量排版箱唛来确认。
</t>
    </r>
    <r>
      <rPr>
        <sz val="10"/>
        <color rgb="FFFF0000"/>
        <rFont val="等线"/>
        <charset val="134"/>
      </rPr>
      <t>6.#71126的说明书消耗4500162375 的库存。</t>
    </r>
  </si>
  <si>
    <t>2LTE51JR</t>
  </si>
  <si>
    <t>4500191202-120</t>
  </si>
  <si>
    <t>欠外箱贴纸，UPC贴纸，贴纸资料跟翻单#4500146603</t>
  </si>
  <si>
    <t>33YCQ2HW</t>
  </si>
  <si>
    <t>4500191202-130</t>
  </si>
  <si>
    <t>2DY8W4HD</t>
  </si>
  <si>
    <t>4500191202-140</t>
  </si>
  <si>
    <t>8PNRPRZB</t>
  </si>
  <si>
    <t>4500191202-150</t>
  </si>
  <si>
    <t>2SR7XL8W</t>
  </si>
  <si>
    <t>4500191202-160</t>
  </si>
  <si>
    <t>15OFNO2M</t>
  </si>
  <si>
    <t>4500191202-170</t>
  </si>
  <si>
    <t>KANDYTOYS LIMITED</t>
  </si>
  <si>
    <t>AS191225ZUR15274</t>
  </si>
  <si>
    <t>4500190991-60</t>
  </si>
  <si>
    <t>WEEE 30L B 不带电池说明书</t>
  </si>
  <si>
    <t>日期码格式：ZURU INC(BVI) 标准格式 日期：按实际生产日期
Packaging Info:
71126: MA UPC 1L+WEEE 30L B 不带电池说明书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</si>
  <si>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ZUR-F251126-01</t>
  </si>
  <si>
    <t>4500190752-100</t>
  </si>
  <si>
    <t xml:space="preserve">日期码格式：ZURU INC(BVI) 标准格式 日期：按实际生产日期
Packaging Info: MA PKG , 优先1L PKG
Remark: </t>
  </si>
  <si>
    <t>10001664453-3890</t>
  </si>
  <si>
    <t>4500191932-10</t>
  </si>
  <si>
    <t>47:0003187163</t>
  </si>
  <si>
    <t>4500192309-10</t>
  </si>
  <si>
    <t>日语贴纸（请留意贴纸不得遮挡日期码）（贴纸资料翻单PO#4500166578）</t>
  </si>
  <si>
    <t>请按订单要求安排3套样品寄去SGS 实验室做测试（测试样可以先不加贴纸，大货样需要严格跟到测试样）</t>
  </si>
  <si>
    <t>日期码格式：ZURU INC(BVI) 标准格式 日期：按实际生产日期
Packaging Info: 71126：MA 1L PKG+1张日语贴纸（请留意贴纸不得遮挡日期码）（贴纸资料翻单PO#4500166578）
Remark: 1.产品品质和内容材质以及包装版本等都需跟到上一单（4500166578）
2. 请多备几个外箱出货，避免外箱到仓库后出现破损情况。
3. 请按订单要求安排3套样品寄去SGS 实验室做测试（测试样可以先不加贴纸，大货样需要严格跟到测试样）</t>
  </si>
  <si>
    <t>3D69Q8AS</t>
  </si>
  <si>
    <t>4500191835-10</t>
  </si>
  <si>
    <t>空白外箱（加印带Zuru字样的最新logo，除了邮包盒直接做外箱的产品） + SSCC LABEL一张, 无箱唛，MADE IN CHINA 外箱只印一正一侧。箱唛资料按照给定的
标准去做即可，无需发回我方再行审批(新标准将另行通知)。</t>
  </si>
  <si>
    <r>
      <rPr>
        <sz val="10"/>
        <rFont val="等线"/>
        <charset val="134"/>
      </rPr>
      <t xml:space="preserve">日期码格式：ZURU INC(BVI) 标准格式 日期：按实际生产日期
Packaging Info: Amazon GPE: 3D69Q8AS
Amazon GPE(71126)
1. 71126:1pc/window box,6window boxes/ctn; MA 3L(23L warning EAN#)A 开窗彩盒+1张贴纸(UPC#+IT/ES环保标+GPSR邮箱care@zuru.com，参考翻单PO#45001642
50)+MA 5L(9L warning) B说明书+MA 其他最新包装+WEEE电子产品说明书30L(不带电池走货B版)；
</t>
    </r>
    <r>
      <rPr>
        <sz val="10"/>
        <color rgb="FFFF0000"/>
        <rFont val="等线"/>
        <charset val="134"/>
      </rPr>
      <t>*所有出往GAS市场(德国/奥地利/瑞士)的电子产品身上需要加字唛，为ZURU FRANCE 地址，需跟包装上的地址一致 (如无电子产品，产品布标有此地址，或产品太小
无法增加可忽略此信息。如产品无法加字唛，需让对应跟单提供产品贴纸资料);); Amazon GPE 订单也需满足此要求）</t>
    </r>
    <r>
      <rPr>
        <sz val="10"/>
        <rFont val="等线"/>
        <charset val="134"/>
      </rPr>
      <t xml:space="preserve">
2. 验货时间不迟于2026/3/18.
注意：
1. Amazon GPE无SSCC label, 但是有单独箱唛(需印刷在外箱上);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t>
    </r>
    <r>
      <rPr>
        <sz val="10"/>
        <color rgb="FFFF0000"/>
        <rFont val="等线"/>
        <charset val="134"/>
      </rPr>
      <t>;); Amazon GPE 订单也需满足此要求）</t>
    </r>
    <r>
      <rPr>
        <sz val="10"/>
        <rFont val="等线"/>
        <charset val="134"/>
      </rPr>
      <t xml:space="preserve">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</si>
  <si>
    <t>Luna Lin</t>
  </si>
  <si>
    <t>CARLOS FEDERSPIEL &amp; CIA. - UNIVERSA</t>
  </si>
  <si>
    <t>4500191577-20</t>
  </si>
  <si>
    <t>日期码格式：ZURU INC(BVI) 标准格式 日期：按实际生产日期
Packaging Info: 
其余item：MA 多语 包装+进口商贴纸+UPC贴纸+箱唛
Remark:</t>
  </si>
  <si>
    <t>SMYTHS TOYS EU HQ UNLIMITED COMPANY</t>
  </si>
  <si>
    <t>4500192751-10</t>
  </si>
  <si>
    <t>4500192751-40</t>
  </si>
  <si>
    <t>ZMPO260078</t>
  </si>
  <si>
    <t>ZMPO260078-110</t>
  </si>
  <si>
    <t>周转箱</t>
  </si>
  <si>
    <t>Remark:大货最新版本/大货标准箱装箱/箱唛请参照邮件附件
备注：收到样品订单后尽快安排 ，注意样板品质质量要求要高于大货品质要求 ，送货时必须要附带送货单(没有送货单和QC检验合格报告的仓库一律拒绝收货)，请知悉，谢谢！</t>
  </si>
  <si>
    <t>sally Li</t>
  </si>
  <si>
    <t>36IYPXRC</t>
  </si>
  <si>
    <t>4500190805-50</t>
  </si>
  <si>
    <t>1张贴纸(UPC#+IT/ES环保标+GPSR邮箱care@zuru.com，参考翻单PO#45001642
 50)</t>
  </si>
  <si>
    <r>
      <rPr>
        <sz val="10"/>
        <rFont val="等线"/>
        <charset val="134"/>
      </rPr>
      <t>日期码格式：ZURU INC(BVI) 标准格式 日期：按实际生产日期
Packaging Info: Amazon UK: PO#6HUGYDFI, 5NNS39FE
Amazon GPE: PO#36IYPXRC
Amazon GPE(71126)
1. 15728A:1pc 15728A into window box, then into polybag, 12polybags/ctn;Munch Munch – Black long 9"; 2PCS AAA BATTERIES(INCLUDED); MA 5L(5L war
ning UPC)A 开窗彩盒+1张贴纸(1张IT环保标+GPSR邮箱care@zuru.com，参考翻单PO#4500158578)+透明胶袋(双面打孔+含英法德意西警告语+塑料循环标; 参考翻单P
O#4500166364)+PET Pull tab+MA 16L A说明书+WEEE电子产品说明书30L(带电池走货B版)；
2. 15714D:15714D Mr Needles - mint, 12PCS/12POLYBAG/CTN; MA 1L(5L WARNING, UPC#)A window box+1张贴纸(IT/ES环保标+GPSR邮箱care@zuru.com，参考翻单
PO#4500164250)+客版5L warning polybag(参考翻单PO#4500166364)+其他MA最新配套包装；
3. 71109D:24pcs 25282/ctn,pink; 客版彩盒包装(参考PO#4500112288)+MA 9L G版说明书+1张贴纸(含IT/ES环保标+UPC#+GPSR邮箱care@zuru.com，参考翻单PO#45
00173446)；
4. 9548:MA DUCK, 1pc/window box, 4windowboxes/ctn; MA 5L(23L warning EAN# 新FR/DK地址 )E 开窗彩盒+MA 5L(9L warning) D收藏指南+MA 其他最新配套包
装+2张贴纸(1张UPC#+1张IT环保标, 参考翻单PO#4500169077)+WEEE电子产品说明书30L(不带电池走货B版)；
5. 71126:1pc/window box,6window boxes/ctn; MA 3L(23L warning EAN#)A 开窗彩盒+1张贴纸(UPC#+IT/ES环保标+GPSR邮箱care@zuru.com，参考翻单PO#45001642
50)+MA 5L(9L warning) B说明书+MA 其他最新包装+WEEE电子产品说明书30L(不带电池走货B版)；
6. 验货时间不迟于2026/3/6.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t>
    </r>
    <r>
      <rPr>
        <sz val="10"/>
        <color rgb="FFFF0000"/>
        <rFont val="等线"/>
        <charset val="134"/>
      </rPr>
      <t>（Amazon GPE 订单也需满足此要求）</t>
    </r>
    <r>
      <rPr>
        <sz val="10"/>
        <rFont val="等线"/>
        <charset val="134"/>
      </rPr>
      <t xml:space="preserve">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</si>
  <si>
    <t>4500194057-10</t>
  </si>
  <si>
    <t>日期码格式：ZURU INC(BVI) 标准格式 日期：按实际生产日期
Packaging Info: "71126: MA3L-23Lwarning EAN彩盒+MA 5L-9Lwarning说明书+WEEE声明(不带电池)走货欧洲通用29L-C版说明书
EAN#4894680033405"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
8.包装必须含法国回收标(Sorting Label)，如没有，请提醒跟单提供贴纸资料。</t>
  </si>
  <si>
    <t>4500194041-10</t>
  </si>
  <si>
    <t>日期码格式：ZURU INC(BVI) 标准格式 日期：按实际生产日期
Packaging Info: "71126: 客版5L EAN彩盒(英法德callout/英法德意荷警告语/法国sorting logo直接印刷在包装上)翻PO#4500169911+客版5L说明书(英法德意荷语言/WEEE信息直接
印刷在说明书上) 翻PO#4500169911；
EAN#4894680033405,请检查条码是否正确再安排做货，如有问题请告知"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</si>
  <si>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LONDON SUPPLY GROUP SA</t>
  </si>
  <si>
    <t>4500191880-10</t>
  </si>
  <si>
    <t>日期码格式：ZURU INC(BVI) 标准格式 日期：按实际生产日期
Packaging Info: 71126:MA 多语包装+UPC贴纸+箱唛
Remark:</t>
  </si>
  <si>
    <t>W0758454</t>
  </si>
  <si>
    <t>4500192693-70</t>
  </si>
  <si>
    <t>2/6 提供价格贴纸、欠外箱贴纸</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</si>
  <si>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</si>
  <si>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KAUFHAUS MARTIN STOLZ GMBH</t>
  </si>
  <si>
    <t>26-149</t>
  </si>
  <si>
    <t>4500192972-10</t>
  </si>
  <si>
    <t>日期码格式：ZURU INC(BVI) 标准格式 日期：按实际生产日期
Packaging Info: 此单有客供价格贴纸，预计3/6前提供
71126：MA 3L+23L警语 EAN彩盒 + 客供价格贴纸，MA B版5L+9L警语说明书，B版不带电池走货EU通用30L WEEE说明书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</si>
  <si>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Nicole Ye</t>
  </si>
  <si>
    <t>4500193531-10</t>
  </si>
  <si>
    <t>日期码格式：ZURU INC(BVI) 标准格式 日期：按实际生产日期
Packaging Info: 71126: MA3L-23Lwarning EAN彩盒+MA 5L-9Lwarning说明书+WEEE声明(不带电池)走货欧洲通用30L-B版说明书
EAN#4894680033405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
8.包装必须含法国回收标(Sorting Label)，如没有，请提醒跟单提供贴纸资料。</t>
  </si>
  <si>
    <t>4500192880-30</t>
  </si>
  <si>
    <t>需要追踪</t>
  </si>
  <si>
    <r>
      <t xml:space="preserve">日期码格式：ZURU INC(BVI) 标准格式 日期：按实际生产日期
Packaging Info:
71126 ： 1L MA UPC 彩卡+ </t>
    </r>
    <r>
      <rPr>
        <sz val="10"/>
        <color rgb="FFFF0000"/>
        <rFont val="等线"/>
        <charset val="134"/>
      </rPr>
      <t>进口商贴纸（含客户EAN条码）</t>
    </r>
    <r>
      <rPr>
        <sz val="10"/>
        <rFont val="等线"/>
        <charset val="134"/>
      </rPr>
      <t>+ QR code (一物一码) ，MA 说明书；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r>
  </si>
  <si>
    <t>DISTRUIBUCIONES UNIVERSALES, SA - D</t>
  </si>
  <si>
    <t>4500194168-170</t>
  </si>
  <si>
    <t>日期码格式：ZURU INC(BVI) 标准格式 日期：按实际生产日期
Packaging Info:
其余item：MA 多语包装+UPC贴纸+箱唛
Remark:</t>
  </si>
  <si>
    <t>4500193668-100</t>
  </si>
  <si>
    <t>4500193377-100</t>
  </si>
  <si>
    <t xml:space="preserve">日期码格式：ZURU INC(BVI) 标准格式 日期：按实际生产日期
Packaging Info: MA PKG ,优先1L
Remark: </t>
  </si>
  <si>
    <t>··</t>
  </si>
  <si>
    <t>合计</t>
  </si>
  <si>
    <t xml:space="preserve"> </t>
  </si>
  <si>
    <t>恐龙/蜘蛛/蟑螂/蜥蜴/蛇 彩盒、说明书MA剩余表</t>
  </si>
  <si>
    <t>放订人</t>
  </si>
  <si>
    <t>放MA日期</t>
  </si>
  <si>
    <t>PO号码</t>
  </si>
  <si>
    <t>MA订单号码</t>
  </si>
  <si>
    <t>数量</t>
  </si>
  <si>
    <t>版本号</t>
  </si>
  <si>
    <t>语言</t>
  </si>
  <si>
    <t>71127EC展示架24个装</t>
  </si>
  <si>
    <t>客版包材</t>
  </si>
  <si>
    <t>Ada</t>
  </si>
  <si>
    <t>Window Box</t>
  </si>
  <si>
    <t>A</t>
  </si>
  <si>
    <t>1L</t>
  </si>
  <si>
    <t>新产品，请按ZURU签板做货</t>
  </si>
  <si>
    <t>Instruction Sheet</t>
  </si>
  <si>
    <t>9L</t>
  </si>
  <si>
    <t>3L</t>
  </si>
  <si>
    <t>Tracy.xu</t>
  </si>
  <si>
    <t>71126CE</t>
  </si>
  <si>
    <t>展示架</t>
  </si>
  <si>
    <t>4500131021/4500130994/4500131030/4500131050</t>
  </si>
  <si>
    <t>B</t>
  </si>
  <si>
    <t>新版，请用完旧版后切换至新版</t>
  </si>
  <si>
    <t>Minny</t>
  </si>
  <si>
    <t xml:space="preserve">Babbit </t>
  </si>
  <si>
    <t xml:space="preserve">Window Box
</t>
  </si>
  <si>
    <t>5L</t>
  </si>
  <si>
    <t>3000</t>
  </si>
  <si>
    <t>Savannah用于4500178179消耗252pcs，其余数量后面新单消耗</t>
  </si>
  <si>
    <t xml:space="preserve">Instruction Sheet
</t>
  </si>
  <si>
    <t>接单总数</t>
  </si>
  <si>
    <t>彩盒MA剩余</t>
  </si>
  <si>
    <t>大白鲨半成品生产MA</t>
  </si>
  <si>
    <t>日期</t>
  </si>
  <si>
    <r>
      <rPr>
        <sz val="10"/>
        <rFont val="宋体"/>
        <charset val="134"/>
      </rPr>
      <t>I</t>
    </r>
    <r>
      <rPr>
        <sz val="10"/>
        <rFont val="宋体"/>
        <charset val="134"/>
      </rPr>
      <t>TEM</t>
    </r>
  </si>
  <si>
    <t>要求完成日期</t>
  </si>
  <si>
    <t>MA_RR_1056</t>
  </si>
  <si>
    <t>请务必要按客人工程签板做货</t>
  </si>
  <si>
    <t>MA_RR_1091</t>
  </si>
  <si>
    <t>MA_RR_1109</t>
  </si>
  <si>
    <t>MA_RR_1127</t>
  </si>
  <si>
    <t>MA_RR_1150</t>
  </si>
  <si>
    <t>MA_RR_1173</t>
  </si>
  <si>
    <t>MA_RR_1220</t>
  </si>
  <si>
    <t>MA_RR_1252</t>
  </si>
  <si>
    <t>MA_RR_1300</t>
  </si>
  <si>
    <t>MA_RR_1326</t>
  </si>
  <si>
    <t>MA-RR-1352</t>
  </si>
  <si>
    <t>MA_RR_1366</t>
  </si>
  <si>
    <t>MA_RR_1436</t>
  </si>
  <si>
    <t>MA_RR_1455</t>
  </si>
  <si>
    <t>MA_RR_1482</t>
  </si>
  <si>
    <t>MA_RR_1527</t>
  </si>
  <si>
    <t>MA_RR_1545</t>
  </si>
  <si>
    <t>MA_RR_1587</t>
  </si>
  <si>
    <t>MA_RR_1686</t>
  </si>
  <si>
    <t>MA_RR_1739</t>
  </si>
  <si>
    <t>MA_RR_1784</t>
  </si>
  <si>
    <t>MA-RR-1830</t>
  </si>
  <si>
    <t>MA_RR_1858</t>
  </si>
  <si>
    <t>MA_RR_1956</t>
  </si>
  <si>
    <t>MA_RR_2003</t>
  </si>
  <si>
    <t>MA_RR_2032</t>
  </si>
  <si>
    <t>MA合计</t>
  </si>
  <si>
    <t>MA剩余</t>
  </si>
  <si>
    <t>大白鲨IC MA</t>
  </si>
  <si>
    <t>MA_RR_957</t>
  </si>
  <si>
    <t>IC</t>
  </si>
  <si>
    <t>MA_RR_1027</t>
  </si>
  <si>
    <t>MA_RR_1046</t>
  </si>
  <si>
    <t>MA_RR_1105</t>
  </si>
  <si>
    <t>MA_RR_1116</t>
  </si>
  <si>
    <t>MA_RR_1145</t>
  </si>
  <si>
    <t>MA_RR_1156</t>
  </si>
  <si>
    <t>MA_RR_1192</t>
  </si>
  <si>
    <t>MA_RR_1244</t>
  </si>
  <si>
    <t>MA_RR_1301</t>
  </si>
  <si>
    <t>time</t>
  </si>
  <si>
    <t>30-45day</t>
  </si>
  <si>
    <t>MA_RR_1325</t>
  </si>
  <si>
    <t>找Minny</t>
  </si>
  <si>
    <t>MA_RR_1345</t>
  </si>
  <si>
    <t>MA_RR_1367</t>
  </si>
  <si>
    <t>MA_RR_1400</t>
  </si>
  <si>
    <t>MA_RR_1461</t>
  </si>
  <si>
    <t>MA_RR_1492</t>
  </si>
  <si>
    <t>MA_RR_1528</t>
  </si>
  <si>
    <t>MA_RR_1567</t>
  </si>
  <si>
    <t>MA_RR_1695</t>
  </si>
  <si>
    <t>用新单价</t>
  </si>
  <si>
    <t>MA_RR_1762</t>
  </si>
  <si>
    <t>MA_RR_1810</t>
  </si>
  <si>
    <t>MA-RR-1853</t>
  </si>
  <si>
    <t>MA_RR_1981</t>
  </si>
  <si>
    <t>MA_RR_2046</t>
  </si>
  <si>
    <t>按接单IC 剩余数</t>
  </si>
  <si>
    <t>除去MA半成品 剩余数</t>
  </si>
  <si>
    <t>ITEM NR</t>
  </si>
  <si>
    <t>ITEM NAME</t>
  </si>
  <si>
    <t>PACKAGING TYPE</t>
  </si>
  <si>
    <t>MA PO</t>
  </si>
  <si>
    <t>Zuru Material Code</t>
  </si>
  <si>
    <t>MA PO Date</t>
  </si>
  <si>
    <t>Version Code</t>
  </si>
  <si>
    <t>QTY</t>
  </si>
  <si>
    <t>REMARK 1</t>
  </si>
  <si>
    <t>S001-ROBO ALIVE - SHARK ATTACK - SERIES 1-SWIMMING SHARK- WINDOW BOX - 6PCS/CTN</t>
  </si>
  <si>
    <t>Nordic version-6L</t>
  </si>
  <si>
    <r>
      <rPr>
        <sz val="11"/>
        <rFont val="Calibri"/>
        <charset val="0"/>
      </rPr>
      <t>Luna</t>
    </r>
    <r>
      <rPr>
        <sz val="11"/>
        <rFont val="宋体"/>
        <charset val="134"/>
      </rPr>
      <t>用于</t>
    </r>
    <r>
      <rPr>
        <sz val="11"/>
        <rFont val="Calibri"/>
        <charset val="0"/>
      </rPr>
      <t>4500126092-120pcs; 1100022374-120pcs; 4500125999-1002pcs; 1100022520-204pcs; 4500128977-570pcs; 4500129340(</t>
    </r>
    <r>
      <rPr>
        <sz val="11"/>
        <rFont val="宋体"/>
        <charset val="134"/>
      </rPr>
      <t>未下单</t>
    </r>
    <r>
      <rPr>
        <sz val="11"/>
        <rFont val="Calibri"/>
        <charset val="0"/>
      </rPr>
      <t>)-600pcs</t>
    </r>
  </si>
  <si>
    <t>S001-ROBO ALIVE-WATER ACTIVATED-SERIES 1-LARGE SHARK-WINDOW BOX-6PCS/CTN</t>
  </si>
  <si>
    <t>Instruction sheet</t>
  </si>
  <si>
    <r>
      <rPr>
        <sz val="11"/>
        <color theme="1"/>
        <rFont val="宋体"/>
        <charset val="0"/>
      </rPr>
      <t>翻单：</t>
    </r>
    <r>
      <rPr>
        <sz val="11"/>
        <color theme="1"/>
        <rFont val="Calibri"/>
        <charset val="0"/>
      </rPr>
      <t>4500162375</t>
    </r>
  </si>
  <si>
    <r>
      <rPr>
        <sz val="11"/>
        <rFont val="Calibri"/>
        <charset val="0"/>
      </rPr>
      <t>AS IMPORT AS</t>
    </r>
    <r>
      <rPr>
        <sz val="11"/>
        <rFont val="宋体"/>
        <charset val="0"/>
      </rPr>
      <t>（莱克卡森）</t>
    </r>
    <r>
      <rPr>
        <sz val="11"/>
        <rFont val="Calibri"/>
        <charset val="0"/>
      </rPr>
      <t xml:space="preserve">-4500177965-360
</t>
    </r>
    <r>
      <rPr>
        <sz val="11"/>
        <rFont val="宋体"/>
        <charset val="0"/>
      </rPr>
      <t>芬兰合作社中央联合会</t>
    </r>
    <r>
      <rPr>
        <sz val="11"/>
        <rFont val="Calibri"/>
        <charset val="0"/>
      </rPr>
      <t xml:space="preserve"> - 4500175911-504
</t>
    </r>
    <r>
      <rPr>
        <sz val="11"/>
        <rFont val="宋体"/>
        <charset val="0"/>
      </rPr>
      <t>奥特莱斯德里夫特</t>
    </r>
    <r>
      <rPr>
        <sz val="11"/>
        <rFont val="Calibri"/>
        <charset val="0"/>
      </rPr>
      <t xml:space="preserve"> AS-1800109688-300
</t>
    </r>
    <r>
      <rPr>
        <sz val="11"/>
        <rFont val="宋体"/>
        <charset val="0"/>
      </rPr>
      <t>酷店（娱乐贸易有限公司</t>
    </r>
    <r>
      <rPr>
        <sz val="11"/>
        <rFont val="Calibri"/>
        <charset val="0"/>
      </rPr>
      <t xml:space="preserve"> - </t>
    </r>
    <r>
      <rPr>
        <sz val="11"/>
        <rFont val="宋体"/>
        <charset val="0"/>
      </rPr>
      <t>多姆</t>
    </r>
    <r>
      <rPr>
        <sz val="11"/>
        <rFont val="Calibri"/>
        <charset val="0"/>
      </rPr>
      <t xml:space="preserve"> - 4500180575-312</t>
    </r>
  </si>
  <si>
    <t>客供物料</t>
  </si>
  <si>
    <t>是否已入系统</t>
  </si>
  <si>
    <t>已送数量</t>
  </si>
  <si>
    <t>CARREFOUR FRANCE</t>
  </si>
  <si>
    <t>4500128575</t>
  </si>
  <si>
    <t>43CHT24FRCA0012</t>
  </si>
  <si>
    <t>4500128575-20</t>
  </si>
  <si>
    <t>4/8取消</t>
  </si>
  <si>
    <t>5/7提供自检报告给客人放货，否则会有罚款。</t>
  </si>
  <si>
    <t>日期码格式：ZURU INC(BVI) 标准格式 日期：按实际生产日期
Packaging Info: 客版包装+MA5L说明书
Remark: 1. 5/7提供自检报告给客人放货，否则会有罚款。
2. 空白纸箱: 在正唛（只1面）加多虚线15 x 10.5 cm ( 高x 宽) 距箱左边2cm， 距箱底 3cm，虚线内1张外箱贴纸（在checkpoint网站上订）Custeomer Service:
Erica Lun Tel.+852 2995 8399/erica.lun@checkpt.com
3. 所有包装材料禁止使用PVC，需改用PET材料
4. 要求使用双坑纸箱，外箱尺寸超出7%有350USD的罚款，请注意外箱尺寸变更不能超出7%。
客人系统外箱尺寸：71126: 41.5x36.0x51.0cm ;
5. 出欧洲，需符合微塑料法规。</t>
  </si>
  <si>
    <t>Shirley Zhou</t>
  </si>
  <si>
    <t>无BOM</t>
  </si>
  <si>
    <t>4500128576</t>
  </si>
  <si>
    <t>4500128576-20</t>
  </si>
  <si>
    <t>4500132790-10</t>
  </si>
  <si>
    <t>2024/6/14取消</t>
  </si>
  <si>
    <t>客人日期码 ZUR4196，产品/包装/外箱，请务必保持一致</t>
  </si>
  <si>
    <t>日期码格式：ZURU INC(BVI) 标准格式 日期：
Packaging Info: 1.包装：#71126-S001 最新 MA 3L 彩盒 + MA 5L B 说明书
Remark: 2.订单出欧洲国家-西班牙，产品不能含有闪粉/微塑料！
3.客人日期码 ZUR4196，产品/包装/外箱，请务必保持一致
4.大货样品2套/item，验货后抽办1套/item，请多备料，谢谢。
5.产品信息：</t>
  </si>
  <si>
    <t>Andy Xi</t>
  </si>
  <si>
    <t>JOINCO IMPORTA􀃇􀃃O E EXPORTA􀃇 L􀃃DAO</t>
  </si>
  <si>
    <t>葡萄牙</t>
  </si>
  <si>
    <t>4500136357-10</t>
  </si>
  <si>
    <t>大货样品2套/item，CRD前两周寄出</t>
  </si>
  <si>
    <t>日期码格式：ZURU INC(BVI) 标准格式 日期：按实际生产日期
Packaging Info: 71126 最新MA 3L 彩盒 + MA A 说明书 + 进口商贴纸
Remark: 2. 大货样品2套/item，CRD前两周寄出
3. 所有产品按符合欧洲标准走货，不能出带闪粉版本 ，需要是不含微塑料版本
4. 客人需要验货图片才能放货</t>
  </si>
  <si>
    <t>Stefanie Wan</t>
  </si>
  <si>
    <t>4500129905-30</t>
  </si>
  <si>
    <t>取消</t>
  </si>
  <si>
    <t>日期码格式：ZURU INC(BVI) 标准格式 日期：按实际生产日期
Packaging Info: 71126：MA（优先1L）+ 进口商贴纸+客户EAN条码贴纸
MA 收藏指南/说明书（如有）
Remark: 
71126-S001:one assorment.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</si>
  <si>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4500135080-30</t>
  </si>
  <si>
    <t>4500137231-10</t>
  </si>
  <si>
    <t>7/25取消</t>
  </si>
  <si>
    <t>德语callout贴纸（翻单#4500123428）+1张Zuru France地址产品贴纸（翻4500064042这张单）</t>
  </si>
  <si>
    <t>日期码格式：ZURU INC(BVI) 标准格式 日期：按实际生产日期
Packaging Info: 71126: MA 3L+23L EAN包装+MA 5L+9L warning说明书+德语callout贴纸（翻单#4500123428）+1张Zuru France地址产品贴纸（翻4500064042这张单）
EAN#4894680033405，请先检查条码是否正确再安排做货
Remark: 1. 此单出德国，需要满足Zuru Standard欧洲标准测试要求；
2. 请准时出货，推期会有罚款；
3. 需要符合欧洲标准不能含有闪粉和微塑料，否则不符合法规会有客诉产生
4. 大货样品一套
5. 所有电子产品身上需要加字唛，为ZURU FRANCE 地址 (如无电子产品，或者产品布标有此地址，可忽略此信息)
ZURU France 1/3, Rue d'Argenteuil 95210 SAINT-GRATIEN, FRANCE
6. 标准配比</t>
  </si>
  <si>
    <t xml:space="preserve"> AMAZON UK</t>
  </si>
  <si>
    <t>Amazon UK:
18R3UUUX</t>
  </si>
  <si>
    <t>4500142712-110</t>
  </si>
  <si>
    <t>参考翻单PO#4500138235</t>
  </si>
  <si>
    <t>:日期码格式：ZURU INC(BVI) 标准格式 日期：按实际生产日期
Packaging Info: Amazon UK(71126,92104ADH, 92107ABE, 92108ABD,9548):
 1. 71126: 1pc/window box,6window boxes/ctn; MA 3L(23L warning EAN#)A 开窗彩盒+2张贴纸(1张UPC#+1张IT sorting label)+MA9L B说明书+MA 其他最新包装
 ；参考翻单PO#4500138235;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
 ;</t>
  </si>
  <si>
    <t xml:space="preserve"> Crystal Chen</t>
  </si>
  <si>
    <t>4500143801-10</t>
  </si>
  <si>
    <t>日期码格式：ZURU INC(BVI) 标准格式 日期：按实际生产日期
Packaging Info: 
71126:MA 1L包装+说明书
Remark: 1.71126-S001-ROBO ALIVE - SHARK ATTACK - SERIES 1-SWIMMING SHARK- WINDOW BOX - 6PCS/CTN ,MA 1L包装+说明书，UPC 显示193052064240；
2. 外箱正唛左上角位置粘贴条码箱贴纸，每箱只贴一张由ZURU订购,来料DPCI显示087-02-5015， UPC 10193052064247.
3. 产品和包装上印刷tracking code信息，格式为ZURU常规格式
4. 出货方式：货代自提，兴信出货</t>
  </si>
  <si>
    <t>俄罗斯</t>
  </si>
  <si>
    <t>4500122288-10</t>
  </si>
  <si>
    <t>日期码格式：ZURU INC(BVI) 标准格式 日期：按实际生产日期
Packaging Info: 1.MA 彩卡+ 进口商贴纸（含EAN 条码）， MA 说明书
Remark: 71126 :one assorment ,3pcs AAA batteries (Not included) ;</t>
  </si>
  <si>
    <t>4500144899-30</t>
  </si>
  <si>
    <t>暂停生产</t>
  </si>
  <si>
    <t>4500144900-30</t>
  </si>
  <si>
    <t xml:space="preserve"> 
20367418</t>
  </si>
  <si>
    <t>4500145426-50</t>
  </si>
  <si>
    <t>Sara Wang</t>
  </si>
  <si>
    <t>待定</t>
  </si>
  <si>
    <t>5L B版</t>
  </si>
  <si>
    <t>4500144441-10</t>
  </si>
  <si>
    <t>4500144440-20</t>
  </si>
  <si>
    <t>日期码格式：ZURU INC(BVI) 标准格式 日期：按实际生产日期
Packaging Info:71126: MA英语UPC版本包装（收缩膜和说明书, MA首选1L，如无1L可用多语且含英语的配套多语包装)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</si>
  <si>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Intertoys B.V.</t>
  </si>
  <si>
    <t>4500147341-20</t>
  </si>
  <si>
    <t>日期码格式：ZURU INC(BVI) 标准格式 日期：按实际生产日期
Packaging Info: 71126: MA 3L EAN彩盒（含NL警语）+款号条码贴纸，MA B版 说明书（含NL语）
Remark: 1. STD配比
2. 出欧洲，微塑料需合规（如item本身不含微塑料 则忽略此要求）
3. 客人款号
71126 2001391
4. 大货样
请在12/10 之前寄出每个item 2pcs 大货样，到罗湖办公室7B Sandy Shao</t>
  </si>
  <si>
    <t>Sandy Shao</t>
  </si>
  <si>
    <t>Walgreens</t>
  </si>
  <si>
    <t>WAL040</t>
  </si>
  <si>
    <t>Date code format：ZURU Standard format Date：12-06-2024
Packaging Info:71126 MA 包装 + WIC 贴纸 （WIC # 772947）                                                                                Remark：1. 产品和包装上要有ZURU 标准格式 tracking code DG20241206                                                                                            2. 先安排CRD 12/06的数量，CRD 12/23的数量等通知后再安排                                                                                          3. 12/07抽板测试，抽板测试通过后才可以出货。所有来料都要测试符合美国联邦法规和州法规后才可以做大货。如因测试问题延期造成罚款需由工厂承担。                    4. 收到PO后寄出各一套样品给实验室，请在12/16寄出大货样各2套</t>
  </si>
  <si>
    <t>4500162346-100</t>
  </si>
  <si>
    <t>欠 4L(DK+NO+SE+FI)警告语贴纸  + 北欧五语通用不带电池出货黑白电池说明书</t>
  </si>
  <si>
    <t>客版说明书（翻单4500125999）</t>
  </si>
  <si>
    <t>日期码格式：ZURU INC(BVI) 标准格式 日期：按实际生产日期
Packaging Info:
71126: MA 3L+23L警语 EAN A版包装 + 4L(DK+NO+SE+FI)警告语贴纸 + 客版说明书 + 北欧五语通用不带电池出货黑白电池说明书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</si>
  <si>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10001519891-0
581</t>
  </si>
  <si>
    <t>4500185207-10</t>
  </si>
  <si>
    <t>贴条码箱贴纸</t>
  </si>
  <si>
    <t>日期码格式：ZURU INC(BVI) 标准格式 日期：按实际生产日期
Packaging Info: 71126: MA 1L包装+说明书；消耗PO 4500177915外箱贴纸334张；
Remark: 71126:
1.71126-S001-ROBO ALIVE - SHARK ATTACK - SERIES 1-SWIMMING SHARK- WINDOW BOX - 6PCS/CTN
2. MA 1L包装+说明书，彩盒上的UPC 显示193052064240；消耗PO 4500177915外箱贴纸334张；
3. 每个外箱正唛箱唛信息左上方位置粘贴条码箱贴纸，每箱只贴一张,由ZURU订购,来料贴纸显示DPCI 087-02-5015， UPC 10193052064247.
4. 产品和包装上印刷tracking code信息，格式为ZURU常规格式
5. 出货方式：货代自提，兴信出货</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</si>
</sst>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0.0000;\-[$$-409]#,##0.0000"/>
    <numFmt numFmtId="178" formatCode="yyyy/m/d&quot;周&quot;aaa"/>
    <numFmt numFmtId="179" formatCode="0_ "/>
    <numFmt numFmtId="180" formatCode="yyyy/m/d;@"/>
    <numFmt numFmtId="181" formatCode="m/d;@"/>
    <numFmt numFmtId="182" formatCode="0.0000_ "/>
    <numFmt numFmtId="183" formatCode="0.00_ "/>
    <numFmt numFmtId="184" formatCode="#,##0_ "/>
    <numFmt numFmtId="185" formatCode="&quot;$&quot;#,##0.00_);[Red]\(&quot;$&quot;#,##0.00\)"/>
    <numFmt numFmtId="186" formatCode="0_);[Red]\(0\)"/>
  </numFmts>
  <fonts count="91">
    <font>
      <sz val="11"/>
      <color theme="1"/>
      <name val="宋体"/>
      <charset val="134"/>
      <scheme val="minor"/>
    </font>
    <font>
      <sz val="11"/>
      <name val="等线"/>
      <charset val="134"/>
    </font>
    <font>
      <sz val="10"/>
      <color rgb="FFFF0000"/>
      <name val="等线"/>
      <charset val="134"/>
    </font>
    <font>
      <sz val="10"/>
      <name val="等线"/>
      <charset val="134"/>
    </font>
    <font>
      <sz val="10"/>
      <color rgb="FFFF0000"/>
      <name val="Arial"/>
      <charset val="134"/>
    </font>
    <font>
      <sz val="11"/>
      <color rgb="FFFF0000"/>
      <name val="等线"/>
      <charset val="134"/>
    </font>
    <font>
      <sz val="11"/>
      <color rgb="FFFF0000"/>
      <name val="Arial"/>
      <charset val="0"/>
    </font>
    <font>
      <sz val="11"/>
      <color rgb="FFFF0000"/>
      <name val="宋体"/>
      <charset val="134"/>
      <scheme val="minor"/>
    </font>
    <font>
      <sz val="11"/>
      <color rgb="FFFF0000"/>
      <name val="宋体"/>
      <charset val="134"/>
    </font>
    <font>
      <sz val="10"/>
      <color rgb="FFFF0000"/>
      <name val="宋体"/>
      <charset val="134"/>
    </font>
    <font>
      <b/>
      <sz val="10"/>
      <color rgb="FFFF0000"/>
      <name val="等线"/>
      <charset val="134"/>
    </font>
    <font>
      <b/>
      <sz val="11"/>
      <name val="Tahoma"/>
      <charset val="0"/>
    </font>
    <font>
      <b/>
      <sz val="10"/>
      <name val="Tahoma"/>
      <charset val="0"/>
    </font>
    <font>
      <sz val="11"/>
      <color theme="1"/>
      <name val="Calibri"/>
      <charset val="0"/>
    </font>
    <font>
      <sz val="11"/>
      <name val="Calibri"/>
      <charset val="0"/>
    </font>
    <font>
      <sz val="11"/>
      <color theme="1"/>
      <name val="宋体"/>
      <charset val="0"/>
    </font>
    <font>
      <b/>
      <sz val="12"/>
      <name val="宋体"/>
      <charset val="134"/>
    </font>
    <font>
      <sz val="10"/>
      <name val="宋体"/>
      <charset val="134"/>
    </font>
    <font>
      <sz val="11"/>
      <name val="宋体"/>
      <charset val="134"/>
      <scheme val="minor"/>
    </font>
    <font>
      <b/>
      <sz val="14"/>
      <name val="宋体"/>
      <charset val="134"/>
    </font>
    <font>
      <sz val="10"/>
      <color theme="1"/>
      <name val="等线"/>
      <charset val="134"/>
    </font>
    <font>
      <sz val="11"/>
      <name val="Calibri"/>
      <charset val="134"/>
    </font>
    <font>
      <sz val="11"/>
      <name val="宋体"/>
      <charset val="0"/>
    </font>
    <font>
      <sz val="10"/>
      <color rgb="FF2727F0"/>
      <name val="等线"/>
      <charset val="134"/>
    </font>
    <font>
      <sz val="10"/>
      <color rgb="FF3E2CEA"/>
      <name val="等线"/>
      <charset val="134"/>
    </font>
    <font>
      <sz val="10"/>
      <color rgb="FF0000FF"/>
      <name val="等线"/>
      <charset val="134"/>
    </font>
    <font>
      <sz val="10"/>
      <color rgb="FF010CDD"/>
      <name val="等线"/>
      <charset val="134"/>
    </font>
    <font>
      <sz val="11"/>
      <name val="Arial"/>
      <charset val="0"/>
    </font>
    <font>
      <sz val="11"/>
      <name val="宋体"/>
      <charset val="134"/>
    </font>
    <font>
      <b/>
      <sz val="11"/>
      <name val="等线"/>
      <charset val="134"/>
    </font>
    <font>
      <b/>
      <sz val="10"/>
      <color rgb="FF0000FF"/>
      <name val="等线"/>
      <charset val="134"/>
    </font>
    <font>
      <b/>
      <sz val="11"/>
      <name val="宋体"/>
      <charset val="134"/>
      <scheme val="minor"/>
    </font>
    <font>
      <sz val="11"/>
      <color rgb="FF2727F0"/>
      <name val="Arial"/>
      <charset val="0"/>
    </font>
    <font>
      <sz val="10"/>
      <color rgb="FF2727F0"/>
      <name val="Arial"/>
      <charset val="134"/>
    </font>
    <font>
      <sz val="11"/>
      <color rgb="FF2727F0"/>
      <name val="等线"/>
      <charset val="134"/>
    </font>
    <font>
      <sz val="11"/>
      <color rgb="FF2727F0"/>
      <name val="宋体"/>
      <charset val="134"/>
      <scheme val="minor"/>
    </font>
    <font>
      <sz val="10"/>
      <color rgb="FF2727F0"/>
      <name val="宋体"/>
      <charset val="134"/>
    </font>
    <font>
      <sz val="11"/>
      <color rgb="FF2727F0"/>
      <name val="宋体"/>
      <charset val="134"/>
    </font>
    <font>
      <sz val="11"/>
      <color rgb="FF0000FF"/>
      <name val="等线"/>
      <charset val="134"/>
    </font>
    <font>
      <sz val="10"/>
      <color rgb="FF2727F0"/>
      <name val="Arial"/>
      <charset val="0"/>
    </font>
    <font>
      <b/>
      <sz val="10"/>
      <name val="等线"/>
      <charset val="134"/>
    </font>
    <font>
      <b/>
      <sz val="10"/>
      <color rgb="FF2727F0"/>
      <name val="等线"/>
      <charset val="134"/>
    </font>
    <font>
      <sz val="10"/>
      <color rgb="FF2727F0"/>
      <name val="宋体"/>
      <charset val="0"/>
    </font>
    <font>
      <b/>
      <sz val="10"/>
      <color rgb="FF2727F0"/>
      <name val="Arial"/>
      <charset val="134"/>
    </font>
    <font>
      <sz val="11"/>
      <color rgb="FF0E2EF0"/>
      <name val="Arial"/>
      <charset val="0"/>
    </font>
    <font>
      <sz val="11"/>
      <color rgb="FF0E2EF0"/>
      <name val="宋体"/>
      <charset val="0"/>
    </font>
    <font>
      <sz val="11"/>
      <color rgb="FF0000FF"/>
      <name val="宋体"/>
      <charset val="134"/>
      <scheme val="minor"/>
    </font>
    <font>
      <sz val="11"/>
      <color rgb="FF3E2CEA"/>
      <name val="Arial"/>
      <charset val="0"/>
    </font>
    <font>
      <sz val="10"/>
      <color rgb="FF3E2CEA"/>
      <name val="Arial"/>
      <charset val="134"/>
    </font>
    <font>
      <sz val="11"/>
      <color rgb="FF3E2CEA"/>
      <name val="宋体"/>
      <charset val="134"/>
    </font>
    <font>
      <sz val="9"/>
      <color rgb="FF3E2CEA"/>
      <name val="宋体"/>
      <charset val="134"/>
    </font>
    <font>
      <sz val="10"/>
      <color rgb="FF3E2CEA"/>
      <name val="Arial"/>
      <charset val="0"/>
    </font>
    <font>
      <sz val="11"/>
      <color rgb="FF0000FF"/>
      <name val="Arial"/>
      <charset val="0"/>
    </font>
    <font>
      <sz val="10"/>
      <color rgb="FF0000FF"/>
      <name val="Arial"/>
      <charset val="134"/>
    </font>
    <font>
      <sz val="11"/>
      <color rgb="FF010CDD"/>
      <name val="Arial"/>
      <charset val="0"/>
    </font>
    <font>
      <sz val="10"/>
      <color rgb="FF010CDD"/>
      <name val="Arial"/>
      <charset val="134"/>
    </font>
    <font>
      <sz val="11"/>
      <color rgb="FF0000FF"/>
      <name val="宋体"/>
      <charset val="134"/>
    </font>
    <font>
      <u/>
      <sz val="11"/>
      <color rgb="FF0000FF"/>
      <name val="宋体"/>
      <charset val="0"/>
      <scheme val="minor"/>
    </font>
    <font>
      <sz val="11"/>
      <color rgb="FF010CDD"/>
      <name val="宋体"/>
      <charset val="134"/>
    </font>
    <font>
      <sz val="9"/>
      <color rgb="FF010CDD"/>
      <name val="STSong-Light-Identity-H"/>
      <charset val="134"/>
    </font>
    <font>
      <u/>
      <sz val="11"/>
      <color rgb="FF010CDD"/>
      <name val="宋体"/>
      <charset val="0"/>
      <scheme val="minor"/>
    </font>
    <font>
      <sz val="10"/>
      <name val="Arial"/>
      <charset val="134"/>
    </font>
    <font>
      <sz val="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
      <sz val="12"/>
      <name val="宋体"/>
      <charset val="134"/>
    </font>
    <font>
      <sz val="11"/>
      <color indexed="8"/>
      <name val="宋体"/>
      <charset val="134"/>
    </font>
    <font>
      <sz val="10"/>
      <name val="Helv"/>
      <charset val="0"/>
    </font>
    <font>
      <sz val="11"/>
      <color rgb="FF010CDD"/>
      <name val="等线"/>
      <charset val="134"/>
    </font>
    <font>
      <sz val="9"/>
      <color rgb="FF010CDD"/>
      <name val="宋体"/>
      <charset val="134"/>
    </font>
    <font>
      <sz val="10"/>
      <color rgb="FF3E2CEA"/>
      <name val="宋体"/>
      <charset val="134"/>
    </font>
    <font>
      <b/>
      <sz val="10"/>
      <color rgb="FF010CDD"/>
      <name val="等线"/>
      <charset val="134"/>
    </font>
    <font>
      <b/>
      <sz val="9"/>
      <name val="宋体"/>
      <charset val="134"/>
    </font>
    <font>
      <sz val="9"/>
      <name val="宋体"/>
      <charset val="134"/>
    </font>
  </fonts>
  <fills count="39">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indexed="43"/>
        <bgColor indexed="64"/>
      </patternFill>
    </fill>
    <fill>
      <patternFill patternType="solid">
        <fgColor rgb="FFFFFFFF"/>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thin">
        <color auto="1"/>
      </left>
      <right/>
      <top style="medium">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7"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0" fillId="8" borderId="33" applyNumberFormat="0" applyFon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34" applyNumberFormat="0" applyFill="0" applyAlignment="0" applyProtection="0">
      <alignment vertical="center"/>
    </xf>
    <xf numFmtId="0" fontId="68" fillId="0" borderId="34" applyNumberFormat="0" applyFill="0" applyAlignment="0" applyProtection="0">
      <alignment vertical="center"/>
    </xf>
    <xf numFmtId="0" fontId="69" fillId="0" borderId="35" applyNumberFormat="0" applyFill="0" applyAlignment="0" applyProtection="0">
      <alignment vertical="center"/>
    </xf>
    <xf numFmtId="0" fontId="69" fillId="0" borderId="0" applyNumberFormat="0" applyFill="0" applyBorder="0" applyAlignment="0" applyProtection="0">
      <alignment vertical="center"/>
    </xf>
    <xf numFmtId="0" fontId="70" fillId="9" borderId="36" applyNumberFormat="0" applyAlignment="0" applyProtection="0">
      <alignment vertical="center"/>
    </xf>
    <xf numFmtId="0" fontId="71" fillId="10" borderId="37" applyNumberFormat="0" applyAlignment="0" applyProtection="0">
      <alignment vertical="center"/>
    </xf>
    <xf numFmtId="0" fontId="72" fillId="10" borderId="36" applyNumberFormat="0" applyAlignment="0" applyProtection="0">
      <alignment vertical="center"/>
    </xf>
    <xf numFmtId="0" fontId="73" fillId="11" borderId="38" applyNumberFormat="0" applyAlignment="0" applyProtection="0">
      <alignment vertical="center"/>
    </xf>
    <xf numFmtId="0" fontId="74" fillId="0" borderId="39" applyNumberFormat="0" applyFill="0" applyAlignment="0" applyProtection="0">
      <alignment vertical="center"/>
    </xf>
    <xf numFmtId="0" fontId="75" fillId="0" borderId="40" applyNumberFormat="0" applyFill="0" applyAlignment="0" applyProtection="0">
      <alignment vertical="center"/>
    </xf>
    <xf numFmtId="0" fontId="76" fillId="12" borderId="0" applyNumberFormat="0" applyBorder="0" applyAlignment="0" applyProtection="0">
      <alignment vertical="center"/>
    </xf>
    <xf numFmtId="0" fontId="77" fillId="13" borderId="0" applyNumberFormat="0" applyBorder="0" applyAlignment="0" applyProtection="0">
      <alignment vertical="center"/>
    </xf>
    <xf numFmtId="0" fontId="78" fillId="14" borderId="0" applyNumberFormat="0" applyBorder="0" applyAlignment="0" applyProtection="0">
      <alignment vertical="center"/>
    </xf>
    <xf numFmtId="0" fontId="79" fillId="15" borderId="0" applyNumberFormat="0" applyBorder="0" applyAlignment="0" applyProtection="0">
      <alignment vertical="center"/>
    </xf>
    <xf numFmtId="0" fontId="80" fillId="16" borderId="0" applyNumberFormat="0" applyBorder="0" applyAlignment="0" applyProtection="0">
      <alignment vertical="center"/>
    </xf>
    <xf numFmtId="0" fontId="80" fillId="17" borderId="0" applyNumberFormat="0" applyBorder="0" applyAlignment="0" applyProtection="0">
      <alignment vertical="center"/>
    </xf>
    <xf numFmtId="0" fontId="79" fillId="18" borderId="0" applyNumberFormat="0" applyBorder="0" applyAlignment="0" applyProtection="0">
      <alignment vertical="center"/>
    </xf>
    <xf numFmtId="0" fontId="79" fillId="19" borderId="0" applyNumberFormat="0" applyBorder="0" applyAlignment="0" applyProtection="0">
      <alignment vertical="center"/>
    </xf>
    <xf numFmtId="0" fontId="80" fillId="20" borderId="0" applyNumberFormat="0" applyBorder="0" applyAlignment="0" applyProtection="0">
      <alignment vertical="center"/>
    </xf>
    <xf numFmtId="0" fontId="80" fillId="21" borderId="0" applyNumberFormat="0" applyBorder="0" applyAlignment="0" applyProtection="0">
      <alignment vertical="center"/>
    </xf>
    <xf numFmtId="0" fontId="79" fillId="22" borderId="0" applyNumberFormat="0" applyBorder="0" applyAlignment="0" applyProtection="0">
      <alignment vertical="center"/>
    </xf>
    <xf numFmtId="0" fontId="79" fillId="23" borderId="0" applyNumberFormat="0" applyBorder="0" applyAlignment="0" applyProtection="0">
      <alignment vertical="center"/>
    </xf>
    <xf numFmtId="0" fontId="80" fillId="24" borderId="0" applyNumberFormat="0" applyBorder="0" applyAlignment="0" applyProtection="0">
      <alignment vertical="center"/>
    </xf>
    <xf numFmtId="0" fontId="80" fillId="25" borderId="0" applyNumberFormat="0" applyBorder="0" applyAlignment="0" applyProtection="0">
      <alignment vertical="center"/>
    </xf>
    <xf numFmtId="0" fontId="79" fillId="26" borderId="0" applyNumberFormat="0" applyBorder="0" applyAlignment="0" applyProtection="0">
      <alignment vertical="center"/>
    </xf>
    <xf numFmtId="0" fontId="79" fillId="27" borderId="0" applyNumberFormat="0" applyBorder="0" applyAlignment="0" applyProtection="0">
      <alignment vertical="center"/>
    </xf>
    <xf numFmtId="0" fontId="80" fillId="28" borderId="0" applyNumberFormat="0" applyBorder="0" applyAlignment="0" applyProtection="0">
      <alignment vertical="center"/>
    </xf>
    <xf numFmtId="0" fontId="80" fillId="29" borderId="0" applyNumberFormat="0" applyBorder="0" applyAlignment="0" applyProtection="0">
      <alignment vertical="center"/>
    </xf>
    <xf numFmtId="0" fontId="79" fillId="30" borderId="0" applyNumberFormat="0" applyBorder="0" applyAlignment="0" applyProtection="0">
      <alignment vertical="center"/>
    </xf>
    <xf numFmtId="0" fontId="79" fillId="31" borderId="0" applyNumberFormat="0" applyBorder="0" applyAlignment="0" applyProtection="0">
      <alignment vertical="center"/>
    </xf>
    <xf numFmtId="0" fontId="80" fillId="32" borderId="0" applyNumberFormat="0" applyBorder="0" applyAlignment="0" applyProtection="0">
      <alignment vertical="center"/>
    </xf>
    <xf numFmtId="0" fontId="80"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80" fillId="36" borderId="0" applyNumberFormat="0" applyBorder="0" applyAlignment="0" applyProtection="0">
      <alignment vertical="center"/>
    </xf>
    <xf numFmtId="0" fontId="80" fillId="37" borderId="0" applyNumberFormat="0" applyBorder="0" applyAlignment="0" applyProtection="0">
      <alignment vertical="center"/>
    </xf>
    <xf numFmtId="0" fontId="79" fillId="38" borderId="0" applyNumberFormat="0" applyBorder="0" applyAlignment="0" applyProtection="0">
      <alignment vertical="center"/>
    </xf>
    <xf numFmtId="0" fontId="81" fillId="0" borderId="0">
      <alignment vertical="center"/>
    </xf>
    <xf numFmtId="177" fontId="82" fillId="0" borderId="0"/>
    <xf numFmtId="176" fontId="82" fillId="0" borderId="0">
      <alignment vertical="center"/>
    </xf>
    <xf numFmtId="0" fontId="82" fillId="0" borderId="0"/>
    <xf numFmtId="176" fontId="83" fillId="0" borderId="0">
      <alignment vertical="center"/>
    </xf>
    <xf numFmtId="0" fontId="83" fillId="0" borderId="0">
      <alignment vertical="center"/>
    </xf>
    <xf numFmtId="0" fontId="61" fillId="0" borderId="0"/>
    <xf numFmtId="0" fontId="84" fillId="0" borderId="0"/>
  </cellStyleXfs>
  <cellXfs count="478">
    <xf numFmtId="176" fontId="0" fillId="0" borderId="0" xfId="0">
      <alignment vertical="center"/>
    </xf>
    <xf numFmtId="176" fontId="1" fillId="0" borderId="0" xfId="0" applyFont="1" applyFill="1">
      <alignment vertical="center"/>
    </xf>
    <xf numFmtId="176" fontId="2" fillId="0" borderId="0" xfId="0" applyFont="1" applyFill="1" applyAlignment="1">
      <alignment horizontal="center" vertical="center"/>
    </xf>
    <xf numFmtId="176" fontId="2" fillId="2" borderId="0" xfId="0" applyFont="1" applyFill="1" applyAlignment="1">
      <alignment horizontal="center" vertical="center"/>
    </xf>
    <xf numFmtId="176" fontId="2" fillId="3" borderId="0" xfId="0" applyFont="1" applyFill="1" applyAlignment="1">
      <alignment horizontal="center" vertical="center"/>
    </xf>
    <xf numFmtId="176" fontId="2" fillId="0" borderId="0" xfId="0" applyFont="1" applyFill="1" applyAlignment="1" applyProtection="1">
      <alignment horizontal="center" vertical="center"/>
      <protection locked="0"/>
    </xf>
    <xf numFmtId="178" fontId="3" fillId="0"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wrapText="1" shrinkToFit="1"/>
    </xf>
    <xf numFmtId="176" fontId="3" fillId="0" borderId="1" xfId="0" applyFont="1" applyFill="1" applyBorder="1" applyAlignment="1">
      <alignment horizontal="center" vertical="center" wrapText="1" shrinkToFit="1"/>
    </xf>
    <xf numFmtId="49" fontId="3" fillId="0" borderId="1" xfId="0" applyNumberFormat="1" applyFont="1" applyFill="1" applyBorder="1" applyAlignment="1">
      <alignment horizontal="center" vertical="center" wrapText="1" shrinkToFit="1"/>
    </xf>
    <xf numFmtId="178" fontId="2" fillId="0" borderId="1" xfId="0" applyNumberFormat="1" applyFont="1" applyFill="1" applyBorder="1" applyAlignment="1">
      <alignment horizontal="center" vertical="center" shrinkToFit="1"/>
    </xf>
    <xf numFmtId="0" fontId="2" fillId="0" borderId="1" xfId="0" applyNumberFormat="1" applyFont="1" applyFill="1" applyBorder="1" applyAlignment="1">
      <alignment horizontal="center" vertical="center" wrapText="1"/>
    </xf>
    <xf numFmtId="176"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wrapText="1"/>
    </xf>
    <xf numFmtId="178" fontId="5" fillId="0" borderId="2" xfId="0" applyNumberFormat="1" applyFont="1" applyFill="1" applyBorder="1" applyAlignment="1">
      <alignment horizontal="center" vertical="center" shrinkToFit="1"/>
    </xf>
    <xf numFmtId="0" fontId="6" fillId="0"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shrinkToFit="1"/>
    </xf>
    <xf numFmtId="0" fontId="6" fillId="0" borderId="2" xfId="0" applyNumberFormat="1" applyFont="1" applyFill="1" applyBorder="1" applyAlignment="1">
      <alignment horizontal="center" vertical="center" shrinkToFit="1"/>
    </xf>
    <xf numFmtId="0" fontId="2" fillId="0" borderId="2" xfId="0" applyNumberFormat="1" applyFont="1" applyFill="1" applyBorder="1" applyAlignment="1">
      <alignment horizontal="center" vertical="center" wrapText="1"/>
    </xf>
    <xf numFmtId="178" fontId="2" fillId="0" borderId="2" xfId="0" applyNumberFormat="1" applyFont="1" applyFill="1" applyBorder="1" applyAlignment="1">
      <alignment horizontal="center" vertical="center" shrinkToFit="1"/>
    </xf>
    <xf numFmtId="0" fontId="8" fillId="0" borderId="2" xfId="0" applyNumberFormat="1" applyFont="1" applyFill="1" applyBorder="1" applyAlignment="1">
      <alignment horizontal="center" vertical="center" wrapText="1" shrinkToFit="1"/>
    </xf>
    <xf numFmtId="49" fontId="8" fillId="0"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178" fontId="2" fillId="2" borderId="1" xfId="0" applyNumberFormat="1" applyFont="1" applyFill="1" applyBorder="1" applyAlignment="1">
      <alignment horizontal="center" vertical="center" shrinkToFit="1"/>
    </xf>
    <xf numFmtId="176"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xf>
    <xf numFmtId="0" fontId="9" fillId="0" borderId="2" xfId="0" applyNumberFormat="1" applyFont="1" applyFill="1" applyBorder="1" applyAlignment="1">
      <alignment horizontal="center" vertical="center" wrapText="1"/>
    </xf>
    <xf numFmtId="176" fontId="2" fillId="0" borderId="2" xfId="0" applyFont="1" applyFill="1" applyBorder="1" applyAlignment="1">
      <alignment horizontal="center" vertical="center"/>
    </xf>
    <xf numFmtId="178" fontId="2" fillId="0" borderId="3" xfId="0" applyNumberFormat="1" applyFont="1" applyFill="1" applyBorder="1" applyAlignment="1" applyProtection="1">
      <alignment horizontal="center" vertical="center" shrinkToFit="1"/>
    </xf>
    <xf numFmtId="176" fontId="7" fillId="0" borderId="0" xfId="0" applyFont="1" applyFill="1">
      <alignment vertical="center"/>
    </xf>
    <xf numFmtId="176" fontId="2" fillId="0" borderId="2" xfId="0" applyFont="1" applyFill="1" applyBorder="1" applyAlignment="1" applyProtection="1">
      <alignment horizontal="center" vertical="center"/>
      <protection locked="0"/>
    </xf>
    <xf numFmtId="0" fontId="2" fillId="0" borderId="3" xfId="0" applyNumberFormat="1" applyFont="1" applyFill="1" applyBorder="1" applyAlignment="1" applyProtection="1">
      <alignment horizontal="center" vertical="center"/>
      <protection locked="0"/>
    </xf>
    <xf numFmtId="176" fontId="7" fillId="0" borderId="0" xfId="0" applyFont="1" applyFill="1" applyAlignment="1">
      <alignment horizontal="center" vertical="center" wrapText="1"/>
    </xf>
    <xf numFmtId="0" fontId="2" fillId="0" borderId="3" xfId="0" applyNumberFormat="1" applyFont="1" applyFill="1" applyBorder="1" applyAlignment="1" applyProtection="1">
      <alignment horizontal="center" vertical="center" wrapText="1"/>
      <protection locked="0"/>
    </xf>
    <xf numFmtId="178" fontId="1" fillId="0" borderId="1" xfId="0" applyNumberFormat="1" applyFont="1" applyFill="1" applyBorder="1" applyAlignment="1">
      <alignment horizontal="center" vertical="center" wrapText="1" shrinkToFit="1"/>
    </xf>
    <xf numFmtId="178" fontId="2" fillId="3" borderId="1" xfId="0" applyNumberFormat="1" applyFont="1" applyFill="1" applyBorder="1" applyAlignment="1">
      <alignment horizontal="center" vertical="center" wrapText="1" shrinkToFit="1"/>
    </xf>
    <xf numFmtId="178" fontId="2" fillId="0" borderId="1" xfId="0" applyNumberFormat="1" applyFont="1" applyFill="1" applyBorder="1" applyAlignment="1">
      <alignment horizontal="center" vertical="center" wrapText="1" shrinkToFit="1"/>
    </xf>
    <xf numFmtId="178" fontId="2" fillId="4" borderId="1" xfId="0" applyNumberFormat="1" applyFont="1" applyFill="1" applyBorder="1" applyAlignment="1">
      <alignment horizontal="center" vertical="center" wrapText="1" shrinkToFit="1"/>
    </xf>
    <xf numFmtId="179" fontId="2" fillId="2" borderId="1"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wrapText="1" shrinkToFit="1"/>
    </xf>
    <xf numFmtId="179" fontId="2" fillId="0" borderId="1" xfId="0" applyNumberFormat="1" applyFont="1" applyFill="1" applyBorder="1" applyAlignment="1">
      <alignment horizontal="center" vertical="center"/>
    </xf>
    <xf numFmtId="178" fontId="2" fillId="0" borderId="1" xfId="0" applyNumberFormat="1" applyFont="1" applyFill="1" applyBorder="1" applyAlignment="1" applyProtection="1">
      <alignment horizontal="center" vertical="center" wrapText="1" shrinkToFit="1"/>
      <protection locked="0"/>
    </xf>
    <xf numFmtId="178" fontId="2" fillId="0" borderId="3" xfId="0" applyNumberFormat="1" applyFont="1" applyFill="1" applyBorder="1" applyAlignment="1" applyProtection="1">
      <alignment horizontal="center" vertical="center" wrapText="1" shrinkToFit="1"/>
      <protection locked="0"/>
    </xf>
    <xf numFmtId="0" fontId="3" fillId="0" borderId="1" xfId="0" applyNumberFormat="1" applyFont="1" applyFill="1" applyBorder="1" applyAlignment="1">
      <alignment horizontal="center" vertical="center" shrinkToFit="1"/>
    </xf>
    <xf numFmtId="180" fontId="2" fillId="0" borderId="1" xfId="0" applyNumberFormat="1" applyFont="1" applyFill="1" applyBorder="1" applyAlignment="1">
      <alignment horizontal="center" vertical="center" wrapText="1"/>
    </xf>
    <xf numFmtId="181" fontId="8" fillId="0" borderId="1" xfId="0" applyNumberFormat="1" applyFont="1" applyFill="1" applyBorder="1" applyAlignment="1">
      <alignment horizontal="center" vertical="center" wrapText="1"/>
    </xf>
    <xf numFmtId="180" fontId="2" fillId="2" borderId="1" xfId="0" applyNumberFormat="1" applyFont="1" applyFill="1" applyBorder="1" applyAlignment="1">
      <alignment horizontal="center" vertical="center" wrapText="1"/>
    </xf>
    <xf numFmtId="58" fontId="8" fillId="0" borderId="3" xfId="0" applyNumberFormat="1" applyFont="1" applyFill="1" applyBorder="1" applyAlignment="1" applyProtection="1">
      <alignment horizontal="center" vertical="center" wrapText="1" shrinkToFit="1"/>
      <protection locked="0"/>
    </xf>
    <xf numFmtId="58" fontId="8" fillId="0" borderId="2" xfId="0" applyNumberFormat="1" applyFont="1" applyFill="1" applyBorder="1" applyAlignment="1" applyProtection="1">
      <alignment horizontal="center" vertical="center" wrapText="1" shrinkToFit="1"/>
      <protection locked="0"/>
    </xf>
    <xf numFmtId="58" fontId="8" fillId="0" borderId="0" xfId="0" applyNumberFormat="1" applyFont="1" applyFill="1" applyAlignment="1" applyProtection="1">
      <alignment horizontal="center" vertical="center" wrapText="1" shrinkToFit="1"/>
      <protection locked="0"/>
    </xf>
    <xf numFmtId="176" fontId="2" fillId="0" borderId="3" xfId="0" applyFont="1" applyFill="1" applyBorder="1" applyAlignment="1" applyProtection="1">
      <alignment horizontal="center" vertical="center" wrapText="1"/>
      <protection locked="0"/>
    </xf>
    <xf numFmtId="176" fontId="7" fillId="0" borderId="0" xfId="0" applyFont="1" applyFill="1" applyAlignment="1">
      <alignment horizontal="center" vertical="center"/>
    </xf>
    <xf numFmtId="182" fontId="2" fillId="0" borderId="1" xfId="0" applyNumberFormat="1" applyFont="1" applyFill="1" applyBorder="1" applyAlignment="1">
      <alignment horizontal="center" vertical="center"/>
    </xf>
    <xf numFmtId="183" fontId="2" fillId="0" borderId="1" xfId="0" applyNumberFormat="1" applyFont="1" applyFill="1" applyBorder="1" applyAlignment="1">
      <alignment horizontal="center" vertical="center"/>
    </xf>
    <xf numFmtId="176" fontId="2" fillId="0" borderId="1" xfId="0" applyFont="1" applyFill="1" applyBorder="1" applyAlignment="1">
      <alignment horizontal="center" vertical="center"/>
    </xf>
    <xf numFmtId="182" fontId="2" fillId="2" borderId="1" xfId="0" applyNumberFormat="1" applyFont="1" applyFill="1" applyBorder="1" applyAlignment="1">
      <alignment horizontal="center" vertical="center"/>
    </xf>
    <xf numFmtId="183" fontId="2" fillId="2" borderId="1" xfId="0" applyNumberFormat="1" applyFont="1" applyFill="1" applyBorder="1" applyAlignment="1">
      <alignment horizontal="center" vertical="center"/>
    </xf>
    <xf numFmtId="176" fontId="2" fillId="2" borderId="1" xfId="0" applyFont="1" applyFill="1" applyBorder="1" applyAlignment="1">
      <alignment horizontal="center" vertical="center"/>
    </xf>
    <xf numFmtId="0" fontId="9" fillId="0" borderId="1" xfId="0" applyNumberFormat="1" applyFont="1" applyFill="1" applyBorder="1" applyAlignment="1">
      <alignment horizontal="center" vertical="center" wrapText="1"/>
    </xf>
    <xf numFmtId="182" fontId="2" fillId="0" borderId="4" xfId="0" applyNumberFormat="1" applyFont="1" applyFill="1" applyBorder="1" applyAlignment="1">
      <alignment horizontal="center" vertical="center"/>
    </xf>
    <xf numFmtId="183" fontId="2" fillId="0" borderId="4" xfId="0" applyNumberFormat="1" applyFont="1" applyFill="1" applyBorder="1" applyAlignment="1">
      <alignment horizontal="center" vertical="center"/>
    </xf>
    <xf numFmtId="182" fontId="2" fillId="0" borderId="3" xfId="0" applyNumberFormat="1" applyFont="1" applyFill="1" applyBorder="1" applyAlignment="1" applyProtection="1">
      <alignment horizontal="center" vertical="center"/>
      <protection locked="0"/>
    </xf>
    <xf numFmtId="183" fontId="2" fillId="0" borderId="3" xfId="0" applyNumberFormat="1" applyFont="1" applyFill="1" applyBorder="1" applyAlignment="1" applyProtection="1">
      <alignment horizontal="center" vertical="center"/>
      <protection locked="0"/>
    </xf>
    <xf numFmtId="0" fontId="2" fillId="0" borderId="1" xfId="0" applyNumberFormat="1" applyFont="1" applyFill="1" applyBorder="1" applyAlignment="1" applyProtection="1">
      <alignment horizontal="center" vertical="center" wrapText="1"/>
      <protection locked="0"/>
    </xf>
    <xf numFmtId="176" fontId="2" fillId="0" borderId="3" xfId="0" applyFont="1" applyFill="1" applyBorder="1" applyAlignment="1" applyProtection="1">
      <alignment horizontal="center" vertical="center"/>
      <protection locked="0"/>
    </xf>
    <xf numFmtId="0" fontId="3"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xf>
    <xf numFmtId="0" fontId="2" fillId="0" borderId="1" xfId="0" applyNumberFormat="1" applyFont="1" applyFill="1" applyBorder="1" applyAlignment="1" applyProtection="1">
      <alignment horizontal="center" vertical="center"/>
      <protection locked="0"/>
    </xf>
    <xf numFmtId="0" fontId="10" fillId="0" borderId="5" xfId="0" applyNumberFormat="1" applyFont="1" applyFill="1" applyBorder="1" applyAlignment="1">
      <alignment horizontal="center" vertical="center"/>
    </xf>
    <xf numFmtId="0" fontId="10" fillId="2" borderId="5" xfId="0" applyNumberFormat="1" applyFont="1" applyFill="1" applyBorder="1" applyAlignment="1">
      <alignment horizontal="center" vertical="center"/>
    </xf>
    <xf numFmtId="176" fontId="2" fillId="0" borderId="5" xfId="0" applyFont="1" applyFill="1" applyBorder="1" applyAlignment="1">
      <alignment horizontal="center" vertical="center"/>
    </xf>
    <xf numFmtId="176" fontId="2" fillId="0" borderId="6" xfId="0" applyFont="1" applyFill="1" applyBorder="1" applyAlignment="1" applyProtection="1">
      <alignment horizontal="center" vertical="center"/>
      <protection locked="0"/>
    </xf>
    <xf numFmtId="0" fontId="11" fillId="5" borderId="1" xfId="0" applyNumberFormat="1" applyFont="1" applyFill="1" applyBorder="1" applyAlignment="1">
      <alignment horizontal="center" vertical="center"/>
    </xf>
    <xf numFmtId="0" fontId="12" fillId="5"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wrapText="1"/>
    </xf>
    <xf numFmtId="14" fontId="14" fillId="0" borderId="2" xfId="0" applyNumberFormat="1" applyFont="1" applyFill="1" applyBorder="1" applyAlignment="1">
      <alignment horizontal="center" vertical="center"/>
    </xf>
    <xf numFmtId="0" fontId="14" fillId="0" borderId="2"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xf>
    <xf numFmtId="3" fontId="11" fillId="5" borderId="1" xfId="0" applyNumberFormat="1" applyFont="1" applyFill="1" applyBorder="1" applyAlignment="1">
      <alignment horizontal="center" vertical="center"/>
    </xf>
    <xf numFmtId="0" fontId="14" fillId="0" borderId="2" xfId="0" applyNumberFormat="1" applyFont="1" applyFill="1" applyBorder="1" applyAlignment="1">
      <alignment vertical="center" wrapText="1"/>
    </xf>
    <xf numFmtId="176" fontId="0" fillId="2" borderId="0" xfId="0" applyFill="1">
      <alignment vertical="center"/>
    </xf>
    <xf numFmtId="176" fontId="0" fillId="0" borderId="0" xfId="0" applyFill="1">
      <alignment vertical="center"/>
    </xf>
    <xf numFmtId="0" fontId="0" fillId="0" borderId="0" xfId="0" applyNumberFormat="1">
      <alignment vertical="center"/>
    </xf>
    <xf numFmtId="0" fontId="0" fillId="0" borderId="0" xfId="0" applyNumberFormat="1" applyAlignment="1">
      <alignment horizontal="center" vertical="center"/>
    </xf>
    <xf numFmtId="176" fontId="16" fillId="3" borderId="7" xfId="0" applyFont="1" applyFill="1" applyBorder="1" applyAlignment="1">
      <alignment horizontal="center" vertical="center"/>
    </xf>
    <xf numFmtId="176" fontId="16" fillId="3" borderId="8" xfId="0" applyFont="1" applyFill="1" applyBorder="1" applyAlignment="1">
      <alignment horizontal="center" vertical="center"/>
    </xf>
    <xf numFmtId="176" fontId="16" fillId="3" borderId="9" xfId="0" applyFont="1" applyFill="1" applyBorder="1" applyAlignment="1">
      <alignment horizontal="center" vertical="center"/>
    </xf>
    <xf numFmtId="176" fontId="16" fillId="3" borderId="10" xfId="0" applyFont="1" applyFill="1" applyBorder="1" applyAlignment="1">
      <alignment vertical="center"/>
    </xf>
    <xf numFmtId="176" fontId="17" fillId="0" borderId="11" xfId="0" applyFont="1" applyBorder="1" applyAlignment="1">
      <alignment horizontal="center" vertical="center"/>
    </xf>
    <xf numFmtId="0" fontId="17" fillId="0" borderId="2" xfId="0" applyNumberFormat="1" applyFont="1" applyBorder="1" applyAlignment="1">
      <alignment horizontal="center" vertical="center"/>
    </xf>
    <xf numFmtId="0" fontId="17" fillId="0" borderId="12" xfId="0" applyNumberFormat="1" applyFont="1" applyBorder="1" applyAlignment="1">
      <alignment horizontal="center" vertical="center"/>
    </xf>
    <xf numFmtId="0" fontId="17" fillId="0" borderId="4" xfId="0" applyNumberFormat="1" applyFont="1" applyBorder="1" applyAlignment="1">
      <alignment horizontal="center" vertical="center" wrapText="1"/>
    </xf>
    <xf numFmtId="0" fontId="17" fillId="0" borderId="13" xfId="0" applyNumberFormat="1" applyFont="1" applyBorder="1" applyAlignment="1">
      <alignment horizontal="center" vertical="center" wrapText="1"/>
    </xf>
    <xf numFmtId="176" fontId="0" fillId="0" borderId="14" xfId="0" applyBorder="1" applyAlignment="1">
      <alignment horizontal="center" vertical="center"/>
    </xf>
    <xf numFmtId="176" fontId="17" fillId="0" borderId="15" xfId="0" applyFont="1" applyBorder="1" applyAlignment="1">
      <alignment horizontal="center" vertical="center"/>
    </xf>
    <xf numFmtId="0" fontId="17" fillId="0" borderId="1" xfId="0" applyNumberFormat="1" applyFont="1" applyBorder="1" applyAlignment="1">
      <alignment horizontal="center" vertical="center"/>
    </xf>
    <xf numFmtId="0" fontId="17" fillId="0" borderId="2" xfId="0" applyNumberFormat="1" applyFont="1" applyBorder="1" applyAlignment="1">
      <alignment horizontal="center" vertical="center" wrapText="1"/>
    </xf>
    <xf numFmtId="0" fontId="17" fillId="0" borderId="16" xfId="0" applyNumberFormat="1" applyFont="1" applyBorder="1" applyAlignment="1">
      <alignment horizontal="center" vertical="center" wrapText="1"/>
    </xf>
    <xf numFmtId="178" fontId="17" fillId="0" borderId="15" xfId="0" applyNumberFormat="1" applyFont="1" applyFill="1" applyBorder="1" applyAlignment="1">
      <alignment horizontal="center" vertical="center"/>
    </xf>
    <xf numFmtId="0" fontId="17" fillId="2" borderId="1" xfId="0" applyNumberFormat="1" applyFont="1" applyFill="1" applyBorder="1" applyAlignment="1">
      <alignment horizontal="center" vertical="center"/>
    </xf>
    <xf numFmtId="176" fontId="0" fillId="2" borderId="14" xfId="0" applyFill="1" applyBorder="1" applyAlignment="1">
      <alignment horizontal="center" vertical="center"/>
    </xf>
    <xf numFmtId="178" fontId="17" fillId="2" borderId="15" xfId="0" applyNumberFormat="1" applyFont="1" applyFill="1" applyBorder="1" applyAlignment="1">
      <alignment horizontal="center" vertical="center"/>
    </xf>
    <xf numFmtId="176" fontId="0" fillId="0" borderId="14" xfId="0" applyFill="1" applyBorder="1" applyAlignment="1">
      <alignment horizontal="center" vertical="center"/>
    </xf>
    <xf numFmtId="178" fontId="17" fillId="6" borderId="15" xfId="0" applyNumberFormat="1" applyFont="1" applyFill="1" applyBorder="1" applyAlignment="1">
      <alignment horizontal="center" vertical="center"/>
    </xf>
    <xf numFmtId="0" fontId="17" fillId="6" borderId="1" xfId="0" applyNumberFormat="1" applyFont="1" applyFill="1" applyBorder="1" applyAlignment="1">
      <alignment horizontal="center" vertical="center"/>
    </xf>
    <xf numFmtId="178" fontId="17" fillId="6" borderId="17" xfId="0" applyNumberFormat="1" applyFont="1" applyFill="1" applyBorder="1" applyAlignment="1">
      <alignment horizontal="center" vertical="center"/>
    </xf>
    <xf numFmtId="178" fontId="17" fillId="2" borderId="17"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xf>
    <xf numFmtId="178" fontId="17" fillId="0" borderId="17" xfId="0" applyNumberFormat="1" applyFont="1" applyFill="1" applyBorder="1" applyAlignment="1">
      <alignment horizontal="center" vertical="center"/>
    </xf>
    <xf numFmtId="178" fontId="17" fillId="4" borderId="15" xfId="0" applyNumberFormat="1" applyFont="1" applyFill="1" applyBorder="1" applyAlignment="1">
      <alignment horizontal="center" vertical="center"/>
    </xf>
    <xf numFmtId="0" fontId="17" fillId="4" borderId="1" xfId="0" applyNumberFormat="1" applyFont="1" applyFill="1" applyBorder="1" applyAlignment="1">
      <alignment horizontal="center" vertical="center"/>
    </xf>
    <xf numFmtId="178" fontId="17" fillId="4" borderId="17" xfId="0" applyNumberFormat="1" applyFont="1" applyFill="1" applyBorder="1" applyAlignment="1">
      <alignment horizontal="center" vertical="center"/>
    </xf>
    <xf numFmtId="176" fontId="17" fillId="0" borderId="15" xfId="0" applyFont="1" applyFill="1" applyBorder="1" applyAlignment="1">
      <alignment horizontal="center" vertical="center"/>
    </xf>
    <xf numFmtId="0" fontId="17" fillId="0" borderId="17" xfId="0" applyNumberFormat="1" applyFont="1" applyFill="1" applyBorder="1" applyAlignment="1">
      <alignment horizontal="center" vertical="center"/>
    </xf>
    <xf numFmtId="0" fontId="17" fillId="0" borderId="5" xfId="0" applyNumberFormat="1" applyFont="1" applyFill="1" applyBorder="1" applyAlignment="1">
      <alignment horizontal="center" vertical="center"/>
    </xf>
    <xf numFmtId="0" fontId="17" fillId="0" borderId="5" xfId="0" applyNumberFormat="1" applyFont="1" applyBorder="1" applyAlignment="1">
      <alignment horizontal="center" vertical="center"/>
    </xf>
    <xf numFmtId="176" fontId="16" fillId="4" borderId="18" xfId="0" applyFont="1" applyFill="1" applyBorder="1" applyAlignment="1">
      <alignment horizontal="center" vertical="center"/>
    </xf>
    <xf numFmtId="176" fontId="16" fillId="4" borderId="19" xfId="0" applyFont="1" applyFill="1" applyBorder="1" applyAlignment="1">
      <alignment horizontal="center" vertical="center"/>
    </xf>
    <xf numFmtId="176" fontId="16" fillId="4" borderId="20" xfId="0" applyFont="1" applyFill="1" applyBorder="1" applyAlignment="1">
      <alignment horizontal="center" vertical="center"/>
    </xf>
    <xf numFmtId="176" fontId="0" fillId="0" borderId="21" xfId="0" applyBorder="1" applyAlignment="1">
      <alignment horizontal="center" vertical="center"/>
    </xf>
    <xf numFmtId="176" fontId="17" fillId="0" borderId="22" xfId="0" applyFont="1" applyBorder="1" applyAlignment="1">
      <alignment horizontal="center" vertical="center"/>
    </xf>
    <xf numFmtId="0" fontId="17" fillId="0" borderId="23" xfId="0" applyNumberFormat="1" applyFont="1" applyBorder="1" applyAlignment="1">
      <alignment horizontal="center" vertical="center"/>
    </xf>
    <xf numFmtId="0" fontId="17" fillId="0" borderId="23" xfId="0" applyNumberFormat="1" applyFont="1" applyBorder="1" applyAlignment="1">
      <alignment horizontal="center" vertical="center" wrapText="1"/>
    </xf>
    <xf numFmtId="176" fontId="0" fillId="0" borderId="24" xfId="0" applyBorder="1" applyAlignment="1">
      <alignment horizontal="center" vertical="center"/>
    </xf>
    <xf numFmtId="0" fontId="17" fillId="0" borderId="1" xfId="0" applyNumberFormat="1" applyFont="1" applyBorder="1" applyAlignment="1">
      <alignment horizontal="center" vertical="center" wrapText="1"/>
    </xf>
    <xf numFmtId="0" fontId="17" fillId="2" borderId="25" xfId="0" applyNumberFormat="1" applyFont="1" applyFill="1" applyBorder="1" applyAlignment="1">
      <alignment horizontal="center" vertical="center"/>
    </xf>
    <xf numFmtId="0" fontId="17" fillId="0" borderId="25" xfId="0" applyNumberFormat="1" applyFont="1" applyFill="1" applyBorder="1" applyAlignment="1">
      <alignment horizontal="center" vertical="center"/>
    </xf>
    <xf numFmtId="0" fontId="0" fillId="2" borderId="0" xfId="0" applyNumberFormat="1" applyFill="1" applyBorder="1">
      <alignment vertical="center"/>
    </xf>
    <xf numFmtId="0" fontId="0" fillId="2" borderId="0" xfId="0" applyNumberFormat="1" applyFill="1" applyBorder="1" applyAlignment="1">
      <alignment horizontal="center" vertical="center"/>
    </xf>
    <xf numFmtId="176" fontId="0" fillId="2" borderId="0" xfId="0" applyFill="1" applyBorder="1">
      <alignment vertical="center"/>
    </xf>
    <xf numFmtId="0" fontId="0" fillId="2" borderId="0" xfId="0" applyNumberFormat="1" applyFill="1">
      <alignment vertical="center"/>
    </xf>
    <xf numFmtId="0" fontId="0" fillId="2" borderId="0" xfId="0" applyNumberFormat="1" applyFill="1" applyAlignment="1">
      <alignment horizontal="center" vertical="center"/>
    </xf>
    <xf numFmtId="0" fontId="0" fillId="0" borderId="0" xfId="0" applyNumberFormat="1" applyFill="1">
      <alignment vertical="center"/>
    </xf>
    <xf numFmtId="0" fontId="0" fillId="0" borderId="0" xfId="0" applyNumberFormat="1" applyFill="1" applyAlignment="1">
      <alignment horizontal="center" vertical="center"/>
    </xf>
    <xf numFmtId="0" fontId="17" fillId="4" borderId="25" xfId="0" applyNumberFormat="1" applyFont="1" applyFill="1" applyBorder="1" applyAlignment="1">
      <alignment horizontal="center" vertical="center"/>
    </xf>
    <xf numFmtId="176" fontId="17" fillId="0" borderId="26" xfId="0" applyFont="1" applyFill="1" applyBorder="1" applyAlignment="1">
      <alignment horizontal="center" vertical="center"/>
    </xf>
    <xf numFmtId="0" fontId="17" fillId="0" borderId="27" xfId="0" applyNumberFormat="1" applyFont="1" applyFill="1" applyBorder="1" applyAlignment="1">
      <alignment horizontal="center" vertical="center"/>
    </xf>
    <xf numFmtId="0" fontId="17" fillId="0" borderId="28" xfId="0" applyNumberFormat="1" applyFont="1" applyFill="1" applyBorder="1" applyAlignment="1">
      <alignment horizontal="center" vertical="center"/>
    </xf>
    <xf numFmtId="176" fontId="0" fillId="0" borderId="29" xfId="0" applyFill="1" applyBorder="1" applyAlignment="1">
      <alignment horizontal="center" vertical="center"/>
    </xf>
    <xf numFmtId="176" fontId="3" fillId="0" borderId="0" xfId="0" applyFont="1" applyAlignment="1">
      <alignment horizontal="center" vertical="center"/>
    </xf>
    <xf numFmtId="176" fontId="3" fillId="0" borderId="0" xfId="0" applyFont="1" applyFill="1" applyAlignment="1">
      <alignment horizontal="center" vertical="center"/>
    </xf>
    <xf numFmtId="176" fontId="3" fillId="2" borderId="0" xfId="0" applyFont="1" applyFill="1" applyAlignment="1">
      <alignment horizontal="center" vertical="center"/>
    </xf>
    <xf numFmtId="176" fontId="3" fillId="4" borderId="0" xfId="0" applyFont="1" applyFill="1" applyAlignment="1">
      <alignment horizontal="center" vertical="center"/>
    </xf>
    <xf numFmtId="176" fontId="18" fillId="0" borderId="0" xfId="0" applyFont="1" applyAlignment="1">
      <alignment horizontal="center" vertical="center"/>
    </xf>
    <xf numFmtId="0" fontId="18" fillId="0" borderId="0" xfId="0" applyNumberFormat="1" applyFont="1" applyAlignment="1">
      <alignment horizontal="center" vertical="center"/>
    </xf>
    <xf numFmtId="176" fontId="19" fillId="3" borderId="30" xfId="0" applyFont="1" applyFill="1" applyBorder="1" applyAlignment="1">
      <alignment horizontal="center" vertical="center"/>
    </xf>
    <xf numFmtId="176" fontId="19" fillId="3" borderId="9" xfId="0" applyFont="1" applyFill="1" applyBorder="1" applyAlignment="1">
      <alignment horizontal="center" vertical="center"/>
    </xf>
    <xf numFmtId="176" fontId="3" fillId="0" borderId="5" xfId="0" applyFont="1" applyBorder="1" applyAlignment="1">
      <alignment horizontal="center" vertical="center"/>
    </xf>
    <xf numFmtId="176" fontId="3" fillId="0" borderId="22" xfId="0" applyFont="1" applyBorder="1" applyAlignment="1">
      <alignment horizontal="center" vertical="center"/>
    </xf>
    <xf numFmtId="0" fontId="3" fillId="0" borderId="23" xfId="0" applyNumberFormat="1" applyFont="1" applyBorder="1" applyAlignment="1">
      <alignment horizontal="center" vertical="center"/>
    </xf>
    <xf numFmtId="176" fontId="3" fillId="0" borderId="5" xfId="0" applyFont="1" applyFill="1" applyBorder="1" applyAlignment="1">
      <alignment horizontal="center" vertical="center"/>
    </xf>
    <xf numFmtId="180" fontId="3" fillId="0" borderId="15"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xf>
    <xf numFmtId="0" fontId="21" fillId="0" borderId="1" xfId="0" applyNumberFormat="1" applyFont="1" applyFill="1" applyBorder="1" applyAlignment="1">
      <alignment horizontal="center" vertical="center"/>
    </xf>
    <xf numFmtId="0" fontId="3" fillId="0" borderId="1" xfId="53" applyNumberFormat="1" applyFont="1" applyFill="1" applyBorder="1" applyAlignment="1">
      <alignment horizontal="center" vertical="center"/>
    </xf>
    <xf numFmtId="184"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185" fontId="3"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xf>
    <xf numFmtId="0" fontId="14" fillId="0" borderId="5" xfId="52" applyNumberFormat="1" applyFont="1" applyFill="1" applyBorder="1" applyAlignment="1">
      <alignment horizontal="center" vertical="center" wrapText="1"/>
    </xf>
    <xf numFmtId="0" fontId="3" fillId="0" borderId="1" xfId="0" applyNumberFormat="1" applyFont="1" applyBorder="1" applyAlignment="1">
      <alignment horizontal="center" vertical="center"/>
    </xf>
    <xf numFmtId="0" fontId="21" fillId="0" borderId="1" xfId="0" applyNumberFormat="1" applyFont="1" applyBorder="1" applyAlignment="1">
      <alignment horizontal="center" vertical="center"/>
    </xf>
    <xf numFmtId="176" fontId="3" fillId="2" borderId="5" xfId="0" applyFont="1" applyFill="1" applyBorder="1" applyAlignment="1">
      <alignment horizontal="center" vertical="center"/>
    </xf>
    <xf numFmtId="180" fontId="3" fillId="2" borderId="15" xfId="0" applyNumberFormat="1" applyFont="1" applyFill="1" applyBorder="1" applyAlignment="1">
      <alignment horizontal="center" vertical="center"/>
    </xf>
    <xf numFmtId="0" fontId="20" fillId="2" borderId="1" xfId="0" applyNumberFormat="1" applyFont="1" applyFill="1" applyBorder="1" applyAlignment="1">
      <alignment horizontal="center" vertical="center"/>
    </xf>
    <xf numFmtId="0" fontId="14" fillId="2" borderId="1" xfId="0" applyNumberFormat="1" applyFont="1" applyFill="1" applyBorder="1" applyAlignment="1">
      <alignment horizontal="center" vertical="center"/>
    </xf>
    <xf numFmtId="0" fontId="3" fillId="2" borderId="1" xfId="53" applyNumberFormat="1" applyFont="1" applyFill="1" applyBorder="1" applyAlignment="1">
      <alignment horizontal="center" vertical="center"/>
    </xf>
    <xf numFmtId="184" fontId="3" fillId="2" borderId="1" xfId="0" applyNumberFormat="1" applyFont="1" applyFill="1" applyBorder="1" applyAlignment="1">
      <alignment horizontal="center" vertical="center"/>
    </xf>
    <xf numFmtId="0" fontId="14" fillId="2" borderId="5" xfId="52" applyNumberFormat="1" applyFont="1" applyFill="1" applyBorder="1" applyAlignment="1">
      <alignment horizontal="center" vertical="center" wrapText="1"/>
    </xf>
    <xf numFmtId="185" fontId="3" fillId="2" borderId="1"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0" fontId="3" fillId="0" borderId="5" xfId="0" applyNumberFormat="1" applyFont="1" applyFill="1" applyBorder="1" applyAlignment="1">
      <alignment horizontal="center" vertical="center"/>
    </xf>
    <xf numFmtId="176" fontId="19" fillId="3" borderId="10" xfId="0" applyFont="1" applyFill="1" applyBorder="1" applyAlignment="1">
      <alignment horizontal="center" vertical="center"/>
    </xf>
    <xf numFmtId="0" fontId="3" fillId="0" borderId="31" xfId="0" applyNumberFormat="1" applyFont="1" applyBorder="1" applyAlignment="1">
      <alignment horizontal="center" vertical="center"/>
    </xf>
    <xf numFmtId="0" fontId="3" fillId="2" borderId="1" xfId="0" applyNumberFormat="1" applyFont="1" applyFill="1" applyBorder="1" applyAlignment="1">
      <alignment horizontal="center" vertical="center" wrapText="1"/>
    </xf>
    <xf numFmtId="0" fontId="3" fillId="2" borderId="16" xfId="0" applyNumberFormat="1" applyFont="1" applyFill="1" applyBorder="1" applyAlignment="1">
      <alignment horizontal="center" vertical="center" wrapText="1"/>
    </xf>
    <xf numFmtId="176" fontId="3" fillId="0" borderId="24" xfId="0" applyFont="1" applyBorder="1" applyAlignment="1">
      <alignment horizontal="center" vertical="center"/>
    </xf>
    <xf numFmtId="0" fontId="20" fillId="0" borderId="5" xfId="0" applyNumberFormat="1" applyFont="1" applyFill="1" applyBorder="1" applyAlignment="1">
      <alignment horizontal="center" vertical="center"/>
    </xf>
    <xf numFmtId="176" fontId="3" fillId="0" borderId="14" xfId="0" applyFont="1" applyFill="1" applyBorder="1" applyAlignment="1">
      <alignment horizontal="center" vertical="center"/>
    </xf>
    <xf numFmtId="0" fontId="3" fillId="0" borderId="5" xfId="0" applyNumberFormat="1" applyFont="1" applyBorder="1" applyAlignment="1">
      <alignment horizontal="center" vertical="center"/>
    </xf>
    <xf numFmtId="176" fontId="3" fillId="0" borderId="14" xfId="0" applyFont="1" applyBorder="1" applyAlignment="1">
      <alignment horizontal="center" vertical="center"/>
    </xf>
    <xf numFmtId="0" fontId="20" fillId="2" borderId="5" xfId="0" applyNumberFormat="1" applyFont="1" applyFill="1" applyBorder="1" applyAlignment="1">
      <alignment horizontal="center" vertical="center"/>
    </xf>
    <xf numFmtId="176" fontId="3" fillId="2" borderId="14" xfId="0" applyFont="1" applyFill="1" applyBorder="1" applyAlignment="1">
      <alignment horizontal="center" vertical="center"/>
    </xf>
    <xf numFmtId="185" fontId="3" fillId="2" borderId="5"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85" fontId="3" fillId="0" borderId="5"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xf>
    <xf numFmtId="186" fontId="3" fillId="0" borderId="1" xfId="0" applyNumberFormat="1" applyFont="1" applyFill="1" applyBorder="1" applyAlignment="1">
      <alignment horizontal="center" vertical="center"/>
    </xf>
    <xf numFmtId="49" fontId="3" fillId="0" borderId="5" xfId="0" applyNumberFormat="1" applyFont="1" applyFill="1" applyBorder="1" applyAlignment="1">
      <alignment horizontal="center" vertical="center"/>
    </xf>
    <xf numFmtId="0" fontId="13" fillId="4" borderId="1" xfId="0" applyNumberFormat="1" applyFont="1" applyFill="1" applyBorder="1" applyAlignment="1">
      <alignment horizontal="center" vertical="center"/>
    </xf>
    <xf numFmtId="185" fontId="14" fillId="0" borderId="1" xfId="0" applyNumberFormat="1" applyFont="1" applyFill="1" applyBorder="1" applyAlignment="1">
      <alignment horizontal="center" vertical="center"/>
    </xf>
    <xf numFmtId="185" fontId="22" fillId="0" borderId="1" xfId="0" applyNumberFormat="1" applyFont="1" applyFill="1" applyBorder="1" applyAlignment="1">
      <alignment horizontal="center" vertical="center"/>
    </xf>
    <xf numFmtId="176" fontId="3" fillId="4" borderId="5" xfId="0" applyFont="1" applyFill="1" applyBorder="1" applyAlignment="1">
      <alignment horizontal="center" vertical="center"/>
    </xf>
    <xf numFmtId="14" fontId="14" fillId="4" borderId="1" xfId="0" applyNumberFormat="1" applyFont="1" applyFill="1" applyBorder="1" applyAlignment="1">
      <alignment horizontal="center" vertical="center"/>
    </xf>
    <xf numFmtId="0" fontId="3" fillId="4" borderId="1" xfId="0" applyNumberFormat="1" applyFont="1" applyFill="1" applyBorder="1" applyAlignment="1">
      <alignment horizontal="center" vertical="center"/>
    </xf>
    <xf numFmtId="184" fontId="14" fillId="4" borderId="1" xfId="0" applyNumberFormat="1" applyFont="1" applyFill="1" applyBorder="1" applyAlignment="1">
      <alignment horizontal="center" vertical="center" wrapText="1"/>
    </xf>
    <xf numFmtId="0" fontId="3" fillId="4" borderId="5" xfId="0" applyNumberFormat="1" applyFont="1" applyFill="1" applyBorder="1" applyAlignment="1">
      <alignment horizontal="center" vertical="center"/>
    </xf>
    <xf numFmtId="185" fontId="14" fillId="4" borderId="1" xfId="0" applyNumberFormat="1" applyFont="1" applyFill="1" applyBorder="1" applyAlignment="1">
      <alignment horizontal="center" vertical="center"/>
    </xf>
    <xf numFmtId="176" fontId="3" fillId="0" borderId="15" xfId="0" applyFont="1" applyBorder="1" applyAlignment="1">
      <alignment horizontal="center" vertical="center"/>
    </xf>
    <xf numFmtId="176" fontId="3" fillId="0" borderId="26" xfId="0" applyFont="1" applyBorder="1" applyAlignment="1">
      <alignment horizontal="center" vertical="center"/>
    </xf>
    <xf numFmtId="0" fontId="3" fillId="0" borderId="27" xfId="0" applyNumberFormat="1" applyFont="1" applyBorder="1" applyAlignment="1">
      <alignment horizontal="center" vertical="center"/>
    </xf>
    <xf numFmtId="176" fontId="3" fillId="4" borderId="14" xfId="0" applyFont="1" applyFill="1" applyBorder="1" applyAlignment="1">
      <alignment horizontal="center" vertical="center"/>
    </xf>
    <xf numFmtId="0" fontId="3" fillId="0" borderId="28" xfId="0" applyNumberFormat="1" applyFont="1" applyBorder="1" applyAlignment="1">
      <alignment horizontal="center" vertical="center"/>
    </xf>
    <xf numFmtId="179" fontId="3" fillId="4" borderId="27" xfId="0" applyNumberFormat="1" applyFont="1" applyFill="1" applyBorder="1" applyAlignment="1">
      <alignment horizontal="center" vertical="center"/>
    </xf>
    <xf numFmtId="0" fontId="3" fillId="4" borderId="27" xfId="0" applyNumberFormat="1" applyFont="1" applyFill="1" applyBorder="1" applyAlignment="1">
      <alignment horizontal="center" vertical="center"/>
    </xf>
    <xf numFmtId="179" fontId="3" fillId="4" borderId="28" xfId="0" applyNumberFormat="1" applyFont="1" applyFill="1" applyBorder="1" applyAlignment="1">
      <alignment horizontal="center" vertical="center"/>
    </xf>
    <xf numFmtId="176" fontId="3" fillId="0" borderId="29" xfId="0" applyFont="1" applyBorder="1" applyAlignment="1">
      <alignment horizontal="center" vertical="center"/>
    </xf>
    <xf numFmtId="176" fontId="1" fillId="0" borderId="0" xfId="0" applyFont="1" applyFill="1" applyProtection="1">
      <alignment vertical="center"/>
      <protection locked="0"/>
    </xf>
    <xf numFmtId="176" fontId="23" fillId="0" borderId="0" xfId="0" applyFont="1" applyFill="1" applyAlignment="1" applyProtection="1">
      <alignment horizontal="center" vertical="center"/>
      <protection locked="0"/>
    </xf>
    <xf numFmtId="176" fontId="24" fillId="0" borderId="0" xfId="0" applyFont="1" applyFill="1" applyAlignment="1" applyProtection="1">
      <alignment horizontal="center" vertical="center"/>
      <protection locked="0"/>
    </xf>
    <xf numFmtId="176" fontId="24" fillId="0" borderId="1" xfId="0" applyFont="1" applyFill="1" applyBorder="1" applyAlignment="1" applyProtection="1">
      <alignment horizontal="center" vertical="center"/>
      <protection locked="0"/>
    </xf>
    <xf numFmtId="176" fontId="24" fillId="0" borderId="2" xfId="0" applyFont="1" applyFill="1" applyBorder="1" applyAlignment="1" applyProtection="1">
      <alignment horizontal="center" vertical="center"/>
      <protection locked="0"/>
    </xf>
    <xf numFmtId="176" fontId="24" fillId="0" borderId="4" xfId="0" applyFont="1" applyFill="1" applyBorder="1" applyAlignment="1" applyProtection="1">
      <alignment horizontal="center" vertical="center"/>
      <protection locked="0"/>
    </xf>
    <xf numFmtId="176" fontId="25" fillId="0" borderId="2" xfId="0" applyFont="1" applyFill="1" applyBorder="1" applyAlignment="1" applyProtection="1">
      <alignment horizontal="center" vertical="center"/>
      <protection locked="0"/>
    </xf>
    <xf numFmtId="176" fontId="26" fillId="0" borderId="1" xfId="0" applyFont="1" applyFill="1" applyBorder="1" applyAlignment="1" applyProtection="1">
      <alignment horizontal="center" vertical="center"/>
      <protection locked="0"/>
    </xf>
    <xf numFmtId="176" fontId="26" fillId="0" borderId="2" xfId="0" applyFont="1" applyFill="1" applyBorder="1" applyAlignment="1" applyProtection="1">
      <alignment horizontal="center" vertical="center"/>
      <protection locked="0"/>
    </xf>
    <xf numFmtId="176" fontId="3" fillId="0" borderId="2" xfId="0" applyFont="1" applyFill="1" applyBorder="1" applyAlignment="1" applyProtection="1">
      <alignment horizontal="center" vertical="center"/>
      <protection locked="0"/>
    </xf>
    <xf numFmtId="176" fontId="3" fillId="4" borderId="2" xfId="0" applyFont="1" applyFill="1" applyBorder="1" applyAlignment="1" applyProtection="1">
      <alignment horizontal="center" vertical="center"/>
      <protection locked="0"/>
    </xf>
    <xf numFmtId="176" fontId="3" fillId="3" borderId="2" xfId="0" applyFont="1" applyFill="1" applyBorder="1" applyAlignment="1" applyProtection="1">
      <alignment horizontal="center" vertical="center"/>
      <protection locked="0"/>
    </xf>
    <xf numFmtId="176" fontId="3" fillId="0" borderId="0" xfId="0" applyFont="1" applyFill="1" applyAlignment="1" applyProtection="1">
      <alignment horizontal="center" vertical="center"/>
      <protection locked="0"/>
    </xf>
    <xf numFmtId="176" fontId="1" fillId="0" borderId="0" xfId="0" applyFont="1" applyFill="1" applyBorder="1" applyAlignment="1" applyProtection="1">
      <alignment horizontal="center" vertical="center"/>
    </xf>
    <xf numFmtId="0" fontId="27" fillId="0" borderId="2" xfId="0" applyNumberFormat="1" applyFont="1" applyFill="1" applyBorder="1" applyAlignment="1" applyProtection="1">
      <alignment horizontal="center" vertical="center" wrapText="1"/>
      <protection locked="0"/>
    </xf>
    <xf numFmtId="176" fontId="1" fillId="0" borderId="0" xfId="0" applyFont="1" applyFill="1" applyBorder="1" applyAlignment="1" applyProtection="1">
      <alignment horizontal="center" vertical="center"/>
      <protection locked="0"/>
    </xf>
    <xf numFmtId="0" fontId="1" fillId="0" borderId="0" xfId="0" applyNumberFormat="1" applyFont="1" applyFill="1" applyBorder="1" applyAlignment="1" applyProtection="1">
      <alignment horizontal="center" vertical="center"/>
      <protection locked="0"/>
    </xf>
    <xf numFmtId="49" fontId="1" fillId="0" borderId="0" xfId="0" applyNumberFormat="1" applyFont="1" applyFill="1" applyBorder="1" applyAlignment="1" applyProtection="1">
      <alignment horizontal="center" vertical="center"/>
      <protection locked="0"/>
    </xf>
    <xf numFmtId="49" fontId="1" fillId="0" borderId="0" xfId="0" applyNumberFormat="1" applyFont="1" applyFill="1" applyBorder="1" applyAlignment="1" applyProtection="1">
      <alignment horizontal="center" vertical="center" wrapText="1"/>
      <protection locked="0"/>
    </xf>
    <xf numFmtId="0" fontId="1" fillId="0" borderId="0" xfId="0" applyNumberFormat="1" applyFont="1" applyFill="1" applyBorder="1" applyAlignment="1" applyProtection="1">
      <alignment horizontal="center" vertical="center" wrapText="1"/>
      <protection locked="0"/>
    </xf>
    <xf numFmtId="178" fontId="1" fillId="0" borderId="0" xfId="0" applyNumberFormat="1" applyFont="1" applyFill="1" applyBorder="1" applyAlignment="1" applyProtection="1">
      <alignment horizontal="center" vertical="center"/>
      <protection locked="0"/>
    </xf>
    <xf numFmtId="178" fontId="3" fillId="0" borderId="0" xfId="0" applyNumberFormat="1" applyFont="1" applyFill="1" applyBorder="1" applyAlignment="1" applyProtection="1">
      <alignment horizontal="center" vertical="center" wrapText="1"/>
      <protection locked="0"/>
    </xf>
    <xf numFmtId="58" fontId="28" fillId="0" borderId="1" xfId="0" applyNumberFormat="1" applyFont="1" applyFill="1" applyBorder="1" applyAlignment="1" applyProtection="1">
      <alignment horizontal="center" vertical="center" wrapText="1" shrinkToFit="1"/>
      <protection locked="0"/>
    </xf>
    <xf numFmtId="178" fontId="1" fillId="0" borderId="0" xfId="0" applyNumberFormat="1" applyFont="1" applyFill="1" applyAlignment="1" applyProtection="1">
      <alignment horizontal="center" vertical="center" wrapText="1"/>
      <protection locked="0"/>
    </xf>
    <xf numFmtId="0" fontId="1" fillId="0" borderId="0" xfId="0" applyNumberFormat="1" applyFont="1" applyFill="1" applyAlignment="1" applyProtection="1">
      <alignment horizontal="center" vertical="center"/>
      <protection locked="0"/>
    </xf>
    <xf numFmtId="0" fontId="29" fillId="0" borderId="0" xfId="0" applyNumberFormat="1" applyFont="1" applyFill="1" applyBorder="1" applyAlignment="1" applyProtection="1">
      <alignment horizontal="center" vertical="center"/>
      <protection locked="0"/>
    </xf>
    <xf numFmtId="0" fontId="30" fillId="0" borderId="1" xfId="0" applyNumberFormat="1" applyFont="1" applyFill="1" applyBorder="1" applyAlignment="1" applyProtection="1">
      <alignment horizontal="center" vertical="center"/>
      <protection locked="0"/>
    </xf>
    <xf numFmtId="176" fontId="31" fillId="0" borderId="0" xfId="0" applyFont="1" applyFill="1" applyBorder="1" applyProtection="1">
      <alignment vertical="center"/>
      <protection locked="0"/>
    </xf>
    <xf numFmtId="176" fontId="18" fillId="0" borderId="0" xfId="0" applyFont="1" applyFill="1" applyBorder="1" applyProtection="1">
      <alignment vertical="center"/>
      <protection locked="0"/>
    </xf>
    <xf numFmtId="176" fontId="18" fillId="0" borderId="0" xfId="0" applyFont="1" applyFill="1" applyProtection="1">
      <alignment vertical="center"/>
      <protection locked="0"/>
    </xf>
    <xf numFmtId="178" fontId="3" fillId="0" borderId="1" xfId="0" applyNumberFormat="1" applyFont="1" applyFill="1" applyBorder="1" applyAlignment="1" applyProtection="1">
      <alignment horizontal="center" vertical="center" wrapText="1" shrinkToFit="1"/>
    </xf>
    <xf numFmtId="176" fontId="3" fillId="0" borderId="1" xfId="0" applyFont="1" applyFill="1" applyBorder="1" applyAlignment="1" applyProtection="1">
      <alignment horizontal="center" vertical="center" wrapText="1" shrinkToFit="1"/>
      <protection locked="0"/>
    </xf>
    <xf numFmtId="0" fontId="3" fillId="0" borderId="1" xfId="0" applyNumberFormat="1" applyFont="1" applyFill="1" applyBorder="1" applyAlignment="1" applyProtection="1">
      <alignment horizontal="center" vertical="center" wrapText="1" shrinkToFit="1"/>
      <protection locked="0"/>
    </xf>
    <xf numFmtId="49" fontId="3" fillId="0" borderId="1" xfId="0" applyNumberFormat="1" applyFont="1" applyFill="1" applyBorder="1" applyAlignment="1" applyProtection="1">
      <alignment horizontal="center" vertical="center" wrapText="1" shrinkToFit="1"/>
      <protection locked="0"/>
    </xf>
    <xf numFmtId="178" fontId="23" fillId="0" borderId="1" xfId="0" applyNumberFormat="1" applyFont="1" applyFill="1" applyBorder="1" applyAlignment="1" applyProtection="1">
      <alignment horizontal="center" vertical="center" shrinkToFit="1"/>
    </xf>
    <xf numFmtId="0" fontId="32" fillId="0" borderId="2" xfId="0" applyNumberFormat="1" applyFont="1" applyFill="1" applyBorder="1" applyAlignment="1" applyProtection="1">
      <alignment horizontal="center" vertical="center" wrapText="1"/>
      <protection locked="0"/>
    </xf>
    <xf numFmtId="176" fontId="23" fillId="0" borderId="1" xfId="0" applyNumberFormat="1" applyFont="1" applyFill="1" applyBorder="1" applyAlignment="1" applyProtection="1">
      <alignment horizontal="center" vertical="center"/>
      <protection locked="0"/>
    </xf>
    <xf numFmtId="0" fontId="23" fillId="0" borderId="1" xfId="0" applyNumberFormat="1" applyFont="1" applyFill="1" applyBorder="1" applyAlignment="1" applyProtection="1">
      <alignment horizontal="center" vertical="center"/>
      <protection locked="0"/>
    </xf>
    <xf numFmtId="0" fontId="33" fillId="0" borderId="1" xfId="0" applyNumberFormat="1" applyFont="1" applyFill="1" applyBorder="1" applyAlignment="1" applyProtection="1">
      <alignment horizontal="center" vertical="center" wrapText="1"/>
      <protection locked="0"/>
    </xf>
    <xf numFmtId="0" fontId="23" fillId="0" borderId="1" xfId="0" applyNumberFormat="1" applyFont="1" applyFill="1" applyBorder="1" applyAlignment="1" applyProtection="1">
      <alignment horizontal="center" vertical="center" wrapText="1"/>
      <protection locked="0"/>
    </xf>
    <xf numFmtId="178" fontId="23" fillId="0" borderId="2" xfId="0" applyNumberFormat="1" applyFont="1" applyFill="1" applyBorder="1" applyAlignment="1" applyProtection="1">
      <alignment horizontal="center" vertical="center" shrinkToFit="1"/>
    </xf>
    <xf numFmtId="176" fontId="23" fillId="0" borderId="2" xfId="0" applyNumberFormat="1"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33" fillId="0" borderId="2" xfId="0" applyNumberFormat="1" applyFont="1" applyFill="1" applyBorder="1" applyAlignment="1" applyProtection="1">
      <alignment horizontal="center" vertical="center" wrapText="1"/>
      <protection locked="0"/>
    </xf>
    <xf numFmtId="178" fontId="34" fillId="0" borderId="2" xfId="0" applyNumberFormat="1" applyFont="1" applyFill="1" applyBorder="1" applyAlignment="1" applyProtection="1">
      <alignment horizontal="center" vertical="center" shrinkToFit="1"/>
    </xf>
    <xf numFmtId="0" fontId="35" fillId="0" borderId="2" xfId="0" applyNumberFormat="1" applyFont="1" applyFill="1" applyBorder="1" applyAlignment="1" applyProtection="1">
      <alignment horizontal="center" vertical="center" wrapText="1" shrinkToFit="1"/>
      <protection locked="0"/>
    </xf>
    <xf numFmtId="0" fontId="32" fillId="0" borderId="2" xfId="0" applyNumberFormat="1" applyFont="1" applyFill="1" applyBorder="1" applyAlignment="1" applyProtection="1">
      <alignment horizontal="center" vertical="center" shrinkToFit="1"/>
      <protection locked="0"/>
    </xf>
    <xf numFmtId="0" fontId="23" fillId="0" borderId="2" xfId="0" applyNumberFormat="1" applyFont="1" applyFill="1" applyBorder="1" applyAlignment="1" applyProtection="1">
      <alignment horizontal="center" vertical="center" wrapText="1"/>
      <protection locked="0"/>
    </xf>
    <xf numFmtId="178" fontId="34" fillId="0" borderId="1" xfId="0" applyNumberFormat="1" applyFont="1" applyFill="1" applyBorder="1" applyAlignment="1" applyProtection="1">
      <alignment horizontal="center" vertical="center" shrinkToFit="1"/>
    </xf>
    <xf numFmtId="0" fontId="35" fillId="0" borderId="1" xfId="0" applyNumberFormat="1" applyFont="1" applyFill="1" applyBorder="1" applyAlignment="1" applyProtection="1">
      <alignment horizontal="center" vertical="center" wrapText="1" shrinkToFit="1"/>
      <protection locked="0"/>
    </xf>
    <xf numFmtId="0" fontId="32" fillId="0" borderId="1" xfId="0" applyNumberFormat="1" applyFont="1" applyFill="1" applyBorder="1" applyAlignment="1" applyProtection="1">
      <alignment horizontal="center" vertical="center" shrinkToFit="1"/>
      <protection locked="0"/>
    </xf>
    <xf numFmtId="176" fontId="23" fillId="0" borderId="2" xfId="0" applyFont="1" applyFill="1" applyBorder="1" applyAlignment="1" applyProtection="1">
      <alignment horizontal="center" vertical="center"/>
      <protection locked="0"/>
    </xf>
    <xf numFmtId="176" fontId="23" fillId="0" borderId="1" xfId="0" applyFont="1" applyFill="1" applyBorder="1" applyAlignment="1" applyProtection="1">
      <alignment horizontal="center" vertical="center"/>
      <protection locked="0"/>
    </xf>
    <xf numFmtId="0" fontId="36" fillId="0" borderId="2" xfId="0" applyNumberFormat="1" applyFont="1" applyFill="1" applyBorder="1" applyAlignment="1" applyProtection="1">
      <alignment horizontal="center" vertical="center" wrapText="1"/>
      <protection locked="0"/>
    </xf>
    <xf numFmtId="49" fontId="36" fillId="0" borderId="2" xfId="0" applyNumberFormat="1" applyFont="1" applyFill="1" applyBorder="1" applyAlignment="1" applyProtection="1">
      <alignment horizontal="center" vertical="center" wrapText="1"/>
      <protection locked="0"/>
    </xf>
    <xf numFmtId="0" fontId="36" fillId="0" borderId="1" xfId="0" applyNumberFormat="1" applyFont="1" applyFill="1" applyBorder="1" applyAlignment="1" applyProtection="1">
      <alignment horizontal="center" vertical="center" wrapText="1"/>
      <protection locked="0"/>
    </xf>
    <xf numFmtId="178" fontId="3" fillId="0" borderId="1" xfId="0" applyNumberFormat="1" applyFont="1" applyFill="1" applyBorder="1" applyAlignment="1" applyProtection="1">
      <alignment horizontal="center" vertical="center" wrapText="1" shrinkToFit="1"/>
      <protection locked="0"/>
    </xf>
    <xf numFmtId="178" fontId="1" fillId="0" borderId="1" xfId="0" applyNumberFormat="1" applyFont="1" applyFill="1" applyBorder="1" applyAlignment="1" applyProtection="1">
      <alignment horizontal="center" vertical="center" wrapText="1" shrinkToFit="1"/>
      <protection locked="0"/>
    </xf>
    <xf numFmtId="179" fontId="23" fillId="0" borderId="1" xfId="0" applyNumberFormat="1" applyFont="1" applyFill="1" applyBorder="1" applyAlignment="1" applyProtection="1">
      <alignment horizontal="center" vertical="center"/>
      <protection locked="0"/>
    </xf>
    <xf numFmtId="178" fontId="23" fillId="0" borderId="1" xfId="0" applyNumberFormat="1" applyFont="1" applyFill="1" applyBorder="1" applyAlignment="1" applyProtection="1">
      <alignment horizontal="center" vertical="center" shrinkToFit="1"/>
      <protection locked="0"/>
    </xf>
    <xf numFmtId="178" fontId="23" fillId="0" borderId="1" xfId="0" applyNumberFormat="1" applyFont="1" applyFill="1" applyBorder="1" applyAlignment="1" applyProtection="1">
      <alignment horizontal="center" vertical="center" wrapText="1" shrinkToFit="1"/>
      <protection locked="0"/>
    </xf>
    <xf numFmtId="176" fontId="23" fillId="0" borderId="1" xfId="0" applyFont="1" applyFill="1" applyBorder="1" applyAlignment="1" applyProtection="1">
      <alignment horizontal="center" vertical="center" wrapText="1" shrinkToFit="1"/>
      <protection locked="0"/>
    </xf>
    <xf numFmtId="0" fontId="3" fillId="0" borderId="1" xfId="0" applyNumberFormat="1" applyFont="1" applyFill="1" applyBorder="1" applyAlignment="1" applyProtection="1">
      <alignment horizontal="center" vertical="center" shrinkToFit="1"/>
      <protection locked="0"/>
    </xf>
    <xf numFmtId="58" fontId="37" fillId="0" borderId="1" xfId="0" applyNumberFormat="1" applyFont="1" applyFill="1" applyBorder="1" applyAlignment="1" applyProtection="1">
      <alignment horizontal="center" vertical="center" wrapText="1" shrinkToFit="1"/>
      <protection locked="0"/>
    </xf>
    <xf numFmtId="176" fontId="23" fillId="0" borderId="1" xfId="0" applyFont="1" applyFill="1" applyBorder="1" applyAlignment="1" applyProtection="1">
      <alignment horizontal="center" vertical="center" wrapText="1"/>
      <protection locked="0"/>
    </xf>
    <xf numFmtId="176" fontId="23" fillId="0" borderId="0" xfId="0" applyFont="1" applyFill="1" applyAlignment="1" applyProtection="1">
      <alignment horizontal="center" vertical="center" wrapText="1"/>
      <protection locked="0"/>
    </xf>
    <xf numFmtId="180" fontId="23" fillId="0" borderId="1" xfId="0" applyNumberFormat="1" applyFont="1" applyFill="1" applyBorder="1" applyAlignment="1" applyProtection="1">
      <alignment horizontal="center" vertical="center" wrapText="1"/>
      <protection locked="0"/>
    </xf>
    <xf numFmtId="182" fontId="23" fillId="0" borderId="1" xfId="0" applyNumberFormat="1" applyFont="1" applyFill="1" applyBorder="1" applyAlignment="1" applyProtection="1">
      <alignment horizontal="center" vertical="center"/>
      <protection locked="0"/>
    </xf>
    <xf numFmtId="183" fontId="23" fillId="0" borderId="1" xfId="0" applyNumberFormat="1" applyFont="1" applyFill="1" applyBorder="1" applyAlignment="1" applyProtection="1">
      <alignment horizontal="center" vertical="center"/>
      <protection locked="0"/>
    </xf>
    <xf numFmtId="184" fontId="38" fillId="2" borderId="4" xfId="0" applyNumberFormat="1" applyFont="1" applyFill="1" applyBorder="1" applyAlignment="1">
      <alignment horizontal="center" vertical="center" wrapText="1" shrinkToFit="1"/>
    </xf>
    <xf numFmtId="182" fontId="23" fillId="0" borderId="4" xfId="0" applyNumberFormat="1" applyFont="1" applyFill="1" applyBorder="1" applyAlignment="1" applyProtection="1">
      <alignment horizontal="center" vertical="center"/>
      <protection locked="0"/>
    </xf>
    <xf numFmtId="183" fontId="23" fillId="0" borderId="4" xfId="0" applyNumberFormat="1" applyFont="1" applyFill="1" applyBorder="1" applyAlignment="1" applyProtection="1">
      <alignment horizontal="center" vertical="center"/>
      <protection locked="0"/>
    </xf>
    <xf numFmtId="0" fontId="39" fillId="0" borderId="1" xfId="0" applyNumberFormat="1" applyFont="1" applyFill="1" applyBorder="1" applyAlignment="1" applyProtection="1">
      <alignment horizontal="center" vertical="center" wrapText="1" shrinkToFit="1"/>
      <protection locked="0"/>
    </xf>
    <xf numFmtId="0" fontId="40" fillId="0" borderId="1" xfId="0" applyNumberFormat="1" applyFont="1" applyFill="1" applyBorder="1" applyAlignment="1" applyProtection="1">
      <alignment horizontal="center" vertical="center" wrapText="1"/>
      <protection locked="0"/>
    </xf>
    <xf numFmtId="0" fontId="3" fillId="0" borderId="5" xfId="0" applyNumberFormat="1" applyFont="1" applyFill="1" applyBorder="1" applyAlignment="1" applyProtection="1">
      <alignment horizontal="center" vertical="center" wrapText="1"/>
      <protection locked="0"/>
    </xf>
    <xf numFmtId="0" fontId="3" fillId="0" borderId="1" xfId="0" applyNumberFormat="1" applyFont="1" applyFill="1" applyBorder="1" applyAlignment="1" applyProtection="1">
      <alignment horizontal="center" vertical="center" wrapText="1"/>
      <protection locked="0"/>
    </xf>
    <xf numFmtId="0" fontId="3" fillId="0" borderId="1" xfId="0" applyNumberFormat="1" applyFont="1" applyFill="1" applyBorder="1" applyAlignment="1" applyProtection="1">
      <alignment horizontal="center" vertical="center"/>
      <protection locked="0"/>
    </xf>
    <xf numFmtId="0" fontId="41" fillId="0" borderId="5" xfId="0" applyNumberFormat="1" applyFont="1" applyFill="1" applyBorder="1" applyAlignment="1" applyProtection="1">
      <alignment horizontal="center" vertical="center"/>
      <protection locked="0"/>
    </xf>
    <xf numFmtId="0" fontId="41" fillId="0" borderId="1" xfId="0" applyNumberFormat="1" applyFont="1" applyFill="1" applyBorder="1" applyAlignment="1" applyProtection="1">
      <alignment horizontal="center" vertical="center"/>
      <protection locked="0"/>
    </xf>
    <xf numFmtId="176" fontId="23" fillId="0" borderId="5" xfId="0" applyFont="1" applyFill="1" applyBorder="1" applyAlignment="1" applyProtection="1">
      <alignment horizontal="center" vertical="center"/>
      <protection locked="0"/>
    </xf>
    <xf numFmtId="176" fontId="23" fillId="0" borderId="4" xfId="0" applyFont="1" applyFill="1" applyBorder="1" applyAlignment="1" applyProtection="1">
      <alignment horizontal="center" vertical="center" wrapText="1"/>
      <protection locked="0"/>
    </xf>
    <xf numFmtId="176" fontId="23" fillId="0" borderId="2" xfId="0" applyFont="1" applyFill="1" applyBorder="1" applyAlignment="1" applyProtection="1">
      <alignment horizontal="center" vertical="center" wrapText="1"/>
      <protection locked="0"/>
    </xf>
    <xf numFmtId="178" fontId="23" fillId="0" borderId="1" xfId="0" applyNumberFormat="1" applyFont="1" applyFill="1" applyBorder="1" applyAlignment="1" applyProtection="1">
      <alignment horizontal="left" vertical="top" wrapText="1" shrinkToFit="1"/>
      <protection locked="0"/>
    </xf>
    <xf numFmtId="0" fontId="23" fillId="0" borderId="0" xfId="0" applyNumberFormat="1" applyFont="1" applyFill="1" applyAlignment="1" applyProtection="1">
      <alignment horizontal="center" vertical="center"/>
      <protection locked="0"/>
    </xf>
    <xf numFmtId="49" fontId="23" fillId="0" borderId="1" xfId="0" applyNumberFormat="1" applyFont="1" applyFill="1" applyBorder="1" applyAlignment="1" applyProtection="1">
      <alignment horizontal="center" vertical="center"/>
      <protection locked="0"/>
    </xf>
    <xf numFmtId="0" fontId="42" fillId="0" borderId="1" xfId="0" applyNumberFormat="1" applyFont="1" applyFill="1" applyBorder="1" applyAlignment="1" applyProtection="1">
      <alignment horizontal="center" vertical="center" wrapText="1" shrinkToFit="1"/>
      <protection locked="0"/>
    </xf>
    <xf numFmtId="0" fontId="43" fillId="0" borderId="2" xfId="0" applyNumberFormat="1" applyFont="1" applyFill="1" applyBorder="1" applyAlignment="1" applyProtection="1">
      <alignment horizontal="center" vertical="center" wrapText="1"/>
      <protection locked="0"/>
    </xf>
    <xf numFmtId="181" fontId="37" fillId="0" borderId="1" xfId="0" applyNumberFormat="1" applyFont="1" applyFill="1" applyBorder="1" applyAlignment="1" applyProtection="1">
      <alignment horizontal="center" vertical="center" wrapText="1"/>
      <protection locked="0"/>
    </xf>
    <xf numFmtId="49" fontId="23" fillId="0" borderId="1" xfId="0" applyNumberFormat="1" applyFont="1" applyFill="1" applyBorder="1" applyAlignment="1" applyProtection="1">
      <alignment horizontal="center" vertical="center" wrapText="1" shrinkToFit="1"/>
      <protection locked="0"/>
    </xf>
    <xf numFmtId="49" fontId="23" fillId="0" borderId="0" xfId="0" applyNumberFormat="1" applyFont="1" applyFill="1" applyAlignment="1" applyProtection="1">
      <alignment horizontal="center" vertical="center"/>
      <protection locked="0"/>
    </xf>
    <xf numFmtId="0" fontId="44" fillId="0" borderId="2" xfId="0" applyNumberFormat="1" applyFont="1" applyFill="1" applyBorder="1" applyAlignment="1" applyProtection="1">
      <alignment horizontal="center" vertical="center"/>
    </xf>
    <xf numFmtId="182" fontId="23" fillId="0" borderId="3" xfId="0" applyNumberFormat="1" applyFont="1" applyFill="1" applyBorder="1" applyAlignment="1" applyProtection="1">
      <alignment horizontal="center" vertical="center"/>
      <protection locked="0"/>
    </xf>
    <xf numFmtId="0" fontId="26" fillId="0" borderId="1" xfId="0" applyNumberFormat="1" applyFont="1" applyFill="1" applyBorder="1" applyAlignment="1" applyProtection="1">
      <alignment horizontal="center" vertical="center"/>
      <protection locked="0"/>
    </xf>
    <xf numFmtId="0" fontId="45" fillId="0" borderId="1" xfId="0" applyNumberFormat="1" applyFont="1" applyFill="1" applyBorder="1" applyAlignment="1" applyProtection="1">
      <alignment horizontal="center" vertical="center" wrapText="1"/>
    </xf>
    <xf numFmtId="0" fontId="46" fillId="0" borderId="1" xfId="0" applyNumberFormat="1" applyFont="1" applyFill="1" applyBorder="1" applyAlignment="1" applyProtection="1">
      <alignment horizontal="center" vertical="center"/>
      <protection locked="0"/>
    </xf>
    <xf numFmtId="0" fontId="25" fillId="0" borderId="1" xfId="0" applyNumberFormat="1" applyFont="1" applyFill="1" applyBorder="1" applyAlignment="1" applyProtection="1">
      <alignment horizontal="center" vertical="center"/>
      <protection locked="0"/>
    </xf>
    <xf numFmtId="0" fontId="24" fillId="0" borderId="1" xfId="0" applyNumberFormat="1" applyFont="1" applyFill="1" applyBorder="1" applyAlignment="1" applyProtection="1">
      <alignment horizontal="center" vertical="center"/>
      <protection locked="0"/>
    </xf>
    <xf numFmtId="178" fontId="24" fillId="0" borderId="2" xfId="0" applyNumberFormat="1" applyFont="1" applyFill="1" applyBorder="1" applyAlignment="1" applyProtection="1">
      <alignment horizontal="center" vertical="center" shrinkToFit="1"/>
    </xf>
    <xf numFmtId="0" fontId="47" fillId="0" borderId="2" xfId="0" applyNumberFormat="1" applyFont="1" applyFill="1" applyBorder="1" applyAlignment="1" applyProtection="1">
      <alignment horizontal="center" vertical="center" wrapText="1"/>
      <protection locked="0"/>
    </xf>
    <xf numFmtId="0" fontId="24" fillId="0" borderId="2" xfId="0" applyNumberFormat="1" applyFont="1" applyFill="1" applyBorder="1" applyAlignment="1" applyProtection="1">
      <alignment horizontal="center" vertical="center"/>
      <protection locked="0"/>
    </xf>
    <xf numFmtId="0" fontId="48" fillId="0" borderId="2" xfId="0" applyNumberFormat="1" applyFont="1" applyFill="1" applyBorder="1" applyAlignment="1" applyProtection="1">
      <alignment horizontal="center" vertical="center" wrapText="1"/>
      <protection locked="0"/>
    </xf>
    <xf numFmtId="0" fontId="24" fillId="0" borderId="2" xfId="0" applyNumberFormat="1" applyFont="1" applyFill="1" applyBorder="1" applyAlignment="1" applyProtection="1">
      <alignment horizontal="center" vertical="center" wrapText="1"/>
      <protection locked="0"/>
    </xf>
    <xf numFmtId="0" fontId="24" fillId="0" borderId="1" xfId="0" applyNumberFormat="1" applyFont="1" applyFill="1" applyBorder="1" applyAlignment="1" applyProtection="1">
      <alignment horizontal="center" vertical="center" wrapText="1"/>
      <protection locked="0"/>
    </xf>
    <xf numFmtId="0" fontId="48" fillId="4" borderId="2" xfId="0" applyNumberFormat="1" applyFont="1" applyFill="1" applyBorder="1" applyAlignment="1" applyProtection="1">
      <alignment horizontal="center" vertical="center" wrapText="1"/>
      <protection locked="0"/>
    </xf>
    <xf numFmtId="178" fontId="24" fillId="0" borderId="3" xfId="0" applyNumberFormat="1" applyFont="1" applyFill="1" applyBorder="1" applyAlignment="1" applyProtection="1">
      <alignment horizontal="center" vertical="center" shrinkToFit="1"/>
    </xf>
    <xf numFmtId="0" fontId="47" fillId="0" borderId="3" xfId="0" applyNumberFormat="1" applyFont="1" applyFill="1" applyBorder="1" applyAlignment="1" applyProtection="1">
      <alignment horizontal="center" vertical="center" wrapText="1"/>
      <protection locked="0"/>
    </xf>
    <xf numFmtId="176" fontId="24" fillId="0" borderId="3" xfId="0" applyFont="1" applyFill="1" applyBorder="1" applyAlignment="1" applyProtection="1">
      <alignment horizontal="center" vertical="center"/>
      <protection locked="0"/>
    </xf>
    <xf numFmtId="0" fontId="24" fillId="0" borderId="3" xfId="0" applyNumberFormat="1" applyFont="1" applyFill="1" applyBorder="1" applyAlignment="1" applyProtection="1">
      <alignment horizontal="center" vertical="center"/>
      <protection locked="0"/>
    </xf>
    <xf numFmtId="0" fontId="48" fillId="0" borderId="3" xfId="0" applyNumberFormat="1" applyFont="1" applyFill="1" applyBorder="1" applyAlignment="1" applyProtection="1">
      <alignment horizontal="center" vertical="center" wrapText="1"/>
      <protection locked="0"/>
    </xf>
    <xf numFmtId="0" fontId="24" fillId="0" borderId="4" xfId="0" applyNumberFormat="1" applyFont="1" applyFill="1" applyBorder="1" applyAlignment="1" applyProtection="1">
      <alignment horizontal="center" vertical="center" wrapText="1"/>
      <protection locked="0"/>
    </xf>
    <xf numFmtId="178" fontId="24" fillId="0" borderId="1" xfId="0" applyNumberFormat="1" applyFont="1" applyFill="1" applyBorder="1" applyAlignment="1" applyProtection="1">
      <alignment horizontal="center" vertical="center" shrinkToFit="1"/>
    </xf>
    <xf numFmtId="0" fontId="47" fillId="0" borderId="1" xfId="0" applyNumberFormat="1" applyFont="1" applyFill="1" applyBorder="1" applyAlignment="1" applyProtection="1">
      <alignment horizontal="center" vertical="center" wrapText="1"/>
      <protection locked="0"/>
    </xf>
    <xf numFmtId="0" fontId="48" fillId="0" borderId="1" xfId="0" applyNumberFormat="1" applyFont="1" applyFill="1" applyBorder="1" applyAlignment="1" applyProtection="1">
      <alignment horizontal="center" vertical="center" wrapText="1"/>
      <protection locked="0"/>
    </xf>
    <xf numFmtId="178" fontId="24" fillId="0" borderId="4" xfId="0" applyNumberFormat="1" applyFont="1" applyFill="1" applyBorder="1" applyAlignment="1" applyProtection="1">
      <alignment horizontal="center" vertical="center" shrinkToFit="1"/>
    </xf>
    <xf numFmtId="0" fontId="47" fillId="0" borderId="4" xfId="0" applyNumberFormat="1" applyFont="1" applyFill="1" applyBorder="1" applyAlignment="1" applyProtection="1">
      <alignment horizontal="center" vertical="center" wrapText="1"/>
      <protection locked="0"/>
    </xf>
    <xf numFmtId="0" fontId="24" fillId="0" borderId="4" xfId="0" applyNumberFormat="1" applyFont="1" applyFill="1" applyBorder="1" applyAlignment="1" applyProtection="1">
      <alignment horizontal="center" vertical="center"/>
      <protection locked="0"/>
    </xf>
    <xf numFmtId="0" fontId="48" fillId="0" borderId="4" xfId="0" applyNumberFormat="1" applyFont="1" applyFill="1" applyBorder="1" applyAlignment="1" applyProtection="1">
      <alignment horizontal="center" vertical="center" wrapText="1"/>
      <protection locked="0"/>
    </xf>
    <xf numFmtId="0" fontId="24" fillId="2" borderId="1" xfId="0" applyNumberFormat="1" applyFont="1" applyFill="1" applyBorder="1" applyAlignment="1" applyProtection="1">
      <alignment horizontal="center" vertical="center"/>
      <protection locked="0"/>
    </xf>
    <xf numFmtId="0" fontId="24" fillId="2" borderId="4" xfId="0" applyNumberFormat="1" applyFont="1" applyFill="1" applyBorder="1" applyAlignment="1" applyProtection="1">
      <alignment horizontal="center" vertical="center"/>
      <protection locked="0"/>
    </xf>
    <xf numFmtId="178" fontId="24" fillId="0" borderId="1" xfId="0" applyNumberFormat="1" applyFont="1" applyFill="1" applyBorder="1" applyAlignment="1" applyProtection="1">
      <alignment horizontal="center" vertical="center" wrapText="1" shrinkToFit="1"/>
      <protection locked="0"/>
    </xf>
    <xf numFmtId="178" fontId="24" fillId="0" borderId="2" xfId="0" applyNumberFormat="1" applyFont="1" applyFill="1" applyBorder="1" applyAlignment="1" applyProtection="1">
      <alignment horizontal="center" vertical="center" wrapText="1" shrinkToFit="1"/>
      <protection locked="0"/>
    </xf>
    <xf numFmtId="178" fontId="24" fillId="0" borderId="4" xfId="0" applyNumberFormat="1" applyFont="1" applyFill="1" applyBorder="1" applyAlignment="1" applyProtection="1">
      <alignment horizontal="center" vertical="center" wrapText="1" shrinkToFit="1"/>
      <protection locked="0"/>
    </xf>
    <xf numFmtId="178" fontId="24" fillId="0" borderId="3" xfId="0" applyNumberFormat="1" applyFont="1" applyFill="1" applyBorder="1" applyAlignment="1" applyProtection="1">
      <alignment horizontal="center" vertical="center" wrapText="1" shrinkToFit="1"/>
      <protection locked="0"/>
    </xf>
    <xf numFmtId="178" fontId="24" fillId="4" borderId="1" xfId="0" applyNumberFormat="1" applyFont="1" applyFill="1" applyBorder="1" applyAlignment="1" applyProtection="1">
      <alignment horizontal="center" vertical="center" wrapText="1" shrinkToFit="1"/>
      <protection locked="0"/>
    </xf>
    <xf numFmtId="178" fontId="24" fillId="4" borderId="2" xfId="0" applyNumberFormat="1" applyFont="1" applyFill="1" applyBorder="1" applyAlignment="1" applyProtection="1">
      <alignment horizontal="center" vertical="center" wrapText="1" shrinkToFit="1"/>
      <protection locked="0"/>
    </xf>
    <xf numFmtId="179" fontId="24" fillId="0" borderId="1" xfId="0" applyNumberFormat="1" applyFont="1" applyFill="1" applyBorder="1" applyAlignment="1" applyProtection="1">
      <alignment horizontal="center" vertical="center"/>
      <protection locked="0"/>
    </xf>
    <xf numFmtId="0" fontId="24" fillId="4" borderId="1" xfId="0" applyNumberFormat="1" applyFont="1" applyFill="1" applyBorder="1" applyAlignment="1" applyProtection="1">
      <alignment horizontal="center" vertical="center"/>
      <protection locked="0"/>
    </xf>
    <xf numFmtId="178" fontId="24" fillId="4" borderId="4" xfId="0" applyNumberFormat="1" applyFont="1" applyFill="1" applyBorder="1" applyAlignment="1" applyProtection="1">
      <alignment horizontal="center" vertical="center" wrapText="1" shrinkToFit="1"/>
      <protection locked="0"/>
    </xf>
    <xf numFmtId="58" fontId="49" fillId="0" borderId="1" xfId="0" applyNumberFormat="1" applyFont="1" applyFill="1" applyBorder="1" applyAlignment="1" applyProtection="1">
      <alignment horizontal="center" vertical="center" wrapText="1" shrinkToFit="1"/>
      <protection locked="0"/>
    </xf>
    <xf numFmtId="58" fontId="49" fillId="0" borderId="2" xfId="0" applyNumberFormat="1" applyFont="1" applyFill="1" applyBorder="1" applyAlignment="1" applyProtection="1">
      <alignment horizontal="center" vertical="center" wrapText="1" shrinkToFit="1"/>
      <protection locked="0"/>
    </xf>
    <xf numFmtId="176" fontId="24" fillId="0" borderId="2" xfId="0" applyFont="1" applyFill="1" applyBorder="1" applyAlignment="1" applyProtection="1">
      <alignment horizontal="center" vertical="center" wrapText="1"/>
      <protection locked="0"/>
    </xf>
    <xf numFmtId="176" fontId="24" fillId="0" borderId="1" xfId="0" applyFont="1" applyFill="1" applyBorder="1" applyAlignment="1" applyProtection="1">
      <alignment horizontal="center" vertical="center" wrapText="1"/>
      <protection locked="0"/>
    </xf>
    <xf numFmtId="58" fontId="49" fillId="0" borderId="3" xfId="0" applyNumberFormat="1" applyFont="1" applyFill="1" applyBorder="1" applyAlignment="1" applyProtection="1">
      <alignment horizontal="center" vertical="center" wrapText="1" shrinkToFit="1"/>
      <protection locked="0"/>
    </xf>
    <xf numFmtId="176" fontId="24" fillId="0" borderId="4" xfId="0" applyFont="1" applyFill="1" applyBorder="1" applyAlignment="1" applyProtection="1">
      <alignment horizontal="center" vertical="center" wrapText="1"/>
      <protection locked="0"/>
    </xf>
    <xf numFmtId="58" fontId="49" fillId="0" borderId="4" xfId="0" applyNumberFormat="1" applyFont="1" applyFill="1" applyBorder="1" applyAlignment="1" applyProtection="1">
      <alignment horizontal="center" vertical="center" wrapText="1" shrinkToFit="1"/>
      <protection locked="0"/>
    </xf>
    <xf numFmtId="176" fontId="24" fillId="4" borderId="1" xfId="0" applyFont="1" applyFill="1" applyBorder="1" applyAlignment="1" applyProtection="1">
      <alignment horizontal="center" vertical="center" wrapText="1"/>
      <protection locked="0"/>
    </xf>
    <xf numFmtId="49" fontId="24" fillId="0" borderId="1" xfId="0" applyNumberFormat="1" applyFont="1" applyFill="1" applyBorder="1" applyAlignment="1" applyProtection="1">
      <alignment horizontal="center" vertical="center" wrapText="1" shrinkToFit="1"/>
      <protection locked="0"/>
    </xf>
    <xf numFmtId="176" fontId="50" fillId="0" borderId="0" xfId="0" applyFont="1" applyFill="1">
      <alignment vertical="center"/>
    </xf>
    <xf numFmtId="176" fontId="24" fillId="4" borderId="2" xfId="0" applyFont="1" applyFill="1" applyBorder="1" applyAlignment="1" applyProtection="1">
      <alignment horizontal="center" vertical="center" wrapText="1"/>
      <protection locked="0"/>
    </xf>
    <xf numFmtId="182" fontId="24" fillId="0" borderId="1" xfId="0" applyNumberFormat="1" applyFont="1" applyFill="1" applyBorder="1" applyAlignment="1" applyProtection="1">
      <alignment horizontal="center" vertical="center"/>
      <protection locked="0"/>
    </xf>
    <xf numFmtId="183" fontId="24" fillId="0" borderId="1" xfId="0" applyNumberFormat="1" applyFont="1" applyFill="1" applyBorder="1" applyAlignment="1" applyProtection="1">
      <alignment horizontal="center" vertical="center"/>
      <protection locked="0"/>
    </xf>
    <xf numFmtId="0" fontId="24" fillId="0" borderId="3" xfId="0" applyNumberFormat="1" applyFont="1" applyFill="1" applyBorder="1" applyAlignment="1" applyProtection="1">
      <alignment horizontal="center" vertical="center" wrapText="1"/>
      <protection locked="0"/>
    </xf>
    <xf numFmtId="182" fontId="24" fillId="0" borderId="4" xfId="0" applyNumberFormat="1" applyFont="1" applyFill="1" applyBorder="1" applyAlignment="1" applyProtection="1">
      <alignment horizontal="center" vertical="center"/>
      <protection locked="0"/>
    </xf>
    <xf numFmtId="183" fontId="24" fillId="0" borderId="4" xfId="0" applyNumberFormat="1" applyFont="1" applyFill="1" applyBorder="1" applyAlignment="1" applyProtection="1">
      <alignment horizontal="center" vertical="center"/>
      <protection locked="0"/>
    </xf>
    <xf numFmtId="0" fontId="51" fillId="0" borderId="1" xfId="0" applyNumberFormat="1" applyFont="1" applyFill="1" applyBorder="1" applyAlignment="1">
      <alignment horizontal="center" vertical="center" wrapText="1" shrinkToFit="1"/>
    </xf>
    <xf numFmtId="182" fontId="24" fillId="0" borderId="2" xfId="0" applyNumberFormat="1" applyFont="1" applyFill="1" applyBorder="1" applyAlignment="1" applyProtection="1">
      <alignment horizontal="center" vertical="center"/>
      <protection locked="0"/>
    </xf>
    <xf numFmtId="183" fontId="24" fillId="0" borderId="2" xfId="0" applyNumberFormat="1" applyFont="1" applyFill="1" applyBorder="1" applyAlignment="1" applyProtection="1">
      <alignment horizontal="center" vertical="center"/>
      <protection locked="0"/>
    </xf>
    <xf numFmtId="182" fontId="24" fillId="0" borderId="3" xfId="0" applyNumberFormat="1" applyFont="1" applyFill="1" applyBorder="1" applyAlignment="1" applyProtection="1">
      <alignment horizontal="center" vertical="center"/>
      <protection locked="0"/>
    </xf>
    <xf numFmtId="0" fontId="47" fillId="0" borderId="1" xfId="0" applyNumberFormat="1" applyFont="1" applyFill="1" applyBorder="1" applyAlignment="1" applyProtection="1">
      <alignment horizontal="center" vertical="center"/>
      <protection locked="0"/>
    </xf>
    <xf numFmtId="0" fontId="24" fillId="4" borderId="1" xfId="0" applyNumberFormat="1" applyFont="1" applyFill="1" applyBorder="1" applyAlignment="1" applyProtection="1">
      <alignment horizontal="center" vertical="center" wrapText="1"/>
      <protection locked="0"/>
    </xf>
    <xf numFmtId="176" fontId="24" fillId="0" borderId="16" xfId="0" applyFont="1" applyFill="1" applyBorder="1" applyAlignment="1" applyProtection="1">
      <alignment horizontal="center" vertical="center"/>
      <protection locked="0"/>
    </xf>
    <xf numFmtId="176" fontId="24" fillId="0" borderId="5" xfId="0" applyFont="1" applyFill="1" applyBorder="1" applyAlignment="1" applyProtection="1">
      <alignment horizontal="center" vertical="center"/>
      <protection locked="0"/>
    </xf>
    <xf numFmtId="176" fontId="24" fillId="0" borderId="13" xfId="0" applyFont="1" applyFill="1" applyBorder="1" applyAlignment="1" applyProtection="1">
      <alignment horizontal="center" vertical="center"/>
      <protection locked="0"/>
    </xf>
    <xf numFmtId="178" fontId="25" fillId="0" borderId="2" xfId="0" applyNumberFormat="1" applyFont="1" applyFill="1" applyBorder="1" applyAlignment="1" applyProtection="1">
      <alignment horizontal="center" vertical="center" shrinkToFit="1"/>
    </xf>
    <xf numFmtId="0" fontId="52" fillId="0" borderId="2" xfId="0" applyNumberFormat="1" applyFont="1" applyFill="1" applyBorder="1" applyAlignment="1" applyProtection="1">
      <alignment horizontal="center" vertical="center" wrapText="1"/>
      <protection locked="0"/>
    </xf>
    <xf numFmtId="0" fontId="25" fillId="2" borderId="2" xfId="0" applyNumberFormat="1" applyFont="1" applyFill="1" applyBorder="1" applyAlignment="1" applyProtection="1">
      <alignment horizontal="center" vertical="center"/>
      <protection locked="0"/>
    </xf>
    <xf numFmtId="0" fontId="53" fillId="0" borderId="2" xfId="0" applyNumberFormat="1" applyFont="1" applyFill="1" applyBorder="1" applyAlignment="1" applyProtection="1">
      <alignment horizontal="center" vertical="center" wrapText="1"/>
      <protection locked="0"/>
    </xf>
    <xf numFmtId="0" fontId="25" fillId="0" borderId="2" xfId="0" applyNumberFormat="1" applyFont="1" applyFill="1" applyBorder="1" applyAlignment="1" applyProtection="1">
      <alignment horizontal="center" vertical="center"/>
      <protection locked="0"/>
    </xf>
    <xf numFmtId="0" fontId="25" fillId="0" borderId="2" xfId="0" applyNumberFormat="1" applyFont="1" applyFill="1" applyBorder="1" applyAlignment="1" applyProtection="1">
      <alignment horizontal="center" vertical="center" wrapText="1"/>
      <protection locked="0"/>
    </xf>
    <xf numFmtId="0" fontId="25" fillId="0" borderId="1" xfId="0" applyNumberFormat="1" applyFont="1" applyFill="1" applyBorder="1" applyAlignment="1" applyProtection="1">
      <alignment horizontal="center" vertical="center" wrapText="1"/>
      <protection locked="0"/>
    </xf>
    <xf numFmtId="176" fontId="25" fillId="0" borderId="1" xfId="0" applyFont="1" applyFill="1" applyBorder="1" applyAlignment="1" applyProtection="1">
      <alignment horizontal="center" vertical="center"/>
      <protection locked="0"/>
    </xf>
    <xf numFmtId="178" fontId="26" fillId="0" borderId="2" xfId="0" applyNumberFormat="1" applyFont="1" applyFill="1" applyBorder="1" applyAlignment="1" applyProtection="1">
      <alignment horizontal="center" vertical="center" shrinkToFit="1"/>
    </xf>
    <xf numFmtId="0" fontId="54" fillId="0" borderId="2" xfId="0" applyNumberFormat="1" applyFont="1" applyFill="1" applyBorder="1" applyAlignment="1" applyProtection="1">
      <alignment horizontal="center" vertical="center" wrapText="1"/>
      <protection locked="0"/>
    </xf>
    <xf numFmtId="0" fontId="26" fillId="0" borderId="2" xfId="0" applyNumberFormat="1" applyFont="1" applyFill="1" applyBorder="1" applyAlignment="1" applyProtection="1">
      <alignment horizontal="center" vertical="center"/>
      <protection locked="0"/>
    </xf>
    <xf numFmtId="0" fontId="55" fillId="3" borderId="2" xfId="0" applyNumberFormat="1" applyFont="1" applyFill="1" applyBorder="1" applyAlignment="1" applyProtection="1">
      <alignment horizontal="center" vertical="center" wrapText="1"/>
      <protection locked="0"/>
    </xf>
    <xf numFmtId="0" fontId="26" fillId="0" borderId="2" xfId="0" applyNumberFormat="1" applyFont="1" applyFill="1" applyBorder="1" applyAlignment="1" applyProtection="1">
      <alignment horizontal="center" vertical="center" wrapText="1"/>
      <protection locked="0"/>
    </xf>
    <xf numFmtId="0" fontId="26" fillId="0" borderId="1" xfId="0" applyNumberFormat="1" applyFont="1" applyFill="1" applyBorder="1" applyAlignment="1" applyProtection="1">
      <alignment horizontal="center" vertical="center" wrapText="1"/>
      <protection locked="0"/>
    </xf>
    <xf numFmtId="0" fontId="26" fillId="2" borderId="2" xfId="0" applyNumberFormat="1" applyFont="1" applyFill="1" applyBorder="1" applyAlignment="1" applyProtection="1">
      <alignment horizontal="center" vertical="center"/>
      <protection locked="0"/>
    </xf>
    <xf numFmtId="0" fontId="55" fillId="0" borderId="2" xfId="0" applyNumberFormat="1" applyFont="1" applyFill="1" applyBorder="1" applyAlignment="1" applyProtection="1">
      <alignment horizontal="center" vertical="center" wrapText="1"/>
      <protection locked="0"/>
    </xf>
    <xf numFmtId="178" fontId="25" fillId="0" borderId="2" xfId="0" applyNumberFormat="1" applyFont="1" applyFill="1" applyBorder="1" applyAlignment="1" applyProtection="1">
      <alignment horizontal="center" vertical="center" wrapText="1" shrinkToFit="1"/>
      <protection locked="0"/>
    </xf>
    <xf numFmtId="178" fontId="25" fillId="0" borderId="1" xfId="0" applyNumberFormat="1" applyFont="1" applyFill="1" applyBorder="1" applyAlignment="1" applyProtection="1">
      <alignment horizontal="center" vertical="center" wrapText="1" shrinkToFit="1"/>
      <protection locked="0"/>
    </xf>
    <xf numFmtId="178" fontId="26" fillId="3" borderId="2" xfId="0" applyNumberFormat="1" applyFont="1" applyFill="1" applyBorder="1" applyAlignment="1" applyProtection="1">
      <alignment horizontal="center" vertical="center" wrapText="1" shrinkToFit="1"/>
      <protection locked="0"/>
    </xf>
    <xf numFmtId="178" fontId="26" fillId="0" borderId="1" xfId="0" applyNumberFormat="1" applyFont="1" applyFill="1" applyBorder="1" applyAlignment="1" applyProtection="1">
      <alignment horizontal="center" vertical="center" wrapText="1" shrinkToFit="1"/>
      <protection locked="0"/>
    </xf>
    <xf numFmtId="178" fontId="26" fillId="0" borderId="2" xfId="0" applyNumberFormat="1" applyFont="1" applyFill="1" applyBorder="1" applyAlignment="1" applyProtection="1">
      <alignment horizontal="center" vertical="center" wrapText="1" shrinkToFit="1"/>
      <protection locked="0"/>
    </xf>
    <xf numFmtId="178" fontId="26" fillId="4" borderId="2" xfId="0" applyNumberFormat="1" applyFont="1" applyFill="1" applyBorder="1" applyAlignment="1" applyProtection="1">
      <alignment horizontal="center" vertical="center" wrapText="1" shrinkToFit="1"/>
      <protection locked="0"/>
    </xf>
    <xf numFmtId="176" fontId="24" fillId="3" borderId="2" xfId="0" applyFont="1" applyFill="1" applyBorder="1" applyAlignment="1" applyProtection="1">
      <alignment horizontal="center" vertical="center" wrapText="1"/>
      <protection locked="0"/>
    </xf>
    <xf numFmtId="58" fontId="56" fillId="0" borderId="1" xfId="0" applyNumberFormat="1" applyFont="1" applyFill="1" applyBorder="1" applyAlignment="1" applyProtection="1">
      <alignment horizontal="center" vertical="center" wrapText="1" shrinkToFit="1"/>
      <protection locked="0"/>
    </xf>
    <xf numFmtId="176" fontId="25" fillId="0" borderId="2" xfId="0" applyFont="1" applyFill="1" applyBorder="1" applyAlignment="1" applyProtection="1">
      <alignment horizontal="center" vertical="center" wrapText="1"/>
      <protection locked="0"/>
    </xf>
    <xf numFmtId="58" fontId="56" fillId="0" borderId="2" xfId="0" applyNumberFormat="1" applyFont="1" applyFill="1" applyBorder="1" applyAlignment="1" applyProtection="1">
      <alignment horizontal="center" vertical="center" wrapText="1" shrinkToFit="1"/>
      <protection locked="0"/>
    </xf>
    <xf numFmtId="58" fontId="57" fillId="0" borderId="1" xfId="6" applyNumberFormat="1" applyFont="1" applyFill="1" applyBorder="1" applyAlignment="1" applyProtection="1">
      <alignment horizontal="center" vertical="center" wrapText="1" shrinkToFit="1"/>
      <protection locked="0"/>
    </xf>
    <xf numFmtId="58" fontId="58" fillId="0" borderId="1" xfId="0" applyNumberFormat="1" applyFont="1" applyFill="1" applyBorder="1" applyAlignment="1" applyProtection="1">
      <alignment horizontal="center" vertical="center" wrapText="1" shrinkToFit="1"/>
      <protection locked="0"/>
    </xf>
    <xf numFmtId="58" fontId="58" fillId="0" borderId="2" xfId="0" applyNumberFormat="1" applyFont="1" applyFill="1" applyBorder="1" applyAlignment="1" applyProtection="1">
      <alignment horizontal="center" vertical="center" wrapText="1" shrinkToFit="1"/>
      <protection locked="0"/>
    </xf>
    <xf numFmtId="176" fontId="59" fillId="0" borderId="0" xfId="0" applyFont="1" applyFill="1">
      <alignment vertical="center"/>
    </xf>
    <xf numFmtId="176" fontId="26" fillId="0" borderId="2" xfId="0" applyFont="1" applyFill="1" applyBorder="1" applyAlignment="1" applyProtection="1">
      <alignment horizontal="center" vertical="center" wrapText="1"/>
      <protection locked="0"/>
    </xf>
    <xf numFmtId="58" fontId="60" fillId="0" borderId="1" xfId="6" applyNumberFormat="1" applyFont="1" applyFill="1" applyBorder="1" applyAlignment="1" applyProtection="1">
      <alignment horizontal="center" vertical="center" wrapText="1" shrinkToFit="1"/>
      <protection locked="0"/>
    </xf>
    <xf numFmtId="176" fontId="26" fillId="4" borderId="2" xfId="0" applyFont="1" applyFill="1" applyBorder="1" applyAlignment="1" applyProtection="1">
      <alignment horizontal="center" vertical="center" wrapText="1"/>
      <protection locked="0"/>
    </xf>
    <xf numFmtId="58" fontId="59" fillId="0" borderId="1" xfId="0" applyNumberFormat="1" applyFont="1" applyFill="1" applyBorder="1" applyAlignment="1" applyProtection="1">
      <alignment horizontal="center" vertical="center" wrapText="1" shrinkToFit="1"/>
      <protection locked="0"/>
    </xf>
    <xf numFmtId="182" fontId="25" fillId="0" borderId="1" xfId="0" applyNumberFormat="1" applyFont="1" applyFill="1" applyBorder="1" applyAlignment="1" applyProtection="1">
      <alignment horizontal="center" vertical="center"/>
      <protection locked="0"/>
    </xf>
    <xf numFmtId="183" fontId="25" fillId="0" borderId="1" xfId="0" applyNumberFormat="1" applyFont="1" applyFill="1" applyBorder="1" applyAlignment="1" applyProtection="1">
      <alignment horizontal="center" vertical="center"/>
      <protection locked="0"/>
    </xf>
    <xf numFmtId="0" fontId="53" fillId="0" borderId="1" xfId="0" applyNumberFormat="1" applyFont="1" applyFill="1" applyBorder="1" applyAlignment="1" applyProtection="1">
      <alignment horizontal="center" vertical="center" wrapText="1"/>
      <protection locked="0"/>
    </xf>
    <xf numFmtId="182" fontId="25" fillId="0" borderId="3" xfId="0" applyNumberFormat="1" applyFont="1" applyFill="1" applyBorder="1" applyAlignment="1" applyProtection="1">
      <alignment horizontal="center" vertical="center"/>
      <protection locked="0"/>
    </xf>
    <xf numFmtId="183" fontId="25" fillId="0" borderId="2" xfId="0" applyNumberFormat="1" applyFont="1" applyFill="1" applyBorder="1" applyAlignment="1" applyProtection="1">
      <alignment horizontal="center" vertical="center"/>
      <protection locked="0"/>
    </xf>
    <xf numFmtId="182" fontId="26" fillId="0" borderId="1" xfId="0" applyNumberFormat="1" applyFont="1" applyFill="1" applyBorder="1" applyAlignment="1" applyProtection="1">
      <alignment horizontal="center" vertical="center"/>
      <protection locked="0"/>
    </xf>
    <xf numFmtId="183" fontId="26" fillId="0" borderId="1" xfId="0" applyNumberFormat="1" applyFont="1" applyFill="1" applyBorder="1" applyAlignment="1" applyProtection="1">
      <alignment horizontal="center" vertical="center"/>
      <protection locked="0"/>
    </xf>
    <xf numFmtId="182" fontId="26" fillId="0" borderId="3" xfId="0" applyNumberFormat="1" applyFont="1" applyFill="1" applyBorder="1" applyAlignment="1" applyProtection="1">
      <alignment horizontal="center" vertical="center"/>
      <protection locked="0"/>
    </xf>
    <xf numFmtId="183" fontId="26" fillId="0" borderId="2" xfId="0" applyNumberFormat="1" applyFont="1" applyFill="1" applyBorder="1" applyAlignment="1" applyProtection="1">
      <alignment horizontal="center" vertical="center"/>
      <protection locked="0"/>
    </xf>
    <xf numFmtId="0" fontId="55" fillId="0" borderId="1" xfId="0" applyNumberFormat="1" applyFont="1" applyFill="1" applyBorder="1" applyAlignment="1" applyProtection="1">
      <alignment horizontal="center" vertical="center" wrapText="1"/>
      <protection locked="0"/>
    </xf>
    <xf numFmtId="0" fontId="25" fillId="2" borderId="1" xfId="0" applyNumberFormat="1" applyFont="1" applyFill="1" applyBorder="1" applyAlignment="1" applyProtection="1">
      <alignment horizontal="center" vertical="center"/>
      <protection locked="0"/>
    </xf>
    <xf numFmtId="178" fontId="3" fillId="0" borderId="2" xfId="0" applyNumberFormat="1" applyFont="1" applyFill="1" applyBorder="1" applyAlignment="1" applyProtection="1">
      <alignment horizontal="center" vertical="center" shrinkToFit="1"/>
    </xf>
    <xf numFmtId="0" fontId="3" fillId="0" borderId="2" xfId="0" applyNumberFormat="1" applyFont="1" applyFill="1" applyBorder="1" applyAlignment="1" applyProtection="1">
      <alignment horizontal="center" vertical="center"/>
      <protection locked="0"/>
    </xf>
    <xf numFmtId="0" fontId="61" fillId="0" borderId="2" xfId="0" applyNumberFormat="1" applyFont="1" applyFill="1" applyBorder="1" applyAlignment="1" applyProtection="1">
      <alignment horizontal="center" vertical="center" wrapText="1"/>
      <protection locked="0"/>
    </xf>
    <xf numFmtId="0" fontId="3" fillId="0" borderId="2" xfId="0" applyNumberFormat="1" applyFont="1" applyFill="1" applyBorder="1" applyAlignment="1" applyProtection="1">
      <alignment horizontal="center" vertical="center" wrapText="1"/>
      <protection locked="0"/>
    </xf>
    <xf numFmtId="178" fontId="3" fillId="0" borderId="2" xfId="0" applyNumberFormat="1" applyFont="1" applyFill="1" applyBorder="1" applyAlignment="1" applyProtection="1">
      <alignment horizontal="center" vertical="center" wrapText="1" shrinkToFit="1"/>
    </xf>
    <xf numFmtId="0" fontId="62" fillId="0" borderId="2" xfId="0" applyNumberFormat="1" applyFont="1" applyFill="1" applyBorder="1" applyAlignment="1" applyProtection="1">
      <alignment horizontal="center" vertical="center" wrapText="1"/>
      <protection locked="0"/>
    </xf>
    <xf numFmtId="0" fontId="62" fillId="0" borderId="1" xfId="0" applyNumberFormat="1" applyFont="1" applyFill="1" applyBorder="1" applyAlignment="1" applyProtection="1">
      <alignment horizontal="center" vertical="center" wrapText="1"/>
      <protection locked="0"/>
    </xf>
    <xf numFmtId="178" fontId="3" fillId="3" borderId="2" xfId="0" applyNumberFormat="1" applyFont="1" applyFill="1" applyBorder="1" applyAlignment="1" applyProtection="1">
      <alignment horizontal="center" vertical="center" wrapText="1" shrinkToFit="1"/>
    </xf>
    <xf numFmtId="0" fontId="62" fillId="3" borderId="2" xfId="0" applyNumberFormat="1" applyFont="1" applyFill="1" applyBorder="1" applyAlignment="1" applyProtection="1">
      <alignment horizontal="center" vertical="center" wrapText="1"/>
      <protection locked="0"/>
    </xf>
    <xf numFmtId="0" fontId="61" fillId="3" borderId="2" xfId="0" applyNumberFormat="1" applyFont="1" applyFill="1" applyBorder="1" applyAlignment="1" applyProtection="1">
      <alignment horizontal="center" vertical="center" wrapText="1"/>
      <protection locked="0"/>
    </xf>
    <xf numFmtId="0" fontId="3" fillId="3" borderId="2" xfId="0" applyNumberFormat="1" applyFont="1" applyFill="1" applyBorder="1" applyAlignment="1" applyProtection="1">
      <alignment horizontal="center" vertical="center" wrapText="1"/>
      <protection locked="0"/>
    </xf>
    <xf numFmtId="0" fontId="3" fillId="7" borderId="2" xfId="0" applyNumberFormat="1" applyFont="1" applyFill="1" applyBorder="1" applyAlignment="1" applyProtection="1">
      <alignment horizontal="center" vertical="center" wrapText="1"/>
      <protection locked="0"/>
    </xf>
    <xf numFmtId="0" fontId="62" fillId="7" borderId="1" xfId="0" applyNumberFormat="1" applyFont="1" applyFill="1" applyBorder="1" applyAlignment="1" applyProtection="1">
      <alignment horizontal="center" vertical="center" wrapText="1"/>
      <protection locked="0"/>
    </xf>
    <xf numFmtId="178" fontId="3" fillId="3" borderId="2" xfId="0" applyNumberFormat="1" applyFont="1" applyFill="1" applyBorder="1" applyAlignment="1" applyProtection="1">
      <alignment horizontal="center" vertical="center" wrapText="1" shrinkToFit="1"/>
    </xf>
    <xf numFmtId="0" fontId="62" fillId="3" borderId="2" xfId="0" applyNumberFormat="1" applyFont="1" applyFill="1" applyBorder="1" applyAlignment="1" applyProtection="1">
      <alignment horizontal="center" vertical="center" wrapText="1"/>
      <protection locked="0"/>
    </xf>
    <xf numFmtId="0" fontId="62" fillId="7" borderId="2" xfId="0" applyNumberFormat="1" applyFont="1" applyFill="1" applyBorder="1" applyAlignment="1" applyProtection="1">
      <alignment horizontal="center" vertical="center" wrapText="1"/>
      <protection locked="0"/>
    </xf>
    <xf numFmtId="178" fontId="3" fillId="0" borderId="1" xfId="0" applyNumberFormat="1" applyFont="1" applyFill="1" applyBorder="1" applyAlignment="1" applyProtection="1">
      <alignment horizontal="center" vertical="center" shrinkToFit="1"/>
    </xf>
    <xf numFmtId="176" fontId="3" fillId="0" borderId="1" xfId="0" applyFont="1" applyFill="1" applyBorder="1" applyAlignment="1" applyProtection="1">
      <alignment horizontal="center" vertical="center"/>
      <protection locked="0"/>
    </xf>
    <xf numFmtId="0" fontId="17" fillId="0" borderId="1" xfId="0" applyNumberFormat="1" applyFont="1" applyFill="1" applyBorder="1" applyAlignment="1" applyProtection="1">
      <alignment horizontal="center" vertical="center" wrapText="1"/>
      <protection locked="0"/>
    </xf>
    <xf numFmtId="0" fontId="61" fillId="0" borderId="1" xfId="0" applyNumberFormat="1" applyFont="1" applyFill="1" applyBorder="1" applyAlignment="1" applyProtection="1">
      <alignment horizontal="center" vertical="center" wrapText="1"/>
      <protection locked="0"/>
    </xf>
    <xf numFmtId="0" fontId="61" fillId="0" borderId="1" xfId="0" applyNumberFormat="1" applyFont="1" applyFill="1" applyBorder="1" applyAlignment="1" applyProtection="1">
      <alignment horizontal="center" vertical="center"/>
      <protection locked="0"/>
    </xf>
    <xf numFmtId="0" fontId="61" fillId="0" borderId="2" xfId="0" applyNumberFormat="1" applyFont="1" applyFill="1" applyBorder="1" applyAlignment="1" applyProtection="1">
      <alignment horizontal="center" vertical="center"/>
      <protection locked="0"/>
    </xf>
    <xf numFmtId="0" fontId="17" fillId="0" borderId="2" xfId="0" applyNumberFormat="1" applyFont="1" applyFill="1" applyBorder="1" applyAlignment="1" applyProtection="1">
      <alignment horizontal="center" vertical="center" wrapText="1"/>
      <protection locked="0"/>
    </xf>
    <xf numFmtId="178" fontId="3" fillId="4" borderId="2" xfId="0" applyNumberFormat="1" applyFont="1" applyFill="1" applyBorder="1" applyAlignment="1" applyProtection="1">
      <alignment horizontal="center" vertical="center" wrapText="1" shrinkToFit="1"/>
      <protection locked="0"/>
    </xf>
    <xf numFmtId="178" fontId="3" fillId="0" borderId="2" xfId="0" applyNumberFormat="1" applyFont="1" applyFill="1" applyBorder="1" applyAlignment="1" applyProtection="1">
      <alignment horizontal="center" vertical="center" wrapText="1" shrinkToFit="1"/>
      <protection locked="0"/>
    </xf>
    <xf numFmtId="3" fontId="3" fillId="0" borderId="2" xfId="0" applyNumberFormat="1" applyFont="1" applyFill="1" applyBorder="1" applyAlignment="1" applyProtection="1">
      <alignment horizontal="center" vertical="center"/>
      <protection locked="0"/>
    </xf>
    <xf numFmtId="3" fontId="3" fillId="7" borderId="2" xfId="0" applyNumberFormat="1" applyFont="1" applyFill="1" applyBorder="1" applyAlignment="1" applyProtection="1">
      <alignment horizontal="center" vertical="center"/>
      <protection locked="0"/>
    </xf>
    <xf numFmtId="0" fontId="3" fillId="7" borderId="2" xfId="0" applyNumberFormat="1" applyFont="1" applyFill="1" applyBorder="1" applyAlignment="1" applyProtection="1">
      <alignment horizontal="center" vertical="center"/>
      <protection locked="0"/>
    </xf>
    <xf numFmtId="178" fontId="3" fillId="3" borderId="2" xfId="0" applyNumberFormat="1" applyFont="1" applyFill="1" applyBorder="1" applyAlignment="1" applyProtection="1">
      <alignment horizontal="center" vertical="center" wrapText="1" shrinkToFit="1"/>
      <protection locked="0"/>
    </xf>
    <xf numFmtId="3" fontId="3" fillId="3" borderId="2"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178" fontId="3" fillId="0" borderId="1" xfId="0" applyNumberFormat="1" applyFont="1" applyFill="1" applyBorder="1" applyAlignment="1" applyProtection="1">
      <alignment horizontal="center" vertical="center" shrinkToFit="1"/>
      <protection locked="0"/>
    </xf>
    <xf numFmtId="178" fontId="3" fillId="0" borderId="2" xfId="0" applyNumberFormat="1" applyFont="1" applyFill="1" applyBorder="1" applyAlignment="1" applyProtection="1">
      <alignment horizontal="center" vertical="center" shrinkToFit="1"/>
      <protection locked="0"/>
    </xf>
    <xf numFmtId="58" fontId="28" fillId="0" borderId="2" xfId="0" applyNumberFormat="1" applyFont="1" applyFill="1" applyBorder="1" applyAlignment="1" applyProtection="1">
      <alignment horizontal="center" vertical="center" wrapText="1" shrinkToFit="1"/>
      <protection locked="0"/>
    </xf>
    <xf numFmtId="176" fontId="3" fillId="4" borderId="2" xfId="0" applyFont="1" applyFill="1" applyBorder="1" applyAlignment="1" applyProtection="1">
      <alignment horizontal="center" vertical="center" wrapText="1"/>
      <protection locked="0"/>
    </xf>
    <xf numFmtId="176" fontId="3" fillId="0" borderId="2" xfId="0" applyFont="1" applyFill="1" applyBorder="1" applyAlignment="1" applyProtection="1">
      <alignment horizontal="center" vertical="center" wrapText="1"/>
      <protection locked="0"/>
    </xf>
    <xf numFmtId="58" fontId="28" fillId="4" borderId="1" xfId="0" applyNumberFormat="1" applyFont="1" applyFill="1" applyBorder="1" applyAlignment="1" applyProtection="1">
      <alignment horizontal="center" vertical="center" wrapText="1" shrinkToFit="1"/>
      <protection locked="0"/>
    </xf>
    <xf numFmtId="176" fontId="3" fillId="3" borderId="2" xfId="0" applyFont="1" applyFill="1" applyBorder="1" applyAlignment="1" applyProtection="1">
      <alignment horizontal="center" vertical="center" wrapText="1"/>
      <protection locked="0"/>
    </xf>
    <xf numFmtId="58" fontId="28" fillId="3" borderId="1" xfId="0" applyNumberFormat="1" applyFont="1" applyFill="1" applyBorder="1" applyAlignment="1" applyProtection="1">
      <alignment horizontal="center" vertical="center" wrapText="1" shrinkToFit="1"/>
      <protection locked="0"/>
    </xf>
    <xf numFmtId="58" fontId="28" fillId="3" borderId="2" xfId="0" applyNumberFormat="1" applyFont="1" applyFill="1" applyBorder="1" applyAlignment="1" applyProtection="1">
      <alignment horizontal="center" vertical="center" wrapText="1" shrinkToFit="1"/>
      <protection locked="0"/>
    </xf>
    <xf numFmtId="176" fontId="3" fillId="0" borderId="1" xfId="0" applyFont="1" applyFill="1" applyBorder="1" applyAlignment="1" applyProtection="1">
      <alignment horizontal="center" vertical="center" wrapText="1"/>
      <protection locked="0"/>
    </xf>
    <xf numFmtId="0" fontId="3" fillId="0" borderId="32" xfId="0" applyNumberFormat="1" applyFont="1" applyFill="1" applyBorder="1" applyAlignment="1" applyProtection="1">
      <alignment horizontal="center" vertical="center" wrapText="1"/>
      <protection locked="0"/>
    </xf>
    <xf numFmtId="182" fontId="3" fillId="0" borderId="3" xfId="0" applyNumberFormat="1" applyFont="1" applyFill="1" applyBorder="1" applyAlignment="1" applyProtection="1">
      <alignment horizontal="center" vertical="center"/>
      <protection locked="0"/>
    </xf>
    <xf numFmtId="183" fontId="3" fillId="0" borderId="2" xfId="0" applyNumberFormat="1" applyFont="1" applyFill="1" applyBorder="1" applyAlignment="1" applyProtection="1">
      <alignment horizontal="center" vertical="center"/>
      <protection locked="0"/>
    </xf>
    <xf numFmtId="182" fontId="3" fillId="0" borderId="1" xfId="0" applyNumberFormat="1" applyFont="1" applyFill="1" applyBorder="1" applyAlignment="1" applyProtection="1">
      <alignment horizontal="center" vertical="center"/>
      <protection locked="0"/>
    </xf>
    <xf numFmtId="183" fontId="3" fillId="0" borderId="1" xfId="0" applyNumberFormat="1" applyFont="1" applyFill="1" applyBorder="1" applyAlignment="1" applyProtection="1">
      <alignment horizontal="center" vertical="center"/>
      <protection locked="0"/>
    </xf>
    <xf numFmtId="0" fontId="3" fillId="4" borderId="1" xfId="0" applyNumberFormat="1" applyFont="1" applyFill="1" applyBorder="1" applyAlignment="1" applyProtection="1">
      <alignment horizontal="center" vertical="center"/>
      <protection locked="0"/>
    </xf>
    <xf numFmtId="182" fontId="3" fillId="7" borderId="1" xfId="0" applyNumberFormat="1" applyFont="1" applyFill="1" applyBorder="1" applyAlignment="1" applyProtection="1">
      <alignment horizontal="center" vertical="center"/>
      <protection locked="0"/>
    </xf>
    <xf numFmtId="183" fontId="3" fillId="7" borderId="1" xfId="0" applyNumberFormat="1" applyFont="1" applyFill="1" applyBorder="1" applyAlignment="1" applyProtection="1">
      <alignment horizontal="center" vertical="center"/>
      <protection locked="0"/>
    </xf>
    <xf numFmtId="0" fontId="61" fillId="3" borderId="1" xfId="0" applyNumberFormat="1" applyFont="1" applyFill="1" applyBorder="1" applyAlignment="1" applyProtection="1">
      <alignment horizontal="center" vertical="center" wrapText="1"/>
      <protection locked="0"/>
    </xf>
    <xf numFmtId="0" fontId="3" fillId="3" borderId="1" xfId="0" applyNumberFormat="1" applyFont="1" applyFill="1" applyBorder="1" applyAlignment="1" applyProtection="1">
      <alignment horizontal="center" vertical="center"/>
      <protection locked="0"/>
    </xf>
    <xf numFmtId="182" fontId="3" fillId="3" borderId="1" xfId="0" applyNumberFormat="1" applyFont="1" applyFill="1" applyBorder="1" applyAlignment="1" applyProtection="1">
      <alignment horizontal="center" vertical="center"/>
      <protection locked="0"/>
    </xf>
    <xf numFmtId="183" fontId="3" fillId="3" borderId="1" xfId="0" applyNumberFormat="1" applyFont="1" applyFill="1" applyBorder="1" applyAlignment="1" applyProtection="1">
      <alignment horizontal="center" vertical="center"/>
      <protection locked="0"/>
    </xf>
    <xf numFmtId="182" fontId="3" fillId="0" borderId="2" xfId="0" applyNumberFormat="1" applyFont="1" applyFill="1" applyBorder="1" applyAlignment="1" applyProtection="1">
      <alignment horizontal="center" vertical="center"/>
      <protection locked="0"/>
    </xf>
    <xf numFmtId="0" fontId="3" fillId="3" borderId="1" xfId="0" applyNumberFormat="1" applyFont="1" applyFill="1" applyBorder="1" applyAlignment="1" applyProtection="1">
      <alignment horizontal="center" vertical="center" wrapText="1"/>
      <protection locked="0"/>
    </xf>
    <xf numFmtId="0" fontId="3" fillId="7" borderId="1" xfId="0" applyNumberFormat="1" applyFont="1" applyFill="1" applyBorder="1" applyAlignment="1" applyProtection="1">
      <alignment horizontal="center" vertical="center"/>
      <protection locked="0"/>
    </xf>
    <xf numFmtId="0" fontId="40" fillId="0" borderId="1" xfId="0" applyNumberFormat="1" applyFont="1" applyFill="1" applyBorder="1" applyAlignment="1" applyProtection="1">
      <alignment horizontal="center" vertical="center"/>
      <protection locked="0"/>
    </xf>
    <xf numFmtId="176" fontId="40" fillId="0" borderId="5" xfId="0" applyFont="1" applyFill="1" applyBorder="1" applyAlignment="1" applyProtection="1">
      <alignment horizontal="center" vertical="center"/>
      <protection locked="0"/>
    </xf>
    <xf numFmtId="176" fontId="3" fillId="0" borderId="5" xfId="0" applyFont="1" applyFill="1" applyBorder="1" applyAlignment="1" applyProtection="1">
      <alignment horizontal="center" vertical="center"/>
      <protection locked="0"/>
    </xf>
    <xf numFmtId="176" fontId="40" fillId="0" borderId="1" xfId="0" applyFont="1" applyFill="1" applyBorder="1" applyAlignment="1" applyProtection="1">
      <alignment horizontal="center" vertical="center"/>
      <protection locked="0"/>
    </xf>
    <xf numFmtId="0" fontId="40" fillId="0" borderId="2" xfId="0" applyNumberFormat="1" applyFont="1" applyFill="1" applyBorder="1" applyAlignment="1" applyProtection="1">
      <alignment horizontal="center" vertical="center"/>
      <protection locked="0"/>
    </xf>
    <xf numFmtId="176" fontId="40" fillId="0" borderId="16" xfId="0" applyFont="1" applyFill="1" applyBorder="1" applyAlignment="1" applyProtection="1">
      <alignment horizontal="center" vertical="center"/>
      <protection locked="0"/>
    </xf>
    <xf numFmtId="176" fontId="3" fillId="0" borderId="16" xfId="0" applyFont="1" applyFill="1" applyBorder="1" applyAlignment="1" applyProtection="1">
      <alignment horizontal="center" vertical="center"/>
      <protection locked="0"/>
    </xf>
    <xf numFmtId="0" fontId="40" fillId="0" borderId="5" xfId="0" applyNumberFormat="1" applyFont="1" applyFill="1" applyBorder="1" applyAlignment="1" applyProtection="1">
      <alignment horizontal="center" vertical="center"/>
      <protection locked="0"/>
    </xf>
    <xf numFmtId="0" fontId="3" fillId="0" borderId="5" xfId="0" applyNumberFormat="1" applyFont="1" applyFill="1" applyBorder="1" applyAlignment="1" applyProtection="1">
      <alignment horizontal="center" vertical="center"/>
      <protection locked="0"/>
    </xf>
    <xf numFmtId="176" fontId="40" fillId="0" borderId="0" xfId="0" applyFont="1" applyFill="1" applyAlignment="1" applyProtection="1">
      <alignment horizontal="center" vertical="center"/>
      <protection locked="0"/>
    </xf>
    <xf numFmtId="0" fontId="23" fillId="0" borderId="2" xfId="0" applyNumberFormat="1" applyFont="1" applyFill="1" applyBorder="1" applyAlignment="1" applyProtection="1" quotePrefix="1">
      <alignment horizontal="center" vertical="center" wrapText="1"/>
      <protection locked="0"/>
    </xf>
    <xf numFmtId="0" fontId="23" fillId="0" borderId="2" xfId="0" applyNumberFormat="1" applyFont="1" applyFill="1" applyBorder="1" applyAlignment="1" applyProtection="1" quotePrefix="1">
      <alignment horizontal="center" vertical="center"/>
      <protection locked="0"/>
    </xf>
    <xf numFmtId="0" fontId="48" fillId="0" borderId="2" xfId="0" applyNumberFormat="1" applyFont="1" applyFill="1" applyBorder="1" applyAlignment="1" applyProtection="1" quotePrefix="1">
      <alignment horizontal="center" vertical="center" wrapText="1"/>
      <protection locked="0"/>
    </xf>
    <xf numFmtId="0" fontId="55" fillId="3" borderId="2" xfId="0" applyNumberFormat="1" applyFont="1" applyFill="1" applyBorder="1" applyAlignment="1" applyProtection="1" quotePrefix="1">
      <alignment horizontal="center" vertical="center" wrapText="1"/>
      <protection locked="0"/>
    </xf>
    <xf numFmtId="0" fontId="55" fillId="0" borderId="2" xfId="0" applyNumberFormat="1" applyFont="1" applyFill="1" applyBorder="1" applyAlignment="1" applyProtection="1" quotePrefix="1">
      <alignment horizontal="center" vertical="center" wrapText="1"/>
      <protection locked="0"/>
    </xf>
    <xf numFmtId="0" fontId="61" fillId="0" borderId="2" xfId="0" applyNumberFormat="1" applyFont="1" applyFill="1" applyBorder="1" applyAlignment="1" applyProtection="1" quotePrefix="1">
      <alignment horizontal="center" vertical="center" wrapText="1"/>
      <protection locked="0"/>
    </xf>
    <xf numFmtId="0" fontId="2" fillId="0" borderId="1" xfId="0" applyNumberFormat="1" applyFont="1" applyFill="1" applyBorder="1" applyAlignment="1" quotePrefix="1">
      <alignment horizontal="center" vertic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2 2" xfId="49"/>
    <cellStyle name="常规 2 2" xfId="50"/>
    <cellStyle name="常规 130" xfId="51"/>
    <cellStyle name="常规 2" xfId="52"/>
    <cellStyle name="常规 4" xfId="53"/>
    <cellStyle name="常规 4 3" xfId="54"/>
    <cellStyle name="常规 3" xfId="55"/>
    <cellStyle name="常规_Sheet1" xfId="56"/>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FFFFF"/>
      <color rgb="003E2CEA"/>
      <color rgb="000000FF"/>
      <color rgb="000E2EF0"/>
      <color rgb="00010CDD"/>
      <color rgb="000FB7FD"/>
      <color rgb="00FFFF00"/>
      <color rgb="00FF000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care@zuru.com&#37038;&#31665;&#22320;&#22336;/&#22806;&#21253;&#35013;&#30005;&#27744;&#20449;&#24687;&#32763;&#35793;&#20570;&#25104;&#19968;&#24352;&#32440;&#36148;&#22312;&#24425;&#30418;&#19978;(&#36148;&#32440;&#21644;&#20301;&#32622;&#22270;&#32763;PO#4500160378)+"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S578"/>
  <sheetViews>
    <sheetView tabSelected="1" zoomScale="85" zoomScaleNormal="85" workbookViewId="0">
      <pane xSplit="14" ySplit="1" topLeftCell="U556" activePane="bottomRight" state="frozen"/>
      <selection/>
      <selection pane="topRight"/>
      <selection pane="bottomLeft"/>
      <selection pane="bottomRight" activeCell="F561" sqref="F561"/>
    </sheetView>
  </sheetViews>
  <sheetFormatPr defaultColWidth="9" defaultRowHeight="23" customHeight="1"/>
  <cols>
    <col min="1" max="1" width="13.9583333333333" style="227" customWidth="1"/>
    <col min="2" max="2" width="15.8" style="228" customWidth="1"/>
    <col min="3" max="3" width="11.2416666666667" style="229" customWidth="1"/>
    <col min="4" max="4" width="11.5583333333333" style="230" customWidth="1"/>
    <col min="5" max="5" width="17.1416666666667" style="231" customWidth="1"/>
    <col min="6" max="6" width="14.05" style="232" customWidth="1"/>
    <col min="7" max="7" width="14.4333333333333" style="233" customWidth="1"/>
    <col min="8" max="8" width="12.4583333333333" style="233" customWidth="1"/>
    <col min="9" max="9" width="8.96666666666667" style="230" customWidth="1"/>
    <col min="10" max="12" width="7.2" style="230" customWidth="1"/>
    <col min="13" max="14" width="13.2833333333333" style="234" customWidth="1"/>
    <col min="15" max="15" width="11.0916666666667" style="235" customWidth="1"/>
    <col min="16" max="16" width="12.1833333333333" style="234" customWidth="1"/>
    <col min="17" max="18" width="11.125" style="229" customWidth="1"/>
    <col min="19" max="21" width="9.88333333333333" style="236" customWidth="1"/>
    <col min="22" max="23" width="16.2083333333333" style="237" customWidth="1"/>
    <col min="24" max="24" width="30.4166666666667" style="230" customWidth="1"/>
    <col min="25" max="25" width="10.4333333333333" style="230" customWidth="1"/>
    <col min="26" max="26" width="10.875" style="238" customWidth="1"/>
    <col min="27" max="27" width="11.025" style="238" customWidth="1"/>
    <col min="28" max="28" width="11.875" style="230" customWidth="1"/>
    <col min="29" max="29" width="15.175" style="231" customWidth="1"/>
    <col min="30" max="30" width="11.4416666666667" style="230" customWidth="1"/>
    <col min="31" max="31" width="11.175" style="230" customWidth="1"/>
    <col min="32" max="32" width="7.48333333333333" style="230" customWidth="1"/>
    <col min="33" max="33" width="5.59166666666667" style="229" customWidth="1"/>
    <col min="34" max="34" width="9.68333333333333" style="229" customWidth="1"/>
    <col min="35" max="35" width="12.2" style="233" customWidth="1"/>
    <col min="36" max="36" width="7.125" style="230" customWidth="1"/>
    <col min="37" max="37" width="14.65" style="233" customWidth="1"/>
    <col min="38" max="38" width="6.875" style="230" customWidth="1"/>
    <col min="39" max="39" width="9" style="230" customWidth="1" outlineLevel="1"/>
    <col min="40" max="40" width="12.325" style="230" customWidth="1" outlineLevel="1"/>
    <col min="41" max="41" width="9.54166666666667" style="239" customWidth="1"/>
    <col min="42" max="42" width="9.76666666666667" style="240"/>
    <col min="43" max="43" width="10.375" style="241"/>
    <col min="44" max="44" width="9.25" style="242"/>
    <col min="45" max="16384" width="9" style="243"/>
  </cols>
  <sheetData>
    <row r="1" s="214" customFormat="1" ht="39" customHeight="1" spans="1:45">
      <c r="A1" s="244" t="s">
        <v>0</v>
      </c>
      <c r="B1" s="245" t="s">
        <v>1</v>
      </c>
      <c r="C1" s="245" t="s">
        <v>2</v>
      </c>
      <c r="D1" s="246" t="s">
        <v>3</v>
      </c>
      <c r="E1" s="247" t="s">
        <v>4</v>
      </c>
      <c r="F1" s="247" t="s">
        <v>5</v>
      </c>
      <c r="G1" s="246" t="s">
        <v>6</v>
      </c>
      <c r="H1" s="246" t="s">
        <v>7</v>
      </c>
      <c r="I1" s="246" t="s">
        <v>8</v>
      </c>
      <c r="J1" s="246" t="s">
        <v>9</v>
      </c>
      <c r="K1" s="246" t="s">
        <v>10</v>
      </c>
      <c r="L1" s="246" t="s">
        <v>11</v>
      </c>
      <c r="M1" s="270" t="s">
        <v>12</v>
      </c>
      <c r="N1" s="271" t="s">
        <v>13</v>
      </c>
      <c r="O1" s="270" t="s">
        <v>14</v>
      </c>
      <c r="P1" s="271" t="s">
        <v>15</v>
      </c>
      <c r="Q1" s="245" t="s">
        <v>16</v>
      </c>
      <c r="R1" s="275" t="s">
        <v>17</v>
      </c>
      <c r="S1" s="236" t="s">
        <v>18</v>
      </c>
      <c r="T1" s="236" t="s">
        <v>19</v>
      </c>
      <c r="U1" s="236" t="s">
        <v>20</v>
      </c>
      <c r="V1" s="270" t="s">
        <v>21</v>
      </c>
      <c r="W1" s="270" t="s">
        <v>22</v>
      </c>
      <c r="X1" s="276" t="s">
        <v>23</v>
      </c>
      <c r="Y1" s="246" t="s">
        <v>24</v>
      </c>
      <c r="Z1" s="246" t="s">
        <v>25</v>
      </c>
      <c r="AA1" s="246" t="s">
        <v>26</v>
      </c>
      <c r="AB1" s="246" t="s">
        <v>27</v>
      </c>
      <c r="AC1" s="247" t="s">
        <v>28</v>
      </c>
      <c r="AD1" s="246" t="s">
        <v>29</v>
      </c>
      <c r="AE1" s="246" t="s">
        <v>30</v>
      </c>
      <c r="AF1" s="246" t="s">
        <v>31</v>
      </c>
      <c r="AG1" s="245" t="s">
        <v>32</v>
      </c>
      <c r="AH1" s="246" t="s">
        <v>29</v>
      </c>
      <c r="AI1" s="246" t="s">
        <v>33</v>
      </c>
      <c r="AJ1" s="246" t="s">
        <v>34</v>
      </c>
      <c r="AK1" s="246" t="s">
        <v>35</v>
      </c>
      <c r="AL1" s="246" t="s">
        <v>34</v>
      </c>
      <c r="AM1" s="246" t="s">
        <v>36</v>
      </c>
      <c r="AN1" s="246" t="s">
        <v>37</v>
      </c>
      <c r="AO1" s="287" t="s">
        <v>38</v>
      </c>
      <c r="AP1" s="287" t="s">
        <v>39</v>
      </c>
      <c r="AQ1" s="287" t="s">
        <v>40</v>
      </c>
      <c r="AR1" s="288" t="s">
        <v>41</v>
      </c>
      <c r="AS1" s="289" t="s">
        <v>42</v>
      </c>
    </row>
    <row r="2" s="215" customFormat="1" ht="39" hidden="1" customHeight="1" spans="1:45">
      <c r="A2" s="248">
        <v>45436</v>
      </c>
      <c r="B2" s="249" t="s">
        <v>43</v>
      </c>
      <c r="C2" s="250" t="s">
        <v>44</v>
      </c>
      <c r="D2" s="251">
        <v>4500134661</v>
      </c>
      <c r="E2" s="252">
        <v>5236394625</v>
      </c>
      <c r="F2" s="252" t="s">
        <v>45</v>
      </c>
      <c r="G2" s="251" t="s">
        <v>46</v>
      </c>
      <c r="H2" s="253" t="s">
        <v>47</v>
      </c>
      <c r="I2" s="251">
        <v>1274</v>
      </c>
      <c r="J2" s="251">
        <v>0</v>
      </c>
      <c r="K2" s="251">
        <v>98</v>
      </c>
      <c r="L2" s="272">
        <f>I2/K2</f>
        <v>13</v>
      </c>
      <c r="M2" s="273">
        <v>45488</v>
      </c>
      <c r="N2" s="274">
        <v>45484</v>
      </c>
      <c r="O2" s="274" t="s">
        <v>48</v>
      </c>
      <c r="P2" s="274" t="s">
        <v>49</v>
      </c>
      <c r="Q2" s="274"/>
      <c r="R2" s="274"/>
      <c r="S2" s="277" t="s">
        <v>50</v>
      </c>
      <c r="T2" s="277" t="s">
        <v>51</v>
      </c>
      <c r="U2" s="277" t="s">
        <v>50</v>
      </c>
      <c r="V2" s="274" t="s">
        <v>52</v>
      </c>
      <c r="W2" s="274"/>
      <c r="X2" s="253" t="s">
        <v>53</v>
      </c>
      <c r="Y2" s="253" t="s">
        <v>54</v>
      </c>
      <c r="Z2" s="281">
        <v>359.9198</v>
      </c>
      <c r="AA2" s="282">
        <f>Z2*L2</f>
        <v>4678.9574</v>
      </c>
      <c r="AB2" s="251" t="s">
        <v>55</v>
      </c>
      <c r="AC2" s="252" t="s">
        <v>46</v>
      </c>
      <c r="AD2" s="251" t="s">
        <v>56</v>
      </c>
      <c r="AE2" s="283">
        <v>1274</v>
      </c>
      <c r="AF2" s="283">
        <v>0</v>
      </c>
      <c r="AG2" s="266"/>
      <c r="AH2" s="251"/>
      <c r="AI2" s="253" t="s">
        <v>57</v>
      </c>
      <c r="AJ2" s="251">
        <v>0</v>
      </c>
      <c r="AK2" s="253" t="s">
        <v>58</v>
      </c>
      <c r="AL2" s="251">
        <v>0</v>
      </c>
      <c r="AM2" s="251"/>
      <c r="AN2" s="251">
        <f>I2</f>
        <v>1274</v>
      </c>
      <c r="AO2" s="290">
        <f>IF($AJ2=0,$AN2,IF($AJ2&gt;0,0))</f>
        <v>1274</v>
      </c>
      <c r="AP2" s="290" t="b">
        <f>IF($AJ2=2,$AN2,IF($AJ2&gt;0,0))</f>
        <v>0</v>
      </c>
      <c r="AQ2" s="290">
        <f>IF($AL2=0,$AN2,IF($AL2&gt;0,0))</f>
        <v>1274</v>
      </c>
      <c r="AR2" s="291"/>
      <c r="AS2" s="292"/>
    </row>
    <row r="3" s="215" customFormat="1" ht="39" customHeight="1" spans="1:45">
      <c r="A3" s="254">
        <v>45544</v>
      </c>
      <c r="B3" s="249" t="s">
        <v>59</v>
      </c>
      <c r="C3" s="255" t="s">
        <v>60</v>
      </c>
      <c r="D3" s="256" t="s">
        <v>61</v>
      </c>
      <c r="E3" s="257"/>
      <c r="G3" s="251" t="s">
        <v>62</v>
      </c>
      <c r="H3" s="253" t="s">
        <v>63</v>
      </c>
      <c r="I3" s="251">
        <v>120</v>
      </c>
      <c r="J3" s="251">
        <v>0</v>
      </c>
      <c r="K3" s="251">
        <v>6</v>
      </c>
      <c r="L3" s="272">
        <f t="shared" ref="L3:L16" si="0">I3/K3</f>
        <v>20</v>
      </c>
      <c r="M3" s="273">
        <v>45562</v>
      </c>
      <c r="N3" s="274">
        <v>45558</v>
      </c>
      <c r="O3" s="274"/>
      <c r="P3" s="274" t="s">
        <v>49</v>
      </c>
      <c r="Q3" s="274"/>
      <c r="R3" s="274"/>
      <c r="S3" s="277" t="s">
        <v>50</v>
      </c>
      <c r="T3" s="277">
        <v>45544</v>
      </c>
      <c r="U3" s="277" t="s">
        <v>50</v>
      </c>
      <c r="V3" s="274"/>
      <c r="W3" s="274"/>
      <c r="X3" s="253" t="s">
        <v>64</v>
      </c>
      <c r="Y3" s="253"/>
      <c r="Z3" s="281"/>
      <c r="AA3" s="282"/>
      <c r="AB3" s="251"/>
      <c r="AC3" s="252" t="s">
        <v>62</v>
      </c>
      <c r="AD3" s="251" t="s">
        <v>56</v>
      </c>
      <c r="AE3" s="251">
        <f t="shared" ref="AE3:AE16" si="1">I3</f>
        <v>120</v>
      </c>
      <c r="AF3" s="251">
        <f t="shared" ref="AF3:AF16" si="2">AE3-I3</f>
        <v>0</v>
      </c>
      <c r="AG3" s="266"/>
      <c r="AH3" s="251"/>
      <c r="AI3" s="253" t="s">
        <v>57</v>
      </c>
      <c r="AJ3" s="251">
        <v>0</v>
      </c>
      <c r="AK3" s="253" t="s">
        <v>58</v>
      </c>
      <c r="AL3" s="251">
        <v>0</v>
      </c>
      <c r="AM3" s="251"/>
      <c r="AN3" s="251">
        <f t="shared" ref="AN3:AN65" si="3">I3</f>
        <v>120</v>
      </c>
      <c r="AO3" s="290">
        <f t="shared" ref="AO3:AO65" si="4">IF($AJ3=0,$AN3,IF($AJ3&gt;0,0))</f>
        <v>120</v>
      </c>
      <c r="AP3" s="290" t="b">
        <f t="shared" ref="AP3:AP65" si="5">IF($AJ3=2,$AN3,IF($AJ3&gt;0,0))</f>
        <v>0</v>
      </c>
      <c r="AQ3" s="290">
        <f t="shared" ref="AQ3:AQ65" si="6">IF($AL3=0,$AN3,IF($AL3&gt;0,0))</f>
        <v>120</v>
      </c>
      <c r="AR3" s="291"/>
      <c r="AS3" s="292"/>
    </row>
    <row r="4" s="215" customFormat="1" ht="39" customHeight="1" spans="1:45">
      <c r="A4" s="258">
        <v>45603</v>
      </c>
      <c r="B4" s="249" t="s">
        <v>65</v>
      </c>
      <c r="C4" s="259" t="s">
        <v>66</v>
      </c>
      <c r="D4" s="260">
        <v>4500150446</v>
      </c>
      <c r="E4" s="261"/>
      <c r="F4" s="260" t="s">
        <v>67</v>
      </c>
      <c r="G4" s="251" t="s">
        <v>62</v>
      </c>
      <c r="H4" s="253" t="s">
        <v>63</v>
      </c>
      <c r="I4" s="251">
        <v>600</v>
      </c>
      <c r="J4" s="251">
        <v>0</v>
      </c>
      <c r="K4" s="251">
        <v>6</v>
      </c>
      <c r="L4" s="251">
        <f t="shared" si="0"/>
        <v>100</v>
      </c>
      <c r="M4" s="273">
        <v>45667</v>
      </c>
      <c r="N4" s="274">
        <v>45663</v>
      </c>
      <c r="O4" s="274"/>
      <c r="P4" s="274" t="s">
        <v>49</v>
      </c>
      <c r="Q4" s="274"/>
      <c r="R4" s="274"/>
      <c r="S4" s="277" t="s">
        <v>50</v>
      </c>
      <c r="T4" s="277">
        <v>45617</v>
      </c>
      <c r="U4" s="277">
        <v>45624</v>
      </c>
      <c r="V4" s="274"/>
      <c r="W4" s="274"/>
      <c r="X4" s="253" t="s">
        <v>68</v>
      </c>
      <c r="Y4" s="253" t="s">
        <v>69</v>
      </c>
      <c r="Z4" s="284">
        <v>3.6255</v>
      </c>
      <c r="AA4" s="285">
        <f>I4*Z4</f>
        <v>2175.3</v>
      </c>
      <c r="AB4" s="251" t="s">
        <v>70</v>
      </c>
      <c r="AC4" s="252" t="s">
        <v>71</v>
      </c>
      <c r="AD4" s="251" t="s">
        <v>56</v>
      </c>
      <c r="AE4" s="251">
        <f t="shared" si="1"/>
        <v>600</v>
      </c>
      <c r="AF4" s="251">
        <f t="shared" si="2"/>
        <v>0</v>
      </c>
      <c r="AG4" s="266"/>
      <c r="AH4" s="266"/>
      <c r="AI4" s="253" t="s">
        <v>72</v>
      </c>
      <c r="AJ4" s="251">
        <v>2</v>
      </c>
      <c r="AK4" s="253" t="s">
        <v>73</v>
      </c>
      <c r="AL4" s="251">
        <v>0</v>
      </c>
      <c r="AM4" s="251"/>
      <c r="AN4" s="251">
        <f t="shared" si="3"/>
        <v>600</v>
      </c>
      <c r="AO4" s="290">
        <f t="shared" si="4"/>
        <v>0</v>
      </c>
      <c r="AP4" s="290">
        <f t="shared" si="5"/>
        <v>600</v>
      </c>
      <c r="AQ4" s="290">
        <f t="shared" si="6"/>
        <v>600</v>
      </c>
      <c r="AR4" s="291"/>
      <c r="AS4" s="292"/>
    </row>
    <row r="5" s="215" customFormat="1" ht="39" customHeight="1" spans="1:45">
      <c r="A5" s="262">
        <v>45601</v>
      </c>
      <c r="B5" s="249" t="s">
        <v>74</v>
      </c>
      <c r="C5" s="263" t="s">
        <v>44</v>
      </c>
      <c r="D5" s="264">
        <v>4500150244</v>
      </c>
      <c r="E5" s="253" t="s">
        <v>75</v>
      </c>
      <c r="F5" s="264" t="s">
        <v>76</v>
      </c>
      <c r="G5" s="253" t="s">
        <v>62</v>
      </c>
      <c r="H5" s="253" t="s">
        <v>63</v>
      </c>
      <c r="I5" s="251">
        <v>3504</v>
      </c>
      <c r="J5" s="251">
        <v>0</v>
      </c>
      <c r="K5" s="251">
        <v>6</v>
      </c>
      <c r="L5" s="251">
        <f t="shared" si="0"/>
        <v>584</v>
      </c>
      <c r="M5" s="273">
        <v>45640</v>
      </c>
      <c r="N5" s="274">
        <v>45636</v>
      </c>
      <c r="O5" s="274"/>
      <c r="P5" s="274" t="s">
        <v>49</v>
      </c>
      <c r="Q5" s="274">
        <v>45648</v>
      </c>
      <c r="R5" s="274"/>
      <c r="S5" s="277" t="s">
        <v>77</v>
      </c>
      <c r="T5" s="277">
        <v>45601</v>
      </c>
      <c r="U5" s="277" t="s">
        <v>50</v>
      </c>
      <c r="V5" s="274" t="s">
        <v>78</v>
      </c>
      <c r="W5" s="274"/>
      <c r="X5" s="253" t="s">
        <v>79</v>
      </c>
      <c r="Y5" s="253" t="s">
        <v>80</v>
      </c>
      <c r="Z5" s="281">
        <v>3.3717</v>
      </c>
      <c r="AA5" s="282">
        <f>Z5*I5</f>
        <v>11814.4368</v>
      </c>
      <c r="AB5" s="251" t="s">
        <v>81</v>
      </c>
      <c r="AC5" s="252" t="s">
        <v>62</v>
      </c>
      <c r="AD5" s="251" t="s">
        <v>56</v>
      </c>
      <c r="AE5" s="251">
        <f t="shared" si="1"/>
        <v>3504</v>
      </c>
      <c r="AF5" s="251">
        <f t="shared" si="2"/>
        <v>0</v>
      </c>
      <c r="AG5" s="266"/>
      <c r="AH5" s="266"/>
      <c r="AI5" s="253" t="s">
        <v>57</v>
      </c>
      <c r="AJ5" s="251">
        <v>0</v>
      </c>
      <c r="AK5" s="253" t="s">
        <v>73</v>
      </c>
      <c r="AL5" s="251">
        <v>0</v>
      </c>
      <c r="AM5" s="251"/>
      <c r="AN5" s="251">
        <f t="shared" si="3"/>
        <v>3504</v>
      </c>
      <c r="AO5" s="290">
        <f t="shared" si="4"/>
        <v>3504</v>
      </c>
      <c r="AP5" s="290" t="b">
        <f t="shared" si="5"/>
        <v>0</v>
      </c>
      <c r="AQ5" s="290">
        <f t="shared" si="6"/>
        <v>3504</v>
      </c>
      <c r="AR5" s="291"/>
      <c r="AS5" s="292"/>
    </row>
    <row r="6" s="215" customFormat="1" ht="39" hidden="1" customHeight="1" spans="1:45">
      <c r="A6" s="254">
        <v>45638</v>
      </c>
      <c r="B6" s="249" t="s">
        <v>82</v>
      </c>
      <c r="C6" s="265" t="s">
        <v>44</v>
      </c>
      <c r="D6" s="256">
        <v>4500153786</v>
      </c>
      <c r="E6" s="257">
        <v>4551343579</v>
      </c>
      <c r="F6" s="256" t="s">
        <v>83</v>
      </c>
      <c r="G6" s="253" t="s">
        <v>84</v>
      </c>
      <c r="H6" s="253" t="s">
        <v>63</v>
      </c>
      <c r="I6" s="251">
        <v>1347</v>
      </c>
      <c r="J6" s="251">
        <v>0</v>
      </c>
      <c r="K6" s="251">
        <v>3</v>
      </c>
      <c r="L6" s="272">
        <f t="shared" si="0"/>
        <v>449</v>
      </c>
      <c r="M6" s="274">
        <v>45670</v>
      </c>
      <c r="N6" s="274">
        <v>45666</v>
      </c>
      <c r="O6" s="274"/>
      <c r="P6" s="274" t="s">
        <v>49</v>
      </c>
      <c r="Q6" s="274"/>
      <c r="R6" s="274"/>
      <c r="S6" s="277" t="s">
        <v>50</v>
      </c>
      <c r="T6" s="277">
        <v>45600</v>
      </c>
      <c r="U6" s="277">
        <v>45603</v>
      </c>
      <c r="V6" s="274"/>
      <c r="W6" s="274" t="s">
        <v>85</v>
      </c>
      <c r="X6" s="278" t="s">
        <v>86</v>
      </c>
      <c r="Y6" s="253" t="s">
        <v>87</v>
      </c>
      <c r="Z6" s="281">
        <v>4.0717</v>
      </c>
      <c r="AA6" s="282">
        <f>I6*Z6</f>
        <v>5484.5799</v>
      </c>
      <c r="AB6" s="251" t="s">
        <v>88</v>
      </c>
      <c r="AC6" s="252" t="s">
        <v>84</v>
      </c>
      <c r="AD6" s="251" t="s">
        <v>56</v>
      </c>
      <c r="AE6" s="251">
        <f t="shared" si="1"/>
        <v>1347</v>
      </c>
      <c r="AF6" s="251">
        <f t="shared" si="2"/>
        <v>0</v>
      </c>
      <c r="AG6" s="266"/>
      <c r="AH6" s="266"/>
      <c r="AI6" s="253" t="s">
        <v>57</v>
      </c>
      <c r="AJ6" s="251">
        <v>0</v>
      </c>
      <c r="AK6" s="253" t="s">
        <v>73</v>
      </c>
      <c r="AL6" s="251">
        <v>0</v>
      </c>
      <c r="AM6" s="251"/>
      <c r="AN6" s="251">
        <f t="shared" si="3"/>
        <v>1347</v>
      </c>
      <c r="AO6" s="290">
        <f t="shared" si="4"/>
        <v>1347</v>
      </c>
      <c r="AP6" s="290" t="b">
        <f t="shared" si="5"/>
        <v>0</v>
      </c>
      <c r="AQ6" s="290">
        <f t="shared" si="6"/>
        <v>1347</v>
      </c>
      <c r="AR6" s="293"/>
      <c r="AS6" s="266"/>
    </row>
    <row r="7" s="215" customFormat="1" ht="39" hidden="1" customHeight="1" spans="1:45">
      <c r="A7" s="254">
        <v>45638</v>
      </c>
      <c r="B7" s="249" t="s">
        <v>82</v>
      </c>
      <c r="C7" s="265" t="s">
        <v>44</v>
      </c>
      <c r="D7" s="256">
        <v>4500153786</v>
      </c>
      <c r="E7" s="257">
        <v>4551343131</v>
      </c>
      <c r="F7" s="256" t="s">
        <v>89</v>
      </c>
      <c r="G7" s="253" t="s">
        <v>84</v>
      </c>
      <c r="H7" s="253" t="s">
        <v>63</v>
      </c>
      <c r="I7" s="251">
        <v>2196</v>
      </c>
      <c r="J7" s="251">
        <v>0</v>
      </c>
      <c r="K7" s="251">
        <v>3</v>
      </c>
      <c r="L7" s="272">
        <f t="shared" si="0"/>
        <v>732</v>
      </c>
      <c r="M7" s="274">
        <v>45670</v>
      </c>
      <c r="N7" s="274">
        <v>45666</v>
      </c>
      <c r="O7" s="274"/>
      <c r="P7" s="274" t="s">
        <v>49</v>
      </c>
      <c r="Q7" s="274"/>
      <c r="R7" s="274"/>
      <c r="S7" s="277" t="s">
        <v>50</v>
      </c>
      <c r="T7" s="277">
        <v>45600</v>
      </c>
      <c r="U7" s="277">
        <v>45603</v>
      </c>
      <c r="V7" s="274"/>
      <c r="W7" s="274" t="s">
        <v>85</v>
      </c>
      <c r="X7" s="278" t="s">
        <v>86</v>
      </c>
      <c r="Y7" s="253" t="s">
        <v>87</v>
      </c>
      <c r="Z7" s="281">
        <v>4.0717</v>
      </c>
      <c r="AA7" s="282">
        <f>I7*Z7</f>
        <v>8941.4532</v>
      </c>
      <c r="AB7" s="251" t="s">
        <v>90</v>
      </c>
      <c r="AC7" s="252" t="s">
        <v>84</v>
      </c>
      <c r="AD7" s="251" t="s">
        <v>56</v>
      </c>
      <c r="AE7" s="251">
        <f t="shared" si="1"/>
        <v>2196</v>
      </c>
      <c r="AF7" s="251">
        <f t="shared" si="2"/>
        <v>0</v>
      </c>
      <c r="AG7" s="266"/>
      <c r="AH7" s="266"/>
      <c r="AI7" s="253" t="s">
        <v>57</v>
      </c>
      <c r="AJ7" s="251">
        <v>0</v>
      </c>
      <c r="AK7" s="253" t="s">
        <v>73</v>
      </c>
      <c r="AL7" s="251">
        <v>0</v>
      </c>
      <c r="AM7" s="251"/>
      <c r="AN7" s="251">
        <f t="shared" si="3"/>
        <v>2196</v>
      </c>
      <c r="AO7" s="290">
        <f t="shared" si="4"/>
        <v>2196</v>
      </c>
      <c r="AP7" s="290" t="b">
        <f t="shared" si="5"/>
        <v>0</v>
      </c>
      <c r="AQ7" s="290">
        <f t="shared" si="6"/>
        <v>2196</v>
      </c>
      <c r="AR7" s="293"/>
      <c r="AS7" s="266"/>
    </row>
    <row r="8" s="215" customFormat="1" ht="39" customHeight="1" spans="1:45">
      <c r="A8" s="258">
        <v>45593</v>
      </c>
      <c r="B8" s="249" t="s">
        <v>91</v>
      </c>
      <c r="C8" s="259" t="s">
        <v>44</v>
      </c>
      <c r="D8" s="260">
        <v>4500149149</v>
      </c>
      <c r="E8" s="261">
        <v>4333541366</v>
      </c>
      <c r="F8" s="260" t="s">
        <v>92</v>
      </c>
      <c r="G8" s="251" t="s">
        <v>62</v>
      </c>
      <c r="H8" s="253" t="s">
        <v>63</v>
      </c>
      <c r="I8" s="251">
        <v>60</v>
      </c>
      <c r="J8" s="251">
        <v>0</v>
      </c>
      <c r="K8" s="251">
        <v>6</v>
      </c>
      <c r="L8" s="251">
        <f t="shared" si="0"/>
        <v>10</v>
      </c>
      <c r="M8" s="273">
        <v>45645</v>
      </c>
      <c r="N8" s="274">
        <v>45642</v>
      </c>
      <c r="O8" s="274"/>
      <c r="P8" s="274" t="s">
        <v>49</v>
      </c>
      <c r="Q8" s="274">
        <v>45660</v>
      </c>
      <c r="R8" s="274"/>
      <c r="S8" s="277" t="s">
        <v>50</v>
      </c>
      <c r="T8" s="277">
        <v>45614</v>
      </c>
      <c r="U8" s="277" t="s">
        <v>50</v>
      </c>
      <c r="V8" s="274"/>
      <c r="W8" s="274"/>
      <c r="X8" s="253" t="s">
        <v>93</v>
      </c>
      <c r="Y8" s="253" t="s">
        <v>94</v>
      </c>
      <c r="Z8" s="281">
        <v>3.4297</v>
      </c>
      <c r="AA8" s="282">
        <f>I8*Z8</f>
        <v>205.782</v>
      </c>
      <c r="AB8" s="251" t="s">
        <v>95</v>
      </c>
      <c r="AC8" s="252" t="s">
        <v>62</v>
      </c>
      <c r="AD8" s="251" t="s">
        <v>56</v>
      </c>
      <c r="AE8" s="251">
        <f t="shared" si="1"/>
        <v>60</v>
      </c>
      <c r="AF8" s="251">
        <f t="shared" si="2"/>
        <v>0</v>
      </c>
      <c r="AG8" s="266"/>
      <c r="AH8" s="266"/>
      <c r="AI8" s="253" t="s">
        <v>57</v>
      </c>
      <c r="AJ8" s="251">
        <v>0</v>
      </c>
      <c r="AK8" s="253" t="s">
        <v>73</v>
      </c>
      <c r="AL8" s="251">
        <v>0</v>
      </c>
      <c r="AM8" s="251"/>
      <c r="AN8" s="251">
        <f t="shared" si="3"/>
        <v>60</v>
      </c>
      <c r="AO8" s="290">
        <f t="shared" si="4"/>
        <v>60</v>
      </c>
      <c r="AP8" s="290" t="b">
        <f t="shared" si="5"/>
        <v>0</v>
      </c>
      <c r="AQ8" s="290">
        <f t="shared" si="6"/>
        <v>60</v>
      </c>
      <c r="AR8" s="291"/>
      <c r="AS8" s="292"/>
    </row>
    <row r="9" s="215" customFormat="1" ht="39" customHeight="1" spans="1:45">
      <c r="A9" s="258">
        <v>45593</v>
      </c>
      <c r="B9" s="249" t="s">
        <v>91</v>
      </c>
      <c r="C9" s="259" t="s">
        <v>44</v>
      </c>
      <c r="D9" s="260">
        <v>4500149149</v>
      </c>
      <c r="E9" s="261">
        <v>4333541367</v>
      </c>
      <c r="F9" s="260" t="s">
        <v>96</v>
      </c>
      <c r="G9" s="251" t="s">
        <v>62</v>
      </c>
      <c r="H9" s="253" t="s">
        <v>63</v>
      </c>
      <c r="I9" s="251">
        <v>420</v>
      </c>
      <c r="J9" s="251">
        <v>0</v>
      </c>
      <c r="K9" s="251">
        <v>6</v>
      </c>
      <c r="L9" s="251">
        <f t="shared" si="0"/>
        <v>70</v>
      </c>
      <c r="M9" s="273">
        <v>45645</v>
      </c>
      <c r="N9" s="274">
        <v>45642</v>
      </c>
      <c r="O9" s="274"/>
      <c r="P9" s="274" t="s">
        <v>49</v>
      </c>
      <c r="Q9" s="274">
        <v>45660</v>
      </c>
      <c r="R9" s="274"/>
      <c r="S9" s="277" t="s">
        <v>50</v>
      </c>
      <c r="T9" s="277">
        <v>45614</v>
      </c>
      <c r="U9" s="277" t="s">
        <v>50</v>
      </c>
      <c r="V9" s="274"/>
      <c r="W9" s="274"/>
      <c r="X9" s="253" t="s">
        <v>93</v>
      </c>
      <c r="Y9" s="253" t="s">
        <v>94</v>
      </c>
      <c r="Z9" s="284">
        <v>3.4297</v>
      </c>
      <c r="AA9" s="285">
        <f>I9*Z9</f>
        <v>1440.474</v>
      </c>
      <c r="AB9" s="251" t="s">
        <v>95</v>
      </c>
      <c r="AC9" s="252" t="s">
        <v>62</v>
      </c>
      <c r="AD9" s="251" t="s">
        <v>56</v>
      </c>
      <c r="AE9" s="251">
        <f t="shared" si="1"/>
        <v>420</v>
      </c>
      <c r="AF9" s="251">
        <f t="shared" si="2"/>
        <v>0</v>
      </c>
      <c r="AG9" s="266"/>
      <c r="AH9" s="266"/>
      <c r="AI9" s="253" t="s">
        <v>57</v>
      </c>
      <c r="AJ9" s="251">
        <v>0</v>
      </c>
      <c r="AK9" s="253" t="s">
        <v>73</v>
      </c>
      <c r="AL9" s="251">
        <v>0</v>
      </c>
      <c r="AM9" s="251"/>
      <c r="AN9" s="251">
        <f t="shared" si="3"/>
        <v>420</v>
      </c>
      <c r="AO9" s="290">
        <f t="shared" si="4"/>
        <v>420</v>
      </c>
      <c r="AP9" s="290" t="b">
        <f t="shared" si="5"/>
        <v>0</v>
      </c>
      <c r="AQ9" s="290">
        <f t="shared" si="6"/>
        <v>420</v>
      </c>
      <c r="AR9" s="291"/>
      <c r="AS9" s="292"/>
    </row>
    <row r="10" s="215" customFormat="1" ht="39" customHeight="1" spans="1:45">
      <c r="A10" s="254">
        <v>45586</v>
      </c>
      <c r="B10" s="249" t="s">
        <v>97</v>
      </c>
      <c r="C10" s="265" t="s">
        <v>44</v>
      </c>
      <c r="D10" s="256">
        <v>4500147789</v>
      </c>
      <c r="E10" s="257" t="s">
        <v>98</v>
      </c>
      <c r="F10" s="256" t="s">
        <v>99</v>
      </c>
      <c r="G10" s="253" t="s">
        <v>62</v>
      </c>
      <c r="H10" s="253" t="s">
        <v>63</v>
      </c>
      <c r="I10" s="251">
        <v>600</v>
      </c>
      <c r="J10" s="251">
        <v>0</v>
      </c>
      <c r="K10" s="251">
        <v>6</v>
      </c>
      <c r="L10" s="251">
        <f t="shared" si="0"/>
        <v>100</v>
      </c>
      <c r="M10" s="274">
        <v>45649</v>
      </c>
      <c r="N10" s="274">
        <v>45645</v>
      </c>
      <c r="O10" s="274"/>
      <c r="P10" s="274" t="s">
        <v>49</v>
      </c>
      <c r="Q10" s="274"/>
      <c r="R10" s="274"/>
      <c r="S10" s="277" t="s">
        <v>50</v>
      </c>
      <c r="T10" s="277">
        <v>45600</v>
      </c>
      <c r="U10" s="277">
        <v>45610</v>
      </c>
      <c r="V10" s="274"/>
      <c r="W10" s="274"/>
      <c r="X10" s="278" t="s">
        <v>100</v>
      </c>
      <c r="Y10" s="253" t="s">
        <v>101</v>
      </c>
      <c r="Z10" s="281">
        <v>3.6255</v>
      </c>
      <c r="AA10" s="282">
        <f>I10*Z10</f>
        <v>2175.3</v>
      </c>
      <c r="AB10" s="251" t="s">
        <v>102</v>
      </c>
      <c r="AC10" s="252" t="s">
        <v>62</v>
      </c>
      <c r="AD10" s="251" t="s">
        <v>56</v>
      </c>
      <c r="AE10" s="251">
        <f t="shared" si="1"/>
        <v>600</v>
      </c>
      <c r="AF10" s="251">
        <f t="shared" si="2"/>
        <v>0</v>
      </c>
      <c r="AG10" s="266"/>
      <c r="AH10" s="266"/>
      <c r="AI10" s="253" t="s">
        <v>57</v>
      </c>
      <c r="AJ10" s="251">
        <v>0</v>
      </c>
      <c r="AK10" s="253" t="s">
        <v>73</v>
      </c>
      <c r="AL10" s="251">
        <v>0</v>
      </c>
      <c r="AM10" s="251"/>
      <c r="AN10" s="251">
        <f t="shared" si="3"/>
        <v>600</v>
      </c>
      <c r="AO10" s="290">
        <f t="shared" si="4"/>
        <v>600</v>
      </c>
      <c r="AP10" s="290" t="b">
        <f t="shared" si="5"/>
        <v>0</v>
      </c>
      <c r="AQ10" s="290">
        <f t="shared" si="6"/>
        <v>600</v>
      </c>
      <c r="AR10" s="293"/>
      <c r="AS10" s="266"/>
    </row>
    <row r="11" s="215" customFormat="1" ht="39" customHeight="1" spans="1:45">
      <c r="A11" s="254">
        <v>45590</v>
      </c>
      <c r="B11" s="249" t="s">
        <v>103</v>
      </c>
      <c r="C11" s="265" t="s">
        <v>104</v>
      </c>
      <c r="D11" s="256">
        <v>4500148999</v>
      </c>
      <c r="E11" s="257" t="s">
        <v>105</v>
      </c>
      <c r="F11" s="256" t="s">
        <v>106</v>
      </c>
      <c r="G11" s="253" t="s">
        <v>62</v>
      </c>
      <c r="H11" s="253" t="s">
        <v>63</v>
      </c>
      <c r="I11" s="251">
        <v>504</v>
      </c>
      <c r="J11" s="251">
        <v>0</v>
      </c>
      <c r="K11" s="251">
        <v>6</v>
      </c>
      <c r="L11" s="251">
        <f t="shared" si="0"/>
        <v>84</v>
      </c>
      <c r="M11" s="274">
        <v>45651</v>
      </c>
      <c r="N11" s="274">
        <v>45647</v>
      </c>
      <c r="O11" s="274"/>
      <c r="P11" s="274" t="s">
        <v>49</v>
      </c>
      <c r="Q11" s="274"/>
      <c r="R11" s="274"/>
      <c r="S11" s="277">
        <v>45617</v>
      </c>
      <c r="T11" s="277" t="s">
        <v>107</v>
      </c>
      <c r="U11" s="277" t="s">
        <v>108</v>
      </c>
      <c r="V11" s="274"/>
      <c r="W11" s="274"/>
      <c r="X11" s="253" t="s">
        <v>109</v>
      </c>
      <c r="Y11" s="253" t="s">
        <v>110</v>
      </c>
      <c r="Z11" s="284">
        <v>3.6255</v>
      </c>
      <c r="AA11" s="285">
        <f t="shared" ref="AA11:AA21" si="7">I11*Z11</f>
        <v>1827.252</v>
      </c>
      <c r="AB11" s="251" t="s">
        <v>111</v>
      </c>
      <c r="AC11" s="286" t="s">
        <v>71</v>
      </c>
      <c r="AD11" s="251" t="s">
        <v>56</v>
      </c>
      <c r="AE11" s="251">
        <f t="shared" si="1"/>
        <v>504</v>
      </c>
      <c r="AF11" s="251">
        <f t="shared" si="2"/>
        <v>0</v>
      </c>
      <c r="AG11" s="266"/>
      <c r="AH11" s="266"/>
      <c r="AI11" s="253" t="s">
        <v>72</v>
      </c>
      <c r="AJ11" s="251">
        <v>2</v>
      </c>
      <c r="AK11" s="253" t="s">
        <v>73</v>
      </c>
      <c r="AL11" s="251">
        <v>0</v>
      </c>
      <c r="AM11" s="251"/>
      <c r="AN11" s="251">
        <f t="shared" si="3"/>
        <v>504</v>
      </c>
      <c r="AO11" s="290">
        <f t="shared" si="4"/>
        <v>0</v>
      </c>
      <c r="AP11" s="290">
        <f t="shared" si="5"/>
        <v>504</v>
      </c>
      <c r="AQ11" s="290">
        <f t="shared" si="6"/>
        <v>504</v>
      </c>
      <c r="AR11" s="293"/>
      <c r="AS11" s="266"/>
    </row>
    <row r="12" s="215" customFormat="1" ht="39" customHeight="1" spans="1:45">
      <c r="A12" s="248">
        <v>45610</v>
      </c>
      <c r="B12" s="249" t="s">
        <v>74</v>
      </c>
      <c r="C12" s="266" t="s">
        <v>44</v>
      </c>
      <c r="D12" s="251">
        <v>4500151332</v>
      </c>
      <c r="E12" s="252" t="s">
        <v>112</v>
      </c>
      <c r="F12" s="251" t="s">
        <v>113</v>
      </c>
      <c r="G12" s="253" t="s">
        <v>62</v>
      </c>
      <c r="H12" s="253" t="s">
        <v>63</v>
      </c>
      <c r="I12" s="251">
        <v>2022</v>
      </c>
      <c r="J12" s="251">
        <v>0</v>
      </c>
      <c r="K12" s="251">
        <v>6</v>
      </c>
      <c r="L12" s="251">
        <f t="shared" si="0"/>
        <v>337</v>
      </c>
      <c r="M12" s="274">
        <v>45651</v>
      </c>
      <c r="N12" s="274">
        <v>45647</v>
      </c>
      <c r="O12" s="274"/>
      <c r="P12" s="274" t="s">
        <v>49</v>
      </c>
      <c r="Q12" s="274"/>
      <c r="R12" s="274"/>
      <c r="S12" s="277">
        <v>45628</v>
      </c>
      <c r="T12" s="277">
        <v>45610</v>
      </c>
      <c r="U12" s="277" t="s">
        <v>50</v>
      </c>
      <c r="V12" s="274" t="s">
        <v>114</v>
      </c>
      <c r="W12" s="274"/>
      <c r="X12" s="278" t="s">
        <v>115</v>
      </c>
      <c r="Y12" s="253" t="s">
        <v>116</v>
      </c>
      <c r="Z12" s="281">
        <v>3.4032</v>
      </c>
      <c r="AA12" s="282">
        <f t="shared" si="7"/>
        <v>6881.2704</v>
      </c>
      <c r="AB12" s="251" t="s">
        <v>117</v>
      </c>
      <c r="AC12" s="252" t="s">
        <v>62</v>
      </c>
      <c r="AD12" s="251" t="s">
        <v>56</v>
      </c>
      <c r="AE12" s="251">
        <f t="shared" si="1"/>
        <v>2022</v>
      </c>
      <c r="AF12" s="251">
        <f t="shared" si="2"/>
        <v>0</v>
      </c>
      <c r="AG12" s="266"/>
      <c r="AH12" s="266"/>
      <c r="AI12" s="253" t="s">
        <v>57</v>
      </c>
      <c r="AJ12" s="251">
        <v>0</v>
      </c>
      <c r="AK12" s="253" t="s">
        <v>73</v>
      </c>
      <c r="AL12" s="251">
        <v>0</v>
      </c>
      <c r="AM12" s="251"/>
      <c r="AN12" s="251">
        <f t="shared" si="3"/>
        <v>2022</v>
      </c>
      <c r="AO12" s="290">
        <f t="shared" si="4"/>
        <v>2022</v>
      </c>
      <c r="AP12" s="290" t="b">
        <f t="shared" si="5"/>
        <v>0</v>
      </c>
      <c r="AQ12" s="290">
        <f t="shared" si="6"/>
        <v>2022</v>
      </c>
      <c r="AR12" s="293"/>
      <c r="AS12" s="266"/>
    </row>
    <row r="13" s="215" customFormat="1" ht="39" customHeight="1" spans="1:45">
      <c r="A13" s="248">
        <v>45611</v>
      </c>
      <c r="B13" s="249" t="s">
        <v>118</v>
      </c>
      <c r="C13" s="266" t="s">
        <v>119</v>
      </c>
      <c r="D13" s="251">
        <v>4500150212</v>
      </c>
      <c r="E13" s="252">
        <v>2000006307</v>
      </c>
      <c r="F13" s="251" t="s">
        <v>120</v>
      </c>
      <c r="G13" s="253" t="s">
        <v>62</v>
      </c>
      <c r="H13" s="253" t="s">
        <v>63</v>
      </c>
      <c r="I13" s="251">
        <v>900</v>
      </c>
      <c r="J13" s="251">
        <v>0</v>
      </c>
      <c r="K13" s="251">
        <v>6</v>
      </c>
      <c r="L13" s="251">
        <f t="shared" si="0"/>
        <v>150</v>
      </c>
      <c r="M13" s="274">
        <v>45651</v>
      </c>
      <c r="N13" s="274">
        <v>45647</v>
      </c>
      <c r="O13" s="274"/>
      <c r="P13" s="274" t="s">
        <v>49</v>
      </c>
      <c r="Q13" s="274">
        <v>45658</v>
      </c>
      <c r="R13" s="274"/>
      <c r="S13" s="277" t="s">
        <v>50</v>
      </c>
      <c r="T13" s="277">
        <v>45621</v>
      </c>
      <c r="U13" s="277" t="s">
        <v>121</v>
      </c>
      <c r="V13" s="274"/>
      <c r="W13" s="274"/>
      <c r="X13" s="278" t="s">
        <v>122</v>
      </c>
      <c r="Y13" s="253" t="s">
        <v>69</v>
      </c>
      <c r="Z13" s="281">
        <v>3.4167</v>
      </c>
      <c r="AA13" s="282">
        <f t="shared" si="7"/>
        <v>3075.03</v>
      </c>
      <c r="AB13" s="251" t="s">
        <v>123</v>
      </c>
      <c r="AC13" s="286" t="s">
        <v>71</v>
      </c>
      <c r="AD13" s="251" t="s">
        <v>56</v>
      </c>
      <c r="AE13" s="251">
        <f t="shared" si="1"/>
        <v>900</v>
      </c>
      <c r="AF13" s="251">
        <f t="shared" si="2"/>
        <v>0</v>
      </c>
      <c r="AG13" s="266"/>
      <c r="AH13" s="266"/>
      <c r="AI13" s="253" t="s">
        <v>72</v>
      </c>
      <c r="AJ13" s="251">
        <v>2</v>
      </c>
      <c r="AK13" s="253" t="s">
        <v>73</v>
      </c>
      <c r="AL13" s="251">
        <v>0</v>
      </c>
      <c r="AM13" s="251"/>
      <c r="AN13" s="251">
        <f t="shared" si="3"/>
        <v>900</v>
      </c>
      <c r="AO13" s="290">
        <f t="shared" si="4"/>
        <v>0</v>
      </c>
      <c r="AP13" s="290">
        <f t="shared" si="5"/>
        <v>900</v>
      </c>
      <c r="AQ13" s="290">
        <f t="shared" si="6"/>
        <v>900</v>
      </c>
      <c r="AR13" s="293"/>
      <c r="AS13" s="266"/>
    </row>
    <row r="14" s="215" customFormat="1" ht="39" customHeight="1" spans="1:45">
      <c r="A14" s="248">
        <v>45610</v>
      </c>
      <c r="B14" s="249" t="s">
        <v>74</v>
      </c>
      <c r="C14" s="266" t="s">
        <v>44</v>
      </c>
      <c r="D14" s="251">
        <v>4500151331</v>
      </c>
      <c r="E14" s="266" t="s">
        <v>124</v>
      </c>
      <c r="F14" s="252" t="s">
        <v>125</v>
      </c>
      <c r="G14" s="253" t="s">
        <v>62</v>
      </c>
      <c r="H14" s="253" t="s">
        <v>63</v>
      </c>
      <c r="I14" s="251">
        <v>2688</v>
      </c>
      <c r="J14" s="251">
        <v>0</v>
      </c>
      <c r="K14" s="251">
        <v>6</v>
      </c>
      <c r="L14" s="251">
        <f t="shared" si="0"/>
        <v>448</v>
      </c>
      <c r="M14" s="274">
        <v>45651</v>
      </c>
      <c r="N14" s="274">
        <v>45647</v>
      </c>
      <c r="O14" s="274"/>
      <c r="P14" s="274" t="s">
        <v>49</v>
      </c>
      <c r="Q14" s="274"/>
      <c r="R14" s="274"/>
      <c r="S14" s="277">
        <v>45628</v>
      </c>
      <c r="T14" s="277">
        <v>45610</v>
      </c>
      <c r="U14" s="277" t="s">
        <v>50</v>
      </c>
      <c r="V14" s="274" t="s">
        <v>114</v>
      </c>
      <c r="W14" s="274"/>
      <c r="X14" s="278" t="s">
        <v>115</v>
      </c>
      <c r="Y14" s="253" t="s">
        <v>116</v>
      </c>
      <c r="Z14" s="281">
        <v>3.4032</v>
      </c>
      <c r="AA14" s="282">
        <f t="shared" si="7"/>
        <v>9147.8016</v>
      </c>
      <c r="AB14" s="251" t="s">
        <v>126</v>
      </c>
      <c r="AC14" s="252" t="s">
        <v>62</v>
      </c>
      <c r="AD14" s="251" t="s">
        <v>56</v>
      </c>
      <c r="AE14" s="251">
        <f t="shared" si="1"/>
        <v>2688</v>
      </c>
      <c r="AF14" s="251">
        <f t="shared" si="2"/>
        <v>0</v>
      </c>
      <c r="AG14" s="266"/>
      <c r="AH14" s="266"/>
      <c r="AI14" s="253" t="s">
        <v>57</v>
      </c>
      <c r="AJ14" s="251">
        <v>0</v>
      </c>
      <c r="AK14" s="253" t="s">
        <v>73</v>
      </c>
      <c r="AL14" s="251">
        <v>0</v>
      </c>
      <c r="AM14" s="251"/>
      <c r="AN14" s="251">
        <f t="shared" si="3"/>
        <v>2688</v>
      </c>
      <c r="AO14" s="290">
        <f t="shared" si="4"/>
        <v>2688</v>
      </c>
      <c r="AP14" s="290" t="b">
        <f t="shared" si="5"/>
        <v>0</v>
      </c>
      <c r="AQ14" s="290">
        <f t="shared" si="6"/>
        <v>2688</v>
      </c>
      <c r="AR14" s="293"/>
      <c r="AS14" s="266"/>
    </row>
    <row r="15" s="215" customFormat="1" ht="39" customHeight="1" spans="1:45">
      <c r="A15" s="258">
        <v>45593</v>
      </c>
      <c r="B15" s="249" t="s">
        <v>127</v>
      </c>
      <c r="C15" s="259" t="s">
        <v>128</v>
      </c>
      <c r="D15" s="260">
        <v>4500149267</v>
      </c>
      <c r="E15" s="478" t="s">
        <v>129</v>
      </c>
      <c r="F15" s="260" t="s">
        <v>130</v>
      </c>
      <c r="G15" s="251" t="s">
        <v>62</v>
      </c>
      <c r="H15" s="253" t="s">
        <v>63</v>
      </c>
      <c r="I15" s="251">
        <v>1200</v>
      </c>
      <c r="J15" s="251">
        <v>0</v>
      </c>
      <c r="K15" s="251">
        <v>6</v>
      </c>
      <c r="L15" s="251">
        <f t="shared" si="0"/>
        <v>200</v>
      </c>
      <c r="M15" s="273">
        <v>45653</v>
      </c>
      <c r="N15" s="274">
        <v>45649</v>
      </c>
      <c r="O15" s="274"/>
      <c r="P15" s="274" t="s">
        <v>49</v>
      </c>
      <c r="Q15" s="274"/>
      <c r="R15" s="274"/>
      <c r="S15" s="277" t="s">
        <v>50</v>
      </c>
      <c r="T15" s="277">
        <v>45623</v>
      </c>
      <c r="U15" s="277">
        <v>45622</v>
      </c>
      <c r="V15" s="274"/>
      <c r="W15" s="274" t="s">
        <v>131</v>
      </c>
      <c r="X15" s="279" t="s">
        <v>132</v>
      </c>
      <c r="Y15" s="253" t="s">
        <v>133</v>
      </c>
      <c r="Z15" s="281">
        <v>3.612</v>
      </c>
      <c r="AA15" s="282">
        <f t="shared" si="7"/>
        <v>4334.4</v>
      </c>
      <c r="AB15" s="251" t="s">
        <v>134</v>
      </c>
      <c r="AC15" s="269" t="s">
        <v>135</v>
      </c>
      <c r="AD15" s="251" t="s">
        <v>56</v>
      </c>
      <c r="AE15" s="251">
        <f t="shared" si="1"/>
        <v>1200</v>
      </c>
      <c r="AF15" s="251">
        <f t="shared" si="2"/>
        <v>0</v>
      </c>
      <c r="AG15" s="266"/>
      <c r="AH15" s="266"/>
      <c r="AI15" s="253" t="s">
        <v>57</v>
      </c>
      <c r="AJ15" s="251">
        <v>0</v>
      </c>
      <c r="AK15" s="253" t="s">
        <v>136</v>
      </c>
      <c r="AL15" s="251">
        <v>1</v>
      </c>
      <c r="AM15" s="251"/>
      <c r="AN15" s="251">
        <f t="shared" si="3"/>
        <v>1200</v>
      </c>
      <c r="AO15" s="290">
        <f t="shared" si="4"/>
        <v>1200</v>
      </c>
      <c r="AP15" s="290" t="b">
        <f t="shared" si="5"/>
        <v>0</v>
      </c>
      <c r="AQ15" s="290">
        <f t="shared" si="6"/>
        <v>0</v>
      </c>
      <c r="AR15" s="291"/>
      <c r="AS15" s="292"/>
    </row>
    <row r="16" s="215" customFormat="1" ht="39" customHeight="1" spans="1:45">
      <c r="A16" s="248">
        <v>45608</v>
      </c>
      <c r="B16" s="249" t="s">
        <v>137</v>
      </c>
      <c r="C16" s="266" t="s">
        <v>138</v>
      </c>
      <c r="D16" s="251">
        <v>4500150978</v>
      </c>
      <c r="E16" s="252" t="s">
        <v>139</v>
      </c>
      <c r="F16" s="251" t="s">
        <v>140</v>
      </c>
      <c r="G16" s="253" t="s">
        <v>62</v>
      </c>
      <c r="H16" s="253" t="s">
        <v>63</v>
      </c>
      <c r="I16" s="251">
        <v>12</v>
      </c>
      <c r="J16" s="251">
        <v>0</v>
      </c>
      <c r="K16" s="251">
        <v>6</v>
      </c>
      <c r="L16" s="251">
        <f t="shared" si="0"/>
        <v>2</v>
      </c>
      <c r="M16" s="274">
        <v>45653</v>
      </c>
      <c r="N16" s="274">
        <v>45649</v>
      </c>
      <c r="O16" s="274"/>
      <c r="P16" s="274" t="s">
        <v>49</v>
      </c>
      <c r="Q16" s="274"/>
      <c r="R16" s="274"/>
      <c r="S16" s="277">
        <v>45628</v>
      </c>
      <c r="T16" s="277">
        <v>45608</v>
      </c>
      <c r="U16" s="277" t="s">
        <v>141</v>
      </c>
      <c r="V16" s="274" t="s">
        <v>114</v>
      </c>
      <c r="W16" s="274"/>
      <c r="X16" s="278" t="s">
        <v>142</v>
      </c>
      <c r="Y16" s="253" t="s">
        <v>143</v>
      </c>
      <c r="Z16" s="281">
        <v>3.4297</v>
      </c>
      <c r="AA16" s="282">
        <f t="shared" si="7"/>
        <v>41.1564</v>
      </c>
      <c r="AB16" s="251" t="s">
        <v>144</v>
      </c>
      <c r="AC16" s="286" t="s">
        <v>71</v>
      </c>
      <c r="AD16" s="251" t="s">
        <v>56</v>
      </c>
      <c r="AE16" s="251">
        <f t="shared" si="1"/>
        <v>12</v>
      </c>
      <c r="AF16" s="251">
        <f t="shared" si="2"/>
        <v>0</v>
      </c>
      <c r="AG16" s="266"/>
      <c r="AH16" s="266"/>
      <c r="AI16" s="253" t="s">
        <v>72</v>
      </c>
      <c r="AJ16" s="251">
        <v>2</v>
      </c>
      <c r="AK16" s="253" t="s">
        <v>73</v>
      </c>
      <c r="AL16" s="251">
        <v>0</v>
      </c>
      <c r="AM16" s="251"/>
      <c r="AN16" s="251">
        <f t="shared" si="3"/>
        <v>12</v>
      </c>
      <c r="AO16" s="290">
        <f t="shared" si="4"/>
        <v>0</v>
      </c>
      <c r="AP16" s="290">
        <f t="shared" si="5"/>
        <v>12</v>
      </c>
      <c r="AQ16" s="290">
        <f t="shared" si="6"/>
        <v>12</v>
      </c>
      <c r="AR16" s="293"/>
      <c r="AS16" s="266"/>
    </row>
    <row r="17" s="215" customFormat="1" ht="39" hidden="1" customHeight="1" spans="1:45">
      <c r="A17" s="254">
        <v>45562</v>
      </c>
      <c r="B17" s="249" t="s">
        <v>145</v>
      </c>
      <c r="C17" s="265" t="s">
        <v>44</v>
      </c>
      <c r="D17" s="256">
        <v>4500146285</v>
      </c>
      <c r="E17" s="257" t="s">
        <v>146</v>
      </c>
      <c r="F17" s="256" t="s">
        <v>147</v>
      </c>
      <c r="G17" s="253" t="s">
        <v>148</v>
      </c>
      <c r="H17" s="253" t="s">
        <v>63</v>
      </c>
      <c r="I17" s="251">
        <v>864</v>
      </c>
      <c r="J17" s="251">
        <v>0</v>
      </c>
      <c r="K17" s="251">
        <v>2</v>
      </c>
      <c r="L17" s="251">
        <f t="shared" ref="L17:L80" si="8">I17/K17</f>
        <v>432</v>
      </c>
      <c r="M17" s="274">
        <v>45653</v>
      </c>
      <c r="N17" s="274">
        <v>45649</v>
      </c>
      <c r="O17" s="274"/>
      <c r="P17" s="274" t="s">
        <v>49</v>
      </c>
      <c r="Q17" s="274"/>
      <c r="R17" s="274"/>
      <c r="S17" s="277" t="s">
        <v>50</v>
      </c>
      <c r="T17" s="277">
        <v>45565</v>
      </c>
      <c r="U17" s="277" t="s">
        <v>50</v>
      </c>
      <c r="V17" s="274"/>
      <c r="W17" s="274"/>
      <c r="X17" s="278" t="s">
        <v>149</v>
      </c>
      <c r="Y17" s="253" t="s">
        <v>87</v>
      </c>
      <c r="Z17" s="281">
        <v>3.6755</v>
      </c>
      <c r="AA17" s="282">
        <f t="shared" si="7"/>
        <v>3175.632</v>
      </c>
      <c r="AB17" s="251" t="s">
        <v>150</v>
      </c>
      <c r="AC17" s="253" t="s">
        <v>148</v>
      </c>
      <c r="AD17" s="251" t="s">
        <v>56</v>
      </c>
      <c r="AE17" s="251">
        <f t="shared" ref="AE17:AE39" si="9">I17</f>
        <v>864</v>
      </c>
      <c r="AF17" s="251">
        <f t="shared" ref="AF17:AF42" si="10">AE17-I17</f>
        <v>0</v>
      </c>
      <c r="AG17" s="266"/>
      <c r="AH17" s="266"/>
      <c r="AI17" s="253" t="s">
        <v>57</v>
      </c>
      <c r="AJ17" s="251">
        <v>0</v>
      </c>
      <c r="AK17" s="253" t="s">
        <v>73</v>
      </c>
      <c r="AL17" s="251">
        <v>0</v>
      </c>
      <c r="AM17" s="251"/>
      <c r="AN17" s="251">
        <f t="shared" si="3"/>
        <v>864</v>
      </c>
      <c r="AO17" s="290">
        <f t="shared" si="4"/>
        <v>864</v>
      </c>
      <c r="AP17" s="290" t="b">
        <f t="shared" si="5"/>
        <v>0</v>
      </c>
      <c r="AQ17" s="290">
        <f t="shared" si="6"/>
        <v>864</v>
      </c>
      <c r="AR17" s="293"/>
      <c r="AS17" s="266"/>
    </row>
    <row r="18" s="215" customFormat="1" ht="39" customHeight="1" spans="1:45">
      <c r="A18" s="254">
        <v>45586</v>
      </c>
      <c r="B18" s="249" t="s">
        <v>97</v>
      </c>
      <c r="C18" s="265" t="s">
        <v>44</v>
      </c>
      <c r="D18" s="256">
        <v>4500147798</v>
      </c>
      <c r="E18" s="257" t="s">
        <v>151</v>
      </c>
      <c r="F18" s="256" t="s">
        <v>152</v>
      </c>
      <c r="G18" s="253" t="s">
        <v>62</v>
      </c>
      <c r="H18" s="253" t="s">
        <v>63</v>
      </c>
      <c r="I18" s="251">
        <v>798</v>
      </c>
      <c r="J18" s="251">
        <v>0</v>
      </c>
      <c r="K18" s="251">
        <v>6</v>
      </c>
      <c r="L18" s="251">
        <f t="shared" si="8"/>
        <v>133</v>
      </c>
      <c r="M18" s="274">
        <v>45657</v>
      </c>
      <c r="N18" s="274">
        <v>45653</v>
      </c>
      <c r="O18" s="274"/>
      <c r="P18" s="274" t="s">
        <v>49</v>
      </c>
      <c r="Q18" s="274">
        <v>45666</v>
      </c>
      <c r="R18" s="274"/>
      <c r="S18" s="277" t="s">
        <v>50</v>
      </c>
      <c r="T18" s="277">
        <v>45600</v>
      </c>
      <c r="U18" s="277">
        <v>45628</v>
      </c>
      <c r="V18" s="274"/>
      <c r="W18" s="274"/>
      <c r="X18" s="278" t="s">
        <v>100</v>
      </c>
      <c r="Y18" s="253" t="s">
        <v>101</v>
      </c>
      <c r="Z18" s="281">
        <v>3.6255</v>
      </c>
      <c r="AA18" s="282">
        <f t="shared" si="7"/>
        <v>2893.149</v>
      </c>
      <c r="AB18" s="251" t="s">
        <v>153</v>
      </c>
      <c r="AC18" s="252" t="s">
        <v>62</v>
      </c>
      <c r="AD18" s="251" t="s">
        <v>56</v>
      </c>
      <c r="AE18" s="251">
        <f t="shared" si="9"/>
        <v>798</v>
      </c>
      <c r="AF18" s="251">
        <f t="shared" si="10"/>
        <v>0</v>
      </c>
      <c r="AG18" s="266"/>
      <c r="AH18" s="266"/>
      <c r="AI18" s="253" t="s">
        <v>57</v>
      </c>
      <c r="AJ18" s="251">
        <v>0</v>
      </c>
      <c r="AK18" s="253" t="s">
        <v>73</v>
      </c>
      <c r="AL18" s="251">
        <v>0</v>
      </c>
      <c r="AM18" s="251"/>
      <c r="AN18" s="251">
        <f t="shared" si="3"/>
        <v>798</v>
      </c>
      <c r="AO18" s="290">
        <f t="shared" si="4"/>
        <v>798</v>
      </c>
      <c r="AP18" s="290" t="b">
        <f t="shared" si="5"/>
        <v>0</v>
      </c>
      <c r="AQ18" s="290">
        <f t="shared" si="6"/>
        <v>798</v>
      </c>
      <c r="AR18" s="293"/>
      <c r="AS18" s="266"/>
    </row>
    <row r="19" s="215" customFormat="1" ht="39" customHeight="1" spans="1:45">
      <c r="A19" s="254">
        <v>45586</v>
      </c>
      <c r="B19" s="249" t="s">
        <v>97</v>
      </c>
      <c r="C19" s="265" t="s">
        <v>44</v>
      </c>
      <c r="D19" s="256">
        <v>4500147794</v>
      </c>
      <c r="E19" s="257" t="s">
        <v>98</v>
      </c>
      <c r="F19" s="256" t="s">
        <v>154</v>
      </c>
      <c r="G19" s="253" t="s">
        <v>62</v>
      </c>
      <c r="H19" s="253" t="s">
        <v>63</v>
      </c>
      <c r="I19" s="251">
        <v>600</v>
      </c>
      <c r="J19" s="251">
        <v>0</v>
      </c>
      <c r="K19" s="251">
        <v>6</v>
      </c>
      <c r="L19" s="251">
        <f t="shared" si="8"/>
        <v>100</v>
      </c>
      <c r="M19" s="274">
        <v>45657</v>
      </c>
      <c r="N19" s="274">
        <v>45653</v>
      </c>
      <c r="O19" s="274"/>
      <c r="P19" s="274" t="s">
        <v>49</v>
      </c>
      <c r="Q19" s="274"/>
      <c r="R19" s="274"/>
      <c r="S19" s="277" t="s">
        <v>50</v>
      </c>
      <c r="T19" s="277">
        <v>45600</v>
      </c>
      <c r="U19" s="277">
        <v>45628</v>
      </c>
      <c r="V19" s="274"/>
      <c r="W19" s="274"/>
      <c r="X19" s="278" t="s">
        <v>100</v>
      </c>
      <c r="Y19" s="253" t="s">
        <v>101</v>
      </c>
      <c r="Z19" s="281">
        <v>3.6255</v>
      </c>
      <c r="AA19" s="282">
        <f t="shared" si="7"/>
        <v>2175.3</v>
      </c>
      <c r="AB19" s="251" t="s">
        <v>155</v>
      </c>
      <c r="AC19" s="252" t="s">
        <v>62</v>
      </c>
      <c r="AD19" s="251" t="s">
        <v>56</v>
      </c>
      <c r="AE19" s="251">
        <f t="shared" si="9"/>
        <v>600</v>
      </c>
      <c r="AF19" s="251">
        <f t="shared" si="10"/>
        <v>0</v>
      </c>
      <c r="AG19" s="266"/>
      <c r="AH19" s="266"/>
      <c r="AI19" s="253" t="s">
        <v>57</v>
      </c>
      <c r="AJ19" s="251">
        <v>0</v>
      </c>
      <c r="AK19" s="253" t="s">
        <v>73</v>
      </c>
      <c r="AL19" s="251">
        <v>0</v>
      </c>
      <c r="AM19" s="251"/>
      <c r="AN19" s="251">
        <f t="shared" si="3"/>
        <v>600</v>
      </c>
      <c r="AO19" s="290">
        <f t="shared" si="4"/>
        <v>600</v>
      </c>
      <c r="AP19" s="290" t="b">
        <f t="shared" si="5"/>
        <v>0</v>
      </c>
      <c r="AQ19" s="290">
        <f t="shared" si="6"/>
        <v>600</v>
      </c>
      <c r="AR19" s="293"/>
      <c r="AS19" s="266"/>
    </row>
    <row r="20" s="215" customFormat="1" ht="39" customHeight="1" spans="1:45">
      <c r="A20" s="254">
        <v>45602</v>
      </c>
      <c r="B20" s="249" t="s">
        <v>156</v>
      </c>
      <c r="C20" s="265" t="s">
        <v>157</v>
      </c>
      <c r="D20" s="256">
        <v>4500150336</v>
      </c>
      <c r="E20" s="267" t="s">
        <v>158</v>
      </c>
      <c r="F20" s="256" t="s">
        <v>159</v>
      </c>
      <c r="G20" s="253" t="s">
        <v>62</v>
      </c>
      <c r="H20" s="253" t="s">
        <v>63</v>
      </c>
      <c r="I20" s="251">
        <v>5058</v>
      </c>
      <c r="J20" s="251">
        <v>0</v>
      </c>
      <c r="K20" s="251">
        <v>6</v>
      </c>
      <c r="L20" s="251">
        <f t="shared" si="8"/>
        <v>843</v>
      </c>
      <c r="M20" s="274">
        <v>45657</v>
      </c>
      <c r="N20" s="274">
        <v>45653</v>
      </c>
      <c r="O20" s="274"/>
      <c r="P20" s="274" t="s">
        <v>49</v>
      </c>
      <c r="Q20" s="274"/>
      <c r="R20" s="274"/>
      <c r="S20" s="277" t="s">
        <v>50</v>
      </c>
      <c r="T20" s="277">
        <v>45610</v>
      </c>
      <c r="U20" s="277">
        <v>45624</v>
      </c>
      <c r="V20" s="274"/>
      <c r="W20" s="274"/>
      <c r="X20" s="279" t="s">
        <v>160</v>
      </c>
      <c r="Y20" s="253" t="s">
        <v>161</v>
      </c>
      <c r="Z20" s="281">
        <v>3.525</v>
      </c>
      <c r="AA20" s="282">
        <f t="shared" si="7"/>
        <v>17829.45</v>
      </c>
      <c r="AB20" s="251" t="s">
        <v>162</v>
      </c>
      <c r="AC20" s="252" t="s">
        <v>62</v>
      </c>
      <c r="AD20" s="251" t="s">
        <v>56</v>
      </c>
      <c r="AE20" s="251">
        <f t="shared" si="9"/>
        <v>5058</v>
      </c>
      <c r="AF20" s="251">
        <f t="shared" si="10"/>
        <v>0</v>
      </c>
      <c r="AG20" s="266"/>
      <c r="AH20" s="266"/>
      <c r="AI20" s="253" t="s">
        <v>57</v>
      </c>
      <c r="AJ20" s="251">
        <v>0</v>
      </c>
      <c r="AK20" s="253" t="s">
        <v>73</v>
      </c>
      <c r="AL20" s="251">
        <v>0</v>
      </c>
      <c r="AM20" s="251"/>
      <c r="AN20" s="251">
        <f t="shared" si="3"/>
        <v>5058</v>
      </c>
      <c r="AO20" s="290">
        <f t="shared" si="4"/>
        <v>5058</v>
      </c>
      <c r="AP20" s="290" t="b">
        <f t="shared" si="5"/>
        <v>0</v>
      </c>
      <c r="AQ20" s="290">
        <f t="shared" si="6"/>
        <v>5058</v>
      </c>
      <c r="AR20" s="293"/>
      <c r="AS20" s="266"/>
    </row>
    <row r="21" s="215" customFormat="1" ht="39" customHeight="1" spans="1:45">
      <c r="A21" s="254">
        <v>45602</v>
      </c>
      <c r="B21" s="249" t="s">
        <v>156</v>
      </c>
      <c r="C21" s="265" t="s">
        <v>157</v>
      </c>
      <c r="D21" s="256">
        <v>4500150336</v>
      </c>
      <c r="E21" s="267" t="s">
        <v>163</v>
      </c>
      <c r="F21" s="256" t="s">
        <v>164</v>
      </c>
      <c r="G21" s="253" t="s">
        <v>62</v>
      </c>
      <c r="H21" s="253" t="s">
        <v>63</v>
      </c>
      <c r="I21" s="251">
        <v>1344</v>
      </c>
      <c r="J21" s="251">
        <v>0</v>
      </c>
      <c r="K21" s="251">
        <v>6</v>
      </c>
      <c r="L21" s="251">
        <f t="shared" si="8"/>
        <v>224</v>
      </c>
      <c r="M21" s="274">
        <v>45657</v>
      </c>
      <c r="N21" s="274">
        <v>45653</v>
      </c>
      <c r="O21" s="274"/>
      <c r="P21" s="274" t="s">
        <v>49</v>
      </c>
      <c r="Q21" s="274"/>
      <c r="R21" s="274"/>
      <c r="S21" s="277" t="s">
        <v>50</v>
      </c>
      <c r="T21" s="277">
        <v>45610</v>
      </c>
      <c r="U21" s="277">
        <v>45624</v>
      </c>
      <c r="V21" s="274"/>
      <c r="W21" s="274"/>
      <c r="X21" s="279" t="s">
        <v>160</v>
      </c>
      <c r="Y21" s="253" t="s">
        <v>161</v>
      </c>
      <c r="Z21" s="281">
        <v>3.525</v>
      </c>
      <c r="AA21" s="282">
        <f t="shared" si="7"/>
        <v>4737.6</v>
      </c>
      <c r="AB21" s="251" t="s">
        <v>162</v>
      </c>
      <c r="AC21" s="252" t="s">
        <v>62</v>
      </c>
      <c r="AD21" s="251" t="s">
        <v>56</v>
      </c>
      <c r="AE21" s="251">
        <f t="shared" si="9"/>
        <v>1344</v>
      </c>
      <c r="AF21" s="251">
        <f t="shared" si="10"/>
        <v>0</v>
      </c>
      <c r="AG21" s="266"/>
      <c r="AH21" s="266"/>
      <c r="AI21" s="253" t="s">
        <v>57</v>
      </c>
      <c r="AJ21" s="251">
        <v>0</v>
      </c>
      <c r="AK21" s="253" t="s">
        <v>73</v>
      </c>
      <c r="AL21" s="251">
        <v>0</v>
      </c>
      <c r="AM21" s="251"/>
      <c r="AN21" s="251">
        <f t="shared" si="3"/>
        <v>1344</v>
      </c>
      <c r="AO21" s="290">
        <f t="shared" si="4"/>
        <v>1344</v>
      </c>
      <c r="AP21" s="290" t="b">
        <f t="shared" si="5"/>
        <v>0</v>
      </c>
      <c r="AQ21" s="290">
        <f t="shared" si="6"/>
        <v>1344</v>
      </c>
      <c r="AR21" s="293"/>
      <c r="AS21" s="266"/>
    </row>
    <row r="22" s="215" customFormat="1" ht="39" hidden="1" customHeight="1" spans="1:45">
      <c r="A22" s="258">
        <v>45622</v>
      </c>
      <c r="B22" s="249" t="s">
        <v>43</v>
      </c>
      <c r="C22" s="259" t="s">
        <v>44</v>
      </c>
      <c r="D22" s="260">
        <v>4500152346</v>
      </c>
      <c r="E22" s="268" t="s">
        <v>165</v>
      </c>
      <c r="F22" s="260" t="s">
        <v>166</v>
      </c>
      <c r="G22" s="253" t="s">
        <v>46</v>
      </c>
      <c r="H22" s="253" t="s">
        <v>47</v>
      </c>
      <c r="I22" s="251">
        <v>588</v>
      </c>
      <c r="J22" s="251">
        <v>0</v>
      </c>
      <c r="K22" s="251">
        <v>98</v>
      </c>
      <c r="L22" s="251">
        <f t="shared" si="8"/>
        <v>6</v>
      </c>
      <c r="M22" s="274">
        <v>45657</v>
      </c>
      <c r="N22" s="274">
        <v>45653</v>
      </c>
      <c r="O22" s="274">
        <v>45657</v>
      </c>
      <c r="P22" s="274" t="s">
        <v>49</v>
      </c>
      <c r="Q22" s="274">
        <v>45679</v>
      </c>
      <c r="R22" s="274"/>
      <c r="S22" s="277" t="s">
        <v>50</v>
      </c>
      <c r="T22" s="277" t="s">
        <v>167</v>
      </c>
      <c r="U22" s="277" t="s">
        <v>168</v>
      </c>
      <c r="V22" s="274" t="s">
        <v>169</v>
      </c>
      <c r="W22" s="274"/>
      <c r="X22" s="253" t="s">
        <v>53</v>
      </c>
      <c r="Y22" s="253" t="s">
        <v>170</v>
      </c>
      <c r="Z22" s="281">
        <v>368.4458</v>
      </c>
      <c r="AA22" s="282">
        <f>Z22*L22</f>
        <v>2210.6748</v>
      </c>
      <c r="AB22" s="251" t="s">
        <v>171</v>
      </c>
      <c r="AC22" s="252" t="s">
        <v>46</v>
      </c>
      <c r="AD22" s="251" t="s">
        <v>56</v>
      </c>
      <c r="AE22" s="251">
        <f t="shared" si="9"/>
        <v>588</v>
      </c>
      <c r="AF22" s="251">
        <f t="shared" si="10"/>
        <v>0</v>
      </c>
      <c r="AG22" s="266"/>
      <c r="AH22" s="266"/>
      <c r="AI22" s="253" t="s">
        <v>57</v>
      </c>
      <c r="AJ22" s="251">
        <v>0</v>
      </c>
      <c r="AK22" s="253" t="s">
        <v>73</v>
      </c>
      <c r="AL22" s="251">
        <v>0</v>
      </c>
      <c r="AM22" s="251"/>
      <c r="AN22" s="251">
        <f t="shared" si="3"/>
        <v>588</v>
      </c>
      <c r="AO22" s="290">
        <f t="shared" si="4"/>
        <v>588</v>
      </c>
      <c r="AP22" s="290" t="b">
        <f t="shared" si="5"/>
        <v>0</v>
      </c>
      <c r="AQ22" s="290">
        <f t="shared" si="6"/>
        <v>588</v>
      </c>
      <c r="AR22" s="293"/>
      <c r="AS22" s="266"/>
    </row>
    <row r="23" s="215" customFormat="1" ht="39" hidden="1" customHeight="1" spans="1:45">
      <c r="A23" s="258">
        <v>45622</v>
      </c>
      <c r="B23" s="249" t="s">
        <v>43</v>
      </c>
      <c r="C23" s="259" t="s">
        <v>44</v>
      </c>
      <c r="D23" s="260">
        <v>4500152346</v>
      </c>
      <c r="E23" s="268" t="s">
        <v>172</v>
      </c>
      <c r="F23" s="260" t="s">
        <v>173</v>
      </c>
      <c r="G23" s="253" t="s">
        <v>46</v>
      </c>
      <c r="H23" s="253" t="s">
        <v>47</v>
      </c>
      <c r="I23" s="251">
        <v>588</v>
      </c>
      <c r="J23" s="251">
        <v>0</v>
      </c>
      <c r="K23" s="251">
        <v>98</v>
      </c>
      <c r="L23" s="251">
        <f t="shared" si="8"/>
        <v>6</v>
      </c>
      <c r="M23" s="274">
        <v>45657</v>
      </c>
      <c r="N23" s="274">
        <v>45653</v>
      </c>
      <c r="O23" s="274">
        <v>45657</v>
      </c>
      <c r="P23" s="274" t="s">
        <v>49</v>
      </c>
      <c r="Q23" s="274">
        <v>45679</v>
      </c>
      <c r="R23" s="274"/>
      <c r="S23" s="277" t="s">
        <v>50</v>
      </c>
      <c r="T23" s="277" t="s">
        <v>167</v>
      </c>
      <c r="U23" s="277" t="s">
        <v>168</v>
      </c>
      <c r="V23" s="274" t="s">
        <v>169</v>
      </c>
      <c r="W23" s="274"/>
      <c r="X23" s="253" t="s">
        <v>53</v>
      </c>
      <c r="Y23" s="253" t="s">
        <v>170</v>
      </c>
      <c r="Z23" s="281">
        <v>368.4458</v>
      </c>
      <c r="AA23" s="282">
        <f>Z23*L23</f>
        <v>2210.6748</v>
      </c>
      <c r="AB23" s="251" t="s">
        <v>174</v>
      </c>
      <c r="AC23" s="252" t="s">
        <v>46</v>
      </c>
      <c r="AD23" s="251" t="s">
        <v>56</v>
      </c>
      <c r="AE23" s="251">
        <f t="shared" si="9"/>
        <v>588</v>
      </c>
      <c r="AF23" s="251">
        <f t="shared" si="10"/>
        <v>0</v>
      </c>
      <c r="AG23" s="266"/>
      <c r="AH23" s="266"/>
      <c r="AI23" s="253" t="s">
        <v>57</v>
      </c>
      <c r="AJ23" s="251">
        <v>0</v>
      </c>
      <c r="AK23" s="253" t="s">
        <v>73</v>
      </c>
      <c r="AL23" s="251">
        <v>0</v>
      </c>
      <c r="AM23" s="251"/>
      <c r="AN23" s="251">
        <f t="shared" si="3"/>
        <v>588</v>
      </c>
      <c r="AO23" s="290">
        <f t="shared" si="4"/>
        <v>588</v>
      </c>
      <c r="AP23" s="290" t="b">
        <f t="shared" si="5"/>
        <v>0</v>
      </c>
      <c r="AQ23" s="290">
        <f t="shared" si="6"/>
        <v>588</v>
      </c>
      <c r="AR23" s="293"/>
      <c r="AS23" s="266"/>
    </row>
    <row r="24" s="215" customFormat="1" ht="39" customHeight="1" spans="1:45">
      <c r="A24" s="262">
        <v>45604</v>
      </c>
      <c r="B24" s="249" t="s">
        <v>175</v>
      </c>
      <c r="C24" s="263" t="s">
        <v>157</v>
      </c>
      <c r="D24" s="264">
        <v>4500150836</v>
      </c>
      <c r="E24" s="269"/>
      <c r="F24" s="264" t="s">
        <v>176</v>
      </c>
      <c r="G24" s="253" t="s">
        <v>62</v>
      </c>
      <c r="H24" s="253" t="s">
        <v>63</v>
      </c>
      <c r="I24" s="251">
        <v>2016</v>
      </c>
      <c r="J24" s="251">
        <v>0</v>
      </c>
      <c r="K24" s="251">
        <v>6</v>
      </c>
      <c r="L24" s="251">
        <f t="shared" si="8"/>
        <v>336</v>
      </c>
      <c r="M24" s="274">
        <v>45660</v>
      </c>
      <c r="N24" s="274">
        <v>45656</v>
      </c>
      <c r="O24" s="274" t="s">
        <v>177</v>
      </c>
      <c r="P24" s="274" t="s">
        <v>49</v>
      </c>
      <c r="Q24" s="274"/>
      <c r="R24" s="274"/>
      <c r="S24" s="277" t="s">
        <v>50</v>
      </c>
      <c r="T24" s="277">
        <v>45622</v>
      </c>
      <c r="U24" s="277" t="s">
        <v>178</v>
      </c>
      <c r="V24" s="274"/>
      <c r="W24" s="274"/>
      <c r="X24" s="253" t="s">
        <v>179</v>
      </c>
      <c r="Y24" s="253" t="s">
        <v>161</v>
      </c>
      <c r="Z24" s="281">
        <v>3.612</v>
      </c>
      <c r="AA24" s="282">
        <f t="shared" ref="AA24:AA41" si="11">I24*Z24</f>
        <v>7281.792</v>
      </c>
      <c r="AB24" s="251" t="s">
        <v>180</v>
      </c>
      <c r="AC24" s="252" t="s">
        <v>62</v>
      </c>
      <c r="AD24" s="251" t="s">
        <v>56</v>
      </c>
      <c r="AE24" s="251">
        <f t="shared" si="9"/>
        <v>2016</v>
      </c>
      <c r="AF24" s="251">
        <f t="shared" si="10"/>
        <v>0</v>
      </c>
      <c r="AG24" s="266"/>
      <c r="AH24" s="266"/>
      <c r="AI24" s="253" t="s">
        <v>57</v>
      </c>
      <c r="AJ24" s="251">
        <v>0</v>
      </c>
      <c r="AK24" s="253" t="s">
        <v>73</v>
      </c>
      <c r="AL24" s="251">
        <v>0</v>
      </c>
      <c r="AM24" s="251"/>
      <c r="AN24" s="251">
        <f t="shared" si="3"/>
        <v>2016</v>
      </c>
      <c r="AO24" s="290">
        <f t="shared" si="4"/>
        <v>2016</v>
      </c>
      <c r="AP24" s="290" t="b">
        <f t="shared" si="5"/>
        <v>0</v>
      </c>
      <c r="AQ24" s="290">
        <f t="shared" si="6"/>
        <v>2016</v>
      </c>
      <c r="AR24" s="293"/>
      <c r="AS24" s="266"/>
    </row>
    <row r="25" s="215" customFormat="1" ht="39" customHeight="1" spans="1:45">
      <c r="A25" s="258">
        <v>45622</v>
      </c>
      <c r="B25" s="249" t="s">
        <v>181</v>
      </c>
      <c r="C25" s="259" t="s">
        <v>182</v>
      </c>
      <c r="D25" s="260">
        <v>4500152438</v>
      </c>
      <c r="E25" s="267">
        <v>2410630</v>
      </c>
      <c r="F25" s="260" t="s">
        <v>183</v>
      </c>
      <c r="G25" s="253" t="s">
        <v>62</v>
      </c>
      <c r="H25" s="253" t="s">
        <v>63</v>
      </c>
      <c r="I25" s="251">
        <v>1500</v>
      </c>
      <c r="J25" s="251">
        <v>0</v>
      </c>
      <c r="K25" s="251">
        <v>6</v>
      </c>
      <c r="L25" s="251">
        <f t="shared" si="8"/>
        <v>250</v>
      </c>
      <c r="M25" s="274">
        <v>45663</v>
      </c>
      <c r="N25" s="274">
        <v>45659</v>
      </c>
      <c r="O25" s="274"/>
      <c r="P25" s="274" t="s">
        <v>49</v>
      </c>
      <c r="Q25" s="274"/>
      <c r="R25" s="274"/>
      <c r="S25" s="277">
        <v>45651</v>
      </c>
      <c r="T25" s="277">
        <v>45622</v>
      </c>
      <c r="U25" s="277" t="s">
        <v>50</v>
      </c>
      <c r="V25" s="274" t="s">
        <v>184</v>
      </c>
      <c r="W25" s="274"/>
      <c r="X25" s="253" t="s">
        <v>185</v>
      </c>
      <c r="Y25" s="253" t="s">
        <v>186</v>
      </c>
      <c r="Z25" s="281">
        <v>4.0553</v>
      </c>
      <c r="AA25" s="282">
        <f t="shared" si="11"/>
        <v>6082.95</v>
      </c>
      <c r="AB25" s="251" t="s">
        <v>187</v>
      </c>
      <c r="AC25" s="252" t="s">
        <v>62</v>
      </c>
      <c r="AD25" s="251" t="s">
        <v>56</v>
      </c>
      <c r="AE25" s="251">
        <f t="shared" si="9"/>
        <v>1500</v>
      </c>
      <c r="AF25" s="251">
        <f t="shared" si="10"/>
        <v>0</v>
      </c>
      <c r="AG25" s="266"/>
      <c r="AH25" s="266"/>
      <c r="AI25" s="253" t="s">
        <v>57</v>
      </c>
      <c r="AJ25" s="251">
        <v>0</v>
      </c>
      <c r="AK25" s="253" t="s">
        <v>73</v>
      </c>
      <c r="AL25" s="251">
        <v>0</v>
      </c>
      <c r="AM25" s="251"/>
      <c r="AN25" s="251">
        <f t="shared" si="3"/>
        <v>1500</v>
      </c>
      <c r="AO25" s="290">
        <f t="shared" si="4"/>
        <v>1500</v>
      </c>
      <c r="AP25" s="290" t="b">
        <f t="shared" si="5"/>
        <v>0</v>
      </c>
      <c r="AQ25" s="290">
        <f t="shared" si="6"/>
        <v>1500</v>
      </c>
      <c r="AR25" s="293"/>
      <c r="AS25" s="266"/>
    </row>
    <row r="26" s="215" customFormat="1" ht="39" customHeight="1" spans="1:45">
      <c r="A26" s="258">
        <v>45622</v>
      </c>
      <c r="B26" s="249" t="s">
        <v>74</v>
      </c>
      <c r="C26" s="259" t="s">
        <v>44</v>
      </c>
      <c r="D26" s="260">
        <v>4500152526</v>
      </c>
      <c r="E26" s="268" t="s">
        <v>188</v>
      </c>
      <c r="F26" s="260" t="s">
        <v>189</v>
      </c>
      <c r="G26" s="253" t="s">
        <v>62</v>
      </c>
      <c r="H26" s="253" t="s">
        <v>63</v>
      </c>
      <c r="I26" s="251">
        <v>2688</v>
      </c>
      <c r="J26" s="251">
        <v>0</v>
      </c>
      <c r="K26" s="251">
        <v>6</v>
      </c>
      <c r="L26" s="251">
        <f t="shared" si="8"/>
        <v>448</v>
      </c>
      <c r="M26" s="274">
        <v>45663</v>
      </c>
      <c r="N26" s="274">
        <v>45659</v>
      </c>
      <c r="O26" s="274"/>
      <c r="P26" s="274" t="s">
        <v>49</v>
      </c>
      <c r="Q26" s="274"/>
      <c r="R26" s="274"/>
      <c r="S26" s="277">
        <v>45631</v>
      </c>
      <c r="T26" s="277">
        <v>45622</v>
      </c>
      <c r="U26" s="277" t="s">
        <v>50</v>
      </c>
      <c r="V26" s="274" t="s">
        <v>190</v>
      </c>
      <c r="W26" s="274"/>
      <c r="X26" s="253" t="s">
        <v>191</v>
      </c>
      <c r="Y26" s="253" t="s">
        <v>116</v>
      </c>
      <c r="Z26" s="281">
        <v>3.4032</v>
      </c>
      <c r="AA26" s="282">
        <f t="shared" si="11"/>
        <v>9147.8016</v>
      </c>
      <c r="AB26" s="251" t="s">
        <v>192</v>
      </c>
      <c r="AC26" s="252" t="s">
        <v>62</v>
      </c>
      <c r="AD26" s="251" t="s">
        <v>56</v>
      </c>
      <c r="AE26" s="251">
        <f t="shared" si="9"/>
        <v>2688</v>
      </c>
      <c r="AF26" s="251">
        <f t="shared" si="10"/>
        <v>0</v>
      </c>
      <c r="AG26" s="266"/>
      <c r="AH26" s="266"/>
      <c r="AI26" s="253" t="s">
        <v>57</v>
      </c>
      <c r="AJ26" s="251">
        <v>0</v>
      </c>
      <c r="AK26" s="253" t="s">
        <v>73</v>
      </c>
      <c r="AL26" s="251">
        <v>0</v>
      </c>
      <c r="AM26" s="251"/>
      <c r="AN26" s="251">
        <f t="shared" si="3"/>
        <v>2688</v>
      </c>
      <c r="AO26" s="290">
        <f t="shared" si="4"/>
        <v>2688</v>
      </c>
      <c r="AP26" s="290" t="b">
        <f t="shared" si="5"/>
        <v>0</v>
      </c>
      <c r="AQ26" s="290">
        <f t="shared" si="6"/>
        <v>2688</v>
      </c>
      <c r="AR26" s="293"/>
      <c r="AS26" s="266"/>
    </row>
    <row r="27" s="215" customFormat="1" ht="39" customHeight="1" spans="1:45">
      <c r="A27" s="254">
        <v>45601</v>
      </c>
      <c r="B27" s="249" t="s">
        <v>193</v>
      </c>
      <c r="C27" s="265" t="s">
        <v>194</v>
      </c>
      <c r="D27" s="256">
        <v>4500150178</v>
      </c>
      <c r="E27" s="257"/>
      <c r="F27" s="256" t="s">
        <v>195</v>
      </c>
      <c r="G27" s="253" t="s">
        <v>62</v>
      </c>
      <c r="H27" s="253" t="s">
        <v>63</v>
      </c>
      <c r="I27" s="251">
        <v>360</v>
      </c>
      <c r="J27" s="251">
        <v>0</v>
      </c>
      <c r="K27" s="251">
        <v>6</v>
      </c>
      <c r="L27" s="251">
        <f t="shared" si="8"/>
        <v>60</v>
      </c>
      <c r="M27" s="274">
        <v>45665</v>
      </c>
      <c r="N27" s="274">
        <v>45661</v>
      </c>
      <c r="O27" s="274"/>
      <c r="P27" s="274" t="s">
        <v>49</v>
      </c>
      <c r="Q27" s="274"/>
      <c r="R27" s="274"/>
      <c r="S27" s="277" t="s">
        <v>50</v>
      </c>
      <c r="T27" s="277">
        <v>45601</v>
      </c>
      <c r="U27" s="277">
        <v>45609</v>
      </c>
      <c r="V27" s="274"/>
      <c r="W27" s="274"/>
      <c r="X27" s="278" t="s">
        <v>196</v>
      </c>
      <c r="Y27" s="253" t="s">
        <v>197</v>
      </c>
      <c r="Z27" s="281">
        <v>3.6385</v>
      </c>
      <c r="AA27" s="282">
        <f t="shared" si="11"/>
        <v>1309.86</v>
      </c>
      <c r="AB27" s="251" t="s">
        <v>198</v>
      </c>
      <c r="AC27" s="269" t="s">
        <v>199</v>
      </c>
      <c r="AD27" s="251" t="s">
        <v>56</v>
      </c>
      <c r="AE27" s="251">
        <f t="shared" si="9"/>
        <v>360</v>
      </c>
      <c r="AF27" s="251">
        <f t="shared" si="10"/>
        <v>0</v>
      </c>
      <c r="AG27" s="266"/>
      <c r="AH27" s="266"/>
      <c r="AI27" s="253" t="s">
        <v>57</v>
      </c>
      <c r="AJ27" s="251">
        <v>0</v>
      </c>
      <c r="AK27" s="253" t="s">
        <v>136</v>
      </c>
      <c r="AL27" s="251">
        <v>1</v>
      </c>
      <c r="AM27" s="251"/>
      <c r="AN27" s="251">
        <f t="shared" si="3"/>
        <v>360</v>
      </c>
      <c r="AO27" s="290">
        <f t="shared" si="4"/>
        <v>360</v>
      </c>
      <c r="AP27" s="290" t="b">
        <f t="shared" si="5"/>
        <v>0</v>
      </c>
      <c r="AQ27" s="290">
        <f t="shared" si="6"/>
        <v>0</v>
      </c>
      <c r="AR27" s="293"/>
      <c r="AS27" s="266"/>
    </row>
    <row r="28" s="215" customFormat="1" ht="39" customHeight="1" spans="1:45">
      <c r="A28" s="258">
        <v>45624</v>
      </c>
      <c r="B28" s="249" t="s">
        <v>200</v>
      </c>
      <c r="C28" s="259" t="s">
        <v>201</v>
      </c>
      <c r="D28" s="260">
        <v>4500152720</v>
      </c>
      <c r="E28" s="268"/>
      <c r="F28" s="260" t="s">
        <v>202</v>
      </c>
      <c r="G28" s="253" t="s">
        <v>62</v>
      </c>
      <c r="H28" s="253" t="s">
        <v>63</v>
      </c>
      <c r="I28" s="251">
        <v>600</v>
      </c>
      <c r="J28" s="251">
        <v>0</v>
      </c>
      <c r="K28" s="251">
        <v>6</v>
      </c>
      <c r="L28" s="251">
        <f t="shared" si="8"/>
        <v>100</v>
      </c>
      <c r="M28" s="274">
        <v>45663</v>
      </c>
      <c r="N28" s="274">
        <v>45659</v>
      </c>
      <c r="O28" s="274" t="s">
        <v>203</v>
      </c>
      <c r="P28" s="274" t="s">
        <v>49</v>
      </c>
      <c r="Q28" s="274"/>
      <c r="R28" s="274"/>
      <c r="S28" s="277" t="s">
        <v>50</v>
      </c>
      <c r="T28" s="277">
        <v>45629</v>
      </c>
      <c r="U28" s="277">
        <v>45632</v>
      </c>
      <c r="V28" s="274"/>
      <c r="W28" s="274"/>
      <c r="X28" s="279" t="s">
        <v>204</v>
      </c>
      <c r="Y28" s="253" t="s">
        <v>205</v>
      </c>
      <c r="Z28" s="281">
        <v>3.6255</v>
      </c>
      <c r="AA28" s="282">
        <f t="shared" si="11"/>
        <v>2175.3</v>
      </c>
      <c r="AB28" s="251" t="s">
        <v>206</v>
      </c>
      <c r="AC28" s="286" t="s">
        <v>71</v>
      </c>
      <c r="AD28" s="251" t="s">
        <v>56</v>
      </c>
      <c r="AE28" s="251">
        <f t="shared" si="9"/>
        <v>600</v>
      </c>
      <c r="AF28" s="251">
        <f t="shared" si="10"/>
        <v>0</v>
      </c>
      <c r="AG28" s="266"/>
      <c r="AH28" s="266"/>
      <c r="AI28" s="253" t="s">
        <v>72</v>
      </c>
      <c r="AJ28" s="251">
        <v>2</v>
      </c>
      <c r="AK28" s="253" t="s">
        <v>73</v>
      </c>
      <c r="AL28" s="251">
        <v>0</v>
      </c>
      <c r="AM28" s="251"/>
      <c r="AN28" s="251">
        <f t="shared" si="3"/>
        <v>600</v>
      </c>
      <c r="AO28" s="290">
        <f t="shared" si="4"/>
        <v>0</v>
      </c>
      <c r="AP28" s="290">
        <f t="shared" si="5"/>
        <v>600</v>
      </c>
      <c r="AQ28" s="290">
        <f t="shared" si="6"/>
        <v>600</v>
      </c>
      <c r="AR28" s="293"/>
      <c r="AS28" s="266"/>
    </row>
    <row r="29" s="215" customFormat="1" ht="39" customHeight="1" spans="1:45">
      <c r="A29" s="254">
        <v>45624</v>
      </c>
      <c r="B29" s="249" t="s">
        <v>207</v>
      </c>
      <c r="C29" s="265" t="s">
        <v>119</v>
      </c>
      <c r="D29" s="256">
        <v>4500152778</v>
      </c>
      <c r="E29" s="257">
        <v>4400452130</v>
      </c>
      <c r="F29" s="256" t="s">
        <v>208</v>
      </c>
      <c r="G29" s="253" t="s">
        <v>62</v>
      </c>
      <c r="H29" s="253" t="s">
        <v>63</v>
      </c>
      <c r="I29" s="251">
        <v>354</v>
      </c>
      <c r="J29" s="251">
        <v>0</v>
      </c>
      <c r="K29" s="251">
        <v>6</v>
      </c>
      <c r="L29" s="251">
        <f t="shared" si="8"/>
        <v>59</v>
      </c>
      <c r="M29" s="274">
        <v>45665</v>
      </c>
      <c r="N29" s="274">
        <v>45661</v>
      </c>
      <c r="O29" s="274"/>
      <c r="P29" s="274" t="s">
        <v>49</v>
      </c>
      <c r="Q29" s="274"/>
      <c r="R29" s="274"/>
      <c r="S29" s="277" t="s">
        <v>50</v>
      </c>
      <c r="T29" s="277">
        <v>45624</v>
      </c>
      <c r="U29" s="277" t="s">
        <v>209</v>
      </c>
      <c r="V29" s="274"/>
      <c r="W29" s="274"/>
      <c r="X29" s="278" t="s">
        <v>210</v>
      </c>
      <c r="Y29" s="253" t="s">
        <v>211</v>
      </c>
      <c r="Z29" s="281">
        <v>3.4297</v>
      </c>
      <c r="AA29" s="282">
        <f t="shared" si="11"/>
        <v>1214.1138</v>
      </c>
      <c r="AB29" s="251" t="s">
        <v>212</v>
      </c>
      <c r="AC29" s="286" t="s">
        <v>71</v>
      </c>
      <c r="AD29" s="251" t="s">
        <v>56</v>
      </c>
      <c r="AE29" s="251">
        <f t="shared" si="9"/>
        <v>354</v>
      </c>
      <c r="AF29" s="251">
        <f t="shared" si="10"/>
        <v>0</v>
      </c>
      <c r="AG29" s="266"/>
      <c r="AH29" s="266"/>
      <c r="AI29" s="253" t="s">
        <v>72</v>
      </c>
      <c r="AJ29" s="251">
        <v>2</v>
      </c>
      <c r="AK29" s="253" t="s">
        <v>73</v>
      </c>
      <c r="AL29" s="251">
        <v>0</v>
      </c>
      <c r="AM29" s="251"/>
      <c r="AN29" s="251">
        <f t="shared" si="3"/>
        <v>354</v>
      </c>
      <c r="AO29" s="290">
        <f t="shared" si="4"/>
        <v>0</v>
      </c>
      <c r="AP29" s="290">
        <f t="shared" si="5"/>
        <v>354</v>
      </c>
      <c r="AQ29" s="290">
        <f t="shared" si="6"/>
        <v>354</v>
      </c>
      <c r="AR29" s="293"/>
      <c r="AS29" s="266"/>
    </row>
    <row r="30" s="215" customFormat="1" ht="39" customHeight="1" spans="1:45">
      <c r="A30" s="254">
        <v>45624</v>
      </c>
      <c r="B30" s="249" t="s">
        <v>213</v>
      </c>
      <c r="C30" s="265" t="s">
        <v>214</v>
      </c>
      <c r="D30" s="256">
        <v>4500152750</v>
      </c>
      <c r="E30" s="257">
        <v>4400451649</v>
      </c>
      <c r="F30" s="256" t="s">
        <v>215</v>
      </c>
      <c r="G30" s="253" t="s">
        <v>62</v>
      </c>
      <c r="H30" s="253" t="s">
        <v>63</v>
      </c>
      <c r="I30" s="251">
        <v>2502</v>
      </c>
      <c r="J30" s="251">
        <v>0</v>
      </c>
      <c r="K30" s="251">
        <v>6</v>
      </c>
      <c r="L30" s="251">
        <f t="shared" si="8"/>
        <v>417</v>
      </c>
      <c r="M30" s="274">
        <v>45666</v>
      </c>
      <c r="N30" s="274">
        <v>45662</v>
      </c>
      <c r="O30" s="274"/>
      <c r="P30" s="274" t="s">
        <v>49</v>
      </c>
      <c r="Q30" s="274"/>
      <c r="R30" s="274"/>
      <c r="S30" s="277" t="s">
        <v>50</v>
      </c>
      <c r="T30" s="277">
        <v>45629</v>
      </c>
      <c r="U30" s="277" t="s">
        <v>216</v>
      </c>
      <c r="V30" s="274"/>
      <c r="W30" s="274"/>
      <c r="X30" s="278" t="s">
        <v>217</v>
      </c>
      <c r="Y30" s="253" t="s">
        <v>218</v>
      </c>
      <c r="Z30" s="281">
        <v>3.612</v>
      </c>
      <c r="AA30" s="282">
        <f t="shared" si="11"/>
        <v>9037.224</v>
      </c>
      <c r="AB30" s="251" t="s">
        <v>219</v>
      </c>
      <c r="AC30" s="286" t="s">
        <v>71</v>
      </c>
      <c r="AD30" s="251" t="s">
        <v>56</v>
      </c>
      <c r="AE30" s="251">
        <f t="shared" si="9"/>
        <v>2502</v>
      </c>
      <c r="AF30" s="251">
        <f t="shared" si="10"/>
        <v>0</v>
      </c>
      <c r="AG30" s="266"/>
      <c r="AH30" s="266"/>
      <c r="AI30" s="253" t="s">
        <v>72</v>
      </c>
      <c r="AJ30" s="251">
        <v>2</v>
      </c>
      <c r="AK30" s="253" t="s">
        <v>73</v>
      </c>
      <c r="AL30" s="251">
        <v>0</v>
      </c>
      <c r="AM30" s="251"/>
      <c r="AN30" s="251">
        <f t="shared" si="3"/>
        <v>2502</v>
      </c>
      <c r="AO30" s="290">
        <f t="shared" si="4"/>
        <v>0</v>
      </c>
      <c r="AP30" s="290">
        <f t="shared" si="5"/>
        <v>2502</v>
      </c>
      <c r="AQ30" s="290">
        <f t="shared" si="6"/>
        <v>2502</v>
      </c>
      <c r="AR30" s="293"/>
      <c r="AS30" s="266"/>
    </row>
    <row r="31" s="215" customFormat="1" ht="39" customHeight="1" spans="1:45">
      <c r="A31" s="254">
        <v>45587</v>
      </c>
      <c r="B31" s="249" t="s">
        <v>213</v>
      </c>
      <c r="C31" s="265" t="s">
        <v>214</v>
      </c>
      <c r="D31" s="256">
        <v>4500148645</v>
      </c>
      <c r="E31" s="257">
        <v>4400443724</v>
      </c>
      <c r="F31" s="256" t="s">
        <v>220</v>
      </c>
      <c r="G31" s="253" t="s">
        <v>62</v>
      </c>
      <c r="H31" s="253" t="s">
        <v>63</v>
      </c>
      <c r="I31" s="251">
        <v>1002</v>
      </c>
      <c r="J31" s="251">
        <v>0</v>
      </c>
      <c r="K31" s="251">
        <v>6</v>
      </c>
      <c r="L31" s="251">
        <f t="shared" si="8"/>
        <v>167</v>
      </c>
      <c r="M31" s="274">
        <v>45667</v>
      </c>
      <c r="N31" s="274">
        <v>45663</v>
      </c>
      <c r="O31" s="274"/>
      <c r="P31" s="274" t="s">
        <v>49</v>
      </c>
      <c r="Q31" s="274"/>
      <c r="R31" s="274"/>
      <c r="S31" s="277" t="s">
        <v>50</v>
      </c>
      <c r="T31" s="277">
        <v>45596</v>
      </c>
      <c r="U31" s="277" t="s">
        <v>221</v>
      </c>
      <c r="V31" s="274"/>
      <c r="W31" s="274"/>
      <c r="X31" s="278" t="s">
        <v>222</v>
      </c>
      <c r="Y31" s="253" t="s">
        <v>223</v>
      </c>
      <c r="Z31" s="281">
        <v>3.612</v>
      </c>
      <c r="AA31" s="282">
        <f t="shared" si="11"/>
        <v>3619.224</v>
      </c>
      <c r="AB31" s="251" t="s">
        <v>224</v>
      </c>
      <c r="AC31" s="286" t="s">
        <v>71</v>
      </c>
      <c r="AD31" s="251" t="s">
        <v>56</v>
      </c>
      <c r="AE31" s="251">
        <f t="shared" si="9"/>
        <v>1002</v>
      </c>
      <c r="AF31" s="251">
        <f t="shared" si="10"/>
        <v>0</v>
      </c>
      <c r="AG31" s="266"/>
      <c r="AH31" s="266"/>
      <c r="AI31" s="253" t="s">
        <v>72</v>
      </c>
      <c r="AJ31" s="251">
        <v>2</v>
      </c>
      <c r="AK31" s="253" t="s">
        <v>73</v>
      </c>
      <c r="AL31" s="251">
        <v>0</v>
      </c>
      <c r="AM31" s="251"/>
      <c r="AN31" s="251">
        <f t="shared" si="3"/>
        <v>1002</v>
      </c>
      <c r="AO31" s="290">
        <f t="shared" si="4"/>
        <v>0</v>
      </c>
      <c r="AP31" s="290">
        <f t="shared" si="5"/>
        <v>1002</v>
      </c>
      <c r="AQ31" s="290">
        <f t="shared" si="6"/>
        <v>1002</v>
      </c>
      <c r="AR31" s="293"/>
      <c r="AS31" s="266"/>
    </row>
    <row r="32" s="215" customFormat="1" ht="39" customHeight="1" spans="1:45">
      <c r="A32" s="254">
        <v>45560</v>
      </c>
      <c r="B32" s="249" t="s">
        <v>225</v>
      </c>
      <c r="C32" s="265" t="s">
        <v>226</v>
      </c>
      <c r="D32" s="256">
        <v>4500145574</v>
      </c>
      <c r="E32" s="257"/>
      <c r="F32" s="256" t="s">
        <v>227</v>
      </c>
      <c r="G32" s="253" t="s">
        <v>62</v>
      </c>
      <c r="H32" s="253" t="s">
        <v>63</v>
      </c>
      <c r="I32" s="251">
        <v>504</v>
      </c>
      <c r="J32" s="251">
        <v>0</v>
      </c>
      <c r="K32" s="251">
        <v>6</v>
      </c>
      <c r="L32" s="251">
        <f t="shared" si="8"/>
        <v>84</v>
      </c>
      <c r="M32" s="274">
        <v>45649</v>
      </c>
      <c r="N32" s="274">
        <v>45645</v>
      </c>
      <c r="O32" s="274"/>
      <c r="P32" s="274" t="s">
        <v>49</v>
      </c>
      <c r="Q32" s="274"/>
      <c r="R32" s="274"/>
      <c r="S32" s="277">
        <v>45624</v>
      </c>
      <c r="T32" s="277">
        <v>45561</v>
      </c>
      <c r="U32" s="277">
        <v>45650</v>
      </c>
      <c r="V32" s="274" t="s">
        <v>228</v>
      </c>
      <c r="W32" s="274"/>
      <c r="X32" s="278" t="s">
        <v>229</v>
      </c>
      <c r="Y32" s="253" t="s">
        <v>230</v>
      </c>
      <c r="Z32" s="284">
        <v>3.6255</v>
      </c>
      <c r="AA32" s="285">
        <f t="shared" si="11"/>
        <v>1827.252</v>
      </c>
      <c r="AB32" s="251" t="s">
        <v>231</v>
      </c>
      <c r="AC32" s="286" t="s">
        <v>71</v>
      </c>
      <c r="AD32" s="251" t="s">
        <v>56</v>
      </c>
      <c r="AE32" s="251">
        <f t="shared" si="9"/>
        <v>504</v>
      </c>
      <c r="AF32" s="251">
        <f t="shared" si="10"/>
        <v>0</v>
      </c>
      <c r="AG32" s="266"/>
      <c r="AH32" s="266"/>
      <c r="AI32" s="253" t="s">
        <v>72</v>
      </c>
      <c r="AJ32" s="251">
        <v>2</v>
      </c>
      <c r="AK32" s="253" t="s">
        <v>73</v>
      </c>
      <c r="AL32" s="251">
        <v>0</v>
      </c>
      <c r="AM32" s="251"/>
      <c r="AN32" s="251">
        <f t="shared" si="3"/>
        <v>504</v>
      </c>
      <c r="AO32" s="290">
        <f t="shared" si="4"/>
        <v>0</v>
      </c>
      <c r="AP32" s="290">
        <f t="shared" si="5"/>
        <v>504</v>
      </c>
      <c r="AQ32" s="290">
        <f t="shared" si="6"/>
        <v>504</v>
      </c>
      <c r="AR32" s="293"/>
      <c r="AS32" s="266"/>
    </row>
    <row r="33" s="215" customFormat="1" ht="39" customHeight="1" spans="1:45">
      <c r="A33" s="254">
        <v>45615</v>
      </c>
      <c r="B33" s="249" t="s">
        <v>232</v>
      </c>
      <c r="C33" s="265" t="s">
        <v>44</v>
      </c>
      <c r="D33" s="256">
        <v>4500151650</v>
      </c>
      <c r="E33" s="257">
        <v>4390</v>
      </c>
      <c r="F33" s="256" t="s">
        <v>233</v>
      </c>
      <c r="G33" s="253" t="s">
        <v>62</v>
      </c>
      <c r="H33" s="253" t="s">
        <v>63</v>
      </c>
      <c r="I33" s="251">
        <v>528</v>
      </c>
      <c r="J33" s="251">
        <v>0</v>
      </c>
      <c r="K33" s="251">
        <v>6</v>
      </c>
      <c r="L33" s="251">
        <f t="shared" si="8"/>
        <v>88</v>
      </c>
      <c r="M33" s="274">
        <v>45665</v>
      </c>
      <c r="N33" s="274">
        <v>45661</v>
      </c>
      <c r="O33" s="274"/>
      <c r="P33" s="274" t="s">
        <v>49</v>
      </c>
      <c r="Q33" s="274"/>
      <c r="R33" s="274"/>
      <c r="S33" s="277">
        <v>45638</v>
      </c>
      <c r="T33" s="277">
        <v>45623</v>
      </c>
      <c r="U33" s="277">
        <v>45623</v>
      </c>
      <c r="V33" s="274" t="s">
        <v>234</v>
      </c>
      <c r="W33" s="274"/>
      <c r="X33" s="278" t="s">
        <v>235</v>
      </c>
      <c r="Y33" s="253" t="s">
        <v>236</v>
      </c>
      <c r="Z33" s="281">
        <v>3.6255</v>
      </c>
      <c r="AA33" s="282">
        <f t="shared" si="11"/>
        <v>1914.264</v>
      </c>
      <c r="AB33" s="251" t="s">
        <v>237</v>
      </c>
      <c r="AC33" s="252" t="s">
        <v>62</v>
      </c>
      <c r="AD33" s="251" t="s">
        <v>56</v>
      </c>
      <c r="AE33" s="251">
        <f t="shared" si="9"/>
        <v>528</v>
      </c>
      <c r="AF33" s="251">
        <f t="shared" si="10"/>
        <v>0</v>
      </c>
      <c r="AG33" s="266"/>
      <c r="AH33" s="266"/>
      <c r="AI33" s="253" t="s">
        <v>57</v>
      </c>
      <c r="AJ33" s="251">
        <v>0</v>
      </c>
      <c r="AK33" s="253" t="s">
        <v>73</v>
      </c>
      <c r="AL33" s="251">
        <v>0</v>
      </c>
      <c r="AM33" s="251"/>
      <c r="AN33" s="251">
        <f t="shared" si="3"/>
        <v>528</v>
      </c>
      <c r="AO33" s="290">
        <f t="shared" si="4"/>
        <v>528</v>
      </c>
      <c r="AP33" s="290" t="b">
        <f t="shared" si="5"/>
        <v>0</v>
      </c>
      <c r="AQ33" s="290">
        <f t="shared" si="6"/>
        <v>528</v>
      </c>
      <c r="AR33" s="293"/>
      <c r="AS33" s="266"/>
    </row>
    <row r="34" s="215" customFormat="1" ht="39" customHeight="1" spans="1:45">
      <c r="A34" s="258">
        <v>45616</v>
      </c>
      <c r="B34" s="249" t="s">
        <v>238</v>
      </c>
      <c r="C34" s="259" t="s">
        <v>239</v>
      </c>
      <c r="D34" s="260">
        <v>4500151829</v>
      </c>
      <c r="E34" s="267">
        <v>257441</v>
      </c>
      <c r="F34" s="260" t="s">
        <v>240</v>
      </c>
      <c r="G34" s="253" t="s">
        <v>62</v>
      </c>
      <c r="H34" s="253" t="s">
        <v>63</v>
      </c>
      <c r="I34" s="251">
        <v>378</v>
      </c>
      <c r="J34" s="251">
        <v>0</v>
      </c>
      <c r="K34" s="251">
        <v>6</v>
      </c>
      <c r="L34" s="251">
        <f t="shared" si="8"/>
        <v>63</v>
      </c>
      <c r="M34" s="274">
        <v>45660</v>
      </c>
      <c r="N34" s="274">
        <v>45656</v>
      </c>
      <c r="P34" s="274" t="s">
        <v>49</v>
      </c>
      <c r="Q34" s="274" t="s">
        <v>241</v>
      </c>
      <c r="R34" s="274"/>
      <c r="S34" s="277" t="s">
        <v>50</v>
      </c>
      <c r="T34" s="277">
        <v>45624</v>
      </c>
      <c r="U34" s="277" t="s">
        <v>242</v>
      </c>
      <c r="V34" s="274"/>
      <c r="W34" s="274"/>
      <c r="X34" s="253" t="s">
        <v>243</v>
      </c>
      <c r="Y34" s="253" t="s">
        <v>223</v>
      </c>
      <c r="Z34" s="281">
        <v>3.4297</v>
      </c>
      <c r="AA34" s="282">
        <f t="shared" si="11"/>
        <v>1296.4266</v>
      </c>
      <c r="AB34" s="251" t="s">
        <v>244</v>
      </c>
      <c r="AC34" s="286" t="s">
        <v>71</v>
      </c>
      <c r="AD34" s="251" t="s">
        <v>56</v>
      </c>
      <c r="AE34" s="251">
        <f t="shared" si="9"/>
        <v>378</v>
      </c>
      <c r="AF34" s="251">
        <f t="shared" si="10"/>
        <v>0</v>
      </c>
      <c r="AG34" s="266"/>
      <c r="AH34" s="266"/>
      <c r="AI34" s="253" t="s">
        <v>72</v>
      </c>
      <c r="AJ34" s="251">
        <v>2</v>
      </c>
      <c r="AK34" s="253" t="s">
        <v>73</v>
      </c>
      <c r="AL34" s="251">
        <v>0</v>
      </c>
      <c r="AM34" s="251"/>
      <c r="AN34" s="251">
        <f t="shared" si="3"/>
        <v>378</v>
      </c>
      <c r="AO34" s="290">
        <f t="shared" si="4"/>
        <v>0</v>
      </c>
      <c r="AP34" s="290">
        <f t="shared" si="5"/>
        <v>378</v>
      </c>
      <c r="AQ34" s="290">
        <f t="shared" si="6"/>
        <v>378</v>
      </c>
      <c r="AR34" s="293"/>
      <c r="AS34" s="266"/>
    </row>
    <row r="35" s="215" customFormat="1" ht="39" customHeight="1" spans="1:45">
      <c r="A35" s="248">
        <v>45610</v>
      </c>
      <c r="B35" s="249" t="s">
        <v>245</v>
      </c>
      <c r="C35" s="266" t="s">
        <v>214</v>
      </c>
      <c r="D35" s="251">
        <v>4500151302</v>
      </c>
      <c r="E35" s="252" t="s">
        <v>246</v>
      </c>
      <c r="F35" s="251" t="s">
        <v>247</v>
      </c>
      <c r="G35" s="253" t="s">
        <v>62</v>
      </c>
      <c r="H35" s="253" t="s">
        <v>63</v>
      </c>
      <c r="I35" s="251">
        <v>504</v>
      </c>
      <c r="J35" s="251">
        <v>0</v>
      </c>
      <c r="K35" s="251">
        <v>6</v>
      </c>
      <c r="L35" s="251">
        <f t="shared" si="8"/>
        <v>84</v>
      </c>
      <c r="M35" s="274">
        <v>45667</v>
      </c>
      <c r="N35" s="274">
        <v>45663</v>
      </c>
      <c r="O35" s="274"/>
      <c r="P35" s="274" t="s">
        <v>49</v>
      </c>
      <c r="Q35" s="274"/>
      <c r="R35" s="274"/>
      <c r="S35" s="277">
        <v>45635</v>
      </c>
      <c r="T35" s="277" t="s">
        <v>248</v>
      </c>
      <c r="U35" s="277" t="s">
        <v>249</v>
      </c>
      <c r="V35" s="274" t="s">
        <v>250</v>
      </c>
      <c r="W35" s="274"/>
      <c r="X35" s="278" t="s">
        <v>251</v>
      </c>
      <c r="Y35" s="253" t="s">
        <v>252</v>
      </c>
      <c r="Z35" s="281">
        <v>3.612</v>
      </c>
      <c r="AA35" s="282">
        <f t="shared" si="11"/>
        <v>1820.448</v>
      </c>
      <c r="AB35" s="251" t="s">
        <v>253</v>
      </c>
      <c r="AC35" s="286" t="s">
        <v>71</v>
      </c>
      <c r="AD35" s="251" t="s">
        <v>56</v>
      </c>
      <c r="AE35" s="251">
        <f t="shared" si="9"/>
        <v>504</v>
      </c>
      <c r="AF35" s="251">
        <f t="shared" si="10"/>
        <v>0</v>
      </c>
      <c r="AG35" s="266"/>
      <c r="AH35" s="266"/>
      <c r="AI35" s="253" t="s">
        <v>72</v>
      </c>
      <c r="AJ35" s="251">
        <v>2</v>
      </c>
      <c r="AK35" s="253" t="s">
        <v>73</v>
      </c>
      <c r="AL35" s="251">
        <v>0</v>
      </c>
      <c r="AM35" s="251"/>
      <c r="AN35" s="251">
        <f t="shared" si="3"/>
        <v>504</v>
      </c>
      <c r="AO35" s="290">
        <f t="shared" si="4"/>
        <v>0</v>
      </c>
      <c r="AP35" s="290">
        <f t="shared" si="5"/>
        <v>504</v>
      </c>
      <c r="AQ35" s="290">
        <f t="shared" si="6"/>
        <v>504</v>
      </c>
      <c r="AR35" s="293"/>
      <c r="AS35" s="266"/>
    </row>
    <row r="36" s="215" customFormat="1" ht="39" customHeight="1" spans="1:45">
      <c r="A36" s="248">
        <v>45610</v>
      </c>
      <c r="B36" s="249" t="s">
        <v>245</v>
      </c>
      <c r="C36" s="266" t="s">
        <v>214</v>
      </c>
      <c r="D36" s="251">
        <v>4500151302</v>
      </c>
      <c r="E36" s="252" t="s">
        <v>254</v>
      </c>
      <c r="F36" s="251" t="s">
        <v>255</v>
      </c>
      <c r="G36" s="253" t="s">
        <v>62</v>
      </c>
      <c r="H36" s="253" t="s">
        <v>63</v>
      </c>
      <c r="I36" s="251">
        <v>504</v>
      </c>
      <c r="J36" s="251">
        <v>0</v>
      </c>
      <c r="K36" s="251">
        <v>6</v>
      </c>
      <c r="L36" s="251">
        <f t="shared" si="8"/>
        <v>84</v>
      </c>
      <c r="M36" s="274">
        <v>45667</v>
      </c>
      <c r="N36" s="274">
        <v>45663</v>
      </c>
      <c r="O36" s="274"/>
      <c r="P36" s="274" t="s">
        <v>49</v>
      </c>
      <c r="Q36" s="274"/>
      <c r="R36" s="274"/>
      <c r="S36" s="277">
        <v>45635</v>
      </c>
      <c r="T36" s="277" t="s">
        <v>248</v>
      </c>
      <c r="U36" s="277" t="s">
        <v>249</v>
      </c>
      <c r="V36" s="274" t="s">
        <v>250</v>
      </c>
      <c r="W36" s="274"/>
      <c r="X36" s="278" t="s">
        <v>251</v>
      </c>
      <c r="Y36" s="253" t="s">
        <v>252</v>
      </c>
      <c r="Z36" s="281">
        <v>3.612</v>
      </c>
      <c r="AA36" s="282">
        <f t="shared" si="11"/>
        <v>1820.448</v>
      </c>
      <c r="AB36" s="251" t="s">
        <v>253</v>
      </c>
      <c r="AC36" s="286" t="s">
        <v>71</v>
      </c>
      <c r="AD36" s="251" t="s">
        <v>56</v>
      </c>
      <c r="AE36" s="251">
        <f t="shared" si="9"/>
        <v>504</v>
      </c>
      <c r="AF36" s="251">
        <f t="shared" si="10"/>
        <v>0</v>
      </c>
      <c r="AG36" s="266"/>
      <c r="AH36" s="266"/>
      <c r="AI36" s="253" t="s">
        <v>72</v>
      </c>
      <c r="AJ36" s="251">
        <v>2</v>
      </c>
      <c r="AK36" s="253" t="s">
        <v>73</v>
      </c>
      <c r="AL36" s="251">
        <v>0</v>
      </c>
      <c r="AM36" s="251"/>
      <c r="AN36" s="251">
        <f t="shared" si="3"/>
        <v>504</v>
      </c>
      <c r="AO36" s="290">
        <f t="shared" si="4"/>
        <v>0</v>
      </c>
      <c r="AP36" s="290">
        <f t="shared" si="5"/>
        <v>504</v>
      </c>
      <c r="AQ36" s="290">
        <f t="shared" si="6"/>
        <v>504</v>
      </c>
      <c r="AR36" s="293"/>
      <c r="AS36" s="266"/>
    </row>
    <row r="37" s="215" customFormat="1" ht="39" hidden="1" customHeight="1" spans="1:45">
      <c r="A37" s="248">
        <v>45607</v>
      </c>
      <c r="B37" s="249" t="s">
        <v>256</v>
      </c>
      <c r="C37" s="266" t="s">
        <v>119</v>
      </c>
      <c r="D37" s="251">
        <v>4500149708</v>
      </c>
      <c r="E37" s="252">
        <v>5200005612</v>
      </c>
      <c r="F37" s="251" t="s">
        <v>257</v>
      </c>
      <c r="G37" s="253" t="s">
        <v>258</v>
      </c>
      <c r="H37" s="253" t="s">
        <v>63</v>
      </c>
      <c r="I37" s="251">
        <v>2904</v>
      </c>
      <c r="J37" s="251">
        <v>0</v>
      </c>
      <c r="K37" s="251">
        <v>6</v>
      </c>
      <c r="L37" s="251">
        <f t="shared" si="8"/>
        <v>484</v>
      </c>
      <c r="M37" s="274">
        <v>45670</v>
      </c>
      <c r="N37" s="274">
        <v>45666</v>
      </c>
      <c r="O37" s="274"/>
      <c r="P37" s="274" t="s">
        <v>49</v>
      </c>
      <c r="Q37" s="274"/>
      <c r="R37" s="274"/>
      <c r="S37" s="277" t="s">
        <v>50</v>
      </c>
      <c r="T37" s="277">
        <v>45632</v>
      </c>
      <c r="U37" s="277" t="s">
        <v>50</v>
      </c>
      <c r="V37" s="274"/>
      <c r="W37" s="274"/>
      <c r="X37" s="278" t="s">
        <v>259</v>
      </c>
      <c r="Y37" s="253" t="s">
        <v>69</v>
      </c>
      <c r="Z37" s="281">
        <v>3.612</v>
      </c>
      <c r="AA37" s="282">
        <f t="shared" si="11"/>
        <v>10489.248</v>
      </c>
      <c r="AB37" s="251" t="s">
        <v>260</v>
      </c>
      <c r="AC37" s="269" t="s">
        <v>71</v>
      </c>
      <c r="AD37" s="251" t="s">
        <v>56</v>
      </c>
      <c r="AE37" s="251">
        <f t="shared" si="9"/>
        <v>2904</v>
      </c>
      <c r="AF37" s="251">
        <f t="shared" si="10"/>
        <v>0</v>
      </c>
      <c r="AG37" s="266"/>
      <c r="AH37" s="266"/>
      <c r="AI37" s="253" t="s">
        <v>72</v>
      </c>
      <c r="AJ37" s="251">
        <v>2</v>
      </c>
      <c r="AK37" s="253" t="s">
        <v>73</v>
      </c>
      <c r="AL37" s="251">
        <v>0</v>
      </c>
      <c r="AM37" s="251"/>
      <c r="AN37" s="251">
        <f t="shared" si="3"/>
        <v>2904</v>
      </c>
      <c r="AO37" s="290">
        <f t="shared" si="4"/>
        <v>0</v>
      </c>
      <c r="AP37" s="290">
        <f t="shared" si="5"/>
        <v>2904</v>
      </c>
      <c r="AQ37" s="290">
        <f t="shared" si="6"/>
        <v>2904</v>
      </c>
      <c r="AR37" s="293"/>
      <c r="AS37" s="266"/>
    </row>
    <row r="38" s="215" customFormat="1" ht="39" customHeight="1" spans="1:45">
      <c r="A38" s="258">
        <v>45622</v>
      </c>
      <c r="B38" s="249" t="s">
        <v>74</v>
      </c>
      <c r="C38" s="259" t="s">
        <v>44</v>
      </c>
      <c r="D38" s="260">
        <v>4500152525</v>
      </c>
      <c r="E38" s="267" t="s">
        <v>261</v>
      </c>
      <c r="F38" s="260" t="s">
        <v>262</v>
      </c>
      <c r="G38" s="253" t="s">
        <v>62</v>
      </c>
      <c r="H38" s="253" t="s">
        <v>63</v>
      </c>
      <c r="I38" s="251">
        <v>2688</v>
      </c>
      <c r="J38" s="251">
        <v>0</v>
      </c>
      <c r="K38" s="251">
        <v>6</v>
      </c>
      <c r="L38" s="251">
        <f t="shared" si="8"/>
        <v>448</v>
      </c>
      <c r="M38" s="274">
        <v>45660</v>
      </c>
      <c r="N38" s="274">
        <v>45656</v>
      </c>
      <c r="O38" s="274"/>
      <c r="P38" s="274" t="s">
        <v>49</v>
      </c>
      <c r="Q38" s="274" t="s">
        <v>263</v>
      </c>
      <c r="R38" s="274"/>
      <c r="S38" s="277">
        <v>45631</v>
      </c>
      <c r="T38" s="277">
        <v>45622</v>
      </c>
      <c r="U38" s="277" t="s">
        <v>50</v>
      </c>
      <c r="V38" s="274" t="s">
        <v>190</v>
      </c>
      <c r="W38" s="274"/>
      <c r="X38" s="253" t="s">
        <v>191</v>
      </c>
      <c r="Y38" s="253" t="s">
        <v>116</v>
      </c>
      <c r="Z38" s="281">
        <v>3.4032</v>
      </c>
      <c r="AA38" s="282">
        <f t="shared" si="11"/>
        <v>9147.8016</v>
      </c>
      <c r="AB38" s="251" t="s">
        <v>264</v>
      </c>
      <c r="AC38" s="252" t="s">
        <v>62</v>
      </c>
      <c r="AD38" s="251" t="s">
        <v>56</v>
      </c>
      <c r="AE38" s="251">
        <f t="shared" si="9"/>
        <v>2688</v>
      </c>
      <c r="AF38" s="251">
        <f t="shared" si="10"/>
        <v>0</v>
      </c>
      <c r="AG38" s="266"/>
      <c r="AH38" s="266"/>
      <c r="AI38" s="253" t="s">
        <v>57</v>
      </c>
      <c r="AJ38" s="251">
        <v>0</v>
      </c>
      <c r="AK38" s="253" t="s">
        <v>73</v>
      </c>
      <c r="AL38" s="251">
        <v>0</v>
      </c>
      <c r="AM38" s="251"/>
      <c r="AN38" s="251">
        <f t="shared" si="3"/>
        <v>2688</v>
      </c>
      <c r="AO38" s="290">
        <f t="shared" si="4"/>
        <v>2688</v>
      </c>
      <c r="AP38" s="290" t="b">
        <f t="shared" si="5"/>
        <v>0</v>
      </c>
      <c r="AQ38" s="290">
        <f t="shared" si="6"/>
        <v>2688</v>
      </c>
      <c r="AR38" s="293"/>
      <c r="AS38" s="266"/>
    </row>
    <row r="39" s="215" customFormat="1" ht="39" hidden="1" customHeight="1" spans="1:45">
      <c r="A39" s="254">
        <v>45638</v>
      </c>
      <c r="B39" s="249" t="s">
        <v>82</v>
      </c>
      <c r="C39" s="265" t="s">
        <v>44</v>
      </c>
      <c r="D39" s="256">
        <v>4500153786</v>
      </c>
      <c r="E39" s="257">
        <v>4551343317</v>
      </c>
      <c r="F39" s="256" t="s">
        <v>265</v>
      </c>
      <c r="G39" s="253" t="s">
        <v>84</v>
      </c>
      <c r="H39" s="253" t="s">
        <v>63</v>
      </c>
      <c r="I39" s="251">
        <v>2640</v>
      </c>
      <c r="J39" s="251">
        <v>0</v>
      </c>
      <c r="K39" s="251">
        <v>3</v>
      </c>
      <c r="L39" s="272">
        <f t="shared" si="8"/>
        <v>880</v>
      </c>
      <c r="M39" s="274">
        <v>45670</v>
      </c>
      <c r="N39" s="274">
        <v>45666</v>
      </c>
      <c r="O39" s="274"/>
      <c r="P39" s="274" t="s">
        <v>49</v>
      </c>
      <c r="Q39" s="274" t="s">
        <v>266</v>
      </c>
      <c r="R39" s="274"/>
      <c r="S39" s="277" t="s">
        <v>50</v>
      </c>
      <c r="T39" s="277">
        <v>45600</v>
      </c>
      <c r="U39" s="277">
        <v>45603</v>
      </c>
      <c r="V39" s="274"/>
      <c r="W39" s="274" t="s">
        <v>85</v>
      </c>
      <c r="X39" s="278" t="s">
        <v>86</v>
      </c>
      <c r="Y39" s="253" t="s">
        <v>87</v>
      </c>
      <c r="Z39" s="281">
        <v>4.0717</v>
      </c>
      <c r="AA39" s="282">
        <f t="shared" si="11"/>
        <v>10749.288</v>
      </c>
      <c r="AB39" s="251" t="s">
        <v>90</v>
      </c>
      <c r="AC39" s="252" t="s">
        <v>84</v>
      </c>
      <c r="AD39" s="251" t="s">
        <v>56</v>
      </c>
      <c r="AE39" s="251">
        <f t="shared" ref="AE39:AE90" si="12">I39</f>
        <v>2640</v>
      </c>
      <c r="AF39" s="251">
        <f t="shared" ref="AF39:AF48" si="13">AE39-I39</f>
        <v>0</v>
      </c>
      <c r="AG39" s="266"/>
      <c r="AH39" s="266"/>
      <c r="AI39" s="253" t="s">
        <v>57</v>
      </c>
      <c r="AJ39" s="251">
        <v>0</v>
      </c>
      <c r="AK39" s="253" t="s">
        <v>73</v>
      </c>
      <c r="AL39" s="251">
        <v>0</v>
      </c>
      <c r="AM39" s="251"/>
      <c r="AN39" s="251">
        <f t="shared" si="3"/>
        <v>2640</v>
      </c>
      <c r="AO39" s="290">
        <f t="shared" si="4"/>
        <v>2640</v>
      </c>
      <c r="AP39" s="290" t="b">
        <f t="shared" si="5"/>
        <v>0</v>
      </c>
      <c r="AQ39" s="290">
        <f t="shared" si="6"/>
        <v>2640</v>
      </c>
      <c r="AR39" s="293"/>
      <c r="AS39" s="266"/>
    </row>
    <row r="40" s="215" customFormat="1" ht="39" hidden="1" customHeight="1" spans="1:45">
      <c r="A40" s="254">
        <v>45638</v>
      </c>
      <c r="B40" s="249" t="s">
        <v>82</v>
      </c>
      <c r="C40" s="265" t="s">
        <v>44</v>
      </c>
      <c r="D40" s="256">
        <v>4500153786</v>
      </c>
      <c r="E40" s="257">
        <v>4551343114</v>
      </c>
      <c r="F40" s="479" t="s">
        <v>267</v>
      </c>
      <c r="G40" s="253" t="s">
        <v>84</v>
      </c>
      <c r="H40" s="253" t="s">
        <v>63</v>
      </c>
      <c r="I40" s="251">
        <v>1890</v>
      </c>
      <c r="J40" s="251">
        <v>0</v>
      </c>
      <c r="K40" s="251">
        <v>3</v>
      </c>
      <c r="L40" s="272">
        <f t="shared" si="8"/>
        <v>630</v>
      </c>
      <c r="M40" s="274">
        <v>45670</v>
      </c>
      <c r="N40" s="274">
        <v>45666</v>
      </c>
      <c r="O40" s="274"/>
      <c r="P40" s="274" t="s">
        <v>49</v>
      </c>
      <c r="Q40" s="274" t="s">
        <v>266</v>
      </c>
      <c r="R40" s="274"/>
      <c r="S40" s="277" t="s">
        <v>50</v>
      </c>
      <c r="T40" s="277">
        <v>45600</v>
      </c>
      <c r="U40" s="277">
        <v>45603</v>
      </c>
      <c r="V40" s="274"/>
      <c r="W40" s="274" t="s">
        <v>85</v>
      </c>
      <c r="X40" s="278" t="s">
        <v>86</v>
      </c>
      <c r="Y40" s="253" t="s">
        <v>87</v>
      </c>
      <c r="Z40" s="281">
        <v>4.0717</v>
      </c>
      <c r="AA40" s="282">
        <f t="shared" si="11"/>
        <v>7695.513</v>
      </c>
      <c r="AB40" s="251" t="s">
        <v>88</v>
      </c>
      <c r="AC40" s="252" t="s">
        <v>84</v>
      </c>
      <c r="AD40" s="251" t="s">
        <v>56</v>
      </c>
      <c r="AE40" s="251">
        <f t="shared" si="12"/>
        <v>1890</v>
      </c>
      <c r="AF40" s="251">
        <f t="shared" si="13"/>
        <v>0</v>
      </c>
      <c r="AG40" s="266"/>
      <c r="AH40" s="266"/>
      <c r="AI40" s="253" t="s">
        <v>57</v>
      </c>
      <c r="AJ40" s="251">
        <v>0</v>
      </c>
      <c r="AK40" s="253" t="s">
        <v>73</v>
      </c>
      <c r="AL40" s="251">
        <v>0</v>
      </c>
      <c r="AM40" s="251"/>
      <c r="AN40" s="251">
        <f t="shared" si="3"/>
        <v>1890</v>
      </c>
      <c r="AO40" s="290">
        <f t="shared" si="4"/>
        <v>1890</v>
      </c>
      <c r="AP40" s="290" t="b">
        <f t="shared" si="5"/>
        <v>0</v>
      </c>
      <c r="AQ40" s="290">
        <f t="shared" si="6"/>
        <v>1890</v>
      </c>
      <c r="AR40" s="293"/>
      <c r="AS40" s="266"/>
    </row>
    <row r="41" s="215" customFormat="1" ht="39" hidden="1" customHeight="1" spans="1:45">
      <c r="A41" s="254">
        <v>45638</v>
      </c>
      <c r="B41" s="249" t="s">
        <v>82</v>
      </c>
      <c r="C41" s="265" t="s">
        <v>44</v>
      </c>
      <c r="D41" s="256">
        <v>4500153786</v>
      </c>
      <c r="E41" s="257">
        <v>4551343009</v>
      </c>
      <c r="F41" s="256" t="s">
        <v>268</v>
      </c>
      <c r="G41" s="253" t="s">
        <v>84</v>
      </c>
      <c r="H41" s="253" t="s">
        <v>63</v>
      </c>
      <c r="I41" s="251">
        <v>1698</v>
      </c>
      <c r="J41" s="251">
        <v>0</v>
      </c>
      <c r="K41" s="251">
        <v>3</v>
      </c>
      <c r="L41" s="272">
        <f t="shared" si="8"/>
        <v>566</v>
      </c>
      <c r="M41" s="274">
        <v>45670</v>
      </c>
      <c r="N41" s="274">
        <v>45666</v>
      </c>
      <c r="O41" s="274"/>
      <c r="P41" s="274" t="s">
        <v>49</v>
      </c>
      <c r="Q41" s="274" t="s">
        <v>266</v>
      </c>
      <c r="R41" s="274"/>
      <c r="S41" s="277" t="s">
        <v>50</v>
      </c>
      <c r="T41" s="277">
        <v>45600</v>
      </c>
      <c r="U41" s="277">
        <v>45603</v>
      </c>
      <c r="V41" s="274"/>
      <c r="W41" s="274" t="s">
        <v>85</v>
      </c>
      <c r="X41" s="278" t="s">
        <v>86</v>
      </c>
      <c r="Y41" s="253" t="s">
        <v>87</v>
      </c>
      <c r="Z41" s="281">
        <v>4.0717</v>
      </c>
      <c r="AA41" s="282">
        <f t="shared" si="11"/>
        <v>6913.7466</v>
      </c>
      <c r="AB41" s="251" t="s">
        <v>88</v>
      </c>
      <c r="AC41" s="252" t="s">
        <v>84</v>
      </c>
      <c r="AD41" s="251" t="s">
        <v>56</v>
      </c>
      <c r="AE41" s="251">
        <f t="shared" si="12"/>
        <v>1698</v>
      </c>
      <c r="AF41" s="251">
        <f t="shared" si="13"/>
        <v>0</v>
      </c>
      <c r="AG41" s="266"/>
      <c r="AH41" s="266"/>
      <c r="AI41" s="253" t="s">
        <v>57</v>
      </c>
      <c r="AJ41" s="251">
        <v>0</v>
      </c>
      <c r="AK41" s="253" t="s">
        <v>73</v>
      </c>
      <c r="AL41" s="251">
        <v>0</v>
      </c>
      <c r="AM41" s="251"/>
      <c r="AN41" s="251">
        <f t="shared" si="3"/>
        <v>1698</v>
      </c>
      <c r="AO41" s="290">
        <f t="shared" si="4"/>
        <v>1698</v>
      </c>
      <c r="AP41" s="290" t="b">
        <f t="shared" si="5"/>
        <v>0</v>
      </c>
      <c r="AQ41" s="290">
        <f t="shared" si="6"/>
        <v>1698</v>
      </c>
      <c r="AR41" s="293"/>
      <c r="AS41" s="266"/>
    </row>
    <row r="42" s="215" customFormat="1" ht="39" hidden="1" customHeight="1" spans="1:45">
      <c r="A42" s="254">
        <v>45638</v>
      </c>
      <c r="B42" s="249" t="s">
        <v>82</v>
      </c>
      <c r="C42" s="265" t="s">
        <v>44</v>
      </c>
      <c r="D42" s="256">
        <v>4500153786</v>
      </c>
      <c r="E42" s="257">
        <v>4551343249</v>
      </c>
      <c r="F42" s="256" t="s">
        <v>269</v>
      </c>
      <c r="G42" s="253" t="s">
        <v>84</v>
      </c>
      <c r="H42" s="253" t="s">
        <v>63</v>
      </c>
      <c r="I42" s="251">
        <v>2919</v>
      </c>
      <c r="J42" s="251">
        <v>0</v>
      </c>
      <c r="K42" s="251">
        <v>3</v>
      </c>
      <c r="L42" s="272">
        <f t="shared" si="8"/>
        <v>973</v>
      </c>
      <c r="M42" s="274">
        <v>45670</v>
      </c>
      <c r="N42" s="274">
        <v>45666</v>
      </c>
      <c r="O42" s="274"/>
      <c r="P42" s="274" t="s">
        <v>49</v>
      </c>
      <c r="Q42" s="274" t="s">
        <v>266</v>
      </c>
      <c r="R42" s="274"/>
      <c r="S42" s="277" t="s">
        <v>50</v>
      </c>
      <c r="T42" s="277">
        <v>45600</v>
      </c>
      <c r="U42" s="277">
        <v>45603</v>
      </c>
      <c r="V42" s="274"/>
      <c r="W42" s="274" t="s">
        <v>85</v>
      </c>
      <c r="X42" s="278" t="s">
        <v>86</v>
      </c>
      <c r="Y42" s="253" t="s">
        <v>87</v>
      </c>
      <c r="Z42" s="281">
        <v>4.0717</v>
      </c>
      <c r="AA42" s="282">
        <f t="shared" ref="AA39:AA53" si="14">I42*Z42</f>
        <v>11885.2923</v>
      </c>
      <c r="AB42" s="251" t="s">
        <v>88</v>
      </c>
      <c r="AC42" s="252" t="s">
        <v>84</v>
      </c>
      <c r="AD42" s="251" t="s">
        <v>56</v>
      </c>
      <c r="AE42" s="251">
        <f t="shared" si="12"/>
        <v>2919</v>
      </c>
      <c r="AF42" s="251">
        <f t="shared" si="13"/>
        <v>0</v>
      </c>
      <c r="AG42" s="266"/>
      <c r="AH42" s="266"/>
      <c r="AI42" s="253" t="s">
        <v>57</v>
      </c>
      <c r="AJ42" s="251">
        <v>0</v>
      </c>
      <c r="AK42" s="253" t="s">
        <v>73</v>
      </c>
      <c r="AL42" s="251">
        <v>0</v>
      </c>
      <c r="AM42" s="251"/>
      <c r="AN42" s="251">
        <f t="shared" si="3"/>
        <v>2919</v>
      </c>
      <c r="AO42" s="290">
        <f t="shared" si="4"/>
        <v>2919</v>
      </c>
      <c r="AP42" s="290" t="b">
        <f t="shared" si="5"/>
        <v>0</v>
      </c>
      <c r="AQ42" s="290">
        <f t="shared" si="6"/>
        <v>2919</v>
      </c>
      <c r="AR42" s="293"/>
      <c r="AS42" s="266"/>
    </row>
    <row r="43" s="215" customFormat="1" ht="39" hidden="1" customHeight="1" spans="1:45">
      <c r="A43" s="254">
        <v>45638</v>
      </c>
      <c r="B43" s="249" t="s">
        <v>82</v>
      </c>
      <c r="C43" s="265" t="s">
        <v>44</v>
      </c>
      <c r="D43" s="256">
        <v>4500153786</v>
      </c>
      <c r="E43" s="257">
        <v>4551343197</v>
      </c>
      <c r="F43" s="256" t="s">
        <v>270</v>
      </c>
      <c r="G43" s="253" t="s">
        <v>84</v>
      </c>
      <c r="H43" s="253" t="s">
        <v>63</v>
      </c>
      <c r="I43" s="251">
        <v>462</v>
      </c>
      <c r="J43" s="251">
        <v>0</v>
      </c>
      <c r="K43" s="251">
        <v>3</v>
      </c>
      <c r="L43" s="272">
        <f t="shared" si="8"/>
        <v>154</v>
      </c>
      <c r="M43" s="274">
        <v>45670</v>
      </c>
      <c r="N43" s="274">
        <v>45666</v>
      </c>
      <c r="O43" s="274"/>
      <c r="P43" s="274" t="s">
        <v>49</v>
      </c>
      <c r="Q43" s="274" t="s">
        <v>266</v>
      </c>
      <c r="R43" s="274"/>
      <c r="S43" s="277" t="s">
        <v>50</v>
      </c>
      <c r="T43" s="277">
        <v>45600</v>
      </c>
      <c r="U43" s="277">
        <v>45603</v>
      </c>
      <c r="V43" s="274"/>
      <c r="W43" s="274" t="s">
        <v>85</v>
      </c>
      <c r="X43" s="278" t="s">
        <v>86</v>
      </c>
      <c r="Y43" s="253" t="s">
        <v>87</v>
      </c>
      <c r="Z43" s="281">
        <v>4.0982</v>
      </c>
      <c r="AA43" s="282">
        <f t="shared" si="14"/>
        <v>1893.3684</v>
      </c>
      <c r="AB43" s="251" t="s">
        <v>88</v>
      </c>
      <c r="AC43" s="252" t="s">
        <v>84</v>
      </c>
      <c r="AD43" s="251" t="s">
        <v>56</v>
      </c>
      <c r="AE43" s="251">
        <f t="shared" si="12"/>
        <v>462</v>
      </c>
      <c r="AF43" s="251">
        <f t="shared" si="13"/>
        <v>0</v>
      </c>
      <c r="AG43" s="266"/>
      <c r="AH43" s="266"/>
      <c r="AI43" s="253" t="s">
        <v>57</v>
      </c>
      <c r="AJ43" s="251">
        <v>0</v>
      </c>
      <c r="AK43" s="253" t="s">
        <v>73</v>
      </c>
      <c r="AL43" s="251">
        <v>0</v>
      </c>
      <c r="AM43" s="251"/>
      <c r="AN43" s="251">
        <f t="shared" si="3"/>
        <v>462</v>
      </c>
      <c r="AO43" s="290">
        <f t="shared" si="4"/>
        <v>462</v>
      </c>
      <c r="AP43" s="290" t="b">
        <f t="shared" si="5"/>
        <v>0</v>
      </c>
      <c r="AQ43" s="290">
        <f t="shared" si="6"/>
        <v>462</v>
      </c>
      <c r="AR43" s="293"/>
      <c r="AS43" s="266"/>
    </row>
    <row r="44" s="215" customFormat="1" ht="39" hidden="1" customHeight="1" spans="1:45">
      <c r="A44" s="254">
        <v>45638</v>
      </c>
      <c r="B44" s="249" t="s">
        <v>82</v>
      </c>
      <c r="C44" s="265" t="s">
        <v>44</v>
      </c>
      <c r="D44" s="256">
        <v>4500153786</v>
      </c>
      <c r="E44" s="257">
        <v>4551343701</v>
      </c>
      <c r="F44" s="256" t="s">
        <v>271</v>
      </c>
      <c r="G44" s="253" t="s">
        <v>84</v>
      </c>
      <c r="H44" s="253" t="s">
        <v>63</v>
      </c>
      <c r="I44" s="251">
        <v>2154</v>
      </c>
      <c r="J44" s="251">
        <v>0</v>
      </c>
      <c r="K44" s="251">
        <v>3</v>
      </c>
      <c r="L44" s="272">
        <f t="shared" si="8"/>
        <v>718</v>
      </c>
      <c r="M44" s="274">
        <v>45670</v>
      </c>
      <c r="N44" s="274">
        <v>45666</v>
      </c>
      <c r="O44" s="274"/>
      <c r="P44" s="274" t="s">
        <v>49</v>
      </c>
      <c r="Q44" s="274" t="s">
        <v>266</v>
      </c>
      <c r="R44" s="274"/>
      <c r="S44" s="277" t="s">
        <v>50</v>
      </c>
      <c r="T44" s="277">
        <v>45600</v>
      </c>
      <c r="U44" s="277">
        <v>45603</v>
      </c>
      <c r="V44" s="274"/>
      <c r="W44" s="274" t="s">
        <v>85</v>
      </c>
      <c r="X44" s="278" t="s">
        <v>86</v>
      </c>
      <c r="Y44" s="253" t="s">
        <v>87</v>
      </c>
      <c r="Z44" s="281">
        <v>4.0717</v>
      </c>
      <c r="AA44" s="282">
        <f t="shared" si="14"/>
        <v>8770.4418</v>
      </c>
      <c r="AB44" s="251" t="s">
        <v>88</v>
      </c>
      <c r="AC44" s="252" t="s">
        <v>84</v>
      </c>
      <c r="AD44" s="251" t="s">
        <v>56</v>
      </c>
      <c r="AE44" s="251">
        <f t="shared" si="12"/>
        <v>2154</v>
      </c>
      <c r="AF44" s="251">
        <f t="shared" si="13"/>
        <v>0</v>
      </c>
      <c r="AG44" s="266"/>
      <c r="AH44" s="266"/>
      <c r="AI44" s="253" t="s">
        <v>57</v>
      </c>
      <c r="AJ44" s="251">
        <v>0</v>
      </c>
      <c r="AK44" s="253" t="s">
        <v>73</v>
      </c>
      <c r="AL44" s="251">
        <v>0</v>
      </c>
      <c r="AM44" s="251"/>
      <c r="AN44" s="251">
        <f t="shared" si="3"/>
        <v>2154</v>
      </c>
      <c r="AO44" s="290">
        <f t="shared" si="4"/>
        <v>2154</v>
      </c>
      <c r="AP44" s="290" t="b">
        <f t="shared" si="5"/>
        <v>0</v>
      </c>
      <c r="AQ44" s="290">
        <f t="shared" si="6"/>
        <v>2154</v>
      </c>
      <c r="AR44" s="293"/>
      <c r="AS44" s="266"/>
    </row>
    <row r="45" s="215" customFormat="1" ht="39" hidden="1" customHeight="1" spans="1:45">
      <c r="A45" s="254">
        <v>45638</v>
      </c>
      <c r="B45" s="249" t="s">
        <v>82</v>
      </c>
      <c r="C45" s="265" t="s">
        <v>44</v>
      </c>
      <c r="D45" s="256">
        <v>4500153786</v>
      </c>
      <c r="E45" s="257">
        <v>4551343541</v>
      </c>
      <c r="F45" s="256" t="s">
        <v>272</v>
      </c>
      <c r="G45" s="253" t="s">
        <v>84</v>
      </c>
      <c r="H45" s="253" t="s">
        <v>63</v>
      </c>
      <c r="I45" s="251">
        <v>1638</v>
      </c>
      <c r="J45" s="251">
        <v>0</v>
      </c>
      <c r="K45" s="251">
        <v>3</v>
      </c>
      <c r="L45" s="272">
        <f t="shared" si="8"/>
        <v>546</v>
      </c>
      <c r="M45" s="274">
        <v>45670</v>
      </c>
      <c r="N45" s="274">
        <v>45666</v>
      </c>
      <c r="O45" s="274"/>
      <c r="P45" s="274" t="s">
        <v>49</v>
      </c>
      <c r="Q45" s="274" t="s">
        <v>266</v>
      </c>
      <c r="R45" s="274"/>
      <c r="S45" s="277" t="s">
        <v>50</v>
      </c>
      <c r="T45" s="277">
        <v>45600</v>
      </c>
      <c r="U45" s="277">
        <v>45603</v>
      </c>
      <c r="V45" s="274"/>
      <c r="W45" s="274" t="s">
        <v>85</v>
      </c>
      <c r="X45" s="278" t="s">
        <v>86</v>
      </c>
      <c r="Y45" s="253" t="s">
        <v>87</v>
      </c>
      <c r="Z45" s="281">
        <v>4.0717</v>
      </c>
      <c r="AA45" s="282">
        <f t="shared" si="14"/>
        <v>6669.4446</v>
      </c>
      <c r="AB45" s="251" t="s">
        <v>88</v>
      </c>
      <c r="AC45" s="252" t="s">
        <v>84</v>
      </c>
      <c r="AD45" s="251" t="s">
        <v>56</v>
      </c>
      <c r="AE45" s="251">
        <f t="shared" si="12"/>
        <v>1638</v>
      </c>
      <c r="AF45" s="251">
        <f t="shared" si="13"/>
        <v>0</v>
      </c>
      <c r="AG45" s="266"/>
      <c r="AH45" s="266"/>
      <c r="AI45" s="253" t="s">
        <v>57</v>
      </c>
      <c r="AJ45" s="251">
        <v>0</v>
      </c>
      <c r="AK45" s="253" t="s">
        <v>73</v>
      </c>
      <c r="AL45" s="251">
        <v>0</v>
      </c>
      <c r="AM45" s="251"/>
      <c r="AN45" s="251">
        <f t="shared" si="3"/>
        <v>1638</v>
      </c>
      <c r="AO45" s="290">
        <f t="shared" si="4"/>
        <v>1638</v>
      </c>
      <c r="AP45" s="290" t="b">
        <f t="shared" si="5"/>
        <v>0</v>
      </c>
      <c r="AQ45" s="290">
        <f t="shared" si="6"/>
        <v>1638</v>
      </c>
      <c r="AR45" s="293"/>
      <c r="AS45" s="266"/>
    </row>
    <row r="46" s="215" customFormat="1" ht="39" hidden="1" customHeight="1" spans="1:45">
      <c r="A46" s="254">
        <v>45638</v>
      </c>
      <c r="B46" s="249" t="s">
        <v>82</v>
      </c>
      <c r="C46" s="265" t="s">
        <v>44</v>
      </c>
      <c r="D46" s="256">
        <v>4500153786</v>
      </c>
      <c r="E46" s="257">
        <v>4551343761</v>
      </c>
      <c r="F46" s="256" t="s">
        <v>273</v>
      </c>
      <c r="G46" s="253" t="s">
        <v>84</v>
      </c>
      <c r="H46" s="253" t="s">
        <v>63</v>
      </c>
      <c r="I46" s="251">
        <v>1482</v>
      </c>
      <c r="J46" s="251">
        <v>0</v>
      </c>
      <c r="K46" s="251">
        <v>3</v>
      </c>
      <c r="L46" s="272">
        <f t="shared" si="8"/>
        <v>494</v>
      </c>
      <c r="M46" s="274">
        <v>45670</v>
      </c>
      <c r="N46" s="274">
        <v>45666</v>
      </c>
      <c r="O46" s="274"/>
      <c r="P46" s="274" t="s">
        <v>49</v>
      </c>
      <c r="Q46" s="274" t="s">
        <v>266</v>
      </c>
      <c r="R46" s="274"/>
      <c r="S46" s="277" t="s">
        <v>50</v>
      </c>
      <c r="T46" s="277">
        <v>45600</v>
      </c>
      <c r="U46" s="277">
        <v>45603</v>
      </c>
      <c r="V46" s="274"/>
      <c r="W46" s="274" t="s">
        <v>85</v>
      </c>
      <c r="X46" s="278" t="s">
        <v>86</v>
      </c>
      <c r="Y46" s="253" t="s">
        <v>87</v>
      </c>
      <c r="Z46" s="281">
        <v>4.0717</v>
      </c>
      <c r="AA46" s="282">
        <f t="shared" si="14"/>
        <v>6034.2594</v>
      </c>
      <c r="AB46" s="251" t="s">
        <v>88</v>
      </c>
      <c r="AC46" s="252" t="s">
        <v>84</v>
      </c>
      <c r="AD46" s="251" t="s">
        <v>56</v>
      </c>
      <c r="AE46" s="251">
        <f t="shared" si="12"/>
        <v>1482</v>
      </c>
      <c r="AF46" s="251">
        <f t="shared" si="13"/>
        <v>0</v>
      </c>
      <c r="AG46" s="266"/>
      <c r="AH46" s="266"/>
      <c r="AI46" s="253" t="s">
        <v>57</v>
      </c>
      <c r="AJ46" s="251">
        <v>0</v>
      </c>
      <c r="AK46" s="253" t="s">
        <v>73</v>
      </c>
      <c r="AL46" s="251">
        <v>0</v>
      </c>
      <c r="AM46" s="251"/>
      <c r="AN46" s="251">
        <f t="shared" si="3"/>
        <v>1482</v>
      </c>
      <c r="AO46" s="290">
        <f t="shared" si="4"/>
        <v>1482</v>
      </c>
      <c r="AP46" s="290" t="b">
        <f t="shared" si="5"/>
        <v>0</v>
      </c>
      <c r="AQ46" s="290">
        <f t="shared" si="6"/>
        <v>1482</v>
      </c>
      <c r="AR46" s="293"/>
      <c r="AS46" s="266"/>
    </row>
    <row r="47" s="215" customFormat="1" ht="39" customHeight="1" spans="1:45">
      <c r="A47" s="254">
        <v>45586</v>
      </c>
      <c r="B47" s="249" t="s">
        <v>97</v>
      </c>
      <c r="C47" s="265" t="s">
        <v>44</v>
      </c>
      <c r="D47" s="256">
        <v>4500147799</v>
      </c>
      <c r="E47" s="257" t="s">
        <v>274</v>
      </c>
      <c r="F47" s="256" t="s">
        <v>275</v>
      </c>
      <c r="G47" s="253" t="s">
        <v>62</v>
      </c>
      <c r="H47" s="253" t="s">
        <v>63</v>
      </c>
      <c r="I47" s="251">
        <v>600</v>
      </c>
      <c r="J47" s="251">
        <v>0</v>
      </c>
      <c r="K47" s="251">
        <v>6</v>
      </c>
      <c r="L47" s="251">
        <f t="shared" si="8"/>
        <v>100</v>
      </c>
      <c r="M47" s="274">
        <v>45677</v>
      </c>
      <c r="N47" s="274">
        <v>45673</v>
      </c>
      <c r="O47" s="274"/>
      <c r="P47" s="274" t="s">
        <v>49</v>
      </c>
      <c r="Q47" s="274"/>
      <c r="R47" s="274"/>
      <c r="S47" s="277" t="s">
        <v>50</v>
      </c>
      <c r="T47" s="277">
        <v>45600</v>
      </c>
      <c r="U47" s="277">
        <v>45644</v>
      </c>
      <c r="V47" s="274"/>
      <c r="W47" s="274"/>
      <c r="X47" s="278" t="s">
        <v>100</v>
      </c>
      <c r="Y47" s="253" t="s">
        <v>101</v>
      </c>
      <c r="Z47" s="281">
        <v>3.6255</v>
      </c>
      <c r="AA47" s="282">
        <f t="shared" si="14"/>
        <v>2175.3</v>
      </c>
      <c r="AB47" s="251" t="s">
        <v>276</v>
      </c>
      <c r="AC47" s="252" t="s">
        <v>62</v>
      </c>
      <c r="AD47" s="251" t="s">
        <v>56</v>
      </c>
      <c r="AE47" s="251">
        <f t="shared" si="12"/>
        <v>600</v>
      </c>
      <c r="AF47" s="251">
        <f t="shared" si="13"/>
        <v>0</v>
      </c>
      <c r="AG47" s="266"/>
      <c r="AH47" s="266"/>
      <c r="AI47" s="253" t="s">
        <v>57</v>
      </c>
      <c r="AJ47" s="251">
        <v>0</v>
      </c>
      <c r="AK47" s="253" t="s">
        <v>73</v>
      </c>
      <c r="AL47" s="251">
        <v>0</v>
      </c>
      <c r="AM47" s="251"/>
      <c r="AN47" s="251">
        <f t="shared" si="3"/>
        <v>600</v>
      </c>
      <c r="AO47" s="290">
        <f t="shared" si="4"/>
        <v>600</v>
      </c>
      <c r="AP47" s="290" t="b">
        <f t="shared" si="5"/>
        <v>0</v>
      </c>
      <c r="AQ47" s="290">
        <f t="shared" si="6"/>
        <v>600</v>
      </c>
      <c r="AR47" s="293"/>
      <c r="AS47" s="266"/>
    </row>
    <row r="48" s="215" customFormat="1" ht="39" customHeight="1" spans="1:45">
      <c r="A48" s="254">
        <v>45586</v>
      </c>
      <c r="B48" s="249" t="s">
        <v>97</v>
      </c>
      <c r="C48" s="265" t="s">
        <v>44</v>
      </c>
      <c r="D48" s="256">
        <v>4500147801</v>
      </c>
      <c r="E48" s="257" t="s">
        <v>151</v>
      </c>
      <c r="F48" s="256" t="s">
        <v>277</v>
      </c>
      <c r="G48" s="253" t="s">
        <v>62</v>
      </c>
      <c r="H48" s="253" t="s">
        <v>63</v>
      </c>
      <c r="I48" s="251">
        <v>798</v>
      </c>
      <c r="J48" s="251">
        <v>0</v>
      </c>
      <c r="K48" s="251">
        <v>6</v>
      </c>
      <c r="L48" s="251">
        <f t="shared" si="8"/>
        <v>133</v>
      </c>
      <c r="M48" s="274">
        <v>45677</v>
      </c>
      <c r="N48" s="274">
        <v>45673</v>
      </c>
      <c r="O48" s="274"/>
      <c r="P48" s="274" t="s">
        <v>49</v>
      </c>
      <c r="Q48" s="274"/>
      <c r="R48" s="274"/>
      <c r="S48" s="277" t="s">
        <v>50</v>
      </c>
      <c r="T48" s="277">
        <v>45600</v>
      </c>
      <c r="U48" s="277">
        <v>45644</v>
      </c>
      <c r="V48" s="274"/>
      <c r="W48" s="274"/>
      <c r="X48" s="278" t="s">
        <v>100</v>
      </c>
      <c r="Y48" s="253" t="s">
        <v>101</v>
      </c>
      <c r="Z48" s="281">
        <v>3.6255</v>
      </c>
      <c r="AA48" s="282">
        <f t="shared" si="14"/>
        <v>2893.149</v>
      </c>
      <c r="AB48" s="251" t="s">
        <v>278</v>
      </c>
      <c r="AC48" s="252" t="s">
        <v>62</v>
      </c>
      <c r="AD48" s="251" t="s">
        <v>56</v>
      </c>
      <c r="AE48" s="251">
        <f t="shared" si="12"/>
        <v>798</v>
      </c>
      <c r="AF48" s="251">
        <f t="shared" si="13"/>
        <v>0</v>
      </c>
      <c r="AG48" s="266"/>
      <c r="AH48" s="266"/>
      <c r="AI48" s="253" t="s">
        <v>57</v>
      </c>
      <c r="AJ48" s="251">
        <v>0</v>
      </c>
      <c r="AK48" s="253" t="s">
        <v>73</v>
      </c>
      <c r="AL48" s="251">
        <v>0</v>
      </c>
      <c r="AM48" s="251"/>
      <c r="AN48" s="251">
        <f t="shared" si="3"/>
        <v>798</v>
      </c>
      <c r="AO48" s="290">
        <f t="shared" si="4"/>
        <v>798</v>
      </c>
      <c r="AP48" s="290" t="b">
        <f t="shared" si="5"/>
        <v>0</v>
      </c>
      <c r="AQ48" s="290">
        <f t="shared" si="6"/>
        <v>798</v>
      </c>
      <c r="AR48" s="293"/>
      <c r="AS48" s="266"/>
    </row>
    <row r="49" s="215" customFormat="1" ht="39" customHeight="1" spans="1:45">
      <c r="A49" s="254">
        <v>45636</v>
      </c>
      <c r="B49" s="249" t="s">
        <v>213</v>
      </c>
      <c r="C49" s="265" t="s">
        <v>214</v>
      </c>
      <c r="D49" s="256">
        <v>4500153576</v>
      </c>
      <c r="E49" s="257">
        <v>4400454545</v>
      </c>
      <c r="F49" s="256" t="s">
        <v>279</v>
      </c>
      <c r="G49" s="253" t="s">
        <v>62</v>
      </c>
      <c r="H49" s="253" t="s">
        <v>63</v>
      </c>
      <c r="I49" s="251">
        <v>1500</v>
      </c>
      <c r="J49" s="251">
        <v>0</v>
      </c>
      <c r="K49" s="251">
        <v>6</v>
      </c>
      <c r="L49" s="251">
        <f t="shared" si="8"/>
        <v>250</v>
      </c>
      <c r="M49" s="274">
        <v>45677</v>
      </c>
      <c r="N49" s="274">
        <v>45673</v>
      </c>
      <c r="O49" s="274"/>
      <c r="P49" s="274" t="s">
        <v>49</v>
      </c>
      <c r="Q49" s="274">
        <v>45679</v>
      </c>
      <c r="R49" s="274"/>
      <c r="S49" s="277" t="s">
        <v>50</v>
      </c>
      <c r="T49" s="277">
        <v>45637</v>
      </c>
      <c r="U49" s="277" t="s">
        <v>209</v>
      </c>
      <c r="V49" s="274"/>
      <c r="W49" s="274"/>
      <c r="X49" s="279" t="s">
        <v>280</v>
      </c>
      <c r="Y49" s="253" t="s">
        <v>211</v>
      </c>
      <c r="Z49" s="281">
        <v>3.612</v>
      </c>
      <c r="AA49" s="282">
        <f t="shared" si="14"/>
        <v>5418</v>
      </c>
      <c r="AB49" s="251" t="s">
        <v>281</v>
      </c>
      <c r="AC49" s="286" t="s">
        <v>71</v>
      </c>
      <c r="AD49" s="251" t="s">
        <v>56</v>
      </c>
      <c r="AE49" s="251">
        <f t="shared" si="12"/>
        <v>1500</v>
      </c>
      <c r="AF49" s="251">
        <f t="shared" ref="AF49:AF110" si="15">AE49-I49</f>
        <v>0</v>
      </c>
      <c r="AG49" s="266"/>
      <c r="AH49" s="266"/>
      <c r="AI49" s="253" t="s">
        <v>72</v>
      </c>
      <c r="AJ49" s="251">
        <v>2</v>
      </c>
      <c r="AK49" s="253" t="s">
        <v>73</v>
      </c>
      <c r="AL49" s="251">
        <v>0</v>
      </c>
      <c r="AM49" s="251"/>
      <c r="AN49" s="251">
        <f t="shared" si="3"/>
        <v>1500</v>
      </c>
      <c r="AO49" s="290">
        <f t="shared" si="4"/>
        <v>0</v>
      </c>
      <c r="AP49" s="290">
        <f t="shared" si="5"/>
        <v>1500</v>
      </c>
      <c r="AQ49" s="290">
        <f t="shared" si="6"/>
        <v>1500</v>
      </c>
      <c r="AR49" s="293"/>
      <c r="AS49" s="266"/>
    </row>
    <row r="50" s="215" customFormat="1" ht="39" customHeight="1" spans="1:45">
      <c r="A50" s="254">
        <v>45623</v>
      </c>
      <c r="B50" s="249" t="s">
        <v>137</v>
      </c>
      <c r="C50" s="265" t="s">
        <v>138</v>
      </c>
      <c r="D50" s="256">
        <v>4500152544</v>
      </c>
      <c r="E50" s="257" t="s">
        <v>282</v>
      </c>
      <c r="F50" s="256" t="s">
        <v>283</v>
      </c>
      <c r="G50" s="253" t="s">
        <v>62</v>
      </c>
      <c r="H50" s="253" t="s">
        <v>63</v>
      </c>
      <c r="I50" s="251">
        <v>6</v>
      </c>
      <c r="J50" s="251">
        <v>0</v>
      </c>
      <c r="K50" s="251">
        <v>6</v>
      </c>
      <c r="L50" s="251">
        <f t="shared" si="8"/>
        <v>1</v>
      </c>
      <c r="M50" s="274">
        <v>45670</v>
      </c>
      <c r="N50" s="274">
        <v>45666</v>
      </c>
      <c r="O50" s="274"/>
      <c r="P50" s="274" t="s">
        <v>49</v>
      </c>
      <c r="Q50" s="274">
        <v>45673</v>
      </c>
      <c r="R50" s="274"/>
      <c r="S50" s="277">
        <v>45645</v>
      </c>
      <c r="T50" s="277">
        <v>45623</v>
      </c>
      <c r="U50" s="277" t="s">
        <v>284</v>
      </c>
      <c r="V50" s="274" t="s">
        <v>285</v>
      </c>
      <c r="W50" s="274"/>
      <c r="X50" s="278" t="s">
        <v>286</v>
      </c>
      <c r="Y50" s="253" t="s">
        <v>143</v>
      </c>
      <c r="Z50" s="281">
        <v>3.4297</v>
      </c>
      <c r="AA50" s="282">
        <f t="shared" si="14"/>
        <v>20.5782</v>
      </c>
      <c r="AB50" s="251" t="s">
        <v>287</v>
      </c>
      <c r="AC50" s="286" t="s">
        <v>71</v>
      </c>
      <c r="AD50" s="251" t="s">
        <v>56</v>
      </c>
      <c r="AE50" s="251">
        <f t="shared" si="12"/>
        <v>6</v>
      </c>
      <c r="AF50" s="251">
        <f t="shared" si="15"/>
        <v>0</v>
      </c>
      <c r="AG50" s="266"/>
      <c r="AH50" s="266"/>
      <c r="AI50" s="253" t="s">
        <v>72</v>
      </c>
      <c r="AJ50" s="251">
        <v>2</v>
      </c>
      <c r="AK50" s="253" t="s">
        <v>73</v>
      </c>
      <c r="AL50" s="251">
        <v>0</v>
      </c>
      <c r="AM50" s="251"/>
      <c r="AN50" s="251">
        <f t="shared" si="3"/>
        <v>6</v>
      </c>
      <c r="AO50" s="290">
        <f t="shared" si="4"/>
        <v>0</v>
      </c>
      <c r="AP50" s="290">
        <f t="shared" si="5"/>
        <v>6</v>
      </c>
      <c r="AQ50" s="290">
        <f t="shared" si="6"/>
        <v>6</v>
      </c>
      <c r="AR50" s="293"/>
      <c r="AS50" s="266"/>
    </row>
    <row r="51" s="215" customFormat="1" ht="39" customHeight="1" spans="1:45">
      <c r="A51" s="254">
        <v>45629</v>
      </c>
      <c r="B51" s="249" t="s">
        <v>288</v>
      </c>
      <c r="C51" s="265" t="s">
        <v>44</v>
      </c>
      <c r="D51" s="256">
        <v>4500153169</v>
      </c>
      <c r="E51" s="257" t="s">
        <v>289</v>
      </c>
      <c r="F51" s="256" t="s">
        <v>290</v>
      </c>
      <c r="G51" s="253" t="s">
        <v>62</v>
      </c>
      <c r="H51" s="253" t="s">
        <v>63</v>
      </c>
      <c r="I51" s="251">
        <v>804</v>
      </c>
      <c r="J51" s="251">
        <v>0</v>
      </c>
      <c r="K51" s="251">
        <v>6</v>
      </c>
      <c r="L51" s="251">
        <f t="shared" si="8"/>
        <v>134</v>
      </c>
      <c r="M51" s="274">
        <v>45670</v>
      </c>
      <c r="N51" s="274">
        <v>45666</v>
      </c>
      <c r="O51" s="274"/>
      <c r="P51" s="274" t="s">
        <v>49</v>
      </c>
      <c r="Q51" s="274" t="s">
        <v>291</v>
      </c>
      <c r="R51" s="274"/>
      <c r="S51" s="277" t="s">
        <v>50</v>
      </c>
      <c r="T51" s="277">
        <v>45629</v>
      </c>
      <c r="U51" s="277" t="s">
        <v>50</v>
      </c>
      <c r="V51" s="274"/>
      <c r="W51" s="274"/>
      <c r="X51" s="278" t="s">
        <v>292</v>
      </c>
      <c r="Y51" s="253" t="s">
        <v>293</v>
      </c>
      <c r="Z51" s="281">
        <v>3.4167</v>
      </c>
      <c r="AA51" s="282">
        <f t="shared" si="14"/>
        <v>2747.0268</v>
      </c>
      <c r="AB51" s="251" t="s">
        <v>294</v>
      </c>
      <c r="AC51" s="252" t="s">
        <v>62</v>
      </c>
      <c r="AD51" s="251" t="s">
        <v>56</v>
      </c>
      <c r="AE51" s="251">
        <f t="shared" si="12"/>
        <v>804</v>
      </c>
      <c r="AF51" s="251">
        <f t="shared" si="15"/>
        <v>0</v>
      </c>
      <c r="AG51" s="266"/>
      <c r="AH51" s="266"/>
      <c r="AI51" s="253" t="s">
        <v>57</v>
      </c>
      <c r="AJ51" s="251">
        <v>0</v>
      </c>
      <c r="AK51" s="253" t="s">
        <v>73</v>
      </c>
      <c r="AL51" s="251">
        <v>0</v>
      </c>
      <c r="AM51" s="251"/>
      <c r="AN51" s="251">
        <f t="shared" si="3"/>
        <v>804</v>
      </c>
      <c r="AO51" s="290">
        <f t="shared" si="4"/>
        <v>804</v>
      </c>
      <c r="AP51" s="290" t="b">
        <f t="shared" si="5"/>
        <v>0</v>
      </c>
      <c r="AQ51" s="290">
        <f t="shared" si="6"/>
        <v>804</v>
      </c>
      <c r="AR51" s="293"/>
      <c r="AS51" s="266"/>
    </row>
    <row r="52" s="215" customFormat="1" ht="39" customHeight="1" spans="1:45">
      <c r="A52" s="254">
        <v>45631</v>
      </c>
      <c r="B52" s="249" t="s">
        <v>295</v>
      </c>
      <c r="C52" s="265" t="s">
        <v>66</v>
      </c>
      <c r="D52" s="256">
        <v>4500153328</v>
      </c>
      <c r="E52" s="257"/>
      <c r="F52" s="256" t="s">
        <v>296</v>
      </c>
      <c r="G52" s="253" t="s">
        <v>62</v>
      </c>
      <c r="H52" s="253" t="s">
        <v>63</v>
      </c>
      <c r="I52" s="251">
        <v>360</v>
      </c>
      <c r="J52" s="251">
        <v>0</v>
      </c>
      <c r="K52" s="251">
        <v>6</v>
      </c>
      <c r="L52" s="251">
        <f t="shared" si="8"/>
        <v>60</v>
      </c>
      <c r="M52" s="274">
        <v>45672</v>
      </c>
      <c r="N52" s="274">
        <v>45668</v>
      </c>
      <c r="O52" s="274"/>
      <c r="P52" s="274" t="s">
        <v>49</v>
      </c>
      <c r="Q52" s="274"/>
      <c r="R52" s="274"/>
      <c r="S52" s="277" t="s">
        <v>50</v>
      </c>
      <c r="T52" s="277">
        <v>45639</v>
      </c>
      <c r="U52" s="277">
        <v>45639</v>
      </c>
      <c r="V52" s="274"/>
      <c r="W52" s="274"/>
      <c r="X52" s="278" t="s">
        <v>297</v>
      </c>
      <c r="Y52" s="253" t="s">
        <v>298</v>
      </c>
      <c r="Z52" s="281">
        <v>3.6385</v>
      </c>
      <c r="AA52" s="282">
        <f t="shared" si="14"/>
        <v>1309.86</v>
      </c>
      <c r="AB52" s="251" t="s">
        <v>299</v>
      </c>
      <c r="AC52" s="286" t="s">
        <v>71</v>
      </c>
      <c r="AD52" s="251" t="s">
        <v>56</v>
      </c>
      <c r="AE52" s="251">
        <f t="shared" si="12"/>
        <v>360</v>
      </c>
      <c r="AF52" s="251">
        <f t="shared" si="15"/>
        <v>0</v>
      </c>
      <c r="AG52" s="266"/>
      <c r="AH52" s="266"/>
      <c r="AI52" s="253" t="s">
        <v>72</v>
      </c>
      <c r="AJ52" s="251">
        <v>2</v>
      </c>
      <c r="AK52" s="253" t="s">
        <v>73</v>
      </c>
      <c r="AL52" s="251">
        <v>0</v>
      </c>
      <c r="AM52" s="251"/>
      <c r="AN52" s="251">
        <f t="shared" si="3"/>
        <v>360</v>
      </c>
      <c r="AO52" s="290">
        <f t="shared" si="4"/>
        <v>0</v>
      </c>
      <c r="AP52" s="290">
        <f t="shared" si="5"/>
        <v>360</v>
      </c>
      <c r="AQ52" s="290">
        <f t="shared" si="6"/>
        <v>360</v>
      </c>
      <c r="AR52" s="293"/>
      <c r="AS52" s="266"/>
    </row>
    <row r="53" s="215" customFormat="1" ht="39" customHeight="1" spans="1:45">
      <c r="A53" s="254">
        <v>45637</v>
      </c>
      <c r="B53" s="249" t="s">
        <v>300</v>
      </c>
      <c r="C53" s="265" t="s">
        <v>301</v>
      </c>
      <c r="D53" s="256">
        <v>4500153669</v>
      </c>
      <c r="E53" s="257">
        <v>56072</v>
      </c>
      <c r="F53" s="256" t="s">
        <v>302</v>
      </c>
      <c r="G53" s="253" t="s">
        <v>62</v>
      </c>
      <c r="H53" s="253" t="s">
        <v>63</v>
      </c>
      <c r="I53" s="251">
        <v>720</v>
      </c>
      <c r="J53" s="251">
        <v>0</v>
      </c>
      <c r="K53" s="251">
        <v>6</v>
      </c>
      <c r="L53" s="251">
        <f t="shared" si="8"/>
        <v>120</v>
      </c>
      <c r="M53" s="274">
        <v>45672</v>
      </c>
      <c r="N53" s="274">
        <v>45668</v>
      </c>
      <c r="O53" s="274"/>
      <c r="P53" s="274" t="s">
        <v>49</v>
      </c>
      <c r="Q53" s="274">
        <v>45682</v>
      </c>
      <c r="R53" s="274"/>
      <c r="S53" s="277" t="s">
        <v>50</v>
      </c>
      <c r="T53" s="277">
        <v>45637</v>
      </c>
      <c r="U53" s="277" t="s">
        <v>303</v>
      </c>
      <c r="V53" s="274"/>
      <c r="W53" s="274"/>
      <c r="X53" s="278" t="s">
        <v>304</v>
      </c>
      <c r="Y53" s="253" t="s">
        <v>133</v>
      </c>
      <c r="Z53" s="281">
        <v>3.6255</v>
      </c>
      <c r="AA53" s="282">
        <f t="shared" si="14"/>
        <v>2610.36</v>
      </c>
      <c r="AB53" s="251" t="s">
        <v>305</v>
      </c>
      <c r="AC53" s="252" t="s">
        <v>62</v>
      </c>
      <c r="AD53" s="251" t="s">
        <v>56</v>
      </c>
      <c r="AE53" s="251">
        <f t="shared" si="12"/>
        <v>720</v>
      </c>
      <c r="AF53" s="251">
        <f t="shared" si="15"/>
        <v>0</v>
      </c>
      <c r="AG53" s="266"/>
      <c r="AH53" s="266"/>
      <c r="AI53" s="253" t="s">
        <v>57</v>
      </c>
      <c r="AJ53" s="251">
        <v>0</v>
      </c>
      <c r="AK53" s="253" t="s">
        <v>73</v>
      </c>
      <c r="AL53" s="251">
        <v>0</v>
      </c>
      <c r="AM53" s="251"/>
      <c r="AN53" s="251">
        <f t="shared" si="3"/>
        <v>720</v>
      </c>
      <c r="AO53" s="290">
        <f t="shared" si="4"/>
        <v>720</v>
      </c>
      <c r="AP53" s="290" t="b">
        <f t="shared" si="5"/>
        <v>0</v>
      </c>
      <c r="AQ53" s="290">
        <f t="shared" si="6"/>
        <v>720</v>
      </c>
      <c r="AR53" s="293"/>
      <c r="AS53" s="266"/>
    </row>
    <row r="54" s="215" customFormat="1" ht="39" customHeight="1" spans="1:45">
      <c r="A54" s="254">
        <v>45645</v>
      </c>
      <c r="B54" s="249"/>
      <c r="C54" s="265"/>
      <c r="D54" s="256" t="s">
        <v>306</v>
      </c>
      <c r="E54" s="257"/>
      <c r="F54" s="256"/>
      <c r="G54" s="253" t="s">
        <v>62</v>
      </c>
      <c r="H54" s="253" t="s">
        <v>63</v>
      </c>
      <c r="I54" s="251">
        <v>90</v>
      </c>
      <c r="J54" s="251">
        <v>0</v>
      </c>
      <c r="K54" s="251">
        <v>6</v>
      </c>
      <c r="L54" s="251">
        <f t="shared" si="8"/>
        <v>15</v>
      </c>
      <c r="M54" s="274">
        <v>45665</v>
      </c>
      <c r="N54" s="274">
        <v>45661</v>
      </c>
      <c r="O54" s="274"/>
      <c r="P54" s="274" t="s">
        <v>49</v>
      </c>
      <c r="Q54" s="274"/>
      <c r="R54" s="274"/>
      <c r="S54" s="277"/>
      <c r="T54" s="277">
        <v>45645</v>
      </c>
      <c r="U54" s="277"/>
      <c r="V54" s="274"/>
      <c r="W54" s="274"/>
      <c r="X54" s="278" t="s">
        <v>307</v>
      </c>
      <c r="Y54" s="253" t="s">
        <v>308</v>
      </c>
      <c r="Z54" s="281"/>
      <c r="AA54" s="282"/>
      <c r="AB54" s="251" t="s">
        <v>309</v>
      </c>
      <c r="AC54" s="286" t="s">
        <v>62</v>
      </c>
      <c r="AD54" s="251" t="s">
        <v>56</v>
      </c>
      <c r="AE54" s="251">
        <f t="shared" si="12"/>
        <v>90</v>
      </c>
      <c r="AF54" s="251">
        <f t="shared" si="15"/>
        <v>0</v>
      </c>
      <c r="AG54" s="266"/>
      <c r="AH54" s="266"/>
      <c r="AI54" s="253" t="s">
        <v>57</v>
      </c>
      <c r="AJ54" s="251">
        <v>0</v>
      </c>
      <c r="AK54" s="253" t="s">
        <v>73</v>
      </c>
      <c r="AL54" s="251">
        <v>0</v>
      </c>
      <c r="AM54" s="251"/>
      <c r="AN54" s="251">
        <f t="shared" si="3"/>
        <v>90</v>
      </c>
      <c r="AO54" s="290">
        <f t="shared" si="4"/>
        <v>90</v>
      </c>
      <c r="AP54" s="290" t="b">
        <f t="shared" si="5"/>
        <v>0</v>
      </c>
      <c r="AQ54" s="290">
        <f t="shared" si="6"/>
        <v>90</v>
      </c>
      <c r="AR54" s="293"/>
      <c r="AS54" s="266"/>
    </row>
    <row r="55" s="215" customFormat="1" ht="39" hidden="1" customHeight="1" spans="1:45">
      <c r="A55" s="254">
        <v>45632</v>
      </c>
      <c r="B55" s="249" t="s">
        <v>43</v>
      </c>
      <c r="C55" s="265" t="s">
        <v>44</v>
      </c>
      <c r="D55" s="256">
        <v>4500153474</v>
      </c>
      <c r="E55" s="257" t="s">
        <v>310</v>
      </c>
      <c r="F55" s="256" t="s">
        <v>311</v>
      </c>
      <c r="G55" s="253" t="s">
        <v>46</v>
      </c>
      <c r="H55" s="253" t="s">
        <v>47</v>
      </c>
      <c r="I55" s="251">
        <v>2744</v>
      </c>
      <c r="J55" s="251">
        <v>0</v>
      </c>
      <c r="K55" s="251">
        <v>98</v>
      </c>
      <c r="L55" s="251">
        <f t="shared" si="8"/>
        <v>28</v>
      </c>
      <c r="M55" s="274">
        <v>45677</v>
      </c>
      <c r="N55" s="274">
        <v>45673</v>
      </c>
      <c r="O55" s="274" t="s">
        <v>312</v>
      </c>
      <c r="P55" s="274" t="s">
        <v>49</v>
      </c>
      <c r="Q55" s="274"/>
      <c r="R55" s="274"/>
      <c r="S55" s="277" t="s">
        <v>50</v>
      </c>
      <c r="T55" s="277" t="s">
        <v>313</v>
      </c>
      <c r="U55" s="277" t="s">
        <v>314</v>
      </c>
      <c r="V55" s="274" t="s">
        <v>315</v>
      </c>
      <c r="W55" s="274"/>
      <c r="X55" s="278" t="s">
        <v>316</v>
      </c>
      <c r="Y55" s="253" t="s">
        <v>317</v>
      </c>
      <c r="Z55" s="281">
        <v>359.9198</v>
      </c>
      <c r="AA55" s="282">
        <f>Z55*L55</f>
        <v>10077.7544</v>
      </c>
      <c r="AB55" s="251" t="s">
        <v>318</v>
      </c>
      <c r="AC55" s="252" t="s">
        <v>46</v>
      </c>
      <c r="AD55" s="251" t="s">
        <v>56</v>
      </c>
      <c r="AE55" s="251">
        <f t="shared" si="12"/>
        <v>2744</v>
      </c>
      <c r="AF55" s="251">
        <f t="shared" si="15"/>
        <v>0</v>
      </c>
      <c r="AG55" s="266"/>
      <c r="AH55" s="266"/>
      <c r="AI55" s="253" t="s">
        <v>57</v>
      </c>
      <c r="AJ55" s="251">
        <v>0</v>
      </c>
      <c r="AK55" s="253" t="s">
        <v>73</v>
      </c>
      <c r="AL55" s="251">
        <v>0</v>
      </c>
      <c r="AM55" s="251"/>
      <c r="AN55" s="251">
        <f t="shared" si="3"/>
        <v>2744</v>
      </c>
      <c r="AO55" s="290">
        <f t="shared" si="4"/>
        <v>2744</v>
      </c>
      <c r="AP55" s="290" t="b">
        <f t="shared" si="5"/>
        <v>0</v>
      </c>
      <c r="AQ55" s="290">
        <f t="shared" si="6"/>
        <v>2744</v>
      </c>
      <c r="AR55" s="293"/>
      <c r="AS55" s="266"/>
    </row>
    <row r="56" s="215" customFormat="1" ht="39" hidden="1" customHeight="1" spans="1:45">
      <c r="A56" s="254">
        <v>45632</v>
      </c>
      <c r="B56" s="249" t="s">
        <v>43</v>
      </c>
      <c r="C56" s="265" t="s">
        <v>44</v>
      </c>
      <c r="D56" s="256">
        <v>4500153474</v>
      </c>
      <c r="E56" s="257" t="s">
        <v>319</v>
      </c>
      <c r="F56" s="256" t="s">
        <v>320</v>
      </c>
      <c r="G56" s="253" t="s">
        <v>46</v>
      </c>
      <c r="H56" s="253" t="s">
        <v>47</v>
      </c>
      <c r="I56" s="251">
        <v>1176</v>
      </c>
      <c r="J56" s="251">
        <v>0</v>
      </c>
      <c r="K56" s="251">
        <v>98</v>
      </c>
      <c r="L56" s="251">
        <f t="shared" si="8"/>
        <v>12</v>
      </c>
      <c r="M56" s="274">
        <v>45677</v>
      </c>
      <c r="N56" s="274">
        <v>45673</v>
      </c>
      <c r="O56" s="274" t="s">
        <v>312</v>
      </c>
      <c r="P56" s="274" t="s">
        <v>49</v>
      </c>
      <c r="Q56" s="274"/>
      <c r="R56" s="274"/>
      <c r="S56" s="277" t="s">
        <v>50</v>
      </c>
      <c r="T56" s="277" t="s">
        <v>313</v>
      </c>
      <c r="U56" s="277" t="s">
        <v>314</v>
      </c>
      <c r="V56" s="274" t="s">
        <v>315</v>
      </c>
      <c r="W56" s="274"/>
      <c r="X56" s="278" t="s">
        <v>316</v>
      </c>
      <c r="Y56" s="253" t="s">
        <v>317</v>
      </c>
      <c r="Z56" s="281">
        <v>359.9198</v>
      </c>
      <c r="AA56" s="282">
        <f>Z56*L56</f>
        <v>4319.0376</v>
      </c>
      <c r="AB56" s="251" t="s">
        <v>321</v>
      </c>
      <c r="AC56" s="252" t="s">
        <v>46</v>
      </c>
      <c r="AD56" s="251" t="s">
        <v>56</v>
      </c>
      <c r="AE56" s="251">
        <f t="shared" si="12"/>
        <v>1176</v>
      </c>
      <c r="AF56" s="251">
        <f t="shared" si="15"/>
        <v>0</v>
      </c>
      <c r="AG56" s="266"/>
      <c r="AH56" s="266"/>
      <c r="AI56" s="253" t="s">
        <v>57</v>
      </c>
      <c r="AJ56" s="251">
        <v>0</v>
      </c>
      <c r="AK56" s="253" t="s">
        <v>73</v>
      </c>
      <c r="AL56" s="251">
        <v>0</v>
      </c>
      <c r="AM56" s="251"/>
      <c r="AN56" s="251">
        <f t="shared" si="3"/>
        <v>1176</v>
      </c>
      <c r="AO56" s="290">
        <f t="shared" si="4"/>
        <v>1176</v>
      </c>
      <c r="AP56" s="290" t="b">
        <f t="shared" si="5"/>
        <v>0</v>
      </c>
      <c r="AQ56" s="290">
        <f t="shared" si="6"/>
        <v>1176</v>
      </c>
      <c r="AR56" s="293"/>
      <c r="AS56" s="266"/>
    </row>
    <row r="57" s="215" customFormat="1" ht="39" hidden="1" customHeight="1" spans="1:45">
      <c r="A57" s="254">
        <v>45632</v>
      </c>
      <c r="B57" s="249" t="s">
        <v>43</v>
      </c>
      <c r="C57" s="265" t="s">
        <v>44</v>
      </c>
      <c r="D57" s="256">
        <v>4500153474</v>
      </c>
      <c r="E57" s="257" t="s">
        <v>322</v>
      </c>
      <c r="F57" s="256" t="s">
        <v>323</v>
      </c>
      <c r="G57" s="253" t="s">
        <v>46</v>
      </c>
      <c r="H57" s="253" t="s">
        <v>47</v>
      </c>
      <c r="I57" s="251">
        <v>1470</v>
      </c>
      <c r="J57" s="251">
        <v>0</v>
      </c>
      <c r="K57" s="251">
        <v>98</v>
      </c>
      <c r="L57" s="251">
        <f t="shared" si="8"/>
        <v>15</v>
      </c>
      <c r="M57" s="274">
        <v>45677</v>
      </c>
      <c r="N57" s="274">
        <v>45673</v>
      </c>
      <c r="O57" s="274" t="s">
        <v>312</v>
      </c>
      <c r="P57" s="274" t="s">
        <v>49</v>
      </c>
      <c r="Q57" s="274"/>
      <c r="R57" s="274"/>
      <c r="S57" s="277" t="s">
        <v>50</v>
      </c>
      <c r="T57" s="277" t="s">
        <v>313</v>
      </c>
      <c r="U57" s="277" t="s">
        <v>314</v>
      </c>
      <c r="V57" s="274" t="s">
        <v>315</v>
      </c>
      <c r="W57" s="274"/>
      <c r="X57" s="278" t="s">
        <v>316</v>
      </c>
      <c r="Y57" s="253" t="s">
        <v>317</v>
      </c>
      <c r="Z57" s="281">
        <v>359.9198</v>
      </c>
      <c r="AA57" s="282">
        <f>Z57*L57</f>
        <v>5398.797</v>
      </c>
      <c r="AB57" s="251" t="s">
        <v>324</v>
      </c>
      <c r="AC57" s="252" t="s">
        <v>46</v>
      </c>
      <c r="AD57" s="251" t="s">
        <v>56</v>
      </c>
      <c r="AE57" s="251">
        <f t="shared" si="12"/>
        <v>1470</v>
      </c>
      <c r="AF57" s="251">
        <f t="shared" si="15"/>
        <v>0</v>
      </c>
      <c r="AG57" s="266"/>
      <c r="AH57" s="266"/>
      <c r="AI57" s="253" t="s">
        <v>57</v>
      </c>
      <c r="AJ57" s="251">
        <v>0</v>
      </c>
      <c r="AK57" s="253" t="s">
        <v>73</v>
      </c>
      <c r="AL57" s="251">
        <v>0</v>
      </c>
      <c r="AM57" s="251"/>
      <c r="AN57" s="251">
        <f t="shared" si="3"/>
        <v>1470</v>
      </c>
      <c r="AO57" s="290">
        <f t="shared" si="4"/>
        <v>1470</v>
      </c>
      <c r="AP57" s="290" t="b">
        <f t="shared" si="5"/>
        <v>0</v>
      </c>
      <c r="AQ57" s="290">
        <f t="shared" si="6"/>
        <v>1470</v>
      </c>
      <c r="AR57" s="293"/>
      <c r="AS57" s="266"/>
    </row>
    <row r="58" s="215" customFormat="1" ht="39" hidden="1" customHeight="1" spans="1:45">
      <c r="A58" s="254">
        <v>45632</v>
      </c>
      <c r="B58" s="249" t="s">
        <v>43</v>
      </c>
      <c r="C58" s="265" t="s">
        <v>44</v>
      </c>
      <c r="D58" s="256">
        <v>4500153474</v>
      </c>
      <c r="E58" s="257" t="s">
        <v>325</v>
      </c>
      <c r="F58" s="256" t="s">
        <v>326</v>
      </c>
      <c r="G58" s="253" t="s">
        <v>46</v>
      </c>
      <c r="H58" s="253" t="s">
        <v>47</v>
      </c>
      <c r="I58" s="251">
        <v>1862</v>
      </c>
      <c r="J58" s="251">
        <v>0</v>
      </c>
      <c r="K58" s="251">
        <v>98</v>
      </c>
      <c r="L58" s="251">
        <f t="shared" si="8"/>
        <v>19</v>
      </c>
      <c r="M58" s="274">
        <v>45677</v>
      </c>
      <c r="N58" s="274">
        <v>45673</v>
      </c>
      <c r="O58" s="274" t="s">
        <v>312</v>
      </c>
      <c r="P58" s="274" t="s">
        <v>49</v>
      </c>
      <c r="Q58" s="274"/>
      <c r="R58" s="274"/>
      <c r="S58" s="277" t="s">
        <v>50</v>
      </c>
      <c r="T58" s="277" t="s">
        <v>313</v>
      </c>
      <c r="U58" s="277" t="s">
        <v>314</v>
      </c>
      <c r="V58" s="274" t="s">
        <v>315</v>
      </c>
      <c r="W58" s="274"/>
      <c r="X58" s="278" t="s">
        <v>316</v>
      </c>
      <c r="Y58" s="253" t="s">
        <v>317</v>
      </c>
      <c r="Z58" s="281">
        <v>359.9198</v>
      </c>
      <c r="AA58" s="282">
        <f>Z58*L58</f>
        <v>6838.4762</v>
      </c>
      <c r="AB58" s="251" t="s">
        <v>327</v>
      </c>
      <c r="AC58" s="252" t="s">
        <v>46</v>
      </c>
      <c r="AD58" s="251" t="s">
        <v>56</v>
      </c>
      <c r="AE58" s="251">
        <f t="shared" si="12"/>
        <v>1862</v>
      </c>
      <c r="AF58" s="251">
        <f t="shared" si="15"/>
        <v>0</v>
      </c>
      <c r="AG58" s="266"/>
      <c r="AH58" s="266"/>
      <c r="AI58" s="253" t="s">
        <v>57</v>
      </c>
      <c r="AJ58" s="251">
        <v>0</v>
      </c>
      <c r="AK58" s="253" t="s">
        <v>73</v>
      </c>
      <c r="AL58" s="251">
        <v>0</v>
      </c>
      <c r="AM58" s="251"/>
      <c r="AN58" s="251">
        <f t="shared" si="3"/>
        <v>1862</v>
      </c>
      <c r="AO58" s="290">
        <f t="shared" si="4"/>
        <v>1862</v>
      </c>
      <c r="AP58" s="290" t="b">
        <f t="shared" si="5"/>
        <v>0</v>
      </c>
      <c r="AQ58" s="290">
        <f t="shared" si="6"/>
        <v>1862</v>
      </c>
      <c r="AR58" s="293"/>
      <c r="AS58" s="266"/>
    </row>
    <row r="59" s="215" customFormat="1" ht="39" hidden="1" customHeight="1" spans="1:45">
      <c r="A59" s="254">
        <v>45632</v>
      </c>
      <c r="B59" s="249" t="s">
        <v>43</v>
      </c>
      <c r="C59" s="265" t="s">
        <v>44</v>
      </c>
      <c r="D59" s="256">
        <v>4500153474</v>
      </c>
      <c r="E59" s="257" t="s">
        <v>328</v>
      </c>
      <c r="F59" s="256" t="s">
        <v>329</v>
      </c>
      <c r="G59" s="253" t="s">
        <v>46</v>
      </c>
      <c r="H59" s="253" t="s">
        <v>47</v>
      </c>
      <c r="I59" s="251">
        <v>2646</v>
      </c>
      <c r="J59" s="251">
        <v>0</v>
      </c>
      <c r="K59" s="251">
        <v>98</v>
      </c>
      <c r="L59" s="251">
        <f t="shared" si="8"/>
        <v>27</v>
      </c>
      <c r="M59" s="274">
        <v>45677</v>
      </c>
      <c r="N59" s="274">
        <v>45673</v>
      </c>
      <c r="O59" s="274" t="s">
        <v>312</v>
      </c>
      <c r="P59" s="274" t="s">
        <v>49</v>
      </c>
      <c r="Q59" s="274"/>
      <c r="R59" s="274"/>
      <c r="S59" s="277" t="s">
        <v>50</v>
      </c>
      <c r="T59" s="277" t="s">
        <v>313</v>
      </c>
      <c r="U59" s="277" t="s">
        <v>314</v>
      </c>
      <c r="V59" s="274" t="s">
        <v>315</v>
      </c>
      <c r="W59" s="274"/>
      <c r="X59" s="278" t="s">
        <v>330</v>
      </c>
      <c r="Y59" s="253" t="s">
        <v>317</v>
      </c>
      <c r="Z59" s="281">
        <v>359.9198</v>
      </c>
      <c r="AA59" s="282">
        <f>Z59*L59</f>
        <v>9717.8346</v>
      </c>
      <c r="AB59" s="251" t="s">
        <v>331</v>
      </c>
      <c r="AC59" s="252" t="s">
        <v>46</v>
      </c>
      <c r="AD59" s="251" t="s">
        <v>56</v>
      </c>
      <c r="AE59" s="251">
        <f t="shared" si="12"/>
        <v>2646</v>
      </c>
      <c r="AF59" s="251">
        <f t="shared" si="15"/>
        <v>0</v>
      </c>
      <c r="AG59" s="266"/>
      <c r="AH59" s="266"/>
      <c r="AI59" s="253" t="s">
        <v>57</v>
      </c>
      <c r="AJ59" s="251">
        <v>0</v>
      </c>
      <c r="AK59" s="253" t="s">
        <v>73</v>
      </c>
      <c r="AL59" s="251">
        <v>0</v>
      </c>
      <c r="AM59" s="251"/>
      <c r="AN59" s="251">
        <f t="shared" si="3"/>
        <v>2646</v>
      </c>
      <c r="AO59" s="290">
        <f t="shared" si="4"/>
        <v>2646</v>
      </c>
      <c r="AP59" s="290" t="b">
        <f t="shared" si="5"/>
        <v>0</v>
      </c>
      <c r="AQ59" s="290">
        <f t="shared" si="6"/>
        <v>2646</v>
      </c>
      <c r="AR59" s="293"/>
      <c r="AS59" s="266"/>
    </row>
    <row r="60" s="215" customFormat="1" ht="39" hidden="1" customHeight="1" spans="1:45">
      <c r="A60" s="254">
        <v>45651</v>
      </c>
      <c r="B60" s="249" t="s">
        <v>332</v>
      </c>
      <c r="C60" s="265" t="s">
        <v>138</v>
      </c>
      <c r="D60" s="256">
        <v>4500154742</v>
      </c>
      <c r="E60" s="257">
        <v>9650908032</v>
      </c>
      <c r="F60" s="256" t="s">
        <v>333</v>
      </c>
      <c r="G60" s="253" t="s">
        <v>334</v>
      </c>
      <c r="H60" s="253" t="s">
        <v>63</v>
      </c>
      <c r="I60" s="251">
        <v>600</v>
      </c>
      <c r="J60" s="251">
        <v>0</v>
      </c>
      <c r="K60" s="251">
        <v>1</v>
      </c>
      <c r="L60" s="272">
        <f t="shared" si="8"/>
        <v>600</v>
      </c>
      <c r="M60" s="273">
        <v>45674</v>
      </c>
      <c r="N60" s="274">
        <v>45670</v>
      </c>
      <c r="O60" s="274" t="s">
        <v>335</v>
      </c>
      <c r="P60" s="274" t="s">
        <v>49</v>
      </c>
      <c r="Q60" s="274"/>
      <c r="R60" s="274"/>
      <c r="S60" s="277" t="s">
        <v>50</v>
      </c>
      <c r="T60" s="277">
        <v>45651</v>
      </c>
      <c r="U60" s="277" t="s">
        <v>336</v>
      </c>
      <c r="V60" s="274"/>
      <c r="W60" s="274"/>
      <c r="X60" s="278" t="s">
        <v>337</v>
      </c>
      <c r="Y60" s="253" t="s">
        <v>338</v>
      </c>
      <c r="Z60" s="281">
        <v>3.7216</v>
      </c>
      <c r="AA60" s="282">
        <f>I60*Z60</f>
        <v>2232.96</v>
      </c>
      <c r="AB60" s="251" t="s">
        <v>339</v>
      </c>
      <c r="AC60" s="252" t="s">
        <v>340</v>
      </c>
      <c r="AD60" s="251" t="s">
        <v>56</v>
      </c>
      <c r="AE60" s="251">
        <f t="shared" si="12"/>
        <v>600</v>
      </c>
      <c r="AF60" s="251">
        <f t="shared" si="15"/>
        <v>0</v>
      </c>
      <c r="AG60" s="266"/>
      <c r="AH60" s="266"/>
      <c r="AI60" s="253" t="s">
        <v>72</v>
      </c>
      <c r="AJ60" s="251">
        <v>2</v>
      </c>
      <c r="AK60" s="253" t="s">
        <v>73</v>
      </c>
      <c r="AL60" s="251">
        <v>0</v>
      </c>
      <c r="AM60" s="251"/>
      <c r="AN60" s="251">
        <f t="shared" si="3"/>
        <v>600</v>
      </c>
      <c r="AO60" s="290">
        <f t="shared" si="4"/>
        <v>0</v>
      </c>
      <c r="AP60" s="290">
        <f t="shared" si="5"/>
        <v>600</v>
      </c>
      <c r="AQ60" s="290">
        <f t="shared" si="6"/>
        <v>600</v>
      </c>
      <c r="AR60" s="293"/>
      <c r="AS60" s="266"/>
    </row>
    <row r="61" s="215" customFormat="1" ht="39" customHeight="1" spans="1:45">
      <c r="A61" s="254">
        <v>45638</v>
      </c>
      <c r="B61" s="249" t="s">
        <v>341</v>
      </c>
      <c r="C61" s="265" t="s">
        <v>66</v>
      </c>
      <c r="D61" s="256">
        <v>4500153788</v>
      </c>
      <c r="E61" s="257"/>
      <c r="F61" s="256" t="s">
        <v>342</v>
      </c>
      <c r="G61" s="253" t="s">
        <v>62</v>
      </c>
      <c r="H61" s="253" t="s">
        <v>63</v>
      </c>
      <c r="I61" s="251">
        <v>480</v>
      </c>
      <c r="J61" s="251">
        <v>0</v>
      </c>
      <c r="K61" s="251">
        <v>6</v>
      </c>
      <c r="L61" s="251">
        <f t="shared" si="8"/>
        <v>80</v>
      </c>
      <c r="M61" s="274">
        <v>45687</v>
      </c>
      <c r="N61" s="274">
        <v>45684</v>
      </c>
      <c r="O61" s="274"/>
      <c r="P61" s="274" t="s">
        <v>49</v>
      </c>
      <c r="Q61" s="274"/>
      <c r="R61" s="274"/>
      <c r="S61" s="277" t="s">
        <v>50</v>
      </c>
      <c r="T61" s="277">
        <v>45642</v>
      </c>
      <c r="U61" s="277">
        <v>46008</v>
      </c>
      <c r="V61" s="274"/>
      <c r="W61" s="274"/>
      <c r="X61" s="278" t="s">
        <v>343</v>
      </c>
      <c r="Y61" s="253" t="s">
        <v>298</v>
      </c>
      <c r="Z61" s="281">
        <v>3.6385</v>
      </c>
      <c r="AA61" s="282">
        <f>I61*Z61</f>
        <v>1746.48</v>
      </c>
      <c r="AB61" s="251" t="s">
        <v>344</v>
      </c>
      <c r="AC61" s="286" t="s">
        <v>71</v>
      </c>
      <c r="AD61" s="251" t="s">
        <v>56</v>
      </c>
      <c r="AE61" s="251">
        <f t="shared" si="12"/>
        <v>480</v>
      </c>
      <c r="AF61" s="251">
        <f t="shared" si="15"/>
        <v>0</v>
      </c>
      <c r="AG61" s="266"/>
      <c r="AH61" s="266"/>
      <c r="AI61" s="253" t="s">
        <v>72</v>
      </c>
      <c r="AJ61" s="251">
        <v>2</v>
      </c>
      <c r="AK61" s="253" t="s">
        <v>73</v>
      </c>
      <c r="AL61" s="251">
        <v>0</v>
      </c>
      <c r="AM61" s="251"/>
      <c r="AN61" s="251">
        <f t="shared" si="3"/>
        <v>480</v>
      </c>
      <c r="AO61" s="290">
        <f t="shared" si="4"/>
        <v>0</v>
      </c>
      <c r="AP61" s="290">
        <f t="shared" si="5"/>
        <v>480</v>
      </c>
      <c r="AQ61" s="290">
        <f t="shared" si="6"/>
        <v>480</v>
      </c>
      <c r="AR61" s="293"/>
      <c r="AS61" s="266"/>
    </row>
    <row r="62" s="215" customFormat="1" ht="39" hidden="1" customHeight="1" spans="1:45">
      <c r="A62" s="254">
        <v>45632</v>
      </c>
      <c r="B62" s="249" t="s">
        <v>43</v>
      </c>
      <c r="C62" s="265" t="s">
        <v>44</v>
      </c>
      <c r="D62" s="256">
        <v>4500153474</v>
      </c>
      <c r="E62" s="257" t="s">
        <v>345</v>
      </c>
      <c r="F62" s="256" t="s">
        <v>346</v>
      </c>
      <c r="G62" s="253" t="s">
        <v>46</v>
      </c>
      <c r="H62" s="253" t="s">
        <v>47</v>
      </c>
      <c r="I62" s="251">
        <v>2254</v>
      </c>
      <c r="J62" s="251">
        <v>0</v>
      </c>
      <c r="K62" s="251">
        <v>98</v>
      </c>
      <c r="L62" s="251">
        <f t="shared" si="8"/>
        <v>23</v>
      </c>
      <c r="M62" s="274">
        <v>45705</v>
      </c>
      <c r="N62" s="274">
        <v>45701</v>
      </c>
      <c r="O62" s="274" t="s">
        <v>347</v>
      </c>
      <c r="P62" s="274" t="s">
        <v>49</v>
      </c>
      <c r="Q62" s="274"/>
      <c r="R62" s="274"/>
      <c r="S62" s="277" t="s">
        <v>50</v>
      </c>
      <c r="T62" s="277" t="s">
        <v>313</v>
      </c>
      <c r="U62" s="277" t="s">
        <v>314</v>
      </c>
      <c r="V62" s="274" t="s">
        <v>315</v>
      </c>
      <c r="W62" s="274"/>
      <c r="X62" s="278" t="s">
        <v>316</v>
      </c>
      <c r="Y62" s="253" t="s">
        <v>317</v>
      </c>
      <c r="Z62" s="281">
        <v>368.4458</v>
      </c>
      <c r="AA62" s="282">
        <f>Z62*L62</f>
        <v>8474.2534</v>
      </c>
      <c r="AB62" s="251" t="s">
        <v>348</v>
      </c>
      <c r="AC62" s="252" t="s">
        <v>46</v>
      </c>
      <c r="AD62" s="251" t="s">
        <v>56</v>
      </c>
      <c r="AE62" s="251">
        <f t="shared" si="12"/>
        <v>2254</v>
      </c>
      <c r="AF62" s="251">
        <f t="shared" si="15"/>
        <v>0</v>
      </c>
      <c r="AG62" s="266"/>
      <c r="AH62" s="266"/>
      <c r="AI62" s="253" t="s">
        <v>57</v>
      </c>
      <c r="AJ62" s="251">
        <v>0</v>
      </c>
      <c r="AK62" s="253" t="s">
        <v>73</v>
      </c>
      <c r="AL62" s="251">
        <v>0</v>
      </c>
      <c r="AM62" s="251"/>
      <c r="AN62" s="251">
        <f t="shared" si="3"/>
        <v>2254</v>
      </c>
      <c r="AO62" s="290">
        <f t="shared" si="4"/>
        <v>2254</v>
      </c>
      <c r="AP62" s="290" t="b">
        <f t="shared" si="5"/>
        <v>0</v>
      </c>
      <c r="AQ62" s="290">
        <f t="shared" si="6"/>
        <v>2254</v>
      </c>
      <c r="AR62" s="293"/>
      <c r="AS62" s="266"/>
    </row>
    <row r="63" s="215" customFormat="1" ht="39" hidden="1" customHeight="1" spans="1:45">
      <c r="A63" s="254">
        <v>45650</v>
      </c>
      <c r="B63" s="249" t="s">
        <v>43</v>
      </c>
      <c r="C63" s="265" t="s">
        <v>44</v>
      </c>
      <c r="D63" s="256">
        <v>4500154550</v>
      </c>
      <c r="E63" s="257" t="s">
        <v>349</v>
      </c>
      <c r="F63" s="256" t="s">
        <v>350</v>
      </c>
      <c r="G63" s="253" t="s">
        <v>46</v>
      </c>
      <c r="H63" s="253" t="s">
        <v>47</v>
      </c>
      <c r="I63" s="251">
        <v>3724</v>
      </c>
      <c r="J63" s="251">
        <v>0</v>
      </c>
      <c r="K63" s="251">
        <v>98</v>
      </c>
      <c r="L63" s="251">
        <f t="shared" si="8"/>
        <v>38</v>
      </c>
      <c r="M63" s="274">
        <v>45705</v>
      </c>
      <c r="N63" s="274">
        <v>45701</v>
      </c>
      <c r="O63" s="274" t="s">
        <v>347</v>
      </c>
      <c r="P63" s="274" t="s">
        <v>49</v>
      </c>
      <c r="Q63" s="274">
        <v>45705</v>
      </c>
      <c r="R63" s="274"/>
      <c r="S63" s="277" t="s">
        <v>50</v>
      </c>
      <c r="T63" s="277" t="s">
        <v>167</v>
      </c>
      <c r="U63" s="277" t="s">
        <v>351</v>
      </c>
      <c r="V63" s="280" t="s">
        <v>352</v>
      </c>
      <c r="W63" s="274"/>
      <c r="X63" s="278" t="s">
        <v>353</v>
      </c>
      <c r="Y63" s="253" t="s">
        <v>170</v>
      </c>
      <c r="Z63" s="281">
        <v>355.5588</v>
      </c>
      <c r="AA63" s="282">
        <f>Z63*L63</f>
        <v>13511.2344</v>
      </c>
      <c r="AB63" s="251" t="s">
        <v>354</v>
      </c>
      <c r="AC63" s="252" t="s">
        <v>46</v>
      </c>
      <c r="AD63" s="251" t="s">
        <v>56</v>
      </c>
      <c r="AE63" s="251">
        <f t="shared" si="12"/>
        <v>3724</v>
      </c>
      <c r="AF63" s="251">
        <f t="shared" si="15"/>
        <v>0</v>
      </c>
      <c r="AG63" s="266"/>
      <c r="AH63" s="266"/>
      <c r="AI63" s="253" t="s">
        <v>57</v>
      </c>
      <c r="AJ63" s="251">
        <v>0</v>
      </c>
      <c r="AK63" s="253" t="s">
        <v>73</v>
      </c>
      <c r="AL63" s="251">
        <v>0</v>
      </c>
      <c r="AM63" s="251"/>
      <c r="AN63" s="251">
        <f t="shared" si="3"/>
        <v>3724</v>
      </c>
      <c r="AO63" s="290">
        <f t="shared" si="4"/>
        <v>3724</v>
      </c>
      <c r="AP63" s="290" t="b">
        <f t="shared" si="5"/>
        <v>0</v>
      </c>
      <c r="AQ63" s="290">
        <f t="shared" si="6"/>
        <v>3724</v>
      </c>
      <c r="AR63" s="293"/>
      <c r="AS63" s="266"/>
    </row>
    <row r="64" s="215" customFormat="1" ht="39" hidden="1" customHeight="1" spans="1:45">
      <c r="A64" s="254">
        <v>45650</v>
      </c>
      <c r="B64" s="249" t="s">
        <v>43</v>
      </c>
      <c r="C64" s="265" t="s">
        <v>44</v>
      </c>
      <c r="D64" s="256">
        <v>4500154550</v>
      </c>
      <c r="E64" s="257" t="s">
        <v>355</v>
      </c>
      <c r="F64" s="256" t="s">
        <v>356</v>
      </c>
      <c r="G64" s="253" t="s">
        <v>46</v>
      </c>
      <c r="H64" s="253" t="s">
        <v>47</v>
      </c>
      <c r="I64" s="251">
        <v>3038</v>
      </c>
      <c r="J64" s="251">
        <v>0</v>
      </c>
      <c r="K64" s="251">
        <v>98</v>
      </c>
      <c r="L64" s="251">
        <f t="shared" si="8"/>
        <v>31</v>
      </c>
      <c r="M64" s="274">
        <v>45705</v>
      </c>
      <c r="N64" s="274">
        <v>45701</v>
      </c>
      <c r="O64" s="274" t="s">
        <v>347</v>
      </c>
      <c r="P64" s="274" t="s">
        <v>49</v>
      </c>
      <c r="Q64" s="274"/>
      <c r="R64" s="274"/>
      <c r="S64" s="277" t="s">
        <v>50</v>
      </c>
      <c r="T64" s="277" t="s">
        <v>167</v>
      </c>
      <c r="U64" s="277" t="s">
        <v>351</v>
      </c>
      <c r="V64" s="274" t="s">
        <v>352</v>
      </c>
      <c r="W64" s="274"/>
      <c r="X64" s="278" t="s">
        <v>353</v>
      </c>
      <c r="Y64" s="253" t="s">
        <v>170</v>
      </c>
      <c r="Z64" s="281">
        <v>355.5588</v>
      </c>
      <c r="AA64" s="282">
        <f>Z64*L64</f>
        <v>11022.3228</v>
      </c>
      <c r="AB64" s="251" t="s">
        <v>357</v>
      </c>
      <c r="AC64" s="252" t="s">
        <v>46</v>
      </c>
      <c r="AD64" s="251" t="s">
        <v>56</v>
      </c>
      <c r="AE64" s="251">
        <f t="shared" si="12"/>
        <v>3038</v>
      </c>
      <c r="AF64" s="251">
        <f t="shared" si="15"/>
        <v>0</v>
      </c>
      <c r="AG64" s="266"/>
      <c r="AH64" s="266"/>
      <c r="AI64" s="253" t="s">
        <v>57</v>
      </c>
      <c r="AJ64" s="251">
        <v>0</v>
      </c>
      <c r="AK64" s="253" t="s">
        <v>73</v>
      </c>
      <c r="AL64" s="251">
        <v>0</v>
      </c>
      <c r="AM64" s="251"/>
      <c r="AN64" s="251">
        <f t="shared" si="3"/>
        <v>3038</v>
      </c>
      <c r="AO64" s="290">
        <f t="shared" si="4"/>
        <v>3038</v>
      </c>
      <c r="AP64" s="290" t="b">
        <f t="shared" si="5"/>
        <v>0</v>
      </c>
      <c r="AQ64" s="290">
        <f t="shared" si="6"/>
        <v>3038</v>
      </c>
      <c r="AR64" s="293"/>
      <c r="AS64" s="266"/>
    </row>
    <row r="65" s="215" customFormat="1" ht="39" hidden="1" customHeight="1" spans="1:45">
      <c r="A65" s="254">
        <v>45650</v>
      </c>
      <c r="B65" s="249" t="s">
        <v>43</v>
      </c>
      <c r="C65" s="265" t="s">
        <v>44</v>
      </c>
      <c r="D65" s="256">
        <v>4500154550</v>
      </c>
      <c r="E65" s="257" t="s">
        <v>358</v>
      </c>
      <c r="F65" s="256" t="s">
        <v>359</v>
      </c>
      <c r="G65" s="253" t="s">
        <v>46</v>
      </c>
      <c r="H65" s="253" t="s">
        <v>47</v>
      </c>
      <c r="I65" s="251">
        <v>2352</v>
      </c>
      <c r="J65" s="251">
        <v>0</v>
      </c>
      <c r="K65" s="251">
        <v>98</v>
      </c>
      <c r="L65" s="251">
        <f t="shared" si="8"/>
        <v>24</v>
      </c>
      <c r="M65" s="274">
        <v>45705</v>
      </c>
      <c r="N65" s="274">
        <v>45701</v>
      </c>
      <c r="O65" s="274" t="s">
        <v>347</v>
      </c>
      <c r="P65" s="274" t="s">
        <v>49</v>
      </c>
      <c r="Q65" s="274"/>
      <c r="R65" s="274"/>
      <c r="S65" s="277" t="s">
        <v>50</v>
      </c>
      <c r="T65" s="277" t="s">
        <v>167</v>
      </c>
      <c r="U65" s="277" t="s">
        <v>351</v>
      </c>
      <c r="V65" s="274" t="s">
        <v>352</v>
      </c>
      <c r="W65" s="274"/>
      <c r="X65" s="278" t="s">
        <v>353</v>
      </c>
      <c r="Y65" s="253" t="s">
        <v>170</v>
      </c>
      <c r="Z65" s="281">
        <v>355.5588</v>
      </c>
      <c r="AA65" s="282">
        <f>Z65*L65</f>
        <v>8533.4112</v>
      </c>
      <c r="AB65" s="251" t="s">
        <v>360</v>
      </c>
      <c r="AC65" s="252" t="s">
        <v>46</v>
      </c>
      <c r="AD65" s="251" t="s">
        <v>56</v>
      </c>
      <c r="AE65" s="251">
        <f t="shared" si="12"/>
        <v>2352</v>
      </c>
      <c r="AF65" s="251">
        <f t="shared" si="15"/>
        <v>0</v>
      </c>
      <c r="AG65" s="266"/>
      <c r="AH65" s="266"/>
      <c r="AI65" s="253" t="s">
        <v>57</v>
      </c>
      <c r="AJ65" s="251">
        <v>0</v>
      </c>
      <c r="AK65" s="253" t="s">
        <v>73</v>
      </c>
      <c r="AL65" s="251">
        <v>0</v>
      </c>
      <c r="AM65" s="251"/>
      <c r="AN65" s="251">
        <f t="shared" si="3"/>
        <v>2352</v>
      </c>
      <c r="AO65" s="290">
        <f t="shared" si="4"/>
        <v>2352</v>
      </c>
      <c r="AP65" s="290" t="b">
        <f t="shared" si="5"/>
        <v>0</v>
      </c>
      <c r="AQ65" s="290">
        <f t="shared" si="6"/>
        <v>2352</v>
      </c>
      <c r="AR65" s="293"/>
      <c r="AS65" s="266"/>
    </row>
    <row r="66" s="215" customFormat="1" ht="39" customHeight="1" spans="1:45">
      <c r="A66" s="254">
        <v>45643</v>
      </c>
      <c r="B66" s="249" t="s">
        <v>361</v>
      </c>
      <c r="C66" s="265" t="s">
        <v>66</v>
      </c>
      <c r="D66" s="256">
        <v>4500154244</v>
      </c>
      <c r="E66" s="257"/>
      <c r="F66" s="256" t="s">
        <v>362</v>
      </c>
      <c r="G66" s="253" t="s">
        <v>62</v>
      </c>
      <c r="H66" s="253" t="s">
        <v>63</v>
      </c>
      <c r="I66" s="251">
        <v>1446</v>
      </c>
      <c r="J66" s="251">
        <v>0</v>
      </c>
      <c r="K66" s="251">
        <v>6</v>
      </c>
      <c r="L66" s="251">
        <f t="shared" si="8"/>
        <v>241</v>
      </c>
      <c r="M66" s="274">
        <v>45706</v>
      </c>
      <c r="N66" s="274">
        <v>45702</v>
      </c>
      <c r="O66" s="274"/>
      <c r="P66" s="274" t="s">
        <v>49</v>
      </c>
      <c r="Q66" s="274"/>
      <c r="R66" s="274"/>
      <c r="S66" s="277" t="s">
        <v>50</v>
      </c>
      <c r="T66" s="277">
        <v>46021</v>
      </c>
      <c r="U66" s="277">
        <v>45671</v>
      </c>
      <c r="V66" s="274"/>
      <c r="W66" s="274"/>
      <c r="X66" s="278" t="s">
        <v>363</v>
      </c>
      <c r="Y66" s="253" t="s">
        <v>298</v>
      </c>
      <c r="Z66" s="281">
        <v>3.4032</v>
      </c>
      <c r="AA66" s="282">
        <f t="shared" ref="AA66:AA73" si="16">I66*Z66</f>
        <v>4921.0272</v>
      </c>
      <c r="AB66" s="251" t="s">
        <v>364</v>
      </c>
      <c r="AC66" s="286" t="s">
        <v>71</v>
      </c>
      <c r="AD66" s="251" t="s">
        <v>56</v>
      </c>
      <c r="AE66" s="251">
        <f t="shared" si="12"/>
        <v>1446</v>
      </c>
      <c r="AF66" s="251">
        <f t="shared" si="15"/>
        <v>0</v>
      </c>
      <c r="AG66" s="266"/>
      <c r="AH66" s="266"/>
      <c r="AI66" s="253" t="s">
        <v>72</v>
      </c>
      <c r="AJ66" s="251">
        <v>2</v>
      </c>
      <c r="AK66" s="253" t="s">
        <v>73</v>
      </c>
      <c r="AL66" s="251">
        <v>0</v>
      </c>
      <c r="AM66" s="251"/>
      <c r="AN66" s="251">
        <f t="shared" ref="AN66:AN129" si="17">I66</f>
        <v>1446</v>
      </c>
      <c r="AO66" s="290">
        <f t="shared" ref="AO66:AO129" si="18">IF($AJ66=0,$AN66,IF($AJ66&gt;0,0))</f>
        <v>0</v>
      </c>
      <c r="AP66" s="290">
        <f t="shared" ref="AP66:AP129" si="19">IF($AJ66=2,$AN66,IF($AJ66&gt;0,0))</f>
        <v>1446</v>
      </c>
      <c r="AQ66" s="290">
        <f t="shared" ref="AQ66:AQ129" si="20">IF($AL66=0,$AN66,IF($AL66&gt;0,0))</f>
        <v>1446</v>
      </c>
      <c r="AR66" s="293"/>
      <c r="AS66" s="266"/>
    </row>
    <row r="67" s="215" customFormat="1" ht="39" customHeight="1" spans="1:45">
      <c r="A67" s="254">
        <v>45650</v>
      </c>
      <c r="B67" s="249" t="s">
        <v>365</v>
      </c>
      <c r="C67" s="265" t="s">
        <v>214</v>
      </c>
      <c r="D67" s="256">
        <v>4500154651</v>
      </c>
      <c r="E67" s="257" t="s">
        <v>366</v>
      </c>
      <c r="F67" s="256" t="s">
        <v>367</v>
      </c>
      <c r="G67" s="253" t="s">
        <v>62</v>
      </c>
      <c r="H67" s="253" t="s">
        <v>63</v>
      </c>
      <c r="I67" s="251">
        <v>504</v>
      </c>
      <c r="J67" s="251">
        <v>0</v>
      </c>
      <c r="K67" s="251">
        <v>6</v>
      </c>
      <c r="L67" s="251">
        <f t="shared" si="8"/>
        <v>84</v>
      </c>
      <c r="M67" s="274">
        <v>45705</v>
      </c>
      <c r="N67" s="274">
        <v>45701</v>
      </c>
      <c r="O67" s="274"/>
      <c r="P67" s="274" t="s">
        <v>49</v>
      </c>
      <c r="Q67" s="274"/>
      <c r="R67" s="274"/>
      <c r="S67" s="277" t="s">
        <v>50</v>
      </c>
      <c r="T67" s="277">
        <v>45652</v>
      </c>
      <c r="U67" s="277" t="s">
        <v>50</v>
      </c>
      <c r="V67" s="274"/>
      <c r="W67" s="274"/>
      <c r="X67" s="278" t="s">
        <v>368</v>
      </c>
      <c r="Y67" s="253" t="s">
        <v>369</v>
      </c>
      <c r="Z67" s="281">
        <v>3.6255</v>
      </c>
      <c r="AA67" s="282">
        <f t="shared" si="16"/>
        <v>1827.252</v>
      </c>
      <c r="AB67" s="251" t="s">
        <v>370</v>
      </c>
      <c r="AC67" s="252" t="s">
        <v>62</v>
      </c>
      <c r="AD67" s="251" t="s">
        <v>56</v>
      </c>
      <c r="AE67" s="251">
        <f t="shared" si="12"/>
        <v>504</v>
      </c>
      <c r="AF67" s="251">
        <f t="shared" si="15"/>
        <v>0</v>
      </c>
      <c r="AG67" s="266"/>
      <c r="AH67" s="266"/>
      <c r="AI67" s="253" t="s">
        <v>57</v>
      </c>
      <c r="AJ67" s="251">
        <v>0</v>
      </c>
      <c r="AK67" s="253" t="s">
        <v>73</v>
      </c>
      <c r="AL67" s="251">
        <v>0</v>
      </c>
      <c r="AM67" s="251"/>
      <c r="AN67" s="251">
        <f t="shared" si="17"/>
        <v>504</v>
      </c>
      <c r="AO67" s="290">
        <f t="shared" si="18"/>
        <v>504</v>
      </c>
      <c r="AP67" s="290" t="b">
        <f t="shared" si="19"/>
        <v>0</v>
      </c>
      <c r="AQ67" s="290">
        <f t="shared" si="20"/>
        <v>504</v>
      </c>
      <c r="AR67" s="293"/>
      <c r="AS67" s="266"/>
    </row>
    <row r="68" s="215" customFormat="1" ht="39" customHeight="1" spans="1:45">
      <c r="A68" s="254">
        <v>45652</v>
      </c>
      <c r="B68" s="249" t="s">
        <v>371</v>
      </c>
      <c r="C68" s="265" t="s">
        <v>104</v>
      </c>
      <c r="D68" s="256">
        <v>4500154798</v>
      </c>
      <c r="E68" s="257" t="s">
        <v>372</v>
      </c>
      <c r="F68" s="256" t="s">
        <v>373</v>
      </c>
      <c r="G68" s="253" t="s">
        <v>62</v>
      </c>
      <c r="H68" s="253" t="s">
        <v>63</v>
      </c>
      <c r="I68" s="251">
        <v>1008</v>
      </c>
      <c r="J68" s="251">
        <v>0</v>
      </c>
      <c r="K68" s="251">
        <v>6</v>
      </c>
      <c r="L68" s="251">
        <f t="shared" si="8"/>
        <v>168</v>
      </c>
      <c r="M68" s="274">
        <v>45706</v>
      </c>
      <c r="N68" s="274">
        <v>45702</v>
      </c>
      <c r="O68" s="274"/>
      <c r="P68" s="274" t="s">
        <v>49</v>
      </c>
      <c r="Q68" s="274" t="s">
        <v>374</v>
      </c>
      <c r="R68" s="274"/>
      <c r="S68" s="277" t="s">
        <v>77</v>
      </c>
      <c r="T68" s="277" t="s">
        <v>375</v>
      </c>
      <c r="U68" s="277" t="s">
        <v>376</v>
      </c>
      <c r="V68" s="274" t="s">
        <v>377</v>
      </c>
      <c r="W68" s="274"/>
      <c r="X68" s="278" t="s">
        <v>378</v>
      </c>
      <c r="Y68" s="253" t="s">
        <v>252</v>
      </c>
      <c r="Z68" s="281">
        <v>3.612</v>
      </c>
      <c r="AA68" s="282">
        <f t="shared" si="16"/>
        <v>3640.896</v>
      </c>
      <c r="AB68" s="251" t="s">
        <v>379</v>
      </c>
      <c r="AC68" s="286" t="s">
        <v>71</v>
      </c>
      <c r="AD68" s="251" t="s">
        <v>56</v>
      </c>
      <c r="AE68" s="251">
        <f t="shared" si="12"/>
        <v>1008</v>
      </c>
      <c r="AF68" s="251">
        <f t="shared" si="15"/>
        <v>0</v>
      </c>
      <c r="AG68" s="266"/>
      <c r="AH68" s="266"/>
      <c r="AI68" s="253" t="s">
        <v>72</v>
      </c>
      <c r="AJ68" s="251">
        <v>2</v>
      </c>
      <c r="AK68" s="253" t="s">
        <v>73</v>
      </c>
      <c r="AL68" s="251">
        <v>0</v>
      </c>
      <c r="AM68" s="251"/>
      <c r="AN68" s="251">
        <f t="shared" si="17"/>
        <v>1008</v>
      </c>
      <c r="AO68" s="290">
        <f t="shared" si="18"/>
        <v>0</v>
      </c>
      <c r="AP68" s="290">
        <f t="shared" si="19"/>
        <v>1008</v>
      </c>
      <c r="AQ68" s="290">
        <f t="shared" si="20"/>
        <v>1008</v>
      </c>
      <c r="AR68" s="293"/>
      <c r="AS68" s="266"/>
    </row>
    <row r="69" s="215" customFormat="1" ht="39" customHeight="1" spans="1:45">
      <c r="A69" s="254">
        <v>45652</v>
      </c>
      <c r="B69" s="249" t="s">
        <v>371</v>
      </c>
      <c r="C69" s="265" t="s">
        <v>104</v>
      </c>
      <c r="D69" s="256">
        <v>4500154798</v>
      </c>
      <c r="E69" s="257" t="s">
        <v>380</v>
      </c>
      <c r="F69" s="256" t="s">
        <v>381</v>
      </c>
      <c r="G69" s="253" t="s">
        <v>62</v>
      </c>
      <c r="H69" s="253" t="s">
        <v>63</v>
      </c>
      <c r="I69" s="251">
        <v>504</v>
      </c>
      <c r="J69" s="251">
        <v>0</v>
      </c>
      <c r="K69" s="251">
        <v>6</v>
      </c>
      <c r="L69" s="251">
        <f t="shared" si="8"/>
        <v>84</v>
      </c>
      <c r="M69" s="274">
        <v>45706</v>
      </c>
      <c r="N69" s="274">
        <v>45702</v>
      </c>
      <c r="O69" s="274"/>
      <c r="P69" s="274" t="s">
        <v>49</v>
      </c>
      <c r="Q69" s="274"/>
      <c r="R69" s="274"/>
      <c r="S69" s="277" t="s">
        <v>77</v>
      </c>
      <c r="T69" s="277" t="s">
        <v>375</v>
      </c>
      <c r="U69" s="277" t="s">
        <v>376</v>
      </c>
      <c r="V69" s="274" t="s">
        <v>377</v>
      </c>
      <c r="W69" s="274"/>
      <c r="X69" s="278" t="s">
        <v>378</v>
      </c>
      <c r="Y69" s="253" t="s">
        <v>252</v>
      </c>
      <c r="Z69" s="281">
        <v>3.612</v>
      </c>
      <c r="AA69" s="282">
        <f t="shared" si="16"/>
        <v>1820.448</v>
      </c>
      <c r="AB69" s="251" t="s">
        <v>379</v>
      </c>
      <c r="AC69" s="286" t="s">
        <v>71</v>
      </c>
      <c r="AD69" s="251" t="s">
        <v>56</v>
      </c>
      <c r="AE69" s="251">
        <f t="shared" si="12"/>
        <v>504</v>
      </c>
      <c r="AF69" s="251">
        <f t="shared" si="15"/>
        <v>0</v>
      </c>
      <c r="AG69" s="266"/>
      <c r="AH69" s="266"/>
      <c r="AI69" s="253" t="s">
        <v>72</v>
      </c>
      <c r="AJ69" s="251">
        <v>2</v>
      </c>
      <c r="AK69" s="253" t="s">
        <v>73</v>
      </c>
      <c r="AL69" s="251">
        <v>0</v>
      </c>
      <c r="AM69" s="251"/>
      <c r="AN69" s="251">
        <f t="shared" si="17"/>
        <v>504</v>
      </c>
      <c r="AO69" s="290">
        <f t="shared" si="18"/>
        <v>0</v>
      </c>
      <c r="AP69" s="290">
        <f t="shared" si="19"/>
        <v>504</v>
      </c>
      <c r="AQ69" s="290">
        <f t="shared" si="20"/>
        <v>504</v>
      </c>
      <c r="AR69" s="293"/>
      <c r="AS69" s="266"/>
    </row>
    <row r="70" s="215" customFormat="1" ht="39" customHeight="1" spans="1:45">
      <c r="A70" s="254">
        <v>45652</v>
      </c>
      <c r="B70" s="249" t="s">
        <v>371</v>
      </c>
      <c r="C70" s="265" t="s">
        <v>104</v>
      </c>
      <c r="D70" s="256">
        <v>4500154798</v>
      </c>
      <c r="E70" s="257" t="s">
        <v>382</v>
      </c>
      <c r="F70" s="256" t="s">
        <v>383</v>
      </c>
      <c r="G70" s="253" t="s">
        <v>62</v>
      </c>
      <c r="H70" s="253" t="s">
        <v>63</v>
      </c>
      <c r="I70" s="251">
        <v>504</v>
      </c>
      <c r="J70" s="251">
        <v>0</v>
      </c>
      <c r="K70" s="251">
        <v>6</v>
      </c>
      <c r="L70" s="251">
        <f t="shared" si="8"/>
        <v>84</v>
      </c>
      <c r="M70" s="274">
        <v>45706</v>
      </c>
      <c r="N70" s="274">
        <v>45702</v>
      </c>
      <c r="O70" s="274"/>
      <c r="P70" s="274" t="s">
        <v>49</v>
      </c>
      <c r="Q70" s="274"/>
      <c r="R70" s="274"/>
      <c r="S70" s="277" t="s">
        <v>77</v>
      </c>
      <c r="T70" s="277" t="s">
        <v>375</v>
      </c>
      <c r="U70" s="277" t="s">
        <v>376</v>
      </c>
      <c r="V70" s="274" t="s">
        <v>377</v>
      </c>
      <c r="W70" s="274"/>
      <c r="X70" s="278" t="s">
        <v>378</v>
      </c>
      <c r="Y70" s="253" t="s">
        <v>252</v>
      </c>
      <c r="Z70" s="281">
        <v>3.612</v>
      </c>
      <c r="AA70" s="282">
        <f t="shared" si="16"/>
        <v>1820.448</v>
      </c>
      <c r="AB70" s="251" t="s">
        <v>384</v>
      </c>
      <c r="AC70" s="286" t="s">
        <v>71</v>
      </c>
      <c r="AD70" s="251" t="s">
        <v>56</v>
      </c>
      <c r="AE70" s="251">
        <f t="shared" si="12"/>
        <v>504</v>
      </c>
      <c r="AF70" s="251">
        <f t="shared" si="15"/>
        <v>0</v>
      </c>
      <c r="AG70" s="266"/>
      <c r="AH70" s="266"/>
      <c r="AI70" s="253" t="s">
        <v>72</v>
      </c>
      <c r="AJ70" s="251">
        <v>2</v>
      </c>
      <c r="AK70" s="253" t="s">
        <v>73</v>
      </c>
      <c r="AL70" s="251">
        <v>0</v>
      </c>
      <c r="AM70" s="251"/>
      <c r="AN70" s="251">
        <f t="shared" si="17"/>
        <v>504</v>
      </c>
      <c r="AO70" s="290">
        <f t="shared" si="18"/>
        <v>0</v>
      </c>
      <c r="AP70" s="290">
        <f t="shared" si="19"/>
        <v>504</v>
      </c>
      <c r="AQ70" s="290">
        <f t="shared" si="20"/>
        <v>504</v>
      </c>
      <c r="AR70" s="293"/>
      <c r="AS70" s="266"/>
    </row>
    <row r="71" s="215" customFormat="1" ht="39" customHeight="1" spans="1:45">
      <c r="A71" s="254">
        <v>45615</v>
      </c>
      <c r="B71" s="249" t="s">
        <v>385</v>
      </c>
      <c r="C71" s="265" t="s">
        <v>44</v>
      </c>
      <c r="D71" s="256">
        <v>4500151569</v>
      </c>
      <c r="E71" s="257">
        <v>60194329</v>
      </c>
      <c r="F71" s="256" t="s">
        <v>386</v>
      </c>
      <c r="G71" s="253" t="s">
        <v>62</v>
      </c>
      <c r="H71" s="253" t="s">
        <v>63</v>
      </c>
      <c r="I71" s="251">
        <v>1500</v>
      </c>
      <c r="J71" s="251">
        <v>0</v>
      </c>
      <c r="K71" s="251">
        <v>6</v>
      </c>
      <c r="L71" s="251">
        <f t="shared" si="8"/>
        <v>250</v>
      </c>
      <c r="M71" s="274">
        <v>45707</v>
      </c>
      <c r="N71" s="274">
        <v>45703</v>
      </c>
      <c r="O71" s="274"/>
      <c r="P71" s="274" t="s">
        <v>49</v>
      </c>
      <c r="Q71" s="274"/>
      <c r="R71" s="274"/>
      <c r="S71" s="277" t="s">
        <v>50</v>
      </c>
      <c r="T71" s="277">
        <v>45616</v>
      </c>
      <c r="U71" s="277" t="s">
        <v>50</v>
      </c>
      <c r="V71" s="274" t="s">
        <v>387</v>
      </c>
      <c r="W71" s="274"/>
      <c r="X71" s="278" t="s">
        <v>388</v>
      </c>
      <c r="Y71" s="253" t="s">
        <v>389</v>
      </c>
      <c r="Z71" s="281">
        <v>3.612</v>
      </c>
      <c r="AA71" s="282">
        <f t="shared" si="16"/>
        <v>5418</v>
      </c>
      <c r="AB71" s="251" t="s">
        <v>390</v>
      </c>
      <c r="AC71" s="252" t="s">
        <v>62</v>
      </c>
      <c r="AD71" s="251" t="s">
        <v>56</v>
      </c>
      <c r="AE71" s="251">
        <f t="shared" si="12"/>
        <v>1500</v>
      </c>
      <c r="AF71" s="251">
        <f t="shared" si="15"/>
        <v>0</v>
      </c>
      <c r="AG71" s="266"/>
      <c r="AH71" s="266"/>
      <c r="AI71" s="253" t="s">
        <v>57</v>
      </c>
      <c r="AJ71" s="251">
        <v>0</v>
      </c>
      <c r="AK71" s="253" t="s">
        <v>73</v>
      </c>
      <c r="AL71" s="251">
        <v>0</v>
      </c>
      <c r="AM71" s="251"/>
      <c r="AN71" s="251">
        <f t="shared" si="17"/>
        <v>1500</v>
      </c>
      <c r="AO71" s="290">
        <f t="shared" si="18"/>
        <v>1500</v>
      </c>
      <c r="AP71" s="290" t="b">
        <f t="shared" si="19"/>
        <v>0</v>
      </c>
      <c r="AQ71" s="290">
        <f t="shared" si="20"/>
        <v>1500</v>
      </c>
      <c r="AR71" s="293"/>
      <c r="AS71" s="266"/>
    </row>
    <row r="72" s="215" customFormat="1" ht="39" customHeight="1" spans="1:45">
      <c r="A72" s="254">
        <v>45615</v>
      </c>
      <c r="B72" s="249" t="s">
        <v>118</v>
      </c>
      <c r="C72" s="265" t="s">
        <v>119</v>
      </c>
      <c r="D72" s="256">
        <v>4500150215</v>
      </c>
      <c r="E72" s="257">
        <v>2000006309</v>
      </c>
      <c r="F72" s="256" t="s">
        <v>391</v>
      </c>
      <c r="G72" s="253" t="s">
        <v>62</v>
      </c>
      <c r="H72" s="253" t="s">
        <v>63</v>
      </c>
      <c r="I72" s="251">
        <v>450</v>
      </c>
      <c r="J72" s="251">
        <v>0</v>
      </c>
      <c r="K72" s="251">
        <v>6</v>
      </c>
      <c r="L72" s="251">
        <f t="shared" si="8"/>
        <v>75</v>
      </c>
      <c r="M72" s="274">
        <v>45708</v>
      </c>
      <c r="N72" s="274">
        <v>45705</v>
      </c>
      <c r="O72" s="274"/>
      <c r="P72" s="274" t="s">
        <v>49</v>
      </c>
      <c r="Q72" s="274"/>
      <c r="R72" s="274"/>
      <c r="S72" s="277" t="s">
        <v>50</v>
      </c>
      <c r="T72" s="277">
        <v>45623</v>
      </c>
      <c r="U72" s="277" t="s">
        <v>392</v>
      </c>
      <c r="V72" s="274"/>
      <c r="W72" s="274"/>
      <c r="X72" s="278" t="s">
        <v>393</v>
      </c>
      <c r="Y72" s="253" t="s">
        <v>69</v>
      </c>
      <c r="Z72" s="281">
        <v>3.6385</v>
      </c>
      <c r="AA72" s="282">
        <f t="shared" si="16"/>
        <v>1637.325</v>
      </c>
      <c r="AB72" s="251" t="s">
        <v>394</v>
      </c>
      <c r="AC72" s="286" t="s">
        <v>71</v>
      </c>
      <c r="AD72" s="251" t="s">
        <v>56</v>
      </c>
      <c r="AE72" s="251">
        <f t="shared" si="12"/>
        <v>450</v>
      </c>
      <c r="AF72" s="251">
        <f t="shared" si="15"/>
        <v>0</v>
      </c>
      <c r="AG72" s="266"/>
      <c r="AH72" s="266"/>
      <c r="AI72" s="253" t="s">
        <v>72</v>
      </c>
      <c r="AJ72" s="251">
        <v>2</v>
      </c>
      <c r="AK72" s="253" t="s">
        <v>73</v>
      </c>
      <c r="AL72" s="251">
        <v>0</v>
      </c>
      <c r="AM72" s="251"/>
      <c r="AN72" s="251">
        <f t="shared" si="17"/>
        <v>450</v>
      </c>
      <c r="AO72" s="290">
        <f t="shared" si="18"/>
        <v>0</v>
      </c>
      <c r="AP72" s="290">
        <f t="shared" si="19"/>
        <v>450</v>
      </c>
      <c r="AQ72" s="290">
        <f t="shared" si="20"/>
        <v>450</v>
      </c>
      <c r="AR72" s="293"/>
      <c r="AS72" s="266"/>
    </row>
    <row r="73" s="215" customFormat="1" ht="39" customHeight="1" spans="1:45">
      <c r="A73" s="254">
        <v>45636</v>
      </c>
      <c r="B73" s="249" t="s">
        <v>395</v>
      </c>
      <c r="C73" s="265" t="s">
        <v>396</v>
      </c>
      <c r="D73" s="256">
        <v>4500153577</v>
      </c>
      <c r="E73" s="257">
        <v>4400454546</v>
      </c>
      <c r="F73" s="256" t="s">
        <v>397</v>
      </c>
      <c r="G73" s="253" t="s">
        <v>62</v>
      </c>
      <c r="H73" s="253" t="s">
        <v>63</v>
      </c>
      <c r="I73" s="251">
        <v>504</v>
      </c>
      <c r="J73" s="251">
        <v>0</v>
      </c>
      <c r="K73" s="251">
        <v>6</v>
      </c>
      <c r="L73" s="251">
        <f t="shared" si="8"/>
        <v>84</v>
      </c>
      <c r="M73" s="274">
        <v>45698</v>
      </c>
      <c r="N73" s="274">
        <v>45694</v>
      </c>
      <c r="O73" s="274"/>
      <c r="P73" s="274" t="s">
        <v>49</v>
      </c>
      <c r="Q73" s="274"/>
      <c r="R73" s="274"/>
      <c r="S73" s="277" t="s">
        <v>50</v>
      </c>
      <c r="T73" s="277">
        <v>45637</v>
      </c>
      <c r="U73" s="277" t="s">
        <v>209</v>
      </c>
      <c r="V73" s="274"/>
      <c r="W73" s="274"/>
      <c r="X73" s="278" t="s">
        <v>398</v>
      </c>
      <c r="Y73" s="253" t="s">
        <v>211</v>
      </c>
      <c r="Z73" s="281">
        <v>3.6255</v>
      </c>
      <c r="AA73" s="282">
        <f t="shared" si="16"/>
        <v>1827.252</v>
      </c>
      <c r="AB73" s="251" t="s">
        <v>399</v>
      </c>
      <c r="AC73" s="286" t="s">
        <v>71</v>
      </c>
      <c r="AD73" s="251" t="s">
        <v>56</v>
      </c>
      <c r="AE73" s="251">
        <f t="shared" si="12"/>
        <v>504</v>
      </c>
      <c r="AF73" s="251">
        <f t="shared" si="15"/>
        <v>0</v>
      </c>
      <c r="AG73" s="266"/>
      <c r="AH73" s="266"/>
      <c r="AI73" s="253" t="s">
        <v>72</v>
      </c>
      <c r="AJ73" s="251">
        <v>2</v>
      </c>
      <c r="AK73" s="253" t="s">
        <v>73</v>
      </c>
      <c r="AL73" s="251">
        <v>0</v>
      </c>
      <c r="AM73" s="251"/>
      <c r="AN73" s="251">
        <f t="shared" si="17"/>
        <v>504</v>
      </c>
      <c r="AO73" s="290">
        <f t="shared" si="18"/>
        <v>0</v>
      </c>
      <c r="AP73" s="290">
        <f t="shared" si="19"/>
        <v>504</v>
      </c>
      <c r="AQ73" s="290">
        <f t="shared" si="20"/>
        <v>504</v>
      </c>
      <c r="AR73" s="293"/>
      <c r="AS73" s="266"/>
    </row>
    <row r="74" s="215" customFormat="1" ht="39" hidden="1" customHeight="1" spans="1:45">
      <c r="A74" s="254">
        <v>45650</v>
      </c>
      <c r="B74" s="249" t="s">
        <v>43</v>
      </c>
      <c r="C74" s="265" t="s">
        <v>44</v>
      </c>
      <c r="D74" s="256">
        <v>4500154550</v>
      </c>
      <c r="E74" s="257" t="s">
        <v>400</v>
      </c>
      <c r="F74" s="256" t="s">
        <v>401</v>
      </c>
      <c r="G74" s="253" t="s">
        <v>46</v>
      </c>
      <c r="H74" s="253" t="s">
        <v>47</v>
      </c>
      <c r="I74" s="251">
        <v>2744</v>
      </c>
      <c r="J74" s="251">
        <v>0</v>
      </c>
      <c r="K74" s="251">
        <v>98</v>
      </c>
      <c r="L74" s="251">
        <f t="shared" si="8"/>
        <v>28</v>
      </c>
      <c r="M74" s="274">
        <v>45702</v>
      </c>
      <c r="N74" s="274">
        <v>45698</v>
      </c>
      <c r="O74" s="274" t="s">
        <v>347</v>
      </c>
      <c r="P74" s="274" t="s">
        <v>49</v>
      </c>
      <c r="Q74" s="274"/>
      <c r="R74" s="274"/>
      <c r="S74" s="277" t="s">
        <v>50</v>
      </c>
      <c r="T74" s="277" t="s">
        <v>167</v>
      </c>
      <c r="U74" s="277" t="s">
        <v>351</v>
      </c>
      <c r="V74" s="274" t="s">
        <v>352</v>
      </c>
      <c r="W74" s="274"/>
      <c r="X74" s="278" t="s">
        <v>402</v>
      </c>
      <c r="Y74" s="253" t="s">
        <v>170</v>
      </c>
      <c r="Z74" s="281">
        <v>355.5588</v>
      </c>
      <c r="AA74" s="282">
        <f>Z74*L74</f>
        <v>9955.6464</v>
      </c>
      <c r="AB74" s="251" t="s">
        <v>403</v>
      </c>
      <c r="AC74" s="252" t="s">
        <v>46</v>
      </c>
      <c r="AD74" s="251" t="s">
        <v>56</v>
      </c>
      <c r="AE74" s="251">
        <f t="shared" si="12"/>
        <v>2744</v>
      </c>
      <c r="AF74" s="251">
        <f t="shared" si="15"/>
        <v>0</v>
      </c>
      <c r="AG74" s="266"/>
      <c r="AH74" s="266"/>
      <c r="AI74" s="253" t="s">
        <v>57</v>
      </c>
      <c r="AJ74" s="251">
        <v>0</v>
      </c>
      <c r="AK74" s="253" t="s">
        <v>73</v>
      </c>
      <c r="AL74" s="251">
        <v>0</v>
      </c>
      <c r="AM74" s="251"/>
      <c r="AN74" s="251">
        <f t="shared" si="17"/>
        <v>2744</v>
      </c>
      <c r="AO74" s="290">
        <f t="shared" si="18"/>
        <v>2744</v>
      </c>
      <c r="AP74" s="290" t="b">
        <f t="shared" si="19"/>
        <v>0</v>
      </c>
      <c r="AQ74" s="290">
        <f t="shared" si="20"/>
        <v>2744</v>
      </c>
      <c r="AR74" s="293"/>
      <c r="AS74" s="266"/>
    </row>
    <row r="75" s="215" customFormat="1" ht="39" customHeight="1" spans="1:45">
      <c r="A75" s="254">
        <v>45646</v>
      </c>
      <c r="B75" s="249" t="s">
        <v>207</v>
      </c>
      <c r="C75" s="265" t="s">
        <v>119</v>
      </c>
      <c r="D75" s="256">
        <v>4500154439</v>
      </c>
      <c r="E75" s="257">
        <v>4400457022</v>
      </c>
      <c r="F75" s="256" t="s">
        <v>404</v>
      </c>
      <c r="G75" s="253" t="s">
        <v>62</v>
      </c>
      <c r="H75" s="253" t="s">
        <v>63</v>
      </c>
      <c r="I75" s="251">
        <v>300</v>
      </c>
      <c r="J75" s="251">
        <v>0</v>
      </c>
      <c r="K75" s="251">
        <v>6</v>
      </c>
      <c r="L75" s="251">
        <f t="shared" si="8"/>
        <v>50</v>
      </c>
      <c r="M75" s="274">
        <v>45702</v>
      </c>
      <c r="N75" s="274">
        <v>45698</v>
      </c>
      <c r="O75" s="274"/>
      <c r="P75" s="274" t="s">
        <v>49</v>
      </c>
      <c r="Q75" s="274"/>
      <c r="R75" s="274"/>
      <c r="S75" s="277" t="s">
        <v>50</v>
      </c>
      <c r="T75" s="277">
        <v>45646</v>
      </c>
      <c r="U75" s="277" t="s">
        <v>209</v>
      </c>
      <c r="V75" s="274"/>
      <c r="W75" s="274"/>
      <c r="X75" s="278" t="s">
        <v>405</v>
      </c>
      <c r="Y75" s="253" t="s">
        <v>211</v>
      </c>
      <c r="Z75" s="281">
        <v>3.4297</v>
      </c>
      <c r="AA75" s="282">
        <f>I75*Z75</f>
        <v>1028.91</v>
      </c>
      <c r="AB75" s="251" t="s">
        <v>406</v>
      </c>
      <c r="AC75" s="286" t="s">
        <v>71</v>
      </c>
      <c r="AD75" s="251" t="s">
        <v>56</v>
      </c>
      <c r="AE75" s="251">
        <f t="shared" si="12"/>
        <v>300</v>
      </c>
      <c r="AF75" s="251">
        <f t="shared" si="15"/>
        <v>0</v>
      </c>
      <c r="AG75" s="266"/>
      <c r="AH75" s="266"/>
      <c r="AI75" s="253" t="s">
        <v>72</v>
      </c>
      <c r="AJ75" s="251">
        <v>2</v>
      </c>
      <c r="AK75" s="253" t="s">
        <v>73</v>
      </c>
      <c r="AL75" s="251">
        <v>0</v>
      </c>
      <c r="AM75" s="251"/>
      <c r="AN75" s="251">
        <f t="shared" si="17"/>
        <v>300</v>
      </c>
      <c r="AO75" s="290">
        <f t="shared" si="18"/>
        <v>0</v>
      </c>
      <c r="AP75" s="290">
        <f t="shared" si="19"/>
        <v>300</v>
      </c>
      <c r="AQ75" s="290">
        <f t="shared" si="20"/>
        <v>300</v>
      </c>
      <c r="AR75" s="293"/>
      <c r="AS75" s="266"/>
    </row>
    <row r="76" s="215" customFormat="1" ht="39" hidden="1" customHeight="1" spans="1:45">
      <c r="A76" s="254">
        <v>45650</v>
      </c>
      <c r="B76" s="249" t="s">
        <v>43</v>
      </c>
      <c r="C76" s="265" t="s">
        <v>44</v>
      </c>
      <c r="D76" s="256">
        <v>4500154550</v>
      </c>
      <c r="E76" s="257" t="s">
        <v>407</v>
      </c>
      <c r="F76" s="256" t="s">
        <v>408</v>
      </c>
      <c r="G76" s="253" t="s">
        <v>46</v>
      </c>
      <c r="H76" s="253" t="s">
        <v>47</v>
      </c>
      <c r="I76" s="251">
        <v>5096</v>
      </c>
      <c r="J76" s="251">
        <v>0</v>
      </c>
      <c r="K76" s="251">
        <v>98</v>
      </c>
      <c r="L76" s="251">
        <f t="shared" si="8"/>
        <v>52</v>
      </c>
      <c r="M76" s="274">
        <v>45705</v>
      </c>
      <c r="N76" s="274">
        <v>45701</v>
      </c>
      <c r="O76" s="274" t="s">
        <v>347</v>
      </c>
      <c r="P76" s="274" t="s">
        <v>49</v>
      </c>
      <c r="Q76" s="274"/>
      <c r="R76" s="274"/>
      <c r="S76" s="277" t="s">
        <v>50</v>
      </c>
      <c r="T76" s="277" t="s">
        <v>167</v>
      </c>
      <c r="U76" s="277" t="s">
        <v>351</v>
      </c>
      <c r="V76" s="280" t="s">
        <v>352</v>
      </c>
      <c r="W76" s="274"/>
      <c r="X76" s="278" t="s">
        <v>402</v>
      </c>
      <c r="Y76" s="253" t="s">
        <v>170</v>
      </c>
      <c r="Z76" s="281">
        <v>355.5588</v>
      </c>
      <c r="AA76" s="282">
        <f>Z76*L76</f>
        <v>18489.0576</v>
      </c>
      <c r="AB76" s="251" t="s">
        <v>409</v>
      </c>
      <c r="AC76" s="252" t="s">
        <v>46</v>
      </c>
      <c r="AD76" s="251" t="s">
        <v>56</v>
      </c>
      <c r="AE76" s="251">
        <f t="shared" si="12"/>
        <v>5096</v>
      </c>
      <c r="AF76" s="251">
        <f t="shared" si="15"/>
        <v>0</v>
      </c>
      <c r="AG76" s="266"/>
      <c r="AH76" s="266"/>
      <c r="AI76" s="253" t="s">
        <v>57</v>
      </c>
      <c r="AJ76" s="251">
        <v>0</v>
      </c>
      <c r="AK76" s="253" t="s">
        <v>73</v>
      </c>
      <c r="AL76" s="251">
        <v>0</v>
      </c>
      <c r="AM76" s="251"/>
      <c r="AN76" s="251">
        <f t="shared" si="17"/>
        <v>5096</v>
      </c>
      <c r="AO76" s="290">
        <f t="shared" si="18"/>
        <v>5096</v>
      </c>
      <c r="AP76" s="290" t="b">
        <f t="shared" si="19"/>
        <v>0</v>
      </c>
      <c r="AQ76" s="290">
        <f t="shared" si="20"/>
        <v>5096</v>
      </c>
      <c r="AR76" s="293"/>
      <c r="AS76" s="266"/>
    </row>
    <row r="77" s="215" customFormat="1" ht="39" hidden="1" customHeight="1" spans="1:45">
      <c r="A77" s="254">
        <v>45650</v>
      </c>
      <c r="B77" s="249" t="s">
        <v>43</v>
      </c>
      <c r="C77" s="265" t="s">
        <v>44</v>
      </c>
      <c r="D77" s="256">
        <v>4500154550</v>
      </c>
      <c r="E77" s="257" t="s">
        <v>410</v>
      </c>
      <c r="F77" s="256" t="s">
        <v>411</v>
      </c>
      <c r="G77" s="253" t="s">
        <v>46</v>
      </c>
      <c r="H77" s="253" t="s">
        <v>47</v>
      </c>
      <c r="I77" s="251">
        <v>2058</v>
      </c>
      <c r="J77" s="251">
        <v>0</v>
      </c>
      <c r="K77" s="251">
        <v>98</v>
      </c>
      <c r="L77" s="251">
        <f t="shared" si="8"/>
        <v>21</v>
      </c>
      <c r="M77" s="274">
        <v>45705</v>
      </c>
      <c r="N77" s="274">
        <v>45701</v>
      </c>
      <c r="O77" s="274" t="s">
        <v>347</v>
      </c>
      <c r="P77" s="274" t="s">
        <v>49</v>
      </c>
      <c r="Q77" s="274"/>
      <c r="R77" s="274"/>
      <c r="S77" s="277" t="s">
        <v>50</v>
      </c>
      <c r="T77" s="277" t="s">
        <v>167</v>
      </c>
      <c r="U77" s="277" t="s">
        <v>351</v>
      </c>
      <c r="V77" s="274" t="s">
        <v>352</v>
      </c>
      <c r="W77" s="274"/>
      <c r="X77" s="278" t="s">
        <v>402</v>
      </c>
      <c r="Y77" s="253" t="s">
        <v>170</v>
      </c>
      <c r="Z77" s="281">
        <v>355.5588</v>
      </c>
      <c r="AA77" s="282">
        <f>Z77*L77</f>
        <v>7466.7348</v>
      </c>
      <c r="AB77" s="253" t="s">
        <v>412</v>
      </c>
      <c r="AC77" s="252" t="s">
        <v>46</v>
      </c>
      <c r="AD77" s="251" t="s">
        <v>56</v>
      </c>
      <c r="AE77" s="251">
        <f t="shared" si="12"/>
        <v>2058</v>
      </c>
      <c r="AF77" s="251">
        <f t="shared" si="15"/>
        <v>0</v>
      </c>
      <c r="AG77" s="266"/>
      <c r="AH77" s="266"/>
      <c r="AI77" s="253" t="s">
        <v>57</v>
      </c>
      <c r="AJ77" s="251">
        <v>0</v>
      </c>
      <c r="AK77" s="253" t="s">
        <v>73</v>
      </c>
      <c r="AL77" s="251">
        <v>0</v>
      </c>
      <c r="AM77" s="251"/>
      <c r="AN77" s="251">
        <f t="shared" si="17"/>
        <v>2058</v>
      </c>
      <c r="AO77" s="290">
        <f t="shared" si="18"/>
        <v>2058</v>
      </c>
      <c r="AP77" s="290" t="b">
        <f t="shared" si="19"/>
        <v>0</v>
      </c>
      <c r="AQ77" s="290">
        <f t="shared" si="20"/>
        <v>2058</v>
      </c>
      <c r="AR77" s="293"/>
      <c r="AS77" s="266"/>
    </row>
    <row r="78" s="215" customFormat="1" ht="39" customHeight="1" spans="1:45">
      <c r="A78" s="254">
        <v>45586</v>
      </c>
      <c r="B78" s="249" t="s">
        <v>97</v>
      </c>
      <c r="C78" s="265" t="s">
        <v>44</v>
      </c>
      <c r="D78" s="256">
        <v>4500147804</v>
      </c>
      <c r="E78" s="257" t="s">
        <v>274</v>
      </c>
      <c r="F78" s="256" t="s">
        <v>413</v>
      </c>
      <c r="G78" s="253" t="s">
        <v>62</v>
      </c>
      <c r="H78" s="253" t="s">
        <v>63</v>
      </c>
      <c r="I78" s="251">
        <v>600</v>
      </c>
      <c r="J78" s="251">
        <v>0</v>
      </c>
      <c r="K78" s="251">
        <v>6</v>
      </c>
      <c r="L78" s="251">
        <f t="shared" si="8"/>
        <v>100</v>
      </c>
      <c r="M78" s="274">
        <v>45698</v>
      </c>
      <c r="N78" s="274">
        <v>45694</v>
      </c>
      <c r="O78" s="274"/>
      <c r="P78" s="274" t="s">
        <v>49</v>
      </c>
      <c r="Q78" s="274" t="s">
        <v>414</v>
      </c>
      <c r="R78" s="274"/>
      <c r="S78" s="277" t="s">
        <v>50</v>
      </c>
      <c r="T78" s="277">
        <v>45600</v>
      </c>
      <c r="U78" s="277">
        <v>45644</v>
      </c>
      <c r="V78" s="274"/>
      <c r="W78" s="274"/>
      <c r="X78" s="278" t="s">
        <v>100</v>
      </c>
      <c r="Y78" s="253" t="s">
        <v>101</v>
      </c>
      <c r="Z78" s="281">
        <v>3.6255</v>
      </c>
      <c r="AA78" s="282">
        <f t="shared" ref="AA78:AA83" si="21">I78*Z78</f>
        <v>2175.3</v>
      </c>
      <c r="AB78" s="251" t="s">
        <v>415</v>
      </c>
      <c r="AC78" s="252" t="s">
        <v>62</v>
      </c>
      <c r="AD78" s="251" t="s">
        <v>56</v>
      </c>
      <c r="AE78" s="251">
        <f t="shared" si="12"/>
        <v>600</v>
      </c>
      <c r="AF78" s="251">
        <f t="shared" si="15"/>
        <v>0</v>
      </c>
      <c r="AG78" s="266"/>
      <c r="AH78" s="266"/>
      <c r="AI78" s="253" t="s">
        <v>57</v>
      </c>
      <c r="AJ78" s="251">
        <v>0</v>
      </c>
      <c r="AK78" s="253" t="s">
        <v>73</v>
      </c>
      <c r="AL78" s="251">
        <v>0</v>
      </c>
      <c r="AM78" s="251"/>
      <c r="AN78" s="251">
        <f t="shared" si="17"/>
        <v>600</v>
      </c>
      <c r="AO78" s="290">
        <f t="shared" si="18"/>
        <v>600</v>
      </c>
      <c r="AP78" s="290" t="b">
        <f t="shared" si="19"/>
        <v>0</v>
      </c>
      <c r="AQ78" s="290">
        <f t="shared" si="20"/>
        <v>600</v>
      </c>
      <c r="AR78" s="293"/>
      <c r="AS78" s="266"/>
    </row>
    <row r="79" s="215" customFormat="1" ht="39" customHeight="1" spans="1:45">
      <c r="A79" s="254">
        <v>45586</v>
      </c>
      <c r="B79" s="249" t="s">
        <v>97</v>
      </c>
      <c r="C79" s="265" t="s">
        <v>44</v>
      </c>
      <c r="D79" s="256">
        <v>4500147806</v>
      </c>
      <c r="E79" s="257" t="s">
        <v>151</v>
      </c>
      <c r="F79" s="256" t="s">
        <v>416</v>
      </c>
      <c r="G79" s="253" t="s">
        <v>62</v>
      </c>
      <c r="H79" s="253" t="s">
        <v>63</v>
      </c>
      <c r="I79" s="251">
        <v>798</v>
      </c>
      <c r="J79" s="251">
        <v>0</v>
      </c>
      <c r="K79" s="251">
        <v>6</v>
      </c>
      <c r="L79" s="251">
        <f t="shared" si="8"/>
        <v>133</v>
      </c>
      <c r="M79" s="274">
        <v>45698</v>
      </c>
      <c r="N79" s="274">
        <v>45694</v>
      </c>
      <c r="O79" s="274"/>
      <c r="P79" s="274" t="s">
        <v>49</v>
      </c>
      <c r="Q79" s="274" t="s">
        <v>414</v>
      </c>
      <c r="R79" s="274"/>
      <c r="S79" s="277" t="s">
        <v>50</v>
      </c>
      <c r="T79" s="277">
        <v>45600</v>
      </c>
      <c r="U79" s="277">
        <v>45644</v>
      </c>
      <c r="V79" s="274"/>
      <c r="W79" s="274"/>
      <c r="X79" s="278" t="s">
        <v>100</v>
      </c>
      <c r="Y79" s="253" t="s">
        <v>101</v>
      </c>
      <c r="Z79" s="281">
        <v>3.6255</v>
      </c>
      <c r="AA79" s="282">
        <f t="shared" si="21"/>
        <v>2893.149</v>
      </c>
      <c r="AB79" s="251" t="s">
        <v>417</v>
      </c>
      <c r="AC79" s="252" t="s">
        <v>62</v>
      </c>
      <c r="AD79" s="251" t="s">
        <v>56</v>
      </c>
      <c r="AE79" s="251">
        <f t="shared" si="12"/>
        <v>798</v>
      </c>
      <c r="AF79" s="251">
        <f t="shared" si="15"/>
        <v>0</v>
      </c>
      <c r="AG79" s="266"/>
      <c r="AH79" s="266"/>
      <c r="AI79" s="253" t="s">
        <v>57</v>
      </c>
      <c r="AJ79" s="251">
        <v>0</v>
      </c>
      <c r="AK79" s="253" t="s">
        <v>73</v>
      </c>
      <c r="AL79" s="251">
        <v>0</v>
      </c>
      <c r="AM79" s="251"/>
      <c r="AN79" s="251">
        <f t="shared" si="17"/>
        <v>798</v>
      </c>
      <c r="AO79" s="290">
        <f t="shared" si="18"/>
        <v>798</v>
      </c>
      <c r="AP79" s="290" t="b">
        <f t="shared" si="19"/>
        <v>0</v>
      </c>
      <c r="AQ79" s="290">
        <f t="shared" si="20"/>
        <v>798</v>
      </c>
      <c r="AR79" s="293"/>
      <c r="AS79" s="266"/>
    </row>
    <row r="80" s="215" customFormat="1" ht="39" customHeight="1" spans="1:45">
      <c r="A80" s="254">
        <v>45643</v>
      </c>
      <c r="B80" s="249" t="s">
        <v>74</v>
      </c>
      <c r="C80" s="265" t="s">
        <v>44</v>
      </c>
      <c r="D80" s="256">
        <v>4500154231</v>
      </c>
      <c r="E80" s="257" t="s">
        <v>418</v>
      </c>
      <c r="F80" s="256" t="s">
        <v>419</v>
      </c>
      <c r="G80" s="253" t="s">
        <v>62</v>
      </c>
      <c r="H80" s="253" t="s">
        <v>63</v>
      </c>
      <c r="I80" s="251">
        <v>3012</v>
      </c>
      <c r="J80" s="251">
        <v>0</v>
      </c>
      <c r="K80" s="251">
        <v>6</v>
      </c>
      <c r="L80" s="251">
        <f t="shared" si="8"/>
        <v>502</v>
      </c>
      <c r="M80" s="274">
        <v>45702</v>
      </c>
      <c r="N80" s="274">
        <v>45698</v>
      </c>
      <c r="O80" s="274"/>
      <c r="P80" s="274" t="s">
        <v>49</v>
      </c>
      <c r="Q80" s="274" t="s">
        <v>420</v>
      </c>
      <c r="R80" s="274"/>
      <c r="S80" s="277">
        <v>45663</v>
      </c>
      <c r="T80" s="277">
        <v>45650</v>
      </c>
      <c r="U80" s="277">
        <v>45663</v>
      </c>
      <c r="V80" s="274"/>
      <c r="W80" s="274"/>
      <c r="X80" s="278" t="s">
        <v>421</v>
      </c>
      <c r="Y80" s="253" t="s">
        <v>116</v>
      </c>
      <c r="Z80" s="281">
        <v>3.3717</v>
      </c>
      <c r="AA80" s="282">
        <f t="shared" si="21"/>
        <v>10155.5604</v>
      </c>
      <c r="AB80" s="251" t="s">
        <v>422</v>
      </c>
      <c r="AC80" s="252" t="s">
        <v>62</v>
      </c>
      <c r="AD80" s="251" t="s">
        <v>56</v>
      </c>
      <c r="AE80" s="251">
        <f t="shared" si="12"/>
        <v>3012</v>
      </c>
      <c r="AF80" s="251">
        <f t="shared" si="15"/>
        <v>0</v>
      </c>
      <c r="AG80" s="266"/>
      <c r="AH80" s="266"/>
      <c r="AI80" s="253" t="s">
        <v>57</v>
      </c>
      <c r="AJ80" s="251">
        <v>0</v>
      </c>
      <c r="AK80" s="253" t="s">
        <v>73</v>
      </c>
      <c r="AL80" s="251">
        <v>0</v>
      </c>
      <c r="AM80" s="251"/>
      <c r="AN80" s="251">
        <f t="shared" si="17"/>
        <v>3012</v>
      </c>
      <c r="AO80" s="290">
        <f t="shared" si="18"/>
        <v>3012</v>
      </c>
      <c r="AP80" s="290" t="b">
        <f t="shared" si="19"/>
        <v>0</v>
      </c>
      <c r="AQ80" s="290">
        <f t="shared" si="20"/>
        <v>3012</v>
      </c>
      <c r="AR80" s="293"/>
      <c r="AS80" s="266"/>
    </row>
    <row r="81" s="215" customFormat="1" ht="39" customHeight="1" spans="1:45">
      <c r="A81" s="254">
        <v>45617</v>
      </c>
      <c r="B81" s="249" t="s">
        <v>423</v>
      </c>
      <c r="C81" s="265" t="s">
        <v>424</v>
      </c>
      <c r="D81" s="256">
        <v>4500151799</v>
      </c>
      <c r="E81" s="257"/>
      <c r="F81" s="256" t="s">
        <v>425</v>
      </c>
      <c r="G81" s="253" t="s">
        <v>62</v>
      </c>
      <c r="H81" s="253" t="s">
        <v>63</v>
      </c>
      <c r="I81" s="251">
        <v>270</v>
      </c>
      <c r="J81" s="251">
        <v>0</v>
      </c>
      <c r="K81" s="251">
        <v>6</v>
      </c>
      <c r="L81" s="251">
        <f t="shared" ref="L81:L90" si="22">I81/K81</f>
        <v>45</v>
      </c>
      <c r="M81" s="274">
        <v>45705</v>
      </c>
      <c r="N81" s="274">
        <v>45701</v>
      </c>
      <c r="O81" s="274"/>
      <c r="P81" s="274" t="s">
        <v>49</v>
      </c>
      <c r="Q81" s="274">
        <v>45706</v>
      </c>
      <c r="R81" s="274"/>
      <c r="S81" s="277" t="s">
        <v>50</v>
      </c>
      <c r="T81" s="277">
        <v>45617</v>
      </c>
      <c r="U81" s="277">
        <v>45623</v>
      </c>
      <c r="V81" s="274"/>
      <c r="W81" s="274"/>
      <c r="X81" s="278" t="s">
        <v>426</v>
      </c>
      <c r="Y81" s="253" t="s">
        <v>161</v>
      </c>
      <c r="Z81" s="281">
        <v>3.4297</v>
      </c>
      <c r="AA81" s="282">
        <f t="shared" si="21"/>
        <v>926.019</v>
      </c>
      <c r="AB81" s="251" t="s">
        <v>427</v>
      </c>
      <c r="AC81" s="252" t="s">
        <v>62</v>
      </c>
      <c r="AD81" s="251" t="s">
        <v>56</v>
      </c>
      <c r="AE81" s="251">
        <f t="shared" si="12"/>
        <v>270</v>
      </c>
      <c r="AF81" s="251">
        <f t="shared" si="15"/>
        <v>0</v>
      </c>
      <c r="AG81" s="266"/>
      <c r="AH81" s="266"/>
      <c r="AI81" s="253" t="s">
        <v>57</v>
      </c>
      <c r="AJ81" s="251">
        <v>0</v>
      </c>
      <c r="AK81" s="253" t="s">
        <v>73</v>
      </c>
      <c r="AL81" s="251">
        <v>0</v>
      </c>
      <c r="AM81" s="251"/>
      <c r="AN81" s="251">
        <f t="shared" si="17"/>
        <v>270</v>
      </c>
      <c r="AO81" s="290">
        <f t="shared" si="18"/>
        <v>270</v>
      </c>
      <c r="AP81" s="290" t="b">
        <f t="shared" si="19"/>
        <v>0</v>
      </c>
      <c r="AQ81" s="290">
        <f t="shared" si="20"/>
        <v>270</v>
      </c>
      <c r="AR81" s="293"/>
      <c r="AS81" s="266"/>
    </row>
    <row r="82" s="215" customFormat="1" ht="39" customHeight="1" spans="1:45">
      <c r="A82" s="254">
        <v>45602</v>
      </c>
      <c r="B82" s="249" t="s">
        <v>156</v>
      </c>
      <c r="C82" s="265" t="s">
        <v>157</v>
      </c>
      <c r="D82" s="256">
        <v>4500150351</v>
      </c>
      <c r="E82" s="257"/>
      <c r="F82" s="256" t="s">
        <v>428</v>
      </c>
      <c r="G82" s="253" t="s">
        <v>62</v>
      </c>
      <c r="H82" s="253" t="s">
        <v>63</v>
      </c>
      <c r="I82" s="251">
        <v>282</v>
      </c>
      <c r="J82" s="251">
        <v>0</v>
      </c>
      <c r="K82" s="251">
        <v>6</v>
      </c>
      <c r="L82" s="251">
        <f t="shared" si="22"/>
        <v>47</v>
      </c>
      <c r="M82" s="274">
        <v>45694</v>
      </c>
      <c r="N82" s="274">
        <v>45691</v>
      </c>
      <c r="O82" s="274"/>
      <c r="P82" s="274" t="s">
        <v>49</v>
      </c>
      <c r="Q82" s="274"/>
      <c r="R82" s="274"/>
      <c r="S82" s="277" t="s">
        <v>50</v>
      </c>
      <c r="T82" s="277">
        <v>45610</v>
      </c>
      <c r="U82" s="277">
        <v>45624</v>
      </c>
      <c r="V82" s="274"/>
      <c r="W82" s="274"/>
      <c r="X82" s="279" t="s">
        <v>429</v>
      </c>
      <c r="Y82" s="253" t="s">
        <v>161</v>
      </c>
      <c r="Z82" s="281">
        <v>3.6385</v>
      </c>
      <c r="AA82" s="282">
        <f t="shared" si="21"/>
        <v>1026.057</v>
      </c>
      <c r="AB82" s="251" t="s">
        <v>430</v>
      </c>
      <c r="AC82" s="252" t="s">
        <v>62</v>
      </c>
      <c r="AD82" s="251" t="s">
        <v>56</v>
      </c>
      <c r="AE82" s="251">
        <f t="shared" si="12"/>
        <v>282</v>
      </c>
      <c r="AF82" s="251">
        <f t="shared" si="15"/>
        <v>0</v>
      </c>
      <c r="AG82" s="266"/>
      <c r="AH82" s="266"/>
      <c r="AI82" s="253" t="s">
        <v>57</v>
      </c>
      <c r="AJ82" s="251">
        <v>0</v>
      </c>
      <c r="AK82" s="253" t="s">
        <v>73</v>
      </c>
      <c r="AL82" s="251">
        <v>0</v>
      </c>
      <c r="AM82" s="251"/>
      <c r="AN82" s="251">
        <f t="shared" si="17"/>
        <v>282</v>
      </c>
      <c r="AO82" s="290">
        <f t="shared" si="18"/>
        <v>282</v>
      </c>
      <c r="AP82" s="290" t="b">
        <f t="shared" si="19"/>
        <v>0</v>
      </c>
      <c r="AQ82" s="290">
        <f t="shared" si="20"/>
        <v>282</v>
      </c>
      <c r="AR82" s="293"/>
      <c r="AS82" s="266"/>
    </row>
    <row r="83" s="215" customFormat="1" ht="39" customHeight="1" spans="1:45">
      <c r="A83" s="254">
        <v>45643</v>
      </c>
      <c r="B83" s="249" t="s">
        <v>431</v>
      </c>
      <c r="C83" s="265" t="s">
        <v>432</v>
      </c>
      <c r="D83" s="256">
        <v>4500153776</v>
      </c>
      <c r="E83" s="257"/>
      <c r="F83" s="256" t="s">
        <v>433</v>
      </c>
      <c r="G83" s="253" t="s">
        <v>62</v>
      </c>
      <c r="H83" s="253" t="s">
        <v>63</v>
      </c>
      <c r="I83" s="251">
        <v>180</v>
      </c>
      <c r="J83" s="251">
        <v>0</v>
      </c>
      <c r="K83" s="251">
        <v>6</v>
      </c>
      <c r="L83" s="251">
        <f t="shared" si="22"/>
        <v>30</v>
      </c>
      <c r="M83" s="274">
        <v>45715</v>
      </c>
      <c r="N83" s="274">
        <f>M83-3</f>
        <v>45712</v>
      </c>
      <c r="O83" s="274"/>
      <c r="P83" s="274" t="s">
        <v>49</v>
      </c>
      <c r="Q83" s="274"/>
      <c r="R83" s="274"/>
      <c r="S83" s="277" t="s">
        <v>50</v>
      </c>
      <c r="T83" s="277" t="s">
        <v>434</v>
      </c>
      <c r="U83" s="277" t="s">
        <v>435</v>
      </c>
      <c r="V83" s="274"/>
      <c r="W83" s="274"/>
      <c r="X83" s="278" t="s">
        <v>436</v>
      </c>
      <c r="Y83" s="253" t="s">
        <v>205</v>
      </c>
      <c r="Z83" s="281">
        <v>3.6385</v>
      </c>
      <c r="AA83" s="282">
        <f t="shared" si="21"/>
        <v>654.93</v>
      </c>
      <c r="AB83" s="251" t="s">
        <v>437</v>
      </c>
      <c r="AC83" s="286" t="s">
        <v>71</v>
      </c>
      <c r="AD83" s="251" t="s">
        <v>56</v>
      </c>
      <c r="AE83" s="251">
        <f t="shared" si="12"/>
        <v>180</v>
      </c>
      <c r="AF83" s="251">
        <f t="shared" si="15"/>
        <v>0</v>
      </c>
      <c r="AG83" s="266"/>
      <c r="AH83" s="266"/>
      <c r="AI83" s="253" t="s">
        <v>72</v>
      </c>
      <c r="AJ83" s="251">
        <v>2</v>
      </c>
      <c r="AK83" s="253" t="s">
        <v>73</v>
      </c>
      <c r="AL83" s="251">
        <v>0</v>
      </c>
      <c r="AM83" s="251"/>
      <c r="AN83" s="251">
        <f t="shared" si="17"/>
        <v>180</v>
      </c>
      <c r="AO83" s="290">
        <f t="shared" si="18"/>
        <v>0</v>
      </c>
      <c r="AP83" s="290">
        <f t="shared" si="19"/>
        <v>180</v>
      </c>
      <c r="AQ83" s="290">
        <f t="shared" si="20"/>
        <v>180</v>
      </c>
      <c r="AR83" s="293"/>
      <c r="AS83" s="266"/>
    </row>
    <row r="84" s="215" customFormat="1" ht="39" hidden="1" customHeight="1" spans="1:45">
      <c r="A84" s="254">
        <v>45650</v>
      </c>
      <c r="B84" s="249" t="s">
        <v>43</v>
      </c>
      <c r="C84" s="265" t="s">
        <v>44</v>
      </c>
      <c r="D84" s="256">
        <v>4500154550</v>
      </c>
      <c r="E84" s="257" t="s">
        <v>438</v>
      </c>
      <c r="F84" s="256" t="s">
        <v>439</v>
      </c>
      <c r="G84" s="253" t="s">
        <v>46</v>
      </c>
      <c r="H84" s="253" t="s">
        <v>47</v>
      </c>
      <c r="I84" s="251">
        <v>4214</v>
      </c>
      <c r="J84" s="251">
        <v>0</v>
      </c>
      <c r="K84" s="251">
        <v>98</v>
      </c>
      <c r="L84" s="251">
        <f t="shared" si="22"/>
        <v>43</v>
      </c>
      <c r="M84" s="274">
        <v>45705</v>
      </c>
      <c r="N84" s="274">
        <v>45701</v>
      </c>
      <c r="O84" s="274" t="s">
        <v>347</v>
      </c>
      <c r="P84" s="274" t="s">
        <v>49</v>
      </c>
      <c r="Q84" s="274"/>
      <c r="R84" s="274"/>
      <c r="S84" s="277" t="s">
        <v>50</v>
      </c>
      <c r="T84" s="277" t="s">
        <v>167</v>
      </c>
      <c r="U84" s="277" t="s">
        <v>351</v>
      </c>
      <c r="V84" s="280" t="s">
        <v>352</v>
      </c>
      <c r="W84" s="274"/>
      <c r="X84" s="278" t="s">
        <v>402</v>
      </c>
      <c r="Y84" s="253" t="s">
        <v>170</v>
      </c>
      <c r="Z84" s="281">
        <v>355.5588</v>
      </c>
      <c r="AA84" s="282">
        <f>Z84*L84</f>
        <v>15289.0284</v>
      </c>
      <c r="AB84" s="251" t="s">
        <v>440</v>
      </c>
      <c r="AC84" s="252" t="s">
        <v>46</v>
      </c>
      <c r="AD84" s="251" t="s">
        <v>56</v>
      </c>
      <c r="AE84" s="251">
        <f t="shared" si="12"/>
        <v>4214</v>
      </c>
      <c r="AF84" s="251">
        <f t="shared" si="15"/>
        <v>0</v>
      </c>
      <c r="AG84" s="266"/>
      <c r="AH84" s="266"/>
      <c r="AI84" s="253" t="s">
        <v>57</v>
      </c>
      <c r="AJ84" s="251">
        <v>0</v>
      </c>
      <c r="AK84" s="253" t="s">
        <v>73</v>
      </c>
      <c r="AL84" s="251">
        <v>0</v>
      </c>
      <c r="AM84" s="251"/>
      <c r="AN84" s="251">
        <f t="shared" si="17"/>
        <v>4214</v>
      </c>
      <c r="AO84" s="290">
        <f t="shared" si="18"/>
        <v>4214</v>
      </c>
      <c r="AP84" s="290" t="b">
        <f t="shared" si="19"/>
        <v>0</v>
      </c>
      <c r="AQ84" s="290">
        <f t="shared" si="20"/>
        <v>4214</v>
      </c>
      <c r="AR84" s="293"/>
      <c r="AS84" s="266"/>
    </row>
    <row r="85" s="215" customFormat="1" ht="39" customHeight="1" spans="1:45">
      <c r="A85" s="262">
        <v>45609</v>
      </c>
      <c r="B85" s="249" t="s">
        <v>441</v>
      </c>
      <c r="C85" s="263" t="s">
        <v>442</v>
      </c>
      <c r="D85" s="264">
        <v>4500150411</v>
      </c>
      <c r="E85" s="253" t="s">
        <v>443</v>
      </c>
      <c r="F85" s="264" t="s">
        <v>444</v>
      </c>
      <c r="G85" s="251" t="s">
        <v>62</v>
      </c>
      <c r="H85" s="253" t="s">
        <v>63</v>
      </c>
      <c r="I85" s="251">
        <v>2010</v>
      </c>
      <c r="J85" s="251">
        <v>0</v>
      </c>
      <c r="K85" s="251">
        <v>6</v>
      </c>
      <c r="L85" s="251">
        <f t="shared" si="22"/>
        <v>335</v>
      </c>
      <c r="M85" s="273">
        <v>45713</v>
      </c>
      <c r="N85" s="274">
        <v>45709</v>
      </c>
      <c r="O85" s="274"/>
      <c r="P85" s="274" t="s">
        <v>49</v>
      </c>
      <c r="Q85" s="274"/>
      <c r="R85" s="274"/>
      <c r="S85" s="277" t="s">
        <v>50</v>
      </c>
      <c r="T85" s="277">
        <v>45609</v>
      </c>
      <c r="U85" s="277" t="s">
        <v>50</v>
      </c>
      <c r="V85" s="274"/>
      <c r="W85" s="274"/>
      <c r="X85" s="253" t="s">
        <v>445</v>
      </c>
      <c r="Y85" s="253" t="s">
        <v>446</v>
      </c>
      <c r="Z85" s="281">
        <v>3.612</v>
      </c>
      <c r="AA85" s="282">
        <f t="shared" ref="AA85:AA90" si="23">I85*Z85</f>
        <v>7260.12</v>
      </c>
      <c r="AB85" s="251" t="s">
        <v>447</v>
      </c>
      <c r="AC85" s="252" t="s">
        <v>62</v>
      </c>
      <c r="AD85" s="251" t="s">
        <v>56</v>
      </c>
      <c r="AE85" s="251">
        <f t="shared" si="12"/>
        <v>2010</v>
      </c>
      <c r="AF85" s="251">
        <f t="shared" si="15"/>
        <v>0</v>
      </c>
      <c r="AG85" s="266"/>
      <c r="AH85" s="266"/>
      <c r="AI85" s="253" t="s">
        <v>57</v>
      </c>
      <c r="AJ85" s="251">
        <v>0</v>
      </c>
      <c r="AK85" s="253" t="s">
        <v>73</v>
      </c>
      <c r="AL85" s="251">
        <v>0</v>
      </c>
      <c r="AM85" s="251"/>
      <c r="AN85" s="251">
        <f t="shared" si="17"/>
        <v>2010</v>
      </c>
      <c r="AO85" s="290">
        <f t="shared" si="18"/>
        <v>2010</v>
      </c>
      <c r="AP85" s="290" t="b">
        <f t="shared" si="19"/>
        <v>0</v>
      </c>
      <c r="AQ85" s="290">
        <f t="shared" si="20"/>
        <v>2010</v>
      </c>
      <c r="AR85" s="291"/>
      <c r="AS85" s="292"/>
    </row>
    <row r="86" s="215" customFormat="1" ht="39" customHeight="1" spans="1:45">
      <c r="A86" s="262">
        <v>45663</v>
      </c>
      <c r="B86" s="249" t="s">
        <v>448</v>
      </c>
      <c r="C86" s="263" t="s">
        <v>449</v>
      </c>
      <c r="D86" s="264">
        <v>4500155294</v>
      </c>
      <c r="E86" s="253" t="s">
        <v>450</v>
      </c>
      <c r="F86" s="264" t="s">
        <v>451</v>
      </c>
      <c r="G86" s="251" t="s">
        <v>62</v>
      </c>
      <c r="H86" s="253" t="s">
        <v>63</v>
      </c>
      <c r="I86" s="251">
        <v>2304</v>
      </c>
      <c r="J86" s="251">
        <v>0</v>
      </c>
      <c r="K86" s="251">
        <v>6</v>
      </c>
      <c r="L86" s="251">
        <f t="shared" si="22"/>
        <v>384</v>
      </c>
      <c r="M86" s="273">
        <v>45713</v>
      </c>
      <c r="N86" s="274">
        <v>45709</v>
      </c>
      <c r="O86" s="274"/>
      <c r="P86" s="274" t="s">
        <v>49</v>
      </c>
      <c r="Q86" s="274"/>
      <c r="R86" s="274"/>
      <c r="S86" s="277" t="s">
        <v>50</v>
      </c>
      <c r="T86" s="277" t="s">
        <v>452</v>
      </c>
      <c r="U86" s="277">
        <v>45664</v>
      </c>
      <c r="V86" s="274"/>
      <c r="W86" s="274"/>
      <c r="X86" s="253" t="s">
        <v>453</v>
      </c>
      <c r="Y86" s="253" t="s">
        <v>454</v>
      </c>
      <c r="Z86" s="281">
        <v>3.6387</v>
      </c>
      <c r="AA86" s="282">
        <f t="shared" si="23"/>
        <v>8383.5648</v>
      </c>
      <c r="AB86" s="251" t="s">
        <v>455</v>
      </c>
      <c r="AC86" s="252" t="s">
        <v>456</v>
      </c>
      <c r="AD86" s="251" t="s">
        <v>56</v>
      </c>
      <c r="AE86" s="251">
        <f t="shared" si="12"/>
        <v>2304</v>
      </c>
      <c r="AF86" s="251">
        <f t="shared" si="15"/>
        <v>0</v>
      </c>
      <c r="AG86" s="266"/>
      <c r="AH86" s="266"/>
      <c r="AI86" s="253" t="s">
        <v>57</v>
      </c>
      <c r="AJ86" s="251">
        <v>0</v>
      </c>
      <c r="AK86" s="253" t="s">
        <v>136</v>
      </c>
      <c r="AL86" s="251">
        <v>1</v>
      </c>
      <c r="AM86" s="251"/>
      <c r="AN86" s="251">
        <f t="shared" si="17"/>
        <v>2304</v>
      </c>
      <c r="AO86" s="290">
        <f t="shared" si="18"/>
        <v>2304</v>
      </c>
      <c r="AP86" s="290" t="b">
        <f t="shared" si="19"/>
        <v>0</v>
      </c>
      <c r="AQ86" s="290">
        <f t="shared" si="20"/>
        <v>0</v>
      </c>
      <c r="AR86" s="291"/>
      <c r="AS86" s="292"/>
    </row>
    <row r="87" s="215" customFormat="1" ht="39" customHeight="1" spans="1:45">
      <c r="A87" s="254">
        <v>45636</v>
      </c>
      <c r="B87" s="249" t="s">
        <v>457</v>
      </c>
      <c r="C87" s="265" t="s">
        <v>458</v>
      </c>
      <c r="D87" s="256">
        <v>4500153605</v>
      </c>
      <c r="E87" s="257" t="s">
        <v>459</v>
      </c>
      <c r="F87" s="256" t="s">
        <v>460</v>
      </c>
      <c r="G87" s="253" t="s">
        <v>62</v>
      </c>
      <c r="H87" s="253" t="s">
        <v>63</v>
      </c>
      <c r="I87" s="251">
        <v>522</v>
      </c>
      <c r="J87" s="251">
        <v>0</v>
      </c>
      <c r="K87" s="251">
        <v>6</v>
      </c>
      <c r="L87" s="251">
        <f t="shared" si="22"/>
        <v>87</v>
      </c>
      <c r="M87" s="273">
        <v>45715</v>
      </c>
      <c r="N87" s="274">
        <v>45711</v>
      </c>
      <c r="O87" s="274"/>
      <c r="P87" s="274" t="s">
        <v>49</v>
      </c>
      <c r="Q87" s="274"/>
      <c r="R87" s="274"/>
      <c r="S87" s="277" t="s">
        <v>50</v>
      </c>
      <c r="T87" s="277">
        <v>45637</v>
      </c>
      <c r="U87" s="277" t="s">
        <v>461</v>
      </c>
      <c r="V87" s="274"/>
      <c r="W87" s="274"/>
      <c r="X87" s="278" t="s">
        <v>462</v>
      </c>
      <c r="Y87" s="253" t="s">
        <v>454</v>
      </c>
      <c r="Z87" s="281">
        <v>3.7033</v>
      </c>
      <c r="AA87" s="282">
        <f t="shared" si="23"/>
        <v>1933.1226</v>
      </c>
      <c r="AB87" s="251" t="s">
        <v>463</v>
      </c>
      <c r="AC87" s="252" t="s">
        <v>62</v>
      </c>
      <c r="AD87" s="251" t="s">
        <v>56</v>
      </c>
      <c r="AE87" s="251">
        <f t="shared" si="12"/>
        <v>522</v>
      </c>
      <c r="AF87" s="251">
        <f t="shared" si="15"/>
        <v>0</v>
      </c>
      <c r="AG87" s="266"/>
      <c r="AH87" s="266"/>
      <c r="AI87" s="253" t="s">
        <v>57</v>
      </c>
      <c r="AJ87" s="251">
        <v>0</v>
      </c>
      <c r="AK87" s="253" t="s">
        <v>73</v>
      </c>
      <c r="AL87" s="251">
        <v>0</v>
      </c>
      <c r="AM87" s="251"/>
      <c r="AN87" s="251">
        <f t="shared" si="17"/>
        <v>522</v>
      </c>
      <c r="AO87" s="290">
        <f t="shared" si="18"/>
        <v>522</v>
      </c>
      <c r="AP87" s="290" t="b">
        <f t="shared" si="19"/>
        <v>0</v>
      </c>
      <c r="AQ87" s="290">
        <f t="shared" si="20"/>
        <v>522</v>
      </c>
      <c r="AR87" s="293"/>
      <c r="AS87" s="266"/>
    </row>
    <row r="88" s="215" customFormat="1" ht="39" customHeight="1" spans="1:45">
      <c r="A88" s="254">
        <v>45636</v>
      </c>
      <c r="B88" s="249" t="s">
        <v>457</v>
      </c>
      <c r="C88" s="265" t="s">
        <v>458</v>
      </c>
      <c r="D88" s="256">
        <v>4500153587</v>
      </c>
      <c r="E88" s="257" t="s">
        <v>464</v>
      </c>
      <c r="F88" s="256" t="s">
        <v>465</v>
      </c>
      <c r="G88" s="253" t="s">
        <v>62</v>
      </c>
      <c r="H88" s="253" t="s">
        <v>63</v>
      </c>
      <c r="I88" s="251">
        <v>522</v>
      </c>
      <c r="J88" s="251">
        <v>0</v>
      </c>
      <c r="K88" s="251">
        <v>6</v>
      </c>
      <c r="L88" s="251">
        <f t="shared" si="22"/>
        <v>87</v>
      </c>
      <c r="M88" s="273">
        <v>45715</v>
      </c>
      <c r="N88" s="274">
        <v>45712</v>
      </c>
      <c r="O88" s="274"/>
      <c r="P88" s="274" t="s">
        <v>49</v>
      </c>
      <c r="Q88" s="274"/>
      <c r="R88" s="274"/>
      <c r="S88" s="277" t="s">
        <v>50</v>
      </c>
      <c r="T88" s="277">
        <v>45637</v>
      </c>
      <c r="U88" s="277" t="s">
        <v>461</v>
      </c>
      <c r="V88" s="274"/>
      <c r="W88" s="274"/>
      <c r="X88" s="278" t="s">
        <v>466</v>
      </c>
      <c r="Y88" s="253" t="s">
        <v>454</v>
      </c>
      <c r="Z88" s="281">
        <v>3.7033</v>
      </c>
      <c r="AA88" s="282">
        <f t="shared" si="23"/>
        <v>1933.1226</v>
      </c>
      <c r="AB88" s="251" t="s">
        <v>467</v>
      </c>
      <c r="AC88" s="252" t="s">
        <v>62</v>
      </c>
      <c r="AD88" s="251" t="s">
        <v>56</v>
      </c>
      <c r="AE88" s="251">
        <f t="shared" si="12"/>
        <v>522</v>
      </c>
      <c r="AF88" s="251">
        <f t="shared" si="15"/>
        <v>0</v>
      </c>
      <c r="AG88" s="266"/>
      <c r="AH88" s="266"/>
      <c r="AI88" s="253" t="s">
        <v>57</v>
      </c>
      <c r="AJ88" s="251">
        <v>0</v>
      </c>
      <c r="AK88" s="253" t="s">
        <v>73</v>
      </c>
      <c r="AL88" s="251">
        <v>0</v>
      </c>
      <c r="AM88" s="251"/>
      <c r="AN88" s="251">
        <f t="shared" si="17"/>
        <v>522</v>
      </c>
      <c r="AO88" s="290">
        <f t="shared" si="18"/>
        <v>522</v>
      </c>
      <c r="AP88" s="290" t="b">
        <f t="shared" si="19"/>
        <v>0</v>
      </c>
      <c r="AQ88" s="290">
        <f t="shared" si="20"/>
        <v>522</v>
      </c>
      <c r="AR88" s="293"/>
      <c r="AS88" s="266"/>
    </row>
    <row r="89" s="215" customFormat="1" ht="39" customHeight="1" spans="1:45">
      <c r="A89" s="254">
        <v>45636</v>
      </c>
      <c r="B89" s="249" t="s">
        <v>457</v>
      </c>
      <c r="C89" s="265" t="s">
        <v>458</v>
      </c>
      <c r="D89" s="256">
        <v>4500153603</v>
      </c>
      <c r="E89" s="257" t="s">
        <v>468</v>
      </c>
      <c r="F89" s="256" t="s">
        <v>469</v>
      </c>
      <c r="G89" s="253" t="s">
        <v>62</v>
      </c>
      <c r="H89" s="253" t="s">
        <v>63</v>
      </c>
      <c r="I89" s="251">
        <v>378</v>
      </c>
      <c r="J89" s="251">
        <v>0</v>
      </c>
      <c r="K89" s="251">
        <v>6</v>
      </c>
      <c r="L89" s="251">
        <f t="shared" si="22"/>
        <v>63</v>
      </c>
      <c r="M89" s="273">
        <v>45715</v>
      </c>
      <c r="N89" s="274">
        <v>45712</v>
      </c>
      <c r="O89" s="274"/>
      <c r="P89" s="274" t="s">
        <v>49</v>
      </c>
      <c r="Q89" s="274"/>
      <c r="R89" s="274"/>
      <c r="S89" s="277" t="s">
        <v>50</v>
      </c>
      <c r="T89" s="277">
        <v>45637</v>
      </c>
      <c r="U89" s="277" t="s">
        <v>461</v>
      </c>
      <c r="V89" s="274"/>
      <c r="W89" s="274"/>
      <c r="X89" s="278" t="s">
        <v>466</v>
      </c>
      <c r="Y89" s="253" t="s">
        <v>454</v>
      </c>
      <c r="Z89" s="281">
        <v>3.7163</v>
      </c>
      <c r="AA89" s="282">
        <f t="shared" si="23"/>
        <v>1404.7614</v>
      </c>
      <c r="AB89" s="251" t="s">
        <v>470</v>
      </c>
      <c r="AC89" s="252" t="s">
        <v>62</v>
      </c>
      <c r="AD89" s="251" t="s">
        <v>56</v>
      </c>
      <c r="AE89" s="251">
        <f t="shared" si="12"/>
        <v>378</v>
      </c>
      <c r="AF89" s="251">
        <f t="shared" si="15"/>
        <v>0</v>
      </c>
      <c r="AG89" s="266"/>
      <c r="AH89" s="266"/>
      <c r="AI89" s="253" t="s">
        <v>57</v>
      </c>
      <c r="AJ89" s="251">
        <v>0</v>
      </c>
      <c r="AK89" s="253" t="s">
        <v>73</v>
      </c>
      <c r="AL89" s="251">
        <v>0</v>
      </c>
      <c r="AM89" s="251"/>
      <c r="AN89" s="251">
        <f t="shared" si="17"/>
        <v>378</v>
      </c>
      <c r="AO89" s="290">
        <f t="shared" si="18"/>
        <v>378</v>
      </c>
      <c r="AP89" s="290" t="b">
        <f t="shared" si="19"/>
        <v>0</v>
      </c>
      <c r="AQ89" s="290">
        <f t="shared" si="20"/>
        <v>378</v>
      </c>
      <c r="AR89" s="293"/>
      <c r="AS89" s="266"/>
    </row>
    <row r="90" s="215" customFormat="1" ht="39" customHeight="1" spans="1:45">
      <c r="A90" s="254">
        <v>45636</v>
      </c>
      <c r="B90" s="249" t="s">
        <v>457</v>
      </c>
      <c r="C90" s="265" t="s">
        <v>458</v>
      </c>
      <c r="D90" s="256">
        <v>4500153585</v>
      </c>
      <c r="E90" s="257" t="s">
        <v>471</v>
      </c>
      <c r="F90" s="256" t="s">
        <v>472</v>
      </c>
      <c r="G90" s="253" t="s">
        <v>62</v>
      </c>
      <c r="H90" s="253" t="s">
        <v>63</v>
      </c>
      <c r="I90" s="251">
        <v>378</v>
      </c>
      <c r="J90" s="251">
        <v>0</v>
      </c>
      <c r="K90" s="251">
        <v>6</v>
      </c>
      <c r="L90" s="251">
        <f t="shared" si="22"/>
        <v>63</v>
      </c>
      <c r="M90" s="273">
        <v>45715</v>
      </c>
      <c r="N90" s="274">
        <v>45712</v>
      </c>
      <c r="O90" s="274"/>
      <c r="P90" s="274" t="s">
        <v>49</v>
      </c>
      <c r="Q90" s="274"/>
      <c r="R90" s="274"/>
      <c r="S90" s="277" t="s">
        <v>50</v>
      </c>
      <c r="T90" s="277">
        <v>45637</v>
      </c>
      <c r="U90" s="277">
        <v>45667</v>
      </c>
      <c r="V90" s="274"/>
      <c r="W90" s="274"/>
      <c r="X90" s="278" t="s">
        <v>473</v>
      </c>
      <c r="Y90" s="253" t="s">
        <v>454</v>
      </c>
      <c r="Z90" s="281">
        <v>3.7163</v>
      </c>
      <c r="AA90" s="282">
        <f t="shared" si="23"/>
        <v>1404.7614</v>
      </c>
      <c r="AB90" s="251" t="s">
        <v>474</v>
      </c>
      <c r="AC90" s="252" t="s">
        <v>62</v>
      </c>
      <c r="AD90" s="251" t="s">
        <v>56</v>
      </c>
      <c r="AE90" s="251">
        <f t="shared" si="12"/>
        <v>378</v>
      </c>
      <c r="AF90" s="251">
        <f t="shared" si="15"/>
        <v>0</v>
      </c>
      <c r="AG90" s="266"/>
      <c r="AH90" s="266"/>
      <c r="AI90" s="253" t="s">
        <v>57</v>
      </c>
      <c r="AJ90" s="251">
        <v>0</v>
      </c>
      <c r="AK90" s="253" t="s">
        <v>73</v>
      </c>
      <c r="AL90" s="251">
        <v>0</v>
      </c>
      <c r="AM90" s="251"/>
      <c r="AN90" s="251">
        <f t="shared" si="17"/>
        <v>378</v>
      </c>
      <c r="AO90" s="290">
        <f t="shared" si="18"/>
        <v>378</v>
      </c>
      <c r="AP90" s="290" t="b">
        <f t="shared" si="19"/>
        <v>0</v>
      </c>
      <c r="AQ90" s="290">
        <f t="shared" si="20"/>
        <v>378</v>
      </c>
      <c r="AR90" s="293"/>
      <c r="AS90" s="266"/>
    </row>
    <row r="91" s="215" customFormat="1" ht="39" hidden="1" customHeight="1" spans="1:45">
      <c r="A91" s="254">
        <v>45632</v>
      </c>
      <c r="B91" s="249" t="s">
        <v>43</v>
      </c>
      <c r="C91" s="265" t="s">
        <v>44</v>
      </c>
      <c r="D91" s="256">
        <v>4500153482</v>
      </c>
      <c r="E91" s="257" t="s">
        <v>475</v>
      </c>
      <c r="F91" s="256" t="s">
        <v>476</v>
      </c>
      <c r="G91" s="253" t="s">
        <v>46</v>
      </c>
      <c r="H91" s="253" t="s">
        <v>47</v>
      </c>
      <c r="I91" s="251">
        <v>588</v>
      </c>
      <c r="J91" s="251">
        <v>0</v>
      </c>
      <c r="K91" s="251">
        <v>98</v>
      </c>
      <c r="L91" s="251">
        <f t="shared" ref="L91:L154" si="24">I91/K91</f>
        <v>6</v>
      </c>
      <c r="M91" s="274">
        <v>45719</v>
      </c>
      <c r="N91" s="274">
        <v>45715</v>
      </c>
      <c r="O91" s="274"/>
      <c r="P91" s="274" t="s">
        <v>49</v>
      </c>
      <c r="Q91" s="274">
        <v>45724</v>
      </c>
      <c r="R91" s="274"/>
      <c r="S91" s="277" t="s">
        <v>50</v>
      </c>
      <c r="T91" s="277" t="s">
        <v>313</v>
      </c>
      <c r="U91" s="277" t="s">
        <v>314</v>
      </c>
      <c r="V91" s="274" t="s">
        <v>315</v>
      </c>
      <c r="W91" s="274"/>
      <c r="X91" s="278" t="s">
        <v>477</v>
      </c>
      <c r="Y91" s="253" t="s">
        <v>170</v>
      </c>
      <c r="Z91" s="281">
        <v>365.349</v>
      </c>
      <c r="AA91" s="282">
        <f t="shared" ref="AA91:AA100" si="25">Z91*L91</f>
        <v>2192.094</v>
      </c>
      <c r="AB91" s="251" t="s">
        <v>478</v>
      </c>
      <c r="AC91" s="252" t="s">
        <v>46</v>
      </c>
      <c r="AD91" s="251" t="s">
        <v>56</v>
      </c>
      <c r="AE91" s="251">
        <f t="shared" ref="AE91:AE109" si="26">I91</f>
        <v>588</v>
      </c>
      <c r="AF91" s="251">
        <f t="shared" si="15"/>
        <v>0</v>
      </c>
      <c r="AG91" s="266"/>
      <c r="AH91" s="266"/>
      <c r="AI91" s="253" t="s">
        <v>57</v>
      </c>
      <c r="AJ91" s="251">
        <v>0</v>
      </c>
      <c r="AK91" s="253" t="s">
        <v>73</v>
      </c>
      <c r="AL91" s="251">
        <v>0</v>
      </c>
      <c r="AM91" s="251"/>
      <c r="AN91" s="251">
        <f t="shared" si="17"/>
        <v>588</v>
      </c>
      <c r="AO91" s="290">
        <f t="shared" si="18"/>
        <v>588</v>
      </c>
      <c r="AP91" s="290" t="b">
        <f t="shared" si="19"/>
        <v>0</v>
      </c>
      <c r="AQ91" s="290">
        <f t="shared" si="20"/>
        <v>588</v>
      </c>
      <c r="AR91" s="293"/>
      <c r="AS91" s="266"/>
    </row>
    <row r="92" s="215" customFormat="1" ht="39" hidden="1" customHeight="1" spans="1:45">
      <c r="A92" s="254">
        <v>45632</v>
      </c>
      <c r="B92" s="249" t="s">
        <v>43</v>
      </c>
      <c r="C92" s="265" t="s">
        <v>44</v>
      </c>
      <c r="D92" s="256">
        <v>4500153482</v>
      </c>
      <c r="E92" s="257" t="s">
        <v>479</v>
      </c>
      <c r="F92" s="256" t="s">
        <v>480</v>
      </c>
      <c r="G92" s="253" t="s">
        <v>46</v>
      </c>
      <c r="H92" s="253" t="s">
        <v>47</v>
      </c>
      <c r="I92" s="251">
        <v>784</v>
      </c>
      <c r="J92" s="251">
        <v>0</v>
      </c>
      <c r="K92" s="251">
        <v>98</v>
      </c>
      <c r="L92" s="251">
        <f t="shared" si="24"/>
        <v>8</v>
      </c>
      <c r="M92" s="274">
        <v>45719</v>
      </c>
      <c r="N92" s="274">
        <v>45715</v>
      </c>
      <c r="O92" s="274"/>
      <c r="P92" s="274" t="s">
        <v>49</v>
      </c>
      <c r="Q92" s="274">
        <v>45724</v>
      </c>
      <c r="R92" s="274"/>
      <c r="S92" s="277" t="s">
        <v>50</v>
      </c>
      <c r="T92" s="277" t="s">
        <v>313</v>
      </c>
      <c r="U92" s="277" t="s">
        <v>314</v>
      </c>
      <c r="V92" s="274" t="s">
        <v>315</v>
      </c>
      <c r="W92" s="274"/>
      <c r="X92" s="278" t="s">
        <v>477</v>
      </c>
      <c r="Y92" s="253" t="s">
        <v>170</v>
      </c>
      <c r="Z92" s="281">
        <v>365.349</v>
      </c>
      <c r="AA92" s="282">
        <f t="shared" si="25"/>
        <v>2922.792</v>
      </c>
      <c r="AB92" s="251" t="s">
        <v>481</v>
      </c>
      <c r="AC92" s="252" t="s">
        <v>46</v>
      </c>
      <c r="AD92" s="251" t="s">
        <v>56</v>
      </c>
      <c r="AE92" s="251">
        <f t="shared" si="26"/>
        <v>784</v>
      </c>
      <c r="AF92" s="251">
        <f t="shared" si="15"/>
        <v>0</v>
      </c>
      <c r="AG92" s="266"/>
      <c r="AH92" s="266"/>
      <c r="AI92" s="253" t="s">
        <v>57</v>
      </c>
      <c r="AJ92" s="251">
        <v>0</v>
      </c>
      <c r="AK92" s="253" t="s">
        <v>73</v>
      </c>
      <c r="AL92" s="251">
        <v>0</v>
      </c>
      <c r="AM92" s="251"/>
      <c r="AN92" s="251">
        <f t="shared" si="17"/>
        <v>784</v>
      </c>
      <c r="AO92" s="290">
        <f t="shared" si="18"/>
        <v>784</v>
      </c>
      <c r="AP92" s="290" t="b">
        <f t="shared" si="19"/>
        <v>0</v>
      </c>
      <c r="AQ92" s="290">
        <f t="shared" si="20"/>
        <v>784</v>
      </c>
      <c r="AR92" s="293"/>
      <c r="AS92" s="266"/>
    </row>
    <row r="93" s="215" customFormat="1" ht="39" hidden="1" customHeight="1" spans="1:45">
      <c r="A93" s="254">
        <v>45632</v>
      </c>
      <c r="B93" s="249" t="s">
        <v>43</v>
      </c>
      <c r="C93" s="265" t="s">
        <v>44</v>
      </c>
      <c r="D93" s="256">
        <v>4500153482</v>
      </c>
      <c r="E93" s="257" t="s">
        <v>482</v>
      </c>
      <c r="F93" s="256" t="s">
        <v>483</v>
      </c>
      <c r="G93" s="253" t="s">
        <v>46</v>
      </c>
      <c r="H93" s="253" t="s">
        <v>47</v>
      </c>
      <c r="I93" s="251">
        <v>686</v>
      </c>
      <c r="J93" s="251">
        <v>0</v>
      </c>
      <c r="K93" s="251">
        <v>98</v>
      </c>
      <c r="L93" s="251">
        <f t="shared" si="24"/>
        <v>7</v>
      </c>
      <c r="M93" s="274">
        <v>45719</v>
      </c>
      <c r="N93" s="274">
        <v>45715</v>
      </c>
      <c r="O93" s="274"/>
      <c r="P93" s="274" t="s">
        <v>49</v>
      </c>
      <c r="Q93" s="274">
        <v>45724</v>
      </c>
      <c r="R93" s="274"/>
      <c r="S93" s="277" t="s">
        <v>50</v>
      </c>
      <c r="T93" s="277" t="s">
        <v>313</v>
      </c>
      <c r="U93" s="277" t="s">
        <v>314</v>
      </c>
      <c r="V93" s="274" t="s">
        <v>315</v>
      </c>
      <c r="W93" s="274"/>
      <c r="X93" s="278" t="s">
        <v>477</v>
      </c>
      <c r="Y93" s="253" t="s">
        <v>170</v>
      </c>
      <c r="Z93" s="281">
        <v>365.349</v>
      </c>
      <c r="AA93" s="282">
        <f t="shared" si="25"/>
        <v>2557.443</v>
      </c>
      <c r="AB93" s="251" t="s">
        <v>484</v>
      </c>
      <c r="AC93" s="252" t="s">
        <v>46</v>
      </c>
      <c r="AD93" s="251" t="s">
        <v>56</v>
      </c>
      <c r="AE93" s="251">
        <f t="shared" si="26"/>
        <v>686</v>
      </c>
      <c r="AF93" s="251">
        <f t="shared" si="15"/>
        <v>0</v>
      </c>
      <c r="AG93" s="266"/>
      <c r="AH93" s="266"/>
      <c r="AI93" s="253" t="s">
        <v>57</v>
      </c>
      <c r="AJ93" s="251">
        <v>0</v>
      </c>
      <c r="AK93" s="253" t="s">
        <v>73</v>
      </c>
      <c r="AL93" s="251">
        <v>0</v>
      </c>
      <c r="AM93" s="251"/>
      <c r="AN93" s="251">
        <f t="shared" si="17"/>
        <v>686</v>
      </c>
      <c r="AO93" s="290">
        <f t="shared" si="18"/>
        <v>686</v>
      </c>
      <c r="AP93" s="290" t="b">
        <f t="shared" si="19"/>
        <v>0</v>
      </c>
      <c r="AQ93" s="290">
        <f t="shared" si="20"/>
        <v>686</v>
      </c>
      <c r="AR93" s="293"/>
      <c r="AS93" s="266"/>
    </row>
    <row r="94" s="215" customFormat="1" ht="39" hidden="1" customHeight="1" spans="1:45">
      <c r="A94" s="254">
        <v>45632</v>
      </c>
      <c r="B94" s="249" t="s">
        <v>43</v>
      </c>
      <c r="C94" s="265" t="s">
        <v>44</v>
      </c>
      <c r="D94" s="256">
        <v>4500153482</v>
      </c>
      <c r="E94" s="257" t="s">
        <v>485</v>
      </c>
      <c r="F94" s="256" t="s">
        <v>486</v>
      </c>
      <c r="G94" s="253" t="s">
        <v>46</v>
      </c>
      <c r="H94" s="253" t="s">
        <v>47</v>
      </c>
      <c r="I94" s="251">
        <v>588</v>
      </c>
      <c r="J94" s="251">
        <v>0</v>
      </c>
      <c r="K94" s="251">
        <v>98</v>
      </c>
      <c r="L94" s="251">
        <f t="shared" si="24"/>
        <v>6</v>
      </c>
      <c r="M94" s="274">
        <v>45719</v>
      </c>
      <c r="N94" s="274">
        <v>45715</v>
      </c>
      <c r="O94" s="274"/>
      <c r="P94" s="274" t="s">
        <v>49</v>
      </c>
      <c r="Q94" s="274">
        <v>45724</v>
      </c>
      <c r="R94" s="274"/>
      <c r="S94" s="277" t="s">
        <v>50</v>
      </c>
      <c r="T94" s="277" t="s">
        <v>313</v>
      </c>
      <c r="U94" s="277" t="s">
        <v>314</v>
      </c>
      <c r="V94" s="274" t="s">
        <v>315</v>
      </c>
      <c r="W94" s="274"/>
      <c r="X94" s="278" t="s">
        <v>477</v>
      </c>
      <c r="Y94" s="253" t="s">
        <v>170</v>
      </c>
      <c r="Z94" s="281">
        <v>365.349</v>
      </c>
      <c r="AA94" s="282">
        <f t="shared" si="25"/>
        <v>2192.094</v>
      </c>
      <c r="AB94" s="251" t="s">
        <v>487</v>
      </c>
      <c r="AC94" s="252" t="s">
        <v>46</v>
      </c>
      <c r="AD94" s="251" t="s">
        <v>56</v>
      </c>
      <c r="AE94" s="251">
        <f t="shared" si="26"/>
        <v>588</v>
      </c>
      <c r="AF94" s="251">
        <f t="shared" si="15"/>
        <v>0</v>
      </c>
      <c r="AG94" s="266"/>
      <c r="AH94" s="266"/>
      <c r="AI94" s="253" t="s">
        <v>57</v>
      </c>
      <c r="AJ94" s="251">
        <v>0</v>
      </c>
      <c r="AK94" s="253" t="s">
        <v>73</v>
      </c>
      <c r="AL94" s="251">
        <v>0</v>
      </c>
      <c r="AM94" s="251"/>
      <c r="AN94" s="251">
        <f t="shared" si="17"/>
        <v>588</v>
      </c>
      <c r="AO94" s="290">
        <f t="shared" si="18"/>
        <v>588</v>
      </c>
      <c r="AP94" s="290" t="b">
        <f t="shared" si="19"/>
        <v>0</v>
      </c>
      <c r="AQ94" s="290">
        <f t="shared" si="20"/>
        <v>588</v>
      </c>
      <c r="AR94" s="293"/>
      <c r="AS94" s="266"/>
    </row>
    <row r="95" s="215" customFormat="1" ht="39" hidden="1" customHeight="1" spans="1:45">
      <c r="A95" s="254">
        <v>45632</v>
      </c>
      <c r="B95" s="249" t="s">
        <v>43</v>
      </c>
      <c r="C95" s="265" t="s">
        <v>44</v>
      </c>
      <c r="D95" s="256">
        <v>4500153482</v>
      </c>
      <c r="E95" s="257" t="s">
        <v>488</v>
      </c>
      <c r="F95" s="256" t="s">
        <v>489</v>
      </c>
      <c r="G95" s="253" t="s">
        <v>46</v>
      </c>
      <c r="H95" s="253" t="s">
        <v>47</v>
      </c>
      <c r="I95" s="251">
        <v>588</v>
      </c>
      <c r="J95" s="251">
        <v>0</v>
      </c>
      <c r="K95" s="251">
        <v>98</v>
      </c>
      <c r="L95" s="251">
        <f t="shared" si="24"/>
        <v>6</v>
      </c>
      <c r="M95" s="274">
        <v>45719</v>
      </c>
      <c r="N95" s="274">
        <v>45715</v>
      </c>
      <c r="O95" s="274"/>
      <c r="P95" s="274" t="s">
        <v>49</v>
      </c>
      <c r="Q95" s="274">
        <v>45724</v>
      </c>
      <c r="R95" s="274"/>
      <c r="S95" s="277" t="s">
        <v>50</v>
      </c>
      <c r="T95" s="277" t="s">
        <v>313</v>
      </c>
      <c r="U95" s="277" t="s">
        <v>314</v>
      </c>
      <c r="V95" s="274" t="s">
        <v>315</v>
      </c>
      <c r="W95" s="274"/>
      <c r="X95" s="278" t="s">
        <v>477</v>
      </c>
      <c r="Y95" s="253" t="s">
        <v>170</v>
      </c>
      <c r="Z95" s="281">
        <v>365.349</v>
      </c>
      <c r="AA95" s="282">
        <f t="shared" si="25"/>
        <v>2192.094</v>
      </c>
      <c r="AB95" s="251" t="s">
        <v>481</v>
      </c>
      <c r="AC95" s="252" t="s">
        <v>46</v>
      </c>
      <c r="AD95" s="251" t="s">
        <v>56</v>
      </c>
      <c r="AE95" s="251">
        <f t="shared" si="26"/>
        <v>588</v>
      </c>
      <c r="AF95" s="251">
        <f t="shared" si="15"/>
        <v>0</v>
      </c>
      <c r="AG95" s="266"/>
      <c r="AH95" s="266"/>
      <c r="AI95" s="253" t="s">
        <v>57</v>
      </c>
      <c r="AJ95" s="251">
        <v>0</v>
      </c>
      <c r="AK95" s="253" t="s">
        <v>73</v>
      </c>
      <c r="AL95" s="251">
        <v>0</v>
      </c>
      <c r="AM95" s="251"/>
      <c r="AN95" s="251">
        <f t="shared" si="17"/>
        <v>588</v>
      </c>
      <c r="AO95" s="290">
        <f t="shared" si="18"/>
        <v>588</v>
      </c>
      <c r="AP95" s="290" t="b">
        <f t="shared" si="19"/>
        <v>0</v>
      </c>
      <c r="AQ95" s="290">
        <f t="shared" si="20"/>
        <v>588</v>
      </c>
      <c r="AR95" s="293"/>
      <c r="AS95" s="266"/>
    </row>
    <row r="96" s="215" customFormat="1" ht="39" hidden="1" customHeight="1" spans="1:45">
      <c r="A96" s="254">
        <v>45650</v>
      </c>
      <c r="B96" s="249" t="s">
        <v>43</v>
      </c>
      <c r="C96" s="265" t="s">
        <v>44</v>
      </c>
      <c r="D96" s="256">
        <v>4500154554</v>
      </c>
      <c r="E96" s="257" t="s">
        <v>490</v>
      </c>
      <c r="F96" s="256" t="s">
        <v>491</v>
      </c>
      <c r="G96" s="253" t="s">
        <v>46</v>
      </c>
      <c r="H96" s="253" t="s">
        <v>47</v>
      </c>
      <c r="I96" s="251">
        <v>588</v>
      </c>
      <c r="J96" s="251">
        <v>0</v>
      </c>
      <c r="K96" s="251">
        <v>98</v>
      </c>
      <c r="L96" s="251">
        <f t="shared" si="24"/>
        <v>6</v>
      </c>
      <c r="M96" s="274">
        <v>45719</v>
      </c>
      <c r="N96" s="274">
        <v>45715</v>
      </c>
      <c r="O96" s="274"/>
      <c r="P96" s="274" t="s">
        <v>49</v>
      </c>
      <c r="Q96" s="274"/>
      <c r="R96" s="274"/>
      <c r="S96" s="277" t="s">
        <v>50</v>
      </c>
      <c r="T96" s="277" t="s">
        <v>167</v>
      </c>
      <c r="U96" s="277" t="s">
        <v>351</v>
      </c>
      <c r="V96" s="274" t="s">
        <v>352</v>
      </c>
      <c r="W96" s="274"/>
      <c r="X96" s="278" t="s">
        <v>492</v>
      </c>
      <c r="Y96" s="253" t="s">
        <v>170</v>
      </c>
      <c r="Z96" s="281">
        <v>368.4458</v>
      </c>
      <c r="AA96" s="282">
        <f t="shared" si="25"/>
        <v>2210.6748</v>
      </c>
      <c r="AB96" s="251" t="s">
        <v>493</v>
      </c>
      <c r="AC96" s="252" t="s">
        <v>46</v>
      </c>
      <c r="AD96" s="251" t="s">
        <v>56</v>
      </c>
      <c r="AE96" s="251">
        <f t="shared" si="26"/>
        <v>588</v>
      </c>
      <c r="AF96" s="251">
        <f t="shared" si="15"/>
        <v>0</v>
      </c>
      <c r="AG96" s="266"/>
      <c r="AH96" s="266"/>
      <c r="AI96" s="253" t="s">
        <v>57</v>
      </c>
      <c r="AJ96" s="251">
        <v>0</v>
      </c>
      <c r="AK96" s="253" t="s">
        <v>73</v>
      </c>
      <c r="AL96" s="251">
        <v>0</v>
      </c>
      <c r="AM96" s="251"/>
      <c r="AN96" s="251">
        <f t="shared" si="17"/>
        <v>588</v>
      </c>
      <c r="AO96" s="290">
        <f t="shared" si="18"/>
        <v>588</v>
      </c>
      <c r="AP96" s="290" t="b">
        <f t="shared" si="19"/>
        <v>0</v>
      </c>
      <c r="AQ96" s="290">
        <f t="shared" si="20"/>
        <v>588</v>
      </c>
      <c r="AR96" s="293"/>
      <c r="AS96" s="266"/>
    </row>
    <row r="97" s="215" customFormat="1" ht="39" hidden="1" customHeight="1" spans="1:45">
      <c r="A97" s="254">
        <v>45650</v>
      </c>
      <c r="B97" s="249" t="s">
        <v>43</v>
      </c>
      <c r="C97" s="265" t="s">
        <v>44</v>
      </c>
      <c r="D97" s="256">
        <v>4500154554</v>
      </c>
      <c r="E97" s="257" t="s">
        <v>494</v>
      </c>
      <c r="F97" s="256" t="s">
        <v>495</v>
      </c>
      <c r="G97" s="253" t="s">
        <v>46</v>
      </c>
      <c r="H97" s="253" t="s">
        <v>47</v>
      </c>
      <c r="I97" s="251">
        <v>784</v>
      </c>
      <c r="J97" s="251">
        <v>0</v>
      </c>
      <c r="K97" s="251">
        <v>98</v>
      </c>
      <c r="L97" s="251">
        <f t="shared" si="24"/>
        <v>8</v>
      </c>
      <c r="M97" s="274">
        <v>45719</v>
      </c>
      <c r="N97" s="274">
        <v>45715</v>
      </c>
      <c r="O97" s="274"/>
      <c r="P97" s="274" t="s">
        <v>49</v>
      </c>
      <c r="Q97" s="274"/>
      <c r="R97" s="274"/>
      <c r="S97" s="277" t="s">
        <v>50</v>
      </c>
      <c r="T97" s="277" t="s">
        <v>167</v>
      </c>
      <c r="U97" s="277" t="s">
        <v>351</v>
      </c>
      <c r="V97" s="274" t="s">
        <v>352</v>
      </c>
      <c r="W97" s="274"/>
      <c r="X97" s="278" t="s">
        <v>492</v>
      </c>
      <c r="Y97" s="253" t="s">
        <v>170</v>
      </c>
      <c r="Z97" s="281">
        <v>368.4458</v>
      </c>
      <c r="AA97" s="282">
        <f t="shared" si="25"/>
        <v>2947.5664</v>
      </c>
      <c r="AB97" s="251" t="s">
        <v>496</v>
      </c>
      <c r="AC97" s="252" t="s">
        <v>46</v>
      </c>
      <c r="AD97" s="251" t="s">
        <v>56</v>
      </c>
      <c r="AE97" s="251">
        <f t="shared" si="26"/>
        <v>784</v>
      </c>
      <c r="AF97" s="251">
        <f t="shared" si="15"/>
        <v>0</v>
      </c>
      <c r="AG97" s="266"/>
      <c r="AH97" s="266"/>
      <c r="AI97" s="253" t="s">
        <v>57</v>
      </c>
      <c r="AJ97" s="251">
        <v>0</v>
      </c>
      <c r="AK97" s="253" t="s">
        <v>73</v>
      </c>
      <c r="AL97" s="251">
        <v>0</v>
      </c>
      <c r="AM97" s="251"/>
      <c r="AN97" s="251">
        <f t="shared" si="17"/>
        <v>784</v>
      </c>
      <c r="AO97" s="290">
        <f t="shared" si="18"/>
        <v>784</v>
      </c>
      <c r="AP97" s="290" t="b">
        <f t="shared" si="19"/>
        <v>0</v>
      </c>
      <c r="AQ97" s="290">
        <f t="shared" si="20"/>
        <v>784</v>
      </c>
      <c r="AR97" s="293"/>
      <c r="AS97" s="266"/>
    </row>
    <row r="98" s="215" customFormat="1" ht="39" hidden="1" customHeight="1" spans="1:45">
      <c r="A98" s="254">
        <v>45650</v>
      </c>
      <c r="B98" s="249" t="s">
        <v>43</v>
      </c>
      <c r="C98" s="265" t="s">
        <v>44</v>
      </c>
      <c r="D98" s="256">
        <v>4500154554</v>
      </c>
      <c r="E98" s="257" t="s">
        <v>497</v>
      </c>
      <c r="F98" s="256" t="s">
        <v>498</v>
      </c>
      <c r="G98" s="253" t="s">
        <v>46</v>
      </c>
      <c r="H98" s="253" t="s">
        <v>47</v>
      </c>
      <c r="I98" s="251">
        <v>588</v>
      </c>
      <c r="J98" s="251">
        <v>0</v>
      </c>
      <c r="K98" s="251">
        <v>98</v>
      </c>
      <c r="L98" s="251">
        <f t="shared" si="24"/>
        <v>6</v>
      </c>
      <c r="M98" s="274">
        <v>45719</v>
      </c>
      <c r="N98" s="274">
        <v>45715</v>
      </c>
      <c r="O98" s="274"/>
      <c r="P98" s="274" t="s">
        <v>49</v>
      </c>
      <c r="Q98" s="274"/>
      <c r="R98" s="274"/>
      <c r="S98" s="277" t="s">
        <v>50</v>
      </c>
      <c r="T98" s="277" t="s">
        <v>167</v>
      </c>
      <c r="U98" s="277" t="s">
        <v>351</v>
      </c>
      <c r="V98" s="274" t="s">
        <v>352</v>
      </c>
      <c r="W98" s="274"/>
      <c r="X98" s="278" t="s">
        <v>492</v>
      </c>
      <c r="Y98" s="253" t="s">
        <v>170</v>
      </c>
      <c r="Z98" s="281">
        <v>368.4458</v>
      </c>
      <c r="AA98" s="282">
        <f t="shared" si="25"/>
        <v>2210.6748</v>
      </c>
      <c r="AB98" s="251" t="s">
        <v>499</v>
      </c>
      <c r="AC98" s="252" t="s">
        <v>46</v>
      </c>
      <c r="AD98" s="251" t="s">
        <v>56</v>
      </c>
      <c r="AE98" s="251">
        <f t="shared" si="26"/>
        <v>588</v>
      </c>
      <c r="AF98" s="251">
        <f t="shared" si="15"/>
        <v>0</v>
      </c>
      <c r="AG98" s="266"/>
      <c r="AH98" s="266"/>
      <c r="AI98" s="253" t="s">
        <v>57</v>
      </c>
      <c r="AJ98" s="251">
        <v>0</v>
      </c>
      <c r="AK98" s="253" t="s">
        <v>73</v>
      </c>
      <c r="AL98" s="251">
        <v>0</v>
      </c>
      <c r="AM98" s="251"/>
      <c r="AN98" s="251">
        <f t="shared" si="17"/>
        <v>588</v>
      </c>
      <c r="AO98" s="290">
        <f t="shared" si="18"/>
        <v>588</v>
      </c>
      <c r="AP98" s="290" t="b">
        <f t="shared" si="19"/>
        <v>0</v>
      </c>
      <c r="AQ98" s="290">
        <f t="shared" si="20"/>
        <v>588</v>
      </c>
      <c r="AR98" s="293"/>
      <c r="AS98" s="266"/>
    </row>
    <row r="99" s="215" customFormat="1" ht="39" hidden="1" customHeight="1" spans="1:45">
      <c r="A99" s="254">
        <v>45650</v>
      </c>
      <c r="B99" s="249" t="s">
        <v>43</v>
      </c>
      <c r="C99" s="265" t="s">
        <v>44</v>
      </c>
      <c r="D99" s="256">
        <v>4500154554</v>
      </c>
      <c r="E99" s="257" t="s">
        <v>500</v>
      </c>
      <c r="F99" s="256" t="s">
        <v>501</v>
      </c>
      <c r="G99" s="253" t="s">
        <v>46</v>
      </c>
      <c r="H99" s="253" t="s">
        <v>47</v>
      </c>
      <c r="I99" s="251">
        <v>882</v>
      </c>
      <c r="J99" s="251">
        <v>0</v>
      </c>
      <c r="K99" s="251">
        <v>98</v>
      </c>
      <c r="L99" s="251">
        <f t="shared" si="24"/>
        <v>9</v>
      </c>
      <c r="M99" s="274">
        <v>45719</v>
      </c>
      <c r="N99" s="274">
        <v>45715</v>
      </c>
      <c r="O99" s="274"/>
      <c r="P99" s="274" t="s">
        <v>49</v>
      </c>
      <c r="Q99" s="274"/>
      <c r="R99" s="274"/>
      <c r="S99" s="277" t="s">
        <v>50</v>
      </c>
      <c r="T99" s="277" t="s">
        <v>167</v>
      </c>
      <c r="U99" s="277" t="s">
        <v>351</v>
      </c>
      <c r="V99" s="274" t="s">
        <v>352</v>
      </c>
      <c r="W99" s="274"/>
      <c r="X99" s="278" t="s">
        <v>492</v>
      </c>
      <c r="Y99" s="253" t="s">
        <v>170</v>
      </c>
      <c r="Z99" s="281">
        <v>368.4458</v>
      </c>
      <c r="AA99" s="282">
        <f t="shared" si="25"/>
        <v>3316.0122</v>
      </c>
      <c r="AB99" s="251" t="s">
        <v>502</v>
      </c>
      <c r="AC99" s="252" t="s">
        <v>46</v>
      </c>
      <c r="AD99" s="251" t="s">
        <v>56</v>
      </c>
      <c r="AE99" s="251">
        <f t="shared" si="26"/>
        <v>882</v>
      </c>
      <c r="AF99" s="251">
        <f t="shared" si="15"/>
        <v>0</v>
      </c>
      <c r="AG99" s="266"/>
      <c r="AH99" s="266"/>
      <c r="AI99" s="253" t="s">
        <v>57</v>
      </c>
      <c r="AJ99" s="251">
        <v>0</v>
      </c>
      <c r="AK99" s="253" t="s">
        <v>73</v>
      </c>
      <c r="AL99" s="251">
        <v>0</v>
      </c>
      <c r="AM99" s="251"/>
      <c r="AN99" s="251">
        <f t="shared" si="17"/>
        <v>882</v>
      </c>
      <c r="AO99" s="290">
        <f t="shared" si="18"/>
        <v>882</v>
      </c>
      <c r="AP99" s="290" t="b">
        <f t="shared" si="19"/>
        <v>0</v>
      </c>
      <c r="AQ99" s="290">
        <f t="shared" si="20"/>
        <v>882</v>
      </c>
      <c r="AR99" s="293"/>
      <c r="AS99" s="266"/>
    </row>
    <row r="100" s="215" customFormat="1" ht="39" hidden="1" customHeight="1" spans="1:45">
      <c r="A100" s="254">
        <v>45673</v>
      </c>
      <c r="B100" s="249" t="s">
        <v>43</v>
      </c>
      <c r="C100" s="265" t="s">
        <v>44</v>
      </c>
      <c r="D100" s="256">
        <v>4500156005</v>
      </c>
      <c r="E100" s="257" t="s">
        <v>503</v>
      </c>
      <c r="F100" s="256" t="s">
        <v>504</v>
      </c>
      <c r="G100" s="253" t="s">
        <v>46</v>
      </c>
      <c r="H100" s="253" t="s">
        <v>47</v>
      </c>
      <c r="I100" s="251">
        <v>1078</v>
      </c>
      <c r="J100" s="251">
        <v>0</v>
      </c>
      <c r="K100" s="251">
        <v>98</v>
      </c>
      <c r="L100" s="251">
        <f t="shared" si="24"/>
        <v>11</v>
      </c>
      <c r="M100" s="274">
        <v>45719</v>
      </c>
      <c r="N100" s="274">
        <v>45715</v>
      </c>
      <c r="O100" s="274"/>
      <c r="P100" s="274" t="s">
        <v>49</v>
      </c>
      <c r="Q100" s="274"/>
      <c r="R100" s="274"/>
      <c r="S100" s="277" t="s">
        <v>50</v>
      </c>
      <c r="T100" s="277" t="s">
        <v>167</v>
      </c>
      <c r="U100" s="277" t="s">
        <v>505</v>
      </c>
      <c r="V100" s="274" t="s">
        <v>506</v>
      </c>
      <c r="W100" s="274"/>
      <c r="X100" s="278" t="s">
        <v>402</v>
      </c>
      <c r="Y100" s="253" t="s">
        <v>170</v>
      </c>
      <c r="Z100" s="281">
        <v>368.4458</v>
      </c>
      <c r="AA100" s="282">
        <f t="shared" si="25"/>
        <v>4052.9038</v>
      </c>
      <c r="AB100" s="251" t="s">
        <v>507</v>
      </c>
      <c r="AC100" s="252" t="s">
        <v>46</v>
      </c>
      <c r="AD100" s="251" t="s">
        <v>56</v>
      </c>
      <c r="AE100" s="251">
        <f t="shared" si="26"/>
        <v>1078</v>
      </c>
      <c r="AF100" s="251">
        <f t="shared" si="15"/>
        <v>0</v>
      </c>
      <c r="AG100" s="266"/>
      <c r="AH100" s="266"/>
      <c r="AI100" s="253" t="s">
        <v>57</v>
      </c>
      <c r="AJ100" s="251">
        <v>0</v>
      </c>
      <c r="AK100" s="253" t="s">
        <v>73</v>
      </c>
      <c r="AL100" s="251">
        <v>0</v>
      </c>
      <c r="AM100" s="251"/>
      <c r="AN100" s="251">
        <f t="shared" si="17"/>
        <v>1078</v>
      </c>
      <c r="AO100" s="290">
        <f t="shared" si="18"/>
        <v>1078</v>
      </c>
      <c r="AP100" s="290" t="b">
        <f t="shared" si="19"/>
        <v>0</v>
      </c>
      <c r="AQ100" s="290">
        <f t="shared" si="20"/>
        <v>1078</v>
      </c>
      <c r="AR100" s="293"/>
      <c r="AS100" s="266"/>
    </row>
    <row r="101" s="215" customFormat="1" ht="39" customHeight="1" spans="1:45">
      <c r="A101" s="254">
        <v>45666</v>
      </c>
      <c r="B101" s="249" t="s">
        <v>74</v>
      </c>
      <c r="C101" s="265" t="s">
        <v>44</v>
      </c>
      <c r="D101" s="256">
        <v>4500155623</v>
      </c>
      <c r="E101" s="257" t="s">
        <v>508</v>
      </c>
      <c r="F101" s="256" t="s">
        <v>509</v>
      </c>
      <c r="G101" s="253" t="s">
        <v>62</v>
      </c>
      <c r="H101" s="253" t="s">
        <v>63</v>
      </c>
      <c r="I101" s="251">
        <v>3012</v>
      </c>
      <c r="J101" s="251">
        <v>0</v>
      </c>
      <c r="K101" s="251">
        <v>6</v>
      </c>
      <c r="L101" s="251">
        <f t="shared" si="24"/>
        <v>502</v>
      </c>
      <c r="M101" s="274">
        <v>45721</v>
      </c>
      <c r="N101" s="274">
        <v>45717</v>
      </c>
      <c r="O101" s="274"/>
      <c r="P101" s="274" t="s">
        <v>49</v>
      </c>
      <c r="Q101" s="274"/>
      <c r="R101" s="274"/>
      <c r="S101" s="277">
        <v>45705</v>
      </c>
      <c r="T101" s="277">
        <v>45677</v>
      </c>
      <c r="U101" s="277" t="s">
        <v>50</v>
      </c>
      <c r="V101" s="274"/>
      <c r="W101" s="274"/>
      <c r="X101" s="278" t="s">
        <v>510</v>
      </c>
      <c r="Y101" s="253" t="s">
        <v>116</v>
      </c>
      <c r="Z101" s="281">
        <v>3.3717</v>
      </c>
      <c r="AA101" s="282">
        <f t="shared" ref="AA101:AA109" si="27">I101*Z101</f>
        <v>10155.5604</v>
      </c>
      <c r="AB101" s="251" t="s">
        <v>511</v>
      </c>
      <c r="AC101" s="252" t="s">
        <v>62</v>
      </c>
      <c r="AD101" s="251" t="s">
        <v>56</v>
      </c>
      <c r="AE101" s="251">
        <f t="shared" si="26"/>
        <v>3012</v>
      </c>
      <c r="AF101" s="251">
        <f t="shared" si="15"/>
        <v>0</v>
      </c>
      <c r="AG101" s="266"/>
      <c r="AH101" s="266"/>
      <c r="AI101" s="253" t="s">
        <v>57</v>
      </c>
      <c r="AJ101" s="251">
        <v>0</v>
      </c>
      <c r="AK101" s="253" t="s">
        <v>73</v>
      </c>
      <c r="AL101" s="251">
        <v>0</v>
      </c>
      <c r="AM101" s="251"/>
      <c r="AN101" s="251">
        <f t="shared" si="17"/>
        <v>3012</v>
      </c>
      <c r="AO101" s="290">
        <f t="shared" si="18"/>
        <v>3012</v>
      </c>
      <c r="AP101" s="290" t="b">
        <f t="shared" si="19"/>
        <v>0</v>
      </c>
      <c r="AQ101" s="290">
        <f t="shared" si="20"/>
        <v>3012</v>
      </c>
      <c r="AR101" s="293"/>
      <c r="AS101" s="266"/>
    </row>
    <row r="102" s="215" customFormat="1" ht="39" customHeight="1" spans="1:45">
      <c r="A102" s="254">
        <v>45660</v>
      </c>
      <c r="B102" s="249" t="s">
        <v>512</v>
      </c>
      <c r="C102" s="265" t="s">
        <v>44</v>
      </c>
      <c r="D102" s="256">
        <v>4500155143</v>
      </c>
      <c r="E102" s="257" t="s">
        <v>513</v>
      </c>
      <c r="F102" s="256" t="s">
        <v>514</v>
      </c>
      <c r="G102" s="253" t="s">
        <v>62</v>
      </c>
      <c r="H102" s="253" t="s">
        <v>63</v>
      </c>
      <c r="I102" s="251">
        <v>2250</v>
      </c>
      <c r="J102" s="251">
        <v>0</v>
      </c>
      <c r="K102" s="251">
        <v>6</v>
      </c>
      <c r="L102" s="251">
        <f t="shared" si="24"/>
        <v>375</v>
      </c>
      <c r="M102" s="274">
        <v>45721</v>
      </c>
      <c r="N102" s="274">
        <v>45717</v>
      </c>
      <c r="O102" s="274"/>
      <c r="P102" s="274" t="s">
        <v>49</v>
      </c>
      <c r="Q102" s="274" t="s">
        <v>515</v>
      </c>
      <c r="R102" s="274"/>
      <c r="S102" s="277">
        <v>45663</v>
      </c>
      <c r="T102" s="277">
        <v>45663</v>
      </c>
      <c r="U102" s="277">
        <v>45663</v>
      </c>
      <c r="V102" s="274"/>
      <c r="W102" s="274"/>
      <c r="X102" s="278" t="s">
        <v>516</v>
      </c>
      <c r="Y102" s="253" t="s">
        <v>517</v>
      </c>
      <c r="Z102" s="281">
        <v>3.612</v>
      </c>
      <c r="AA102" s="282">
        <f t="shared" si="27"/>
        <v>8127</v>
      </c>
      <c r="AB102" s="251" t="s">
        <v>518</v>
      </c>
      <c r="AC102" s="252" t="s">
        <v>62</v>
      </c>
      <c r="AD102" s="251" t="s">
        <v>56</v>
      </c>
      <c r="AE102" s="251">
        <f t="shared" si="26"/>
        <v>2250</v>
      </c>
      <c r="AF102" s="251">
        <f t="shared" si="15"/>
        <v>0</v>
      </c>
      <c r="AG102" s="266"/>
      <c r="AH102" s="266"/>
      <c r="AI102" s="253" t="s">
        <v>57</v>
      </c>
      <c r="AJ102" s="251">
        <v>0</v>
      </c>
      <c r="AK102" s="253" t="s">
        <v>73</v>
      </c>
      <c r="AL102" s="251">
        <v>0</v>
      </c>
      <c r="AM102" s="251"/>
      <c r="AN102" s="251">
        <f t="shared" si="17"/>
        <v>2250</v>
      </c>
      <c r="AO102" s="290">
        <f t="shared" si="18"/>
        <v>2250</v>
      </c>
      <c r="AP102" s="290" t="b">
        <f t="shared" si="19"/>
        <v>0</v>
      </c>
      <c r="AQ102" s="290">
        <f t="shared" si="20"/>
        <v>2250</v>
      </c>
      <c r="AR102" s="293"/>
      <c r="AS102" s="266"/>
    </row>
    <row r="103" s="215" customFormat="1" ht="39" hidden="1" customHeight="1" spans="1:45">
      <c r="A103" s="254">
        <v>45562</v>
      </c>
      <c r="B103" s="249" t="s">
        <v>145</v>
      </c>
      <c r="C103" s="265" t="s">
        <v>44</v>
      </c>
      <c r="D103" s="256">
        <v>4500146287</v>
      </c>
      <c r="E103" s="257" t="s">
        <v>519</v>
      </c>
      <c r="F103" s="256" t="s">
        <v>520</v>
      </c>
      <c r="G103" s="253" t="s">
        <v>148</v>
      </c>
      <c r="H103" s="253" t="s">
        <v>63</v>
      </c>
      <c r="I103" s="251">
        <v>744</v>
      </c>
      <c r="J103" s="251">
        <v>0</v>
      </c>
      <c r="K103" s="251">
        <v>2</v>
      </c>
      <c r="L103" s="251">
        <f t="shared" si="24"/>
        <v>372</v>
      </c>
      <c r="M103" s="274">
        <v>45723</v>
      </c>
      <c r="N103" s="274">
        <v>45720</v>
      </c>
      <c r="O103" s="274"/>
      <c r="P103" s="274" t="s">
        <v>49</v>
      </c>
      <c r="Q103" s="274"/>
      <c r="R103" s="274"/>
      <c r="S103" s="277" t="s">
        <v>50</v>
      </c>
      <c r="T103" s="277">
        <v>45565</v>
      </c>
      <c r="U103" s="277" t="s">
        <v>50</v>
      </c>
      <c r="V103" s="274"/>
      <c r="W103" s="274"/>
      <c r="X103" s="278" t="s">
        <v>149</v>
      </c>
      <c r="Y103" s="253" t="s">
        <v>87</v>
      </c>
      <c r="Z103" s="281">
        <v>3.6755</v>
      </c>
      <c r="AA103" s="282">
        <f t="shared" si="27"/>
        <v>2734.572</v>
      </c>
      <c r="AB103" s="253" t="s">
        <v>521</v>
      </c>
      <c r="AC103" s="253" t="s">
        <v>148</v>
      </c>
      <c r="AD103" s="251" t="s">
        <v>56</v>
      </c>
      <c r="AE103" s="251">
        <f t="shared" si="26"/>
        <v>744</v>
      </c>
      <c r="AF103" s="251">
        <f t="shared" si="15"/>
        <v>0</v>
      </c>
      <c r="AG103" s="266"/>
      <c r="AH103" s="266"/>
      <c r="AI103" s="253" t="s">
        <v>57</v>
      </c>
      <c r="AJ103" s="251">
        <v>0</v>
      </c>
      <c r="AK103" s="253" t="s">
        <v>73</v>
      </c>
      <c r="AL103" s="251">
        <v>0</v>
      </c>
      <c r="AM103" s="251"/>
      <c r="AN103" s="251">
        <f t="shared" si="17"/>
        <v>744</v>
      </c>
      <c r="AO103" s="290">
        <f t="shared" si="18"/>
        <v>744</v>
      </c>
      <c r="AP103" s="290" t="b">
        <f t="shared" si="19"/>
        <v>0</v>
      </c>
      <c r="AQ103" s="290">
        <f t="shared" si="20"/>
        <v>744</v>
      </c>
      <c r="AR103" s="293"/>
      <c r="AS103" s="266"/>
    </row>
    <row r="104" s="215" customFormat="1" ht="39" hidden="1" customHeight="1" spans="1:45">
      <c r="A104" s="254">
        <v>45562</v>
      </c>
      <c r="B104" s="249" t="s">
        <v>145</v>
      </c>
      <c r="C104" s="265" t="s">
        <v>44</v>
      </c>
      <c r="D104" s="256">
        <v>4500146289</v>
      </c>
      <c r="E104" s="257" t="s">
        <v>522</v>
      </c>
      <c r="F104" s="256" t="s">
        <v>523</v>
      </c>
      <c r="G104" s="253" t="s">
        <v>148</v>
      </c>
      <c r="H104" s="253" t="s">
        <v>63</v>
      </c>
      <c r="I104" s="251">
        <v>744</v>
      </c>
      <c r="J104" s="251">
        <v>0</v>
      </c>
      <c r="K104" s="251">
        <v>2</v>
      </c>
      <c r="L104" s="251">
        <f t="shared" si="24"/>
        <v>372</v>
      </c>
      <c r="M104" s="274">
        <v>45723</v>
      </c>
      <c r="N104" s="274">
        <v>45720</v>
      </c>
      <c r="O104" s="274"/>
      <c r="P104" s="274" t="s">
        <v>49</v>
      </c>
      <c r="Q104" s="274"/>
      <c r="R104" s="274"/>
      <c r="S104" s="277" t="s">
        <v>50</v>
      </c>
      <c r="T104" s="277">
        <v>45565</v>
      </c>
      <c r="U104" s="277" t="s">
        <v>50</v>
      </c>
      <c r="V104" s="274"/>
      <c r="W104" s="274"/>
      <c r="X104" s="278" t="s">
        <v>149</v>
      </c>
      <c r="Y104" s="253" t="s">
        <v>87</v>
      </c>
      <c r="Z104" s="281">
        <v>3.6755</v>
      </c>
      <c r="AA104" s="282">
        <f t="shared" si="27"/>
        <v>2734.572</v>
      </c>
      <c r="AB104" s="251" t="s">
        <v>524</v>
      </c>
      <c r="AC104" s="253" t="s">
        <v>148</v>
      </c>
      <c r="AD104" s="251" t="s">
        <v>56</v>
      </c>
      <c r="AE104" s="251">
        <f t="shared" si="26"/>
        <v>744</v>
      </c>
      <c r="AF104" s="251">
        <f t="shared" si="15"/>
        <v>0</v>
      </c>
      <c r="AG104" s="266"/>
      <c r="AH104" s="266"/>
      <c r="AI104" s="253" t="s">
        <v>57</v>
      </c>
      <c r="AJ104" s="251">
        <v>0</v>
      </c>
      <c r="AK104" s="253" t="s">
        <v>73</v>
      </c>
      <c r="AL104" s="251">
        <v>0</v>
      </c>
      <c r="AM104" s="251"/>
      <c r="AN104" s="251">
        <f t="shared" si="17"/>
        <v>744</v>
      </c>
      <c r="AO104" s="290">
        <f t="shared" si="18"/>
        <v>744</v>
      </c>
      <c r="AP104" s="290" t="b">
        <f t="shared" si="19"/>
        <v>0</v>
      </c>
      <c r="AQ104" s="290">
        <f t="shared" si="20"/>
        <v>744</v>
      </c>
      <c r="AR104" s="293"/>
      <c r="AS104" s="266"/>
    </row>
    <row r="105" s="215" customFormat="1" ht="39" hidden="1" customHeight="1" spans="1:45">
      <c r="A105" s="254">
        <v>45562</v>
      </c>
      <c r="B105" s="249" t="s">
        <v>145</v>
      </c>
      <c r="C105" s="265" t="s">
        <v>44</v>
      </c>
      <c r="D105" s="256">
        <v>4500146290</v>
      </c>
      <c r="E105" s="257" t="s">
        <v>525</v>
      </c>
      <c r="F105" s="256" t="s">
        <v>526</v>
      </c>
      <c r="G105" s="253" t="s">
        <v>148</v>
      </c>
      <c r="H105" s="253" t="s">
        <v>63</v>
      </c>
      <c r="I105" s="251">
        <v>744</v>
      </c>
      <c r="J105" s="251">
        <v>0</v>
      </c>
      <c r="K105" s="251">
        <v>2</v>
      </c>
      <c r="L105" s="251">
        <f t="shared" si="24"/>
        <v>372</v>
      </c>
      <c r="M105" s="274">
        <v>45723</v>
      </c>
      <c r="N105" s="274">
        <v>45720</v>
      </c>
      <c r="O105" s="274"/>
      <c r="P105" s="274" t="s">
        <v>49</v>
      </c>
      <c r="Q105" s="274"/>
      <c r="R105" s="274"/>
      <c r="S105" s="277" t="s">
        <v>50</v>
      </c>
      <c r="T105" s="277">
        <v>45565</v>
      </c>
      <c r="U105" s="277" t="s">
        <v>50</v>
      </c>
      <c r="V105" s="274"/>
      <c r="W105" s="274"/>
      <c r="X105" s="278" t="s">
        <v>149</v>
      </c>
      <c r="Y105" s="253" t="s">
        <v>87</v>
      </c>
      <c r="Z105" s="281">
        <v>3.6755</v>
      </c>
      <c r="AA105" s="282">
        <f t="shared" si="27"/>
        <v>2734.572</v>
      </c>
      <c r="AB105" s="253" t="s">
        <v>527</v>
      </c>
      <c r="AC105" s="253" t="s">
        <v>148</v>
      </c>
      <c r="AD105" s="251" t="s">
        <v>56</v>
      </c>
      <c r="AE105" s="251">
        <f t="shared" si="26"/>
        <v>744</v>
      </c>
      <c r="AF105" s="251">
        <f t="shared" si="15"/>
        <v>0</v>
      </c>
      <c r="AG105" s="266"/>
      <c r="AH105" s="266"/>
      <c r="AI105" s="253" t="s">
        <v>57</v>
      </c>
      <c r="AJ105" s="251">
        <v>0</v>
      </c>
      <c r="AK105" s="253" t="s">
        <v>73</v>
      </c>
      <c r="AL105" s="251">
        <v>0</v>
      </c>
      <c r="AM105" s="251"/>
      <c r="AN105" s="251">
        <f t="shared" si="17"/>
        <v>744</v>
      </c>
      <c r="AO105" s="290">
        <f t="shared" si="18"/>
        <v>744</v>
      </c>
      <c r="AP105" s="290" t="b">
        <f t="shared" si="19"/>
        <v>0</v>
      </c>
      <c r="AQ105" s="290">
        <f t="shared" si="20"/>
        <v>744</v>
      </c>
      <c r="AR105" s="293"/>
      <c r="AS105" s="266"/>
    </row>
    <row r="106" s="215" customFormat="1" ht="39" hidden="1" customHeight="1" spans="1:45">
      <c r="A106" s="254">
        <v>45562</v>
      </c>
      <c r="B106" s="249" t="s">
        <v>145</v>
      </c>
      <c r="C106" s="265" t="s">
        <v>44</v>
      </c>
      <c r="D106" s="256">
        <v>4500146292</v>
      </c>
      <c r="E106" s="257" t="s">
        <v>528</v>
      </c>
      <c r="F106" s="256" t="s">
        <v>529</v>
      </c>
      <c r="G106" s="253" t="s">
        <v>148</v>
      </c>
      <c r="H106" s="253" t="s">
        <v>63</v>
      </c>
      <c r="I106" s="251">
        <v>744</v>
      </c>
      <c r="J106" s="251">
        <v>0</v>
      </c>
      <c r="K106" s="251">
        <v>2</v>
      </c>
      <c r="L106" s="251">
        <f t="shared" si="24"/>
        <v>372</v>
      </c>
      <c r="M106" s="274">
        <v>45723</v>
      </c>
      <c r="N106" s="274">
        <v>45720</v>
      </c>
      <c r="O106" s="274"/>
      <c r="P106" s="274" t="s">
        <v>49</v>
      </c>
      <c r="Q106" s="274"/>
      <c r="R106" s="274"/>
      <c r="S106" s="277" t="s">
        <v>50</v>
      </c>
      <c r="T106" s="277">
        <v>45565</v>
      </c>
      <c r="U106" s="277" t="s">
        <v>50</v>
      </c>
      <c r="V106" s="274"/>
      <c r="W106" s="274"/>
      <c r="X106" s="278" t="s">
        <v>149</v>
      </c>
      <c r="Y106" s="253" t="s">
        <v>87</v>
      </c>
      <c r="Z106" s="281">
        <v>3.6755</v>
      </c>
      <c r="AA106" s="282">
        <f t="shared" si="27"/>
        <v>2734.572</v>
      </c>
      <c r="AB106" s="251" t="s">
        <v>530</v>
      </c>
      <c r="AC106" s="253" t="s">
        <v>148</v>
      </c>
      <c r="AD106" s="251" t="s">
        <v>56</v>
      </c>
      <c r="AE106" s="251">
        <f t="shared" si="26"/>
        <v>744</v>
      </c>
      <c r="AF106" s="251">
        <f t="shared" si="15"/>
        <v>0</v>
      </c>
      <c r="AG106" s="266"/>
      <c r="AH106" s="266"/>
      <c r="AI106" s="253" t="s">
        <v>57</v>
      </c>
      <c r="AJ106" s="251">
        <v>0</v>
      </c>
      <c r="AK106" s="253" t="s">
        <v>73</v>
      </c>
      <c r="AL106" s="251">
        <v>0</v>
      </c>
      <c r="AM106" s="251"/>
      <c r="AN106" s="251">
        <f t="shared" si="17"/>
        <v>744</v>
      </c>
      <c r="AO106" s="290">
        <f t="shared" si="18"/>
        <v>744</v>
      </c>
      <c r="AP106" s="290" t="b">
        <f t="shared" si="19"/>
        <v>0</v>
      </c>
      <c r="AQ106" s="290">
        <f t="shared" si="20"/>
        <v>744</v>
      </c>
      <c r="AR106" s="293"/>
      <c r="AS106" s="266"/>
    </row>
    <row r="107" s="215" customFormat="1" ht="39" customHeight="1" spans="1:45">
      <c r="A107" s="254">
        <v>45677</v>
      </c>
      <c r="B107" s="249" t="s">
        <v>531</v>
      </c>
      <c r="C107" s="265" t="s">
        <v>532</v>
      </c>
      <c r="D107" s="256">
        <v>4500156253</v>
      </c>
      <c r="E107" s="257" t="s">
        <v>533</v>
      </c>
      <c r="F107" s="256" t="s">
        <v>534</v>
      </c>
      <c r="G107" s="253" t="s">
        <v>62</v>
      </c>
      <c r="H107" s="253" t="s">
        <v>63</v>
      </c>
      <c r="I107" s="251">
        <v>360</v>
      </c>
      <c r="J107" s="251">
        <v>0</v>
      </c>
      <c r="K107" s="251">
        <v>6</v>
      </c>
      <c r="L107" s="251">
        <f t="shared" si="24"/>
        <v>60</v>
      </c>
      <c r="M107" s="274">
        <v>45723</v>
      </c>
      <c r="N107" s="274">
        <v>45719</v>
      </c>
      <c r="O107" s="274"/>
      <c r="P107" s="274" t="s">
        <v>49</v>
      </c>
      <c r="Q107" s="274"/>
      <c r="R107" s="274"/>
      <c r="S107" s="277" t="s">
        <v>50</v>
      </c>
      <c r="T107" s="277">
        <v>45677</v>
      </c>
      <c r="U107" s="277">
        <v>45696</v>
      </c>
      <c r="V107" s="274"/>
      <c r="W107" s="274"/>
      <c r="X107" s="278" t="s">
        <v>535</v>
      </c>
      <c r="Y107" s="253" t="s">
        <v>454</v>
      </c>
      <c r="Z107" s="281">
        <v>3.6385</v>
      </c>
      <c r="AA107" s="282">
        <f t="shared" si="27"/>
        <v>1309.86</v>
      </c>
      <c r="AB107" s="251" t="s">
        <v>536</v>
      </c>
      <c r="AC107" s="253" t="s">
        <v>62</v>
      </c>
      <c r="AD107" s="251" t="s">
        <v>56</v>
      </c>
      <c r="AE107" s="251">
        <f t="shared" si="26"/>
        <v>360</v>
      </c>
      <c r="AF107" s="251">
        <f t="shared" si="15"/>
        <v>0</v>
      </c>
      <c r="AG107" s="266"/>
      <c r="AH107" s="266"/>
      <c r="AI107" s="253" t="s">
        <v>57</v>
      </c>
      <c r="AJ107" s="251">
        <v>0</v>
      </c>
      <c r="AK107" s="253" t="s">
        <v>73</v>
      </c>
      <c r="AL107" s="251">
        <v>0</v>
      </c>
      <c r="AM107" s="251"/>
      <c r="AN107" s="251">
        <f t="shared" si="17"/>
        <v>360</v>
      </c>
      <c r="AO107" s="290">
        <f t="shared" si="18"/>
        <v>360</v>
      </c>
      <c r="AP107" s="290" t="b">
        <f t="shared" si="19"/>
        <v>0</v>
      </c>
      <c r="AQ107" s="290">
        <f t="shared" si="20"/>
        <v>360</v>
      </c>
      <c r="AR107" s="293"/>
      <c r="AS107" s="266"/>
    </row>
    <row r="108" s="215" customFormat="1" ht="39" customHeight="1" spans="1:45">
      <c r="A108" s="254">
        <v>45656</v>
      </c>
      <c r="B108" s="249" t="s">
        <v>537</v>
      </c>
      <c r="C108" s="265" t="s">
        <v>538</v>
      </c>
      <c r="D108" s="256">
        <v>4500154980</v>
      </c>
      <c r="E108" s="257" t="s">
        <v>539</v>
      </c>
      <c r="F108" s="256" t="s">
        <v>540</v>
      </c>
      <c r="G108" s="253" t="s">
        <v>62</v>
      </c>
      <c r="H108" s="253" t="s">
        <v>63</v>
      </c>
      <c r="I108" s="251">
        <v>5004</v>
      </c>
      <c r="J108" s="251">
        <v>0</v>
      </c>
      <c r="K108" s="251">
        <v>6</v>
      </c>
      <c r="L108" s="251">
        <f t="shared" si="24"/>
        <v>834</v>
      </c>
      <c r="M108" s="274">
        <v>45729</v>
      </c>
      <c r="N108" s="274">
        <v>45726</v>
      </c>
      <c r="O108" s="274"/>
      <c r="P108" s="274" t="s">
        <v>49</v>
      </c>
      <c r="Q108" s="274" t="s">
        <v>541</v>
      </c>
      <c r="R108" s="274"/>
      <c r="S108" s="277" t="s">
        <v>50</v>
      </c>
      <c r="T108" s="277">
        <v>45656</v>
      </c>
      <c r="U108" s="277">
        <v>45709</v>
      </c>
      <c r="V108" s="274"/>
      <c r="W108" s="274"/>
      <c r="X108" s="278" t="s">
        <v>542</v>
      </c>
      <c r="Y108" s="253" t="s">
        <v>543</v>
      </c>
      <c r="Z108" s="281">
        <v>3.525</v>
      </c>
      <c r="AA108" s="282">
        <f t="shared" si="27"/>
        <v>17639.1</v>
      </c>
      <c r="AB108" s="251" t="s">
        <v>544</v>
      </c>
      <c r="AC108" s="252" t="s">
        <v>62</v>
      </c>
      <c r="AD108" s="251" t="s">
        <v>56</v>
      </c>
      <c r="AE108" s="251">
        <f t="shared" si="26"/>
        <v>5004</v>
      </c>
      <c r="AF108" s="251">
        <f t="shared" si="15"/>
        <v>0</v>
      </c>
      <c r="AG108" s="266"/>
      <c r="AH108" s="266"/>
      <c r="AI108" s="253" t="s">
        <v>57</v>
      </c>
      <c r="AJ108" s="251">
        <v>0</v>
      </c>
      <c r="AK108" s="253" t="s">
        <v>73</v>
      </c>
      <c r="AL108" s="251">
        <v>0</v>
      </c>
      <c r="AM108" s="251"/>
      <c r="AN108" s="251">
        <f t="shared" si="17"/>
        <v>5004</v>
      </c>
      <c r="AO108" s="290">
        <f t="shared" si="18"/>
        <v>5004</v>
      </c>
      <c r="AP108" s="290" t="b">
        <f t="shared" si="19"/>
        <v>0</v>
      </c>
      <c r="AQ108" s="290">
        <f t="shared" si="20"/>
        <v>5004</v>
      </c>
      <c r="AR108" s="293"/>
      <c r="AS108" s="266"/>
    </row>
    <row r="109" s="215" customFormat="1" ht="39" hidden="1" customHeight="1" spans="1:45">
      <c r="A109" s="254">
        <v>45659</v>
      </c>
      <c r="B109" s="249" t="s">
        <v>256</v>
      </c>
      <c r="C109" s="265" t="s">
        <v>119</v>
      </c>
      <c r="D109" s="256">
        <v>4500155113</v>
      </c>
      <c r="E109" s="257">
        <v>5200005953</v>
      </c>
      <c r="F109" s="256" t="s">
        <v>545</v>
      </c>
      <c r="G109" s="253" t="s">
        <v>546</v>
      </c>
      <c r="H109" s="253" t="s">
        <v>47</v>
      </c>
      <c r="I109" s="251">
        <v>130</v>
      </c>
      <c r="J109" s="251">
        <v>0</v>
      </c>
      <c r="K109" s="251">
        <v>1</v>
      </c>
      <c r="L109" s="251">
        <f t="shared" si="24"/>
        <v>130</v>
      </c>
      <c r="M109" s="274">
        <v>45723</v>
      </c>
      <c r="N109" s="274">
        <v>45719</v>
      </c>
      <c r="O109" s="274"/>
      <c r="P109" s="274" t="s">
        <v>49</v>
      </c>
      <c r="Q109" s="274"/>
      <c r="R109" s="274"/>
      <c r="S109" s="277" t="s">
        <v>50</v>
      </c>
      <c r="T109" s="277">
        <v>45667</v>
      </c>
      <c r="U109" s="277">
        <v>45660</v>
      </c>
      <c r="V109" s="274"/>
      <c r="W109" s="274"/>
      <c r="X109" s="294" t="s">
        <v>547</v>
      </c>
      <c r="Y109" s="253" t="s">
        <v>69</v>
      </c>
      <c r="Z109" s="281">
        <v>0</v>
      </c>
      <c r="AA109" s="282">
        <f t="shared" si="27"/>
        <v>0</v>
      </c>
      <c r="AB109" s="251" t="s">
        <v>548</v>
      </c>
      <c r="AC109" s="252" t="s">
        <v>549</v>
      </c>
      <c r="AD109" s="251" t="s">
        <v>56</v>
      </c>
      <c r="AE109" s="251">
        <f t="shared" si="26"/>
        <v>130</v>
      </c>
      <c r="AF109" s="251"/>
      <c r="AG109" s="266"/>
      <c r="AH109" s="266"/>
      <c r="AI109" s="253" t="s">
        <v>72</v>
      </c>
      <c r="AJ109" s="251">
        <v>2</v>
      </c>
      <c r="AK109" s="253" t="s">
        <v>73</v>
      </c>
      <c r="AL109" s="251">
        <v>0</v>
      </c>
      <c r="AM109" s="251"/>
      <c r="AN109" s="251">
        <f t="shared" si="17"/>
        <v>130</v>
      </c>
      <c r="AO109" s="290">
        <f t="shared" si="18"/>
        <v>0</v>
      </c>
      <c r="AP109" s="290">
        <f t="shared" si="19"/>
        <v>130</v>
      </c>
      <c r="AQ109" s="290">
        <f t="shared" si="20"/>
        <v>130</v>
      </c>
      <c r="AR109" s="293"/>
      <c r="AS109" s="266"/>
    </row>
    <row r="110" s="215" customFormat="1" ht="39" hidden="1" customHeight="1" spans="1:45">
      <c r="A110" s="254">
        <v>45659</v>
      </c>
      <c r="B110" s="249" t="s">
        <v>256</v>
      </c>
      <c r="C110" s="265" t="s">
        <v>119</v>
      </c>
      <c r="D110" s="256">
        <v>4500155113</v>
      </c>
      <c r="E110" s="257">
        <v>5200005953</v>
      </c>
      <c r="F110" s="256" t="s">
        <v>545</v>
      </c>
      <c r="G110" s="253" t="s">
        <v>550</v>
      </c>
      <c r="H110" s="253" t="s">
        <v>551</v>
      </c>
      <c r="I110" s="251">
        <v>1040</v>
      </c>
      <c r="J110" s="251">
        <v>0</v>
      </c>
      <c r="K110" s="251">
        <v>8</v>
      </c>
      <c r="L110" s="251">
        <f t="shared" si="24"/>
        <v>130</v>
      </c>
      <c r="M110" s="274">
        <v>45723</v>
      </c>
      <c r="N110" s="274">
        <v>45719</v>
      </c>
      <c r="O110" s="274"/>
      <c r="P110" s="274" t="s">
        <v>49</v>
      </c>
      <c r="Q110" s="274"/>
      <c r="R110" s="274"/>
      <c r="S110" s="277" t="s">
        <v>50</v>
      </c>
      <c r="T110" s="277">
        <v>45667</v>
      </c>
      <c r="U110" s="277">
        <v>45660</v>
      </c>
      <c r="V110" s="274"/>
      <c r="W110" s="274"/>
      <c r="X110" s="295"/>
      <c r="Y110" s="253" t="s">
        <v>69</v>
      </c>
      <c r="Z110" s="281">
        <v>129.0562</v>
      </c>
      <c r="AA110" s="282">
        <f>L110*Z110</f>
        <v>16777.306</v>
      </c>
      <c r="AB110" s="251" t="s">
        <v>548</v>
      </c>
      <c r="AC110" s="252" t="s">
        <v>549</v>
      </c>
      <c r="AD110" s="251" t="s">
        <v>56</v>
      </c>
      <c r="AE110" s="251">
        <f t="shared" ref="AE110:AE120" si="28">I110</f>
        <v>1040</v>
      </c>
      <c r="AF110" s="251">
        <f t="shared" ref="AF110:AF147" si="29">AE110-I110</f>
        <v>0</v>
      </c>
      <c r="AG110" s="266"/>
      <c r="AH110" s="266"/>
      <c r="AI110" s="253" t="s">
        <v>72</v>
      </c>
      <c r="AJ110" s="251">
        <v>2</v>
      </c>
      <c r="AK110" s="253" t="s">
        <v>73</v>
      </c>
      <c r="AL110" s="251">
        <v>0</v>
      </c>
      <c r="AM110" s="251"/>
      <c r="AN110" s="251">
        <f t="shared" si="17"/>
        <v>1040</v>
      </c>
      <c r="AO110" s="290">
        <f t="shared" si="18"/>
        <v>0</v>
      </c>
      <c r="AP110" s="290">
        <f t="shared" si="19"/>
        <v>1040</v>
      </c>
      <c r="AQ110" s="290">
        <f t="shared" si="20"/>
        <v>1040</v>
      </c>
      <c r="AR110" s="293"/>
      <c r="AS110" s="266"/>
    </row>
    <row r="111" s="215" customFormat="1" ht="39" customHeight="1" spans="1:45">
      <c r="A111" s="254">
        <v>45677</v>
      </c>
      <c r="B111" s="249" t="s">
        <v>552</v>
      </c>
      <c r="C111" s="265" t="s">
        <v>553</v>
      </c>
      <c r="D111" s="256">
        <v>4500156240</v>
      </c>
      <c r="E111" s="257">
        <v>20611028</v>
      </c>
      <c r="F111" s="256" t="s">
        <v>554</v>
      </c>
      <c r="G111" s="253" t="s">
        <v>62</v>
      </c>
      <c r="H111" s="253" t="s">
        <v>63</v>
      </c>
      <c r="I111" s="251">
        <v>12</v>
      </c>
      <c r="J111" s="251">
        <v>0</v>
      </c>
      <c r="K111" s="251">
        <v>6</v>
      </c>
      <c r="L111" s="251">
        <f t="shared" si="24"/>
        <v>2</v>
      </c>
      <c r="M111" s="274">
        <v>45726</v>
      </c>
      <c r="N111" s="274">
        <v>45722</v>
      </c>
      <c r="O111" s="274"/>
      <c r="P111" s="274" t="s">
        <v>49</v>
      </c>
      <c r="Q111" s="274"/>
      <c r="R111" s="274"/>
      <c r="S111" s="277">
        <v>45705</v>
      </c>
      <c r="T111" s="277">
        <v>45677</v>
      </c>
      <c r="U111" s="277" t="s">
        <v>50</v>
      </c>
      <c r="V111" s="274"/>
      <c r="W111" s="274"/>
      <c r="X111" s="278" t="s">
        <v>555</v>
      </c>
      <c r="Y111" s="253" t="s">
        <v>556</v>
      </c>
      <c r="Z111" s="281">
        <v>4.0818</v>
      </c>
      <c r="AA111" s="282">
        <f t="shared" ref="AA111:AA142" si="30">I111*Z111</f>
        <v>48.9816</v>
      </c>
      <c r="AB111" s="251" t="s">
        <v>557</v>
      </c>
      <c r="AC111" s="253" t="s">
        <v>62</v>
      </c>
      <c r="AD111" s="251" t="s">
        <v>56</v>
      </c>
      <c r="AE111" s="251">
        <f t="shared" si="28"/>
        <v>12</v>
      </c>
      <c r="AF111" s="251">
        <f t="shared" si="29"/>
        <v>0</v>
      </c>
      <c r="AG111" s="266"/>
      <c r="AH111" s="266"/>
      <c r="AI111" s="253" t="s">
        <v>57</v>
      </c>
      <c r="AJ111" s="251">
        <v>0</v>
      </c>
      <c r="AK111" s="253" t="s">
        <v>73</v>
      </c>
      <c r="AL111" s="251">
        <v>0</v>
      </c>
      <c r="AM111" s="251"/>
      <c r="AN111" s="251">
        <f t="shared" si="17"/>
        <v>12</v>
      </c>
      <c r="AO111" s="290">
        <f t="shared" si="18"/>
        <v>12</v>
      </c>
      <c r="AP111" s="290" t="b">
        <f t="shared" si="19"/>
        <v>0</v>
      </c>
      <c r="AQ111" s="290">
        <f t="shared" si="20"/>
        <v>12</v>
      </c>
      <c r="AR111" s="293"/>
      <c r="AS111" s="266"/>
    </row>
    <row r="112" s="215" customFormat="1" ht="39" customHeight="1" spans="1:45">
      <c r="A112" s="254">
        <v>45677</v>
      </c>
      <c r="B112" s="249" t="s">
        <v>552</v>
      </c>
      <c r="C112" s="265" t="s">
        <v>182</v>
      </c>
      <c r="D112" s="256">
        <v>4500156224</v>
      </c>
      <c r="E112" s="257">
        <v>20611027</v>
      </c>
      <c r="F112" s="256" t="s">
        <v>558</v>
      </c>
      <c r="G112" s="253" t="s">
        <v>62</v>
      </c>
      <c r="H112" s="253" t="s">
        <v>63</v>
      </c>
      <c r="I112" s="251">
        <v>1488</v>
      </c>
      <c r="J112" s="251">
        <v>0</v>
      </c>
      <c r="K112" s="251">
        <v>6</v>
      </c>
      <c r="L112" s="251">
        <f t="shared" si="24"/>
        <v>248</v>
      </c>
      <c r="M112" s="274">
        <v>45726</v>
      </c>
      <c r="N112" s="274">
        <v>45722</v>
      </c>
      <c r="O112" s="274"/>
      <c r="P112" s="274" t="s">
        <v>49</v>
      </c>
      <c r="Q112" s="274"/>
      <c r="R112" s="274"/>
      <c r="S112" s="277">
        <v>45705</v>
      </c>
      <c r="T112" s="277">
        <v>45677</v>
      </c>
      <c r="U112" s="277" t="s">
        <v>50</v>
      </c>
      <c r="V112" s="274"/>
      <c r="W112" s="274"/>
      <c r="X112" s="278" t="s">
        <v>559</v>
      </c>
      <c r="Y112" s="253" t="s">
        <v>556</v>
      </c>
      <c r="Z112" s="281">
        <v>4.0553</v>
      </c>
      <c r="AA112" s="282">
        <f t="shared" si="30"/>
        <v>6034.2864</v>
      </c>
      <c r="AB112" s="251" t="s">
        <v>560</v>
      </c>
      <c r="AC112" s="253" t="s">
        <v>62</v>
      </c>
      <c r="AD112" s="251" t="s">
        <v>56</v>
      </c>
      <c r="AE112" s="251">
        <f t="shared" si="28"/>
        <v>1488</v>
      </c>
      <c r="AF112" s="251">
        <f t="shared" si="29"/>
        <v>0</v>
      </c>
      <c r="AG112" s="266"/>
      <c r="AH112" s="266"/>
      <c r="AI112" s="253" t="s">
        <v>57</v>
      </c>
      <c r="AJ112" s="251">
        <v>0</v>
      </c>
      <c r="AK112" s="253" t="s">
        <v>73</v>
      </c>
      <c r="AL112" s="251">
        <v>0</v>
      </c>
      <c r="AM112" s="251"/>
      <c r="AN112" s="251">
        <f t="shared" si="17"/>
        <v>1488</v>
      </c>
      <c r="AO112" s="290">
        <f t="shared" si="18"/>
        <v>1488</v>
      </c>
      <c r="AP112" s="290" t="b">
        <f t="shared" si="19"/>
        <v>0</v>
      </c>
      <c r="AQ112" s="290">
        <f t="shared" si="20"/>
        <v>1488</v>
      </c>
      <c r="AR112" s="293"/>
      <c r="AS112" s="266"/>
    </row>
    <row r="113" s="215" customFormat="1" ht="39" customHeight="1" spans="1:45">
      <c r="A113" s="254">
        <v>45694</v>
      </c>
      <c r="B113" s="249" t="s">
        <v>512</v>
      </c>
      <c r="C113" s="265" t="s">
        <v>44</v>
      </c>
      <c r="D113" s="256">
        <v>4500156768</v>
      </c>
      <c r="E113" s="257" t="s">
        <v>561</v>
      </c>
      <c r="F113" s="256" t="s">
        <v>562</v>
      </c>
      <c r="G113" s="253" t="s">
        <v>62</v>
      </c>
      <c r="H113" s="253" t="s">
        <v>63</v>
      </c>
      <c r="I113" s="251">
        <v>1800</v>
      </c>
      <c r="J113" s="251">
        <v>0</v>
      </c>
      <c r="K113" s="251">
        <v>6</v>
      </c>
      <c r="L113" s="251">
        <f t="shared" si="24"/>
        <v>300</v>
      </c>
      <c r="M113" s="274">
        <v>45730</v>
      </c>
      <c r="N113" s="274">
        <v>45726</v>
      </c>
      <c r="O113" s="274"/>
      <c r="P113" s="274" t="s">
        <v>49</v>
      </c>
      <c r="Q113" s="274"/>
      <c r="R113" s="274"/>
      <c r="S113" s="277">
        <v>45709</v>
      </c>
      <c r="T113" s="277">
        <v>45699</v>
      </c>
      <c r="U113" s="277">
        <v>45709</v>
      </c>
      <c r="V113" s="274"/>
      <c r="W113" s="274"/>
      <c r="X113" s="278" t="s">
        <v>563</v>
      </c>
      <c r="Y113" s="253" t="s">
        <v>517</v>
      </c>
      <c r="Z113" s="281">
        <v>3.612</v>
      </c>
      <c r="AA113" s="282">
        <f t="shared" si="30"/>
        <v>6501.6</v>
      </c>
      <c r="AB113" s="251" t="s">
        <v>564</v>
      </c>
      <c r="AC113" s="252" t="s">
        <v>62</v>
      </c>
      <c r="AD113" s="251" t="s">
        <v>56</v>
      </c>
      <c r="AE113" s="251">
        <f t="shared" si="28"/>
        <v>1800</v>
      </c>
      <c r="AF113" s="251">
        <f t="shared" si="29"/>
        <v>0</v>
      </c>
      <c r="AG113" s="266"/>
      <c r="AH113" s="266"/>
      <c r="AI113" s="253" t="s">
        <v>57</v>
      </c>
      <c r="AJ113" s="251">
        <v>0</v>
      </c>
      <c r="AK113" s="253" t="s">
        <v>73</v>
      </c>
      <c r="AL113" s="251">
        <v>0</v>
      </c>
      <c r="AM113" s="251"/>
      <c r="AN113" s="251">
        <f t="shared" si="17"/>
        <v>1800</v>
      </c>
      <c r="AO113" s="290">
        <f t="shared" si="18"/>
        <v>1800</v>
      </c>
      <c r="AP113" s="290" t="b">
        <f t="shared" si="19"/>
        <v>0</v>
      </c>
      <c r="AQ113" s="290">
        <f t="shared" si="20"/>
        <v>1800</v>
      </c>
      <c r="AR113" s="293"/>
      <c r="AS113" s="266"/>
    </row>
    <row r="114" s="215" customFormat="1" ht="39" customHeight="1" spans="1:45">
      <c r="A114" s="254">
        <v>45639</v>
      </c>
      <c r="B114" s="249" t="s">
        <v>565</v>
      </c>
      <c r="C114" s="265" t="s">
        <v>214</v>
      </c>
      <c r="D114" s="256">
        <v>4500153827</v>
      </c>
      <c r="E114" s="257">
        <v>351799</v>
      </c>
      <c r="F114" s="256" t="s">
        <v>566</v>
      </c>
      <c r="G114" s="253" t="s">
        <v>62</v>
      </c>
      <c r="H114" s="253" t="s">
        <v>63</v>
      </c>
      <c r="I114" s="251">
        <v>504</v>
      </c>
      <c r="J114" s="251">
        <v>0</v>
      </c>
      <c r="K114" s="251">
        <v>6</v>
      </c>
      <c r="L114" s="251">
        <f t="shared" si="24"/>
        <v>84</v>
      </c>
      <c r="M114" s="274">
        <v>45730</v>
      </c>
      <c r="N114" s="274">
        <v>45726</v>
      </c>
      <c r="O114" s="274"/>
      <c r="P114" s="274" t="s">
        <v>49</v>
      </c>
      <c r="Q114" s="274"/>
      <c r="R114" s="274"/>
      <c r="S114" s="277" t="s">
        <v>50</v>
      </c>
      <c r="T114" s="277">
        <v>45642</v>
      </c>
      <c r="U114" s="277" t="s">
        <v>567</v>
      </c>
      <c r="V114" s="274"/>
      <c r="W114" s="274"/>
      <c r="X114" s="278" t="s">
        <v>568</v>
      </c>
      <c r="Y114" s="253" t="s">
        <v>110</v>
      </c>
      <c r="Z114" s="281">
        <v>3.4167</v>
      </c>
      <c r="AA114" s="282">
        <f t="shared" si="30"/>
        <v>1722.0168</v>
      </c>
      <c r="AB114" s="251" t="s">
        <v>569</v>
      </c>
      <c r="AC114" s="252" t="s">
        <v>62</v>
      </c>
      <c r="AD114" s="251" t="s">
        <v>56</v>
      </c>
      <c r="AE114" s="251">
        <f t="shared" si="28"/>
        <v>504</v>
      </c>
      <c r="AF114" s="251">
        <f t="shared" si="29"/>
        <v>0</v>
      </c>
      <c r="AG114" s="266"/>
      <c r="AH114" s="266"/>
      <c r="AI114" s="253" t="s">
        <v>57</v>
      </c>
      <c r="AJ114" s="251">
        <v>0</v>
      </c>
      <c r="AK114" s="253" t="s">
        <v>73</v>
      </c>
      <c r="AL114" s="251">
        <v>0</v>
      </c>
      <c r="AM114" s="251"/>
      <c r="AN114" s="251">
        <f t="shared" si="17"/>
        <v>504</v>
      </c>
      <c r="AO114" s="290">
        <f t="shared" si="18"/>
        <v>504</v>
      </c>
      <c r="AP114" s="290" t="b">
        <f t="shared" si="19"/>
        <v>0</v>
      </c>
      <c r="AQ114" s="290">
        <f t="shared" si="20"/>
        <v>504</v>
      </c>
      <c r="AR114" s="293"/>
      <c r="AS114" s="266"/>
    </row>
    <row r="115" s="215" customFormat="1" ht="39" customHeight="1" spans="1:45">
      <c r="A115" s="254">
        <v>45677</v>
      </c>
      <c r="B115" s="249" t="s">
        <v>570</v>
      </c>
      <c r="C115" s="265" t="s">
        <v>553</v>
      </c>
      <c r="D115" s="256">
        <v>4500156115</v>
      </c>
      <c r="E115" s="257">
        <v>7631985</v>
      </c>
      <c r="F115" s="256" t="s">
        <v>571</v>
      </c>
      <c r="G115" s="253" t="s">
        <v>62</v>
      </c>
      <c r="H115" s="253" t="s">
        <v>63</v>
      </c>
      <c r="I115" s="251">
        <v>300</v>
      </c>
      <c r="J115" s="251">
        <v>0</v>
      </c>
      <c r="K115" s="251">
        <v>6</v>
      </c>
      <c r="L115" s="251">
        <f t="shared" si="24"/>
        <v>50</v>
      </c>
      <c r="M115" s="274">
        <v>45730</v>
      </c>
      <c r="N115" s="274">
        <v>45726</v>
      </c>
      <c r="O115" s="274"/>
      <c r="P115" s="274" t="s">
        <v>49</v>
      </c>
      <c r="Q115" s="274"/>
      <c r="R115" s="274"/>
      <c r="S115" s="277" t="s">
        <v>50</v>
      </c>
      <c r="T115" s="277">
        <v>45677</v>
      </c>
      <c r="U115" s="277" t="s">
        <v>50</v>
      </c>
      <c r="V115" s="274"/>
      <c r="W115" s="274"/>
      <c r="X115" s="278" t="s">
        <v>572</v>
      </c>
      <c r="Y115" s="253" t="s">
        <v>252</v>
      </c>
      <c r="Z115" s="281">
        <v>3.4297</v>
      </c>
      <c r="AA115" s="282">
        <f t="shared" si="30"/>
        <v>1028.91</v>
      </c>
      <c r="AB115" s="251" t="s">
        <v>573</v>
      </c>
      <c r="AC115" s="286" t="s">
        <v>71</v>
      </c>
      <c r="AD115" s="251" t="s">
        <v>56</v>
      </c>
      <c r="AE115" s="251">
        <f t="shared" si="28"/>
        <v>300</v>
      </c>
      <c r="AF115" s="251">
        <f t="shared" si="29"/>
        <v>0</v>
      </c>
      <c r="AG115" s="266"/>
      <c r="AH115" s="266"/>
      <c r="AI115" s="253" t="s">
        <v>72</v>
      </c>
      <c r="AJ115" s="251">
        <v>2</v>
      </c>
      <c r="AK115" s="253" t="s">
        <v>73</v>
      </c>
      <c r="AL115" s="251">
        <v>0</v>
      </c>
      <c r="AM115" s="251"/>
      <c r="AN115" s="251">
        <f t="shared" si="17"/>
        <v>300</v>
      </c>
      <c r="AO115" s="290">
        <f t="shared" si="18"/>
        <v>0</v>
      </c>
      <c r="AP115" s="290">
        <f t="shared" si="19"/>
        <v>300</v>
      </c>
      <c r="AQ115" s="290">
        <f t="shared" si="20"/>
        <v>300</v>
      </c>
      <c r="AR115" s="293"/>
      <c r="AS115" s="266"/>
    </row>
    <row r="116" s="215" customFormat="1" ht="39" customHeight="1" spans="1:45">
      <c r="A116" s="254">
        <v>45696</v>
      </c>
      <c r="B116" s="249" t="s">
        <v>574</v>
      </c>
      <c r="C116" s="265" t="s">
        <v>575</v>
      </c>
      <c r="D116" s="256">
        <v>4500157001</v>
      </c>
      <c r="E116" s="257" t="s">
        <v>576</v>
      </c>
      <c r="F116" s="256" t="s">
        <v>577</v>
      </c>
      <c r="G116" s="253" t="s">
        <v>62</v>
      </c>
      <c r="H116" s="253" t="s">
        <v>63</v>
      </c>
      <c r="I116" s="251">
        <v>504</v>
      </c>
      <c r="J116" s="251">
        <v>0</v>
      </c>
      <c r="K116" s="251">
        <v>6</v>
      </c>
      <c r="L116" s="251">
        <f t="shared" si="24"/>
        <v>84</v>
      </c>
      <c r="M116" s="274">
        <v>45730</v>
      </c>
      <c r="N116" s="274">
        <v>45726</v>
      </c>
      <c r="O116" s="274"/>
      <c r="P116" s="274" t="s">
        <v>49</v>
      </c>
      <c r="Q116" s="274"/>
      <c r="R116" s="274"/>
      <c r="S116" s="277" t="s">
        <v>50</v>
      </c>
      <c r="T116" s="277">
        <v>45696</v>
      </c>
      <c r="U116" s="277" t="s">
        <v>578</v>
      </c>
      <c r="V116" s="274"/>
      <c r="W116" s="274"/>
      <c r="X116" s="278" t="s">
        <v>579</v>
      </c>
      <c r="Y116" s="253" t="s">
        <v>580</v>
      </c>
      <c r="Z116" s="281">
        <v>3.4167</v>
      </c>
      <c r="AA116" s="282">
        <f t="shared" si="30"/>
        <v>1722.0168</v>
      </c>
      <c r="AB116" s="251" t="s">
        <v>581</v>
      </c>
      <c r="AC116" s="252" t="s">
        <v>62</v>
      </c>
      <c r="AD116" s="251" t="s">
        <v>56</v>
      </c>
      <c r="AE116" s="251">
        <f t="shared" si="28"/>
        <v>504</v>
      </c>
      <c r="AF116" s="251">
        <f t="shared" si="29"/>
        <v>0</v>
      </c>
      <c r="AG116" s="266"/>
      <c r="AH116" s="266"/>
      <c r="AI116" s="253" t="s">
        <v>57</v>
      </c>
      <c r="AJ116" s="251">
        <v>0</v>
      </c>
      <c r="AK116" s="253" t="s">
        <v>73</v>
      </c>
      <c r="AL116" s="251">
        <v>0</v>
      </c>
      <c r="AM116" s="251"/>
      <c r="AN116" s="251">
        <f t="shared" si="17"/>
        <v>504</v>
      </c>
      <c r="AO116" s="290">
        <f t="shared" si="18"/>
        <v>504</v>
      </c>
      <c r="AP116" s="290" t="b">
        <f t="shared" si="19"/>
        <v>0</v>
      </c>
      <c r="AQ116" s="290">
        <f t="shared" si="20"/>
        <v>504</v>
      </c>
      <c r="AR116" s="293"/>
      <c r="AS116" s="266"/>
    </row>
    <row r="117" s="215" customFormat="1" ht="39" customHeight="1" spans="1:45">
      <c r="A117" s="254">
        <v>45672</v>
      </c>
      <c r="B117" s="249" t="s">
        <v>582</v>
      </c>
      <c r="C117" s="265" t="s">
        <v>66</v>
      </c>
      <c r="D117" s="256">
        <v>4500155907</v>
      </c>
      <c r="E117" s="257"/>
      <c r="F117" s="256" t="s">
        <v>583</v>
      </c>
      <c r="G117" s="253" t="s">
        <v>62</v>
      </c>
      <c r="H117" s="253" t="s">
        <v>63</v>
      </c>
      <c r="I117" s="251">
        <v>180</v>
      </c>
      <c r="J117" s="251">
        <v>0</v>
      </c>
      <c r="K117" s="251">
        <v>6</v>
      </c>
      <c r="L117" s="251">
        <f t="shared" si="24"/>
        <v>30</v>
      </c>
      <c r="M117" s="274">
        <v>45731</v>
      </c>
      <c r="N117" s="274">
        <v>45727</v>
      </c>
      <c r="O117" s="274"/>
      <c r="P117" s="274" t="s">
        <v>49</v>
      </c>
      <c r="Q117" s="274">
        <v>45754</v>
      </c>
      <c r="R117" s="274"/>
      <c r="S117" s="277" t="s">
        <v>50</v>
      </c>
      <c r="T117" s="277">
        <v>45680</v>
      </c>
      <c r="U117" s="277" t="s">
        <v>584</v>
      </c>
      <c r="V117" s="274"/>
      <c r="W117" s="274"/>
      <c r="X117" s="278" t="s">
        <v>585</v>
      </c>
      <c r="Y117" s="253" t="s">
        <v>586</v>
      </c>
      <c r="Z117" s="281">
        <v>3.6385</v>
      </c>
      <c r="AA117" s="282">
        <f t="shared" si="30"/>
        <v>654.93</v>
      </c>
      <c r="AB117" s="251" t="s">
        <v>587</v>
      </c>
      <c r="AC117" s="286" t="s">
        <v>71</v>
      </c>
      <c r="AD117" s="251" t="s">
        <v>56</v>
      </c>
      <c r="AE117" s="251">
        <f t="shared" si="28"/>
        <v>180</v>
      </c>
      <c r="AF117" s="251">
        <f t="shared" si="29"/>
        <v>0</v>
      </c>
      <c r="AG117" s="266"/>
      <c r="AH117" s="266"/>
      <c r="AI117" s="253" t="s">
        <v>72</v>
      </c>
      <c r="AJ117" s="251">
        <v>2</v>
      </c>
      <c r="AK117" s="253" t="s">
        <v>73</v>
      </c>
      <c r="AL117" s="251">
        <v>0</v>
      </c>
      <c r="AM117" s="251"/>
      <c r="AN117" s="251">
        <f t="shared" si="17"/>
        <v>180</v>
      </c>
      <c r="AO117" s="290">
        <f t="shared" si="18"/>
        <v>0</v>
      </c>
      <c r="AP117" s="290">
        <f t="shared" si="19"/>
        <v>180</v>
      </c>
      <c r="AQ117" s="290">
        <f t="shared" si="20"/>
        <v>180</v>
      </c>
      <c r="AR117" s="293"/>
      <c r="AS117" s="266"/>
    </row>
    <row r="118" s="215" customFormat="1" ht="39" customHeight="1" spans="1:45">
      <c r="A118" s="254">
        <v>45672</v>
      </c>
      <c r="B118" s="249" t="s">
        <v>588</v>
      </c>
      <c r="C118" s="265" t="s">
        <v>66</v>
      </c>
      <c r="D118" s="256">
        <v>4500155934</v>
      </c>
      <c r="E118" s="257"/>
      <c r="F118" s="256" t="s">
        <v>589</v>
      </c>
      <c r="G118" s="253" t="s">
        <v>62</v>
      </c>
      <c r="H118" s="253" t="s">
        <v>63</v>
      </c>
      <c r="I118" s="251">
        <v>180</v>
      </c>
      <c r="J118" s="251">
        <v>0</v>
      </c>
      <c r="K118" s="251">
        <v>6</v>
      </c>
      <c r="L118" s="251">
        <f t="shared" si="24"/>
        <v>30</v>
      </c>
      <c r="M118" s="274">
        <v>45731</v>
      </c>
      <c r="N118" s="274">
        <v>45727</v>
      </c>
      <c r="O118" s="274"/>
      <c r="P118" s="274" t="s">
        <v>49</v>
      </c>
      <c r="Q118" s="274"/>
      <c r="R118" s="274"/>
      <c r="S118" s="277" t="s">
        <v>50</v>
      </c>
      <c r="T118" s="277">
        <v>45680</v>
      </c>
      <c r="U118" s="277" t="s">
        <v>590</v>
      </c>
      <c r="V118" s="274"/>
      <c r="W118" s="274"/>
      <c r="X118" s="278" t="s">
        <v>591</v>
      </c>
      <c r="Y118" s="253" t="s">
        <v>586</v>
      </c>
      <c r="Z118" s="281">
        <v>3.6385</v>
      </c>
      <c r="AA118" s="282">
        <f t="shared" si="30"/>
        <v>654.93</v>
      </c>
      <c r="AB118" s="251" t="s">
        <v>592</v>
      </c>
      <c r="AC118" s="286" t="s">
        <v>71</v>
      </c>
      <c r="AD118" s="251" t="s">
        <v>56</v>
      </c>
      <c r="AE118" s="251">
        <f t="shared" si="28"/>
        <v>180</v>
      </c>
      <c r="AF118" s="251">
        <f t="shared" si="29"/>
        <v>0</v>
      </c>
      <c r="AG118" s="266"/>
      <c r="AH118" s="266"/>
      <c r="AI118" s="253" t="s">
        <v>72</v>
      </c>
      <c r="AJ118" s="251">
        <v>2</v>
      </c>
      <c r="AK118" s="253" t="s">
        <v>73</v>
      </c>
      <c r="AL118" s="251">
        <v>0</v>
      </c>
      <c r="AM118" s="251"/>
      <c r="AN118" s="251">
        <f t="shared" si="17"/>
        <v>180</v>
      </c>
      <c r="AO118" s="290">
        <f t="shared" si="18"/>
        <v>0</v>
      </c>
      <c r="AP118" s="290">
        <f t="shared" si="19"/>
        <v>180</v>
      </c>
      <c r="AQ118" s="290">
        <f t="shared" si="20"/>
        <v>180</v>
      </c>
      <c r="AR118" s="293"/>
      <c r="AS118" s="266"/>
    </row>
    <row r="119" s="215" customFormat="1" ht="39" customHeight="1" spans="1:45">
      <c r="A119" s="254">
        <v>45694</v>
      </c>
      <c r="B119" s="249" t="s">
        <v>593</v>
      </c>
      <c r="C119" s="265" t="s">
        <v>594</v>
      </c>
      <c r="D119" s="256">
        <v>4500156797</v>
      </c>
      <c r="E119" s="257"/>
      <c r="F119" s="256" t="s">
        <v>595</v>
      </c>
      <c r="G119" s="253" t="s">
        <v>62</v>
      </c>
      <c r="H119" s="253" t="s">
        <v>63</v>
      </c>
      <c r="I119" s="251">
        <v>288</v>
      </c>
      <c r="J119" s="251">
        <v>0</v>
      </c>
      <c r="K119" s="251">
        <v>6</v>
      </c>
      <c r="L119" s="251">
        <f t="shared" si="24"/>
        <v>48</v>
      </c>
      <c r="M119" s="274">
        <v>45735</v>
      </c>
      <c r="N119" s="274">
        <f>M119-4</f>
        <v>45731</v>
      </c>
      <c r="O119" s="274"/>
      <c r="P119" s="274" t="s">
        <v>49</v>
      </c>
      <c r="Q119" s="274">
        <v>45737</v>
      </c>
      <c r="R119" s="274"/>
      <c r="S119" s="277" t="s">
        <v>50</v>
      </c>
      <c r="T119" s="277">
        <v>45695</v>
      </c>
      <c r="U119" s="277" t="s">
        <v>50</v>
      </c>
      <c r="V119" s="274"/>
      <c r="W119" s="274"/>
      <c r="X119" s="278" t="s">
        <v>596</v>
      </c>
      <c r="Y119" s="253" t="s">
        <v>597</v>
      </c>
      <c r="Z119" s="281">
        <v>3.7163</v>
      </c>
      <c r="AA119" s="282">
        <f t="shared" si="30"/>
        <v>1070.2944</v>
      </c>
      <c r="AB119" s="251" t="s">
        <v>598</v>
      </c>
      <c r="AC119" s="286" t="s">
        <v>71</v>
      </c>
      <c r="AD119" s="251" t="s">
        <v>56</v>
      </c>
      <c r="AE119" s="251">
        <f t="shared" si="28"/>
        <v>288</v>
      </c>
      <c r="AF119" s="251">
        <f t="shared" si="29"/>
        <v>0</v>
      </c>
      <c r="AG119" s="266"/>
      <c r="AH119" s="266"/>
      <c r="AI119" s="253" t="s">
        <v>72</v>
      </c>
      <c r="AJ119" s="251">
        <v>2</v>
      </c>
      <c r="AK119" s="253" t="s">
        <v>73</v>
      </c>
      <c r="AL119" s="251">
        <v>0</v>
      </c>
      <c r="AM119" s="251"/>
      <c r="AN119" s="251">
        <f t="shared" si="17"/>
        <v>288</v>
      </c>
      <c r="AO119" s="290">
        <f t="shared" si="18"/>
        <v>0</v>
      </c>
      <c r="AP119" s="290">
        <f t="shared" si="19"/>
        <v>288</v>
      </c>
      <c r="AQ119" s="290">
        <f t="shared" si="20"/>
        <v>288</v>
      </c>
      <c r="AR119" s="293"/>
      <c r="AS119" s="266"/>
    </row>
    <row r="120" s="215" customFormat="1" ht="39" customHeight="1" spans="1:45">
      <c r="A120" s="254">
        <v>45677</v>
      </c>
      <c r="B120" s="249" t="s">
        <v>599</v>
      </c>
      <c r="C120" s="265" t="s">
        <v>66</v>
      </c>
      <c r="D120" s="256">
        <v>4500156067</v>
      </c>
      <c r="E120" s="257">
        <v>2000007268</v>
      </c>
      <c r="F120" s="256" t="s">
        <v>600</v>
      </c>
      <c r="G120" s="253" t="s">
        <v>62</v>
      </c>
      <c r="H120" s="253" t="s">
        <v>63</v>
      </c>
      <c r="I120" s="251">
        <v>504</v>
      </c>
      <c r="J120" s="251">
        <v>0</v>
      </c>
      <c r="K120" s="251">
        <v>6</v>
      </c>
      <c r="L120" s="251">
        <f t="shared" si="24"/>
        <v>84</v>
      </c>
      <c r="M120" s="274">
        <v>45737</v>
      </c>
      <c r="N120" s="274">
        <v>45733</v>
      </c>
      <c r="O120" s="274"/>
      <c r="P120" s="274" t="s">
        <v>49</v>
      </c>
      <c r="Q120" s="274" t="s">
        <v>601</v>
      </c>
      <c r="R120" s="274"/>
      <c r="S120" s="277" t="s">
        <v>50</v>
      </c>
      <c r="T120" s="277">
        <v>45705</v>
      </c>
      <c r="U120" s="277">
        <v>45705</v>
      </c>
      <c r="V120" s="274"/>
      <c r="W120" s="274"/>
      <c r="X120" s="278" t="s">
        <v>602</v>
      </c>
      <c r="Y120" s="253" t="s">
        <v>69</v>
      </c>
      <c r="Z120" s="281">
        <v>3.6255</v>
      </c>
      <c r="AA120" s="282">
        <f t="shared" si="30"/>
        <v>1827.252</v>
      </c>
      <c r="AB120" s="251" t="s">
        <v>603</v>
      </c>
      <c r="AC120" s="253" t="s">
        <v>71</v>
      </c>
      <c r="AD120" s="251" t="s">
        <v>56</v>
      </c>
      <c r="AE120" s="251">
        <f t="shared" ref="AE120:AE145" si="31">I120</f>
        <v>504</v>
      </c>
      <c r="AF120" s="251">
        <f t="shared" si="29"/>
        <v>0</v>
      </c>
      <c r="AG120" s="266"/>
      <c r="AH120" s="266"/>
      <c r="AI120" s="253" t="s">
        <v>72</v>
      </c>
      <c r="AJ120" s="251">
        <v>2</v>
      </c>
      <c r="AK120" s="253" t="s">
        <v>73</v>
      </c>
      <c r="AL120" s="251">
        <v>0</v>
      </c>
      <c r="AM120" s="251"/>
      <c r="AN120" s="251">
        <f t="shared" si="17"/>
        <v>504</v>
      </c>
      <c r="AO120" s="290">
        <f t="shared" si="18"/>
        <v>0</v>
      </c>
      <c r="AP120" s="290">
        <f t="shared" si="19"/>
        <v>504</v>
      </c>
      <c r="AQ120" s="290">
        <f t="shared" si="20"/>
        <v>504</v>
      </c>
      <c r="AR120" s="293"/>
      <c r="AS120" s="266"/>
    </row>
    <row r="121" s="215" customFormat="1" ht="39" customHeight="1" spans="1:45">
      <c r="A121" s="254">
        <v>45699</v>
      </c>
      <c r="B121" s="249" t="s">
        <v>604</v>
      </c>
      <c r="C121" s="265" t="s">
        <v>138</v>
      </c>
      <c r="D121" s="256">
        <v>4500157213</v>
      </c>
      <c r="E121" s="257" t="s">
        <v>605</v>
      </c>
      <c r="F121" s="256" t="s">
        <v>606</v>
      </c>
      <c r="G121" s="253" t="s">
        <v>62</v>
      </c>
      <c r="H121" s="253" t="s">
        <v>63</v>
      </c>
      <c r="I121" s="251">
        <v>420</v>
      </c>
      <c r="J121" s="251">
        <v>0</v>
      </c>
      <c r="K121" s="251">
        <v>6</v>
      </c>
      <c r="L121" s="251">
        <f t="shared" si="24"/>
        <v>70</v>
      </c>
      <c r="M121" s="274">
        <v>45740</v>
      </c>
      <c r="N121" s="274">
        <f>M121-4</f>
        <v>45736</v>
      </c>
      <c r="O121" s="274"/>
      <c r="P121" s="274" t="s">
        <v>49</v>
      </c>
      <c r="Q121" s="274"/>
      <c r="R121" s="274"/>
      <c r="S121" s="277" t="s">
        <v>50</v>
      </c>
      <c r="T121" s="277">
        <v>45699</v>
      </c>
      <c r="U121" s="277">
        <v>45699</v>
      </c>
      <c r="V121" s="274"/>
      <c r="W121" s="274"/>
      <c r="X121" s="278" t="s">
        <v>607</v>
      </c>
      <c r="Y121" s="253" t="s">
        <v>608</v>
      </c>
      <c r="Z121" s="281">
        <v>3.6385</v>
      </c>
      <c r="AA121" s="282">
        <f t="shared" si="30"/>
        <v>1528.17</v>
      </c>
      <c r="AB121" s="251" t="s">
        <v>609</v>
      </c>
      <c r="AC121" s="286" t="s">
        <v>71</v>
      </c>
      <c r="AD121" s="251" t="s">
        <v>56</v>
      </c>
      <c r="AE121" s="251">
        <f t="shared" si="31"/>
        <v>420</v>
      </c>
      <c r="AF121" s="251">
        <f t="shared" si="29"/>
        <v>0</v>
      </c>
      <c r="AG121" s="266"/>
      <c r="AH121" s="266"/>
      <c r="AI121" s="253" t="s">
        <v>72</v>
      </c>
      <c r="AJ121" s="251">
        <v>2</v>
      </c>
      <c r="AK121" s="253" t="s">
        <v>73</v>
      </c>
      <c r="AL121" s="251">
        <v>0</v>
      </c>
      <c r="AM121" s="251"/>
      <c r="AN121" s="251">
        <f t="shared" si="17"/>
        <v>420</v>
      </c>
      <c r="AO121" s="290">
        <f t="shared" si="18"/>
        <v>0</v>
      </c>
      <c r="AP121" s="290">
        <f t="shared" si="19"/>
        <v>420</v>
      </c>
      <c r="AQ121" s="290">
        <f t="shared" si="20"/>
        <v>420</v>
      </c>
      <c r="AR121" s="293"/>
      <c r="AS121" s="266"/>
    </row>
    <row r="122" s="215" customFormat="1" ht="39" customHeight="1" spans="1:45">
      <c r="A122" s="254">
        <v>45705</v>
      </c>
      <c r="B122" s="249" t="s">
        <v>610</v>
      </c>
      <c r="C122" s="265" t="s">
        <v>611</v>
      </c>
      <c r="D122" s="256">
        <v>4500157780</v>
      </c>
      <c r="E122" s="257"/>
      <c r="F122" s="256" t="s">
        <v>612</v>
      </c>
      <c r="G122" s="253" t="s">
        <v>62</v>
      </c>
      <c r="H122" s="253" t="s">
        <v>63</v>
      </c>
      <c r="I122" s="251">
        <v>120</v>
      </c>
      <c r="J122" s="251">
        <v>0</v>
      </c>
      <c r="K122" s="251">
        <v>6</v>
      </c>
      <c r="L122" s="251">
        <f t="shared" si="24"/>
        <v>20</v>
      </c>
      <c r="M122" s="274">
        <v>45741</v>
      </c>
      <c r="N122" s="274">
        <v>45737</v>
      </c>
      <c r="O122" s="274"/>
      <c r="P122" s="274" t="s">
        <v>49</v>
      </c>
      <c r="Q122" s="274">
        <v>45754</v>
      </c>
      <c r="R122" s="274"/>
      <c r="S122" s="277" t="s">
        <v>50</v>
      </c>
      <c r="T122" s="277">
        <v>45705</v>
      </c>
      <c r="U122" s="277" t="s">
        <v>50</v>
      </c>
      <c r="V122" s="274"/>
      <c r="W122" s="274"/>
      <c r="X122" s="278" t="s">
        <v>613</v>
      </c>
      <c r="Y122" s="253" t="s">
        <v>161</v>
      </c>
      <c r="Z122" s="281">
        <v>3.4297</v>
      </c>
      <c r="AA122" s="282">
        <f t="shared" si="30"/>
        <v>411.564</v>
      </c>
      <c r="AB122" s="251" t="s">
        <v>614</v>
      </c>
      <c r="AC122" s="252" t="s">
        <v>62</v>
      </c>
      <c r="AD122" s="251" t="s">
        <v>56</v>
      </c>
      <c r="AE122" s="251">
        <f t="shared" si="31"/>
        <v>120</v>
      </c>
      <c r="AF122" s="251">
        <f t="shared" si="29"/>
        <v>0</v>
      </c>
      <c r="AG122" s="266"/>
      <c r="AH122" s="266"/>
      <c r="AI122" s="253" t="s">
        <v>57</v>
      </c>
      <c r="AJ122" s="251">
        <v>0</v>
      </c>
      <c r="AK122" s="253" t="s">
        <v>73</v>
      </c>
      <c r="AL122" s="251">
        <v>0</v>
      </c>
      <c r="AM122" s="251"/>
      <c r="AN122" s="251">
        <f t="shared" si="17"/>
        <v>120</v>
      </c>
      <c r="AO122" s="290">
        <f t="shared" si="18"/>
        <v>120</v>
      </c>
      <c r="AP122" s="290" t="b">
        <f t="shared" si="19"/>
        <v>0</v>
      </c>
      <c r="AQ122" s="290">
        <f t="shared" si="20"/>
        <v>120</v>
      </c>
      <c r="AR122" s="293"/>
      <c r="AS122" s="266"/>
    </row>
    <row r="123" s="215" customFormat="1" ht="39" customHeight="1" spans="1:45">
      <c r="A123" s="254">
        <v>45701</v>
      </c>
      <c r="B123" s="249" t="s">
        <v>615</v>
      </c>
      <c r="C123" s="265" t="s">
        <v>44</v>
      </c>
      <c r="D123" s="256">
        <v>4500157297</v>
      </c>
      <c r="E123" s="257" t="s">
        <v>616</v>
      </c>
      <c r="F123" s="256" t="s">
        <v>617</v>
      </c>
      <c r="G123" s="253" t="s">
        <v>62</v>
      </c>
      <c r="H123" s="253" t="s">
        <v>63</v>
      </c>
      <c r="I123" s="251">
        <v>600</v>
      </c>
      <c r="J123" s="251">
        <v>0</v>
      </c>
      <c r="K123" s="251">
        <v>6</v>
      </c>
      <c r="L123" s="251">
        <f t="shared" si="24"/>
        <v>100</v>
      </c>
      <c r="M123" s="274">
        <v>45742</v>
      </c>
      <c r="N123" s="274">
        <v>45738</v>
      </c>
      <c r="O123" s="274"/>
      <c r="P123" s="274" t="s">
        <v>49</v>
      </c>
      <c r="Q123" s="274"/>
      <c r="R123" s="274"/>
      <c r="S123" s="277" t="s">
        <v>50</v>
      </c>
      <c r="T123" s="277">
        <v>45701</v>
      </c>
      <c r="U123" s="277">
        <v>45720</v>
      </c>
      <c r="V123" s="274"/>
      <c r="W123" s="274"/>
      <c r="X123" s="278" t="s">
        <v>100</v>
      </c>
      <c r="Y123" s="253" t="s">
        <v>618</v>
      </c>
      <c r="Z123" s="281">
        <v>3.6255</v>
      </c>
      <c r="AA123" s="282">
        <f t="shared" si="30"/>
        <v>2175.3</v>
      </c>
      <c r="AB123" s="253" t="s">
        <v>619</v>
      </c>
      <c r="AC123" s="252" t="s">
        <v>62</v>
      </c>
      <c r="AD123" s="251" t="s">
        <v>56</v>
      </c>
      <c r="AE123" s="251">
        <f t="shared" si="31"/>
        <v>600</v>
      </c>
      <c r="AF123" s="251">
        <f t="shared" si="29"/>
        <v>0</v>
      </c>
      <c r="AG123" s="266"/>
      <c r="AH123" s="266"/>
      <c r="AI123" s="253" t="s">
        <v>57</v>
      </c>
      <c r="AJ123" s="251">
        <v>0</v>
      </c>
      <c r="AK123" s="253" t="s">
        <v>73</v>
      </c>
      <c r="AL123" s="251">
        <v>0</v>
      </c>
      <c r="AM123" s="251"/>
      <c r="AN123" s="251">
        <f t="shared" si="17"/>
        <v>600</v>
      </c>
      <c r="AO123" s="290">
        <f t="shared" si="18"/>
        <v>600</v>
      </c>
      <c r="AP123" s="290" t="b">
        <f t="shared" si="19"/>
        <v>0</v>
      </c>
      <c r="AQ123" s="290">
        <f t="shared" si="20"/>
        <v>600</v>
      </c>
      <c r="AR123" s="293"/>
      <c r="AS123" s="266"/>
    </row>
    <row r="124" s="215" customFormat="1" ht="39" customHeight="1" spans="1:45">
      <c r="A124" s="254">
        <v>45701</v>
      </c>
      <c r="B124" s="249" t="s">
        <v>615</v>
      </c>
      <c r="C124" s="265" t="s">
        <v>44</v>
      </c>
      <c r="D124" s="256">
        <v>4500157300</v>
      </c>
      <c r="E124" s="257" t="s">
        <v>620</v>
      </c>
      <c r="F124" s="256" t="s">
        <v>621</v>
      </c>
      <c r="G124" s="253" t="s">
        <v>62</v>
      </c>
      <c r="H124" s="253" t="s">
        <v>63</v>
      </c>
      <c r="I124" s="251">
        <v>798</v>
      </c>
      <c r="J124" s="251">
        <v>0</v>
      </c>
      <c r="K124" s="251">
        <v>6</v>
      </c>
      <c r="L124" s="251">
        <f t="shared" si="24"/>
        <v>133</v>
      </c>
      <c r="M124" s="274">
        <v>45742</v>
      </c>
      <c r="N124" s="274">
        <v>45738</v>
      </c>
      <c r="O124" s="274"/>
      <c r="P124" s="274" t="s">
        <v>49</v>
      </c>
      <c r="Q124" s="274" t="s">
        <v>622</v>
      </c>
      <c r="R124" s="274"/>
      <c r="S124" s="277" t="s">
        <v>50</v>
      </c>
      <c r="T124" s="277">
        <v>45701</v>
      </c>
      <c r="U124" s="277">
        <v>45720</v>
      </c>
      <c r="V124" s="274"/>
      <c r="W124" s="274"/>
      <c r="X124" s="278" t="s">
        <v>623</v>
      </c>
      <c r="Y124" s="253" t="s">
        <v>618</v>
      </c>
      <c r="Z124" s="281">
        <v>3.6255</v>
      </c>
      <c r="AA124" s="282">
        <f t="shared" si="30"/>
        <v>2893.149</v>
      </c>
      <c r="AB124" s="253" t="s">
        <v>624</v>
      </c>
      <c r="AC124" s="252" t="s">
        <v>62</v>
      </c>
      <c r="AD124" s="251" t="s">
        <v>56</v>
      </c>
      <c r="AE124" s="251">
        <f t="shared" si="31"/>
        <v>798</v>
      </c>
      <c r="AF124" s="251">
        <f t="shared" si="29"/>
        <v>0</v>
      </c>
      <c r="AG124" s="266"/>
      <c r="AH124" s="266"/>
      <c r="AI124" s="253" t="s">
        <v>57</v>
      </c>
      <c r="AJ124" s="251">
        <v>0</v>
      </c>
      <c r="AK124" s="253" t="s">
        <v>73</v>
      </c>
      <c r="AL124" s="251">
        <v>0</v>
      </c>
      <c r="AM124" s="251"/>
      <c r="AN124" s="251">
        <f t="shared" si="17"/>
        <v>798</v>
      </c>
      <c r="AO124" s="290">
        <f t="shared" si="18"/>
        <v>798</v>
      </c>
      <c r="AP124" s="290" t="b">
        <f t="shared" si="19"/>
        <v>0</v>
      </c>
      <c r="AQ124" s="290">
        <f t="shared" si="20"/>
        <v>798</v>
      </c>
      <c r="AR124" s="293"/>
      <c r="AS124" s="266"/>
    </row>
    <row r="125" s="215" customFormat="1" ht="39" customHeight="1" spans="1:45">
      <c r="A125" s="254">
        <v>45713</v>
      </c>
      <c r="B125" s="249" t="s">
        <v>625</v>
      </c>
      <c r="C125" s="265" t="s">
        <v>553</v>
      </c>
      <c r="D125" s="256">
        <v>4500158576</v>
      </c>
      <c r="E125" s="257">
        <v>28682685</v>
      </c>
      <c r="F125" s="256" t="s">
        <v>626</v>
      </c>
      <c r="G125" s="253" t="s">
        <v>62</v>
      </c>
      <c r="H125" s="253" t="s">
        <v>63</v>
      </c>
      <c r="I125" s="251">
        <v>1128</v>
      </c>
      <c r="J125" s="251">
        <v>0</v>
      </c>
      <c r="K125" s="251">
        <v>6</v>
      </c>
      <c r="L125" s="251">
        <f t="shared" si="24"/>
        <v>188</v>
      </c>
      <c r="M125" s="274">
        <v>45742</v>
      </c>
      <c r="N125" s="274">
        <v>45738</v>
      </c>
      <c r="O125" s="274"/>
      <c r="P125" s="274" t="s">
        <v>49</v>
      </c>
      <c r="Q125" s="274" t="s">
        <v>627</v>
      </c>
      <c r="R125" s="274"/>
      <c r="S125" s="277" t="s">
        <v>50</v>
      </c>
      <c r="T125" s="277">
        <v>45713</v>
      </c>
      <c r="U125" s="277" t="s">
        <v>50</v>
      </c>
      <c r="V125" s="274"/>
      <c r="W125" s="274"/>
      <c r="X125" s="278" t="s">
        <v>628</v>
      </c>
      <c r="Y125" s="253" t="s">
        <v>629</v>
      </c>
      <c r="Z125" s="281">
        <v>3.612</v>
      </c>
      <c r="AA125" s="282">
        <f t="shared" si="30"/>
        <v>4074.336</v>
      </c>
      <c r="AB125" s="251" t="s">
        <v>630</v>
      </c>
      <c r="AC125" s="252" t="s">
        <v>62</v>
      </c>
      <c r="AD125" s="251" t="s">
        <v>56</v>
      </c>
      <c r="AE125" s="251">
        <f t="shared" si="31"/>
        <v>1128</v>
      </c>
      <c r="AF125" s="251">
        <f t="shared" si="29"/>
        <v>0</v>
      </c>
      <c r="AG125" s="266"/>
      <c r="AH125" s="266"/>
      <c r="AI125" s="253" t="s">
        <v>57</v>
      </c>
      <c r="AJ125" s="251">
        <v>0</v>
      </c>
      <c r="AK125" s="253" t="s">
        <v>73</v>
      </c>
      <c r="AL125" s="251">
        <v>0</v>
      </c>
      <c r="AM125" s="251"/>
      <c r="AN125" s="251">
        <f t="shared" si="17"/>
        <v>1128</v>
      </c>
      <c r="AO125" s="290">
        <f t="shared" si="18"/>
        <v>1128</v>
      </c>
      <c r="AP125" s="290" t="b">
        <f t="shared" si="19"/>
        <v>0</v>
      </c>
      <c r="AQ125" s="290">
        <f t="shared" si="20"/>
        <v>1128</v>
      </c>
      <c r="AR125" s="293"/>
      <c r="AS125" s="266"/>
    </row>
    <row r="126" s="215" customFormat="1" ht="39" customHeight="1" spans="1:45">
      <c r="A126" s="254">
        <v>45713</v>
      </c>
      <c r="B126" s="249" t="s">
        <v>625</v>
      </c>
      <c r="C126" s="265" t="s">
        <v>553</v>
      </c>
      <c r="D126" s="256">
        <v>4500158583</v>
      </c>
      <c r="E126" s="257">
        <v>28682686</v>
      </c>
      <c r="F126" s="256" t="s">
        <v>631</v>
      </c>
      <c r="G126" s="253" t="s">
        <v>62</v>
      </c>
      <c r="H126" s="253" t="s">
        <v>63</v>
      </c>
      <c r="I126" s="251">
        <v>372</v>
      </c>
      <c r="J126" s="251">
        <v>0</v>
      </c>
      <c r="K126" s="251">
        <v>6</v>
      </c>
      <c r="L126" s="251">
        <f t="shared" si="24"/>
        <v>62</v>
      </c>
      <c r="M126" s="274">
        <v>45742</v>
      </c>
      <c r="N126" s="274">
        <v>45738</v>
      </c>
      <c r="O126" s="274"/>
      <c r="P126" s="274" t="s">
        <v>49</v>
      </c>
      <c r="Q126" s="274" t="s">
        <v>632</v>
      </c>
      <c r="R126" s="274"/>
      <c r="S126" s="277" t="s">
        <v>50</v>
      </c>
      <c r="T126" s="277">
        <v>45713</v>
      </c>
      <c r="U126" s="277" t="s">
        <v>50</v>
      </c>
      <c r="V126" s="274"/>
      <c r="W126" s="274"/>
      <c r="X126" s="278" t="s">
        <v>633</v>
      </c>
      <c r="Y126" s="253" t="s">
        <v>629</v>
      </c>
      <c r="Z126" s="281">
        <v>3.6385</v>
      </c>
      <c r="AA126" s="282">
        <f t="shared" si="30"/>
        <v>1353.522</v>
      </c>
      <c r="AB126" s="251" t="s">
        <v>634</v>
      </c>
      <c r="AC126" s="252" t="s">
        <v>62</v>
      </c>
      <c r="AD126" s="251" t="s">
        <v>56</v>
      </c>
      <c r="AE126" s="251">
        <f t="shared" si="31"/>
        <v>372</v>
      </c>
      <c r="AF126" s="251">
        <f t="shared" si="29"/>
        <v>0</v>
      </c>
      <c r="AG126" s="266"/>
      <c r="AH126" s="266"/>
      <c r="AI126" s="253" t="s">
        <v>57</v>
      </c>
      <c r="AJ126" s="251">
        <v>0</v>
      </c>
      <c r="AK126" s="253" t="s">
        <v>73</v>
      </c>
      <c r="AL126" s="251">
        <v>0</v>
      </c>
      <c r="AM126" s="251"/>
      <c r="AN126" s="251">
        <f t="shared" si="17"/>
        <v>372</v>
      </c>
      <c r="AO126" s="290">
        <f t="shared" si="18"/>
        <v>372</v>
      </c>
      <c r="AP126" s="290" t="b">
        <f t="shared" si="19"/>
        <v>0</v>
      </c>
      <c r="AQ126" s="290">
        <f t="shared" si="20"/>
        <v>372</v>
      </c>
      <c r="AR126" s="293"/>
      <c r="AS126" s="266"/>
    </row>
    <row r="127" s="215" customFormat="1" ht="39" customHeight="1" spans="1:45">
      <c r="A127" s="254">
        <v>45707</v>
      </c>
      <c r="B127" s="249" t="s">
        <v>635</v>
      </c>
      <c r="C127" s="265" t="s">
        <v>182</v>
      </c>
      <c r="D127" s="256">
        <v>4500157982</v>
      </c>
      <c r="E127" s="257">
        <v>83767</v>
      </c>
      <c r="F127" s="256" t="s">
        <v>636</v>
      </c>
      <c r="G127" s="253" t="s">
        <v>62</v>
      </c>
      <c r="H127" s="253" t="s">
        <v>63</v>
      </c>
      <c r="I127" s="251">
        <v>720</v>
      </c>
      <c r="J127" s="251">
        <v>0</v>
      </c>
      <c r="K127" s="251">
        <v>6</v>
      </c>
      <c r="L127" s="251">
        <f t="shared" si="24"/>
        <v>120</v>
      </c>
      <c r="M127" s="274">
        <v>45743</v>
      </c>
      <c r="N127" s="274">
        <v>45740</v>
      </c>
      <c r="O127" s="274"/>
      <c r="P127" s="274" t="s">
        <v>49</v>
      </c>
      <c r="Q127" s="274">
        <v>45748</v>
      </c>
      <c r="R127" s="274"/>
      <c r="S127" s="277" t="s">
        <v>50</v>
      </c>
      <c r="T127" s="277">
        <v>45707</v>
      </c>
      <c r="U127" s="277" t="s">
        <v>637</v>
      </c>
      <c r="V127" s="274"/>
      <c r="W127" s="274"/>
      <c r="X127" s="278" t="s">
        <v>638</v>
      </c>
      <c r="Y127" s="253" t="s">
        <v>556</v>
      </c>
      <c r="Z127" s="281">
        <v>3.6255</v>
      </c>
      <c r="AA127" s="282">
        <f t="shared" si="30"/>
        <v>2610.36</v>
      </c>
      <c r="AB127" s="251" t="s">
        <v>639</v>
      </c>
      <c r="AC127" s="252" t="s">
        <v>62</v>
      </c>
      <c r="AD127" s="251" t="s">
        <v>56</v>
      </c>
      <c r="AE127" s="251">
        <f t="shared" si="31"/>
        <v>720</v>
      </c>
      <c r="AF127" s="251">
        <f t="shared" si="29"/>
        <v>0</v>
      </c>
      <c r="AG127" s="266"/>
      <c r="AH127" s="266"/>
      <c r="AI127" s="253" t="s">
        <v>57</v>
      </c>
      <c r="AJ127" s="251">
        <v>0</v>
      </c>
      <c r="AK127" s="253" t="s">
        <v>73</v>
      </c>
      <c r="AL127" s="251">
        <v>0</v>
      </c>
      <c r="AM127" s="251"/>
      <c r="AN127" s="251">
        <f t="shared" si="17"/>
        <v>720</v>
      </c>
      <c r="AO127" s="290">
        <f t="shared" si="18"/>
        <v>720</v>
      </c>
      <c r="AP127" s="290" t="b">
        <f t="shared" si="19"/>
        <v>0</v>
      </c>
      <c r="AQ127" s="290">
        <f t="shared" si="20"/>
        <v>720</v>
      </c>
      <c r="AR127" s="293"/>
      <c r="AS127" s="266"/>
    </row>
    <row r="128" s="215" customFormat="1" ht="39" customHeight="1" spans="1:45">
      <c r="A128" s="254">
        <v>45701</v>
      </c>
      <c r="B128" s="249" t="s">
        <v>615</v>
      </c>
      <c r="C128" s="265" t="s">
        <v>44</v>
      </c>
      <c r="D128" s="256">
        <v>4500157304</v>
      </c>
      <c r="E128" s="257" t="s">
        <v>640</v>
      </c>
      <c r="F128" s="256" t="s">
        <v>641</v>
      </c>
      <c r="G128" s="253" t="s">
        <v>62</v>
      </c>
      <c r="H128" s="253" t="s">
        <v>63</v>
      </c>
      <c r="I128" s="251">
        <v>798</v>
      </c>
      <c r="J128" s="251">
        <v>0</v>
      </c>
      <c r="K128" s="251">
        <v>6</v>
      </c>
      <c r="L128" s="251">
        <f t="shared" si="24"/>
        <v>133</v>
      </c>
      <c r="M128" s="274">
        <v>45747</v>
      </c>
      <c r="N128" s="274">
        <v>45743</v>
      </c>
      <c r="O128" s="274"/>
      <c r="P128" s="274" t="s">
        <v>49</v>
      </c>
      <c r="Q128" s="274"/>
      <c r="R128" s="274"/>
      <c r="S128" s="277" t="s">
        <v>50</v>
      </c>
      <c r="T128" s="277">
        <v>45701</v>
      </c>
      <c r="U128" s="277">
        <v>45720</v>
      </c>
      <c r="V128" s="274"/>
      <c r="W128" s="274"/>
      <c r="X128" s="278" t="s">
        <v>642</v>
      </c>
      <c r="Y128" s="253" t="s">
        <v>618</v>
      </c>
      <c r="Z128" s="281">
        <v>3.6255</v>
      </c>
      <c r="AA128" s="282">
        <f t="shared" si="30"/>
        <v>2893.149</v>
      </c>
      <c r="AB128" s="253" t="s">
        <v>643</v>
      </c>
      <c r="AC128" s="252" t="s">
        <v>62</v>
      </c>
      <c r="AD128" s="251" t="s">
        <v>56</v>
      </c>
      <c r="AE128" s="251">
        <f t="shared" si="31"/>
        <v>798</v>
      </c>
      <c r="AF128" s="251">
        <f t="shared" si="29"/>
        <v>0</v>
      </c>
      <c r="AG128" s="266"/>
      <c r="AH128" s="266"/>
      <c r="AI128" s="253" t="s">
        <v>57</v>
      </c>
      <c r="AJ128" s="251">
        <v>0</v>
      </c>
      <c r="AK128" s="253" t="s">
        <v>73</v>
      </c>
      <c r="AL128" s="251">
        <v>0</v>
      </c>
      <c r="AM128" s="251"/>
      <c r="AN128" s="251">
        <f t="shared" si="17"/>
        <v>798</v>
      </c>
      <c r="AO128" s="290">
        <f t="shared" si="18"/>
        <v>798</v>
      </c>
      <c r="AP128" s="290" t="b">
        <f t="shared" si="19"/>
        <v>0</v>
      </c>
      <c r="AQ128" s="290">
        <f t="shared" si="20"/>
        <v>798</v>
      </c>
      <c r="AR128" s="293"/>
      <c r="AS128" s="266"/>
    </row>
    <row r="129" s="215" customFormat="1" ht="39" customHeight="1" spans="1:45">
      <c r="A129" s="254">
        <v>45701</v>
      </c>
      <c r="B129" s="249" t="s">
        <v>615</v>
      </c>
      <c r="C129" s="265" t="s">
        <v>44</v>
      </c>
      <c r="D129" s="256">
        <v>4500157303</v>
      </c>
      <c r="E129" s="257" t="s">
        <v>616</v>
      </c>
      <c r="F129" s="256" t="s">
        <v>644</v>
      </c>
      <c r="G129" s="253" t="s">
        <v>62</v>
      </c>
      <c r="H129" s="253" t="s">
        <v>63</v>
      </c>
      <c r="I129" s="251">
        <v>600</v>
      </c>
      <c r="J129" s="251">
        <v>0</v>
      </c>
      <c r="K129" s="251">
        <v>6</v>
      </c>
      <c r="L129" s="251">
        <f t="shared" si="24"/>
        <v>100</v>
      </c>
      <c r="M129" s="274">
        <v>45747</v>
      </c>
      <c r="N129" s="274">
        <v>45743</v>
      </c>
      <c r="O129" s="274"/>
      <c r="P129" s="274" t="s">
        <v>49</v>
      </c>
      <c r="Q129" s="274">
        <v>45754</v>
      </c>
      <c r="R129" s="274"/>
      <c r="S129" s="277" t="s">
        <v>50</v>
      </c>
      <c r="T129" s="277">
        <v>45701</v>
      </c>
      <c r="U129" s="277">
        <v>45720</v>
      </c>
      <c r="V129" s="274"/>
      <c r="W129" s="274"/>
      <c r="X129" s="278" t="s">
        <v>645</v>
      </c>
      <c r="Y129" s="253" t="s">
        <v>618</v>
      </c>
      <c r="Z129" s="281">
        <v>3.6255</v>
      </c>
      <c r="AA129" s="282">
        <f t="shared" si="30"/>
        <v>2175.3</v>
      </c>
      <c r="AB129" s="253" t="s">
        <v>646</v>
      </c>
      <c r="AC129" s="252" t="s">
        <v>62</v>
      </c>
      <c r="AD129" s="251" t="s">
        <v>56</v>
      </c>
      <c r="AE129" s="251">
        <f t="shared" si="31"/>
        <v>600</v>
      </c>
      <c r="AF129" s="251">
        <f t="shared" si="29"/>
        <v>0</v>
      </c>
      <c r="AG129" s="266"/>
      <c r="AH129" s="266"/>
      <c r="AI129" s="253" t="s">
        <v>57</v>
      </c>
      <c r="AJ129" s="251">
        <v>0</v>
      </c>
      <c r="AK129" s="253" t="s">
        <v>73</v>
      </c>
      <c r="AL129" s="251">
        <v>0</v>
      </c>
      <c r="AM129" s="251"/>
      <c r="AN129" s="251">
        <f t="shared" si="17"/>
        <v>600</v>
      </c>
      <c r="AO129" s="290">
        <f t="shared" si="18"/>
        <v>600</v>
      </c>
      <c r="AP129" s="290" t="b">
        <f t="shared" si="19"/>
        <v>0</v>
      </c>
      <c r="AQ129" s="290">
        <f t="shared" si="20"/>
        <v>600</v>
      </c>
      <c r="AR129" s="293"/>
      <c r="AS129" s="266"/>
    </row>
    <row r="130" s="215" customFormat="1" ht="39" customHeight="1" spans="1:45">
      <c r="A130" s="254">
        <v>45723</v>
      </c>
      <c r="B130" s="249" t="s">
        <v>448</v>
      </c>
      <c r="C130" s="265" t="s">
        <v>449</v>
      </c>
      <c r="D130" s="256">
        <v>4500159460</v>
      </c>
      <c r="E130" s="257" t="s">
        <v>647</v>
      </c>
      <c r="F130" s="256" t="s">
        <v>648</v>
      </c>
      <c r="G130" s="253" t="s">
        <v>62</v>
      </c>
      <c r="H130" s="253" t="s">
        <v>63</v>
      </c>
      <c r="I130" s="251">
        <v>5304</v>
      </c>
      <c r="J130" s="251">
        <v>0</v>
      </c>
      <c r="K130" s="251">
        <v>6</v>
      </c>
      <c r="L130" s="251">
        <f t="shared" si="24"/>
        <v>884</v>
      </c>
      <c r="M130" s="274">
        <v>45749</v>
      </c>
      <c r="N130" s="274">
        <v>45745</v>
      </c>
      <c r="O130" s="274"/>
      <c r="P130" s="274" t="s">
        <v>49</v>
      </c>
      <c r="Q130" s="274">
        <v>45752</v>
      </c>
      <c r="R130" s="274"/>
      <c r="S130" s="277" t="s">
        <v>50</v>
      </c>
      <c r="T130" s="277" t="s">
        <v>452</v>
      </c>
      <c r="U130" s="277">
        <v>45726</v>
      </c>
      <c r="V130" s="274" t="s">
        <v>649</v>
      </c>
      <c r="W130" s="274"/>
      <c r="X130" s="278" t="s">
        <v>650</v>
      </c>
      <c r="Y130" s="253" t="s">
        <v>454</v>
      </c>
      <c r="Z130" s="281">
        <v>3.2476</v>
      </c>
      <c r="AA130" s="282">
        <f t="shared" si="30"/>
        <v>17225.2704</v>
      </c>
      <c r="AB130" s="251" t="s">
        <v>651</v>
      </c>
      <c r="AC130" s="269" t="s">
        <v>456</v>
      </c>
      <c r="AD130" s="251" t="s">
        <v>56</v>
      </c>
      <c r="AE130" s="251">
        <f t="shared" si="31"/>
        <v>5304</v>
      </c>
      <c r="AF130" s="251">
        <f t="shared" si="29"/>
        <v>0</v>
      </c>
      <c r="AG130" s="266"/>
      <c r="AH130" s="266"/>
      <c r="AI130" s="253" t="s">
        <v>57</v>
      </c>
      <c r="AJ130" s="251">
        <v>0</v>
      </c>
      <c r="AK130" s="253" t="s">
        <v>649</v>
      </c>
      <c r="AL130" s="251">
        <v>1</v>
      </c>
      <c r="AM130" s="251"/>
      <c r="AN130" s="251">
        <f t="shared" ref="AN130:AN193" si="32">I130</f>
        <v>5304</v>
      </c>
      <c r="AO130" s="290">
        <f t="shared" ref="AO130:AO193" si="33">IF($AJ130=0,$AN130,IF($AJ130&gt;0,0))</f>
        <v>5304</v>
      </c>
      <c r="AP130" s="290" t="b">
        <f t="shared" ref="AP130:AP193" si="34">IF($AJ130=2,$AN130,IF($AJ130&gt;0,0))</f>
        <v>0</v>
      </c>
      <c r="AQ130" s="290">
        <f t="shared" ref="AQ130:AQ193" si="35">IF($AL130=0,$AN130,IF($AL130&gt;0,0))</f>
        <v>0</v>
      </c>
      <c r="AR130" s="293"/>
      <c r="AS130" s="266"/>
    </row>
    <row r="131" s="215" customFormat="1" ht="39" customHeight="1" spans="1:45">
      <c r="A131" s="254">
        <v>45715</v>
      </c>
      <c r="B131" s="249" t="s">
        <v>552</v>
      </c>
      <c r="C131" s="265" t="s">
        <v>553</v>
      </c>
      <c r="D131" s="256">
        <v>4500158787</v>
      </c>
      <c r="E131" s="257">
        <v>20661140</v>
      </c>
      <c r="F131" s="256" t="s">
        <v>652</v>
      </c>
      <c r="G131" s="253" t="s">
        <v>62</v>
      </c>
      <c r="H131" s="253" t="s">
        <v>63</v>
      </c>
      <c r="I131" s="251">
        <v>468</v>
      </c>
      <c r="J131" s="251">
        <v>0</v>
      </c>
      <c r="K131" s="251">
        <v>6</v>
      </c>
      <c r="L131" s="251">
        <f t="shared" si="24"/>
        <v>78</v>
      </c>
      <c r="M131" s="274">
        <v>45754</v>
      </c>
      <c r="N131" s="274">
        <v>45750</v>
      </c>
      <c r="O131" s="274"/>
      <c r="P131" s="274" t="s">
        <v>49</v>
      </c>
      <c r="Q131" s="274"/>
      <c r="R131" s="274"/>
      <c r="S131" s="277">
        <v>45733</v>
      </c>
      <c r="T131" s="277">
        <v>45719</v>
      </c>
      <c r="U131" s="277" t="s">
        <v>50</v>
      </c>
      <c r="V131" s="274"/>
      <c r="W131" s="274"/>
      <c r="X131" s="278" t="s">
        <v>653</v>
      </c>
      <c r="Y131" s="253" t="s">
        <v>556</v>
      </c>
      <c r="Z131" s="281">
        <v>4.0818</v>
      </c>
      <c r="AA131" s="282">
        <f t="shared" si="30"/>
        <v>1910.2824</v>
      </c>
      <c r="AB131" s="251" t="s">
        <v>654</v>
      </c>
      <c r="AC131" s="252" t="s">
        <v>62</v>
      </c>
      <c r="AD131" s="251" t="s">
        <v>56</v>
      </c>
      <c r="AE131" s="251">
        <f t="shared" si="31"/>
        <v>468</v>
      </c>
      <c r="AF131" s="251">
        <f t="shared" si="29"/>
        <v>0</v>
      </c>
      <c r="AG131" s="266"/>
      <c r="AH131" s="266"/>
      <c r="AI131" s="253" t="s">
        <v>57</v>
      </c>
      <c r="AJ131" s="251">
        <v>0</v>
      </c>
      <c r="AK131" s="253" t="s">
        <v>73</v>
      </c>
      <c r="AL131" s="251">
        <v>0</v>
      </c>
      <c r="AM131" s="251"/>
      <c r="AN131" s="251">
        <f t="shared" si="32"/>
        <v>468</v>
      </c>
      <c r="AO131" s="290">
        <f t="shared" si="33"/>
        <v>468</v>
      </c>
      <c r="AP131" s="290" t="b">
        <f t="shared" si="34"/>
        <v>0</v>
      </c>
      <c r="AQ131" s="290">
        <f t="shared" si="35"/>
        <v>468</v>
      </c>
      <c r="AR131" s="293"/>
      <c r="AS131" s="266"/>
    </row>
    <row r="132" s="215" customFormat="1" ht="39" customHeight="1" spans="1:45">
      <c r="A132" s="254">
        <v>45715</v>
      </c>
      <c r="B132" s="249" t="s">
        <v>655</v>
      </c>
      <c r="C132" s="265" t="s">
        <v>182</v>
      </c>
      <c r="D132" s="256">
        <v>4500158785</v>
      </c>
      <c r="E132" s="257">
        <v>20661139</v>
      </c>
      <c r="F132" s="256" t="s">
        <v>656</v>
      </c>
      <c r="G132" s="253" t="s">
        <v>62</v>
      </c>
      <c r="H132" s="253" t="s">
        <v>63</v>
      </c>
      <c r="I132" s="251">
        <v>1032</v>
      </c>
      <c r="J132" s="251">
        <v>0</v>
      </c>
      <c r="K132" s="251">
        <v>6</v>
      </c>
      <c r="L132" s="251">
        <f t="shared" si="24"/>
        <v>172</v>
      </c>
      <c r="M132" s="274">
        <v>45754</v>
      </c>
      <c r="N132" s="274">
        <v>45750</v>
      </c>
      <c r="O132" s="274"/>
      <c r="P132" s="274" t="s">
        <v>49</v>
      </c>
      <c r="Q132" s="274"/>
      <c r="R132" s="274"/>
      <c r="S132" s="277">
        <v>45733</v>
      </c>
      <c r="T132" s="277">
        <v>45719</v>
      </c>
      <c r="U132" s="277" t="s">
        <v>50</v>
      </c>
      <c r="V132" s="274"/>
      <c r="W132" s="274"/>
      <c r="X132" s="278" t="s">
        <v>559</v>
      </c>
      <c r="Y132" s="253" t="s">
        <v>556</v>
      </c>
      <c r="Z132" s="281">
        <v>4.0553</v>
      </c>
      <c r="AA132" s="282">
        <f t="shared" si="30"/>
        <v>4185.0696</v>
      </c>
      <c r="AB132" s="251" t="s">
        <v>657</v>
      </c>
      <c r="AC132" s="252" t="s">
        <v>62</v>
      </c>
      <c r="AD132" s="251" t="s">
        <v>56</v>
      </c>
      <c r="AE132" s="251">
        <f t="shared" si="31"/>
        <v>1032</v>
      </c>
      <c r="AF132" s="251">
        <f t="shared" si="29"/>
        <v>0</v>
      </c>
      <c r="AG132" s="266"/>
      <c r="AH132" s="266"/>
      <c r="AI132" s="253" t="s">
        <v>57</v>
      </c>
      <c r="AJ132" s="251">
        <v>0</v>
      </c>
      <c r="AK132" s="253" t="s">
        <v>73</v>
      </c>
      <c r="AL132" s="251">
        <v>0</v>
      </c>
      <c r="AM132" s="251"/>
      <c r="AN132" s="251">
        <f t="shared" si="32"/>
        <v>1032</v>
      </c>
      <c r="AO132" s="290">
        <f t="shared" si="33"/>
        <v>1032</v>
      </c>
      <c r="AP132" s="290" t="b">
        <f t="shared" si="34"/>
        <v>0</v>
      </c>
      <c r="AQ132" s="290">
        <f t="shared" si="35"/>
        <v>1032</v>
      </c>
      <c r="AR132" s="293"/>
      <c r="AS132" s="266"/>
    </row>
    <row r="133" s="215" customFormat="1" ht="39" customHeight="1" spans="1:45">
      <c r="A133" s="254">
        <v>45712</v>
      </c>
      <c r="B133" s="249" t="s">
        <v>658</v>
      </c>
      <c r="C133" s="265" t="s">
        <v>157</v>
      </c>
      <c r="D133" s="256">
        <v>4500158125</v>
      </c>
      <c r="E133" s="257"/>
      <c r="F133" s="256" t="s">
        <v>659</v>
      </c>
      <c r="G133" s="253" t="s">
        <v>62</v>
      </c>
      <c r="H133" s="253" t="s">
        <v>63</v>
      </c>
      <c r="I133" s="251">
        <v>504</v>
      </c>
      <c r="J133" s="251">
        <v>0</v>
      </c>
      <c r="K133" s="251">
        <v>6</v>
      </c>
      <c r="L133" s="251">
        <f t="shared" si="24"/>
        <v>84</v>
      </c>
      <c r="M133" s="274">
        <v>45756</v>
      </c>
      <c r="N133" s="274">
        <v>45752</v>
      </c>
      <c r="O133" s="274"/>
      <c r="P133" s="274" t="s">
        <v>49</v>
      </c>
      <c r="Q133" s="274"/>
      <c r="R133" s="274"/>
      <c r="S133" s="277">
        <v>45722</v>
      </c>
      <c r="T133" s="277">
        <v>45712</v>
      </c>
      <c r="U133" s="277">
        <v>45722</v>
      </c>
      <c r="V133" s="274"/>
      <c r="W133" s="274"/>
      <c r="X133" s="278" t="s">
        <v>660</v>
      </c>
      <c r="Y133" s="253" t="s">
        <v>161</v>
      </c>
      <c r="Z133" s="281">
        <v>3.4167</v>
      </c>
      <c r="AA133" s="282">
        <f t="shared" si="30"/>
        <v>1722.0168</v>
      </c>
      <c r="AB133" s="251" t="s">
        <v>661</v>
      </c>
      <c r="AC133" s="252" t="s">
        <v>62</v>
      </c>
      <c r="AD133" s="251" t="s">
        <v>56</v>
      </c>
      <c r="AE133" s="251">
        <f t="shared" si="31"/>
        <v>504</v>
      </c>
      <c r="AF133" s="251">
        <f t="shared" si="29"/>
        <v>0</v>
      </c>
      <c r="AG133" s="266"/>
      <c r="AH133" s="266"/>
      <c r="AI133" s="253" t="s">
        <v>57</v>
      </c>
      <c r="AJ133" s="251">
        <v>0</v>
      </c>
      <c r="AK133" s="253" t="s">
        <v>73</v>
      </c>
      <c r="AL133" s="251">
        <v>0</v>
      </c>
      <c r="AM133" s="251"/>
      <c r="AN133" s="251">
        <f t="shared" si="32"/>
        <v>504</v>
      </c>
      <c r="AO133" s="290">
        <f t="shared" si="33"/>
        <v>504</v>
      </c>
      <c r="AP133" s="290" t="b">
        <f t="shared" si="34"/>
        <v>0</v>
      </c>
      <c r="AQ133" s="290">
        <f t="shared" si="35"/>
        <v>504</v>
      </c>
      <c r="AR133" s="293"/>
      <c r="AS133" s="266"/>
    </row>
    <row r="134" s="215" customFormat="1" ht="39" customHeight="1" spans="1:45">
      <c r="A134" s="254">
        <v>45720</v>
      </c>
      <c r="B134" s="249" t="s">
        <v>662</v>
      </c>
      <c r="C134" s="265" t="s">
        <v>553</v>
      </c>
      <c r="D134" s="256">
        <v>4500159074</v>
      </c>
      <c r="E134" s="257">
        <v>3002</v>
      </c>
      <c r="F134" s="256" t="s">
        <v>663</v>
      </c>
      <c r="G134" s="253" t="s">
        <v>62</v>
      </c>
      <c r="H134" s="253" t="s">
        <v>63</v>
      </c>
      <c r="I134" s="251">
        <v>432</v>
      </c>
      <c r="J134" s="251">
        <v>0</v>
      </c>
      <c r="K134" s="251">
        <v>6</v>
      </c>
      <c r="L134" s="251">
        <f t="shared" si="24"/>
        <v>72</v>
      </c>
      <c r="M134" s="274">
        <v>45756</v>
      </c>
      <c r="N134" s="274">
        <v>45752</v>
      </c>
      <c r="O134" s="274"/>
      <c r="P134" s="274" t="s">
        <v>49</v>
      </c>
      <c r="Q134" s="274">
        <v>45757</v>
      </c>
      <c r="R134" s="274"/>
      <c r="S134" s="277" t="s">
        <v>50</v>
      </c>
      <c r="T134" s="277">
        <v>45720</v>
      </c>
      <c r="U134" s="277" t="s">
        <v>50</v>
      </c>
      <c r="V134" s="274"/>
      <c r="W134" s="274"/>
      <c r="X134" s="278" t="s">
        <v>664</v>
      </c>
      <c r="Y134" s="253" t="s">
        <v>629</v>
      </c>
      <c r="Z134" s="281">
        <v>3.6385</v>
      </c>
      <c r="AA134" s="282">
        <f t="shared" si="30"/>
        <v>1571.832</v>
      </c>
      <c r="AB134" s="251" t="s">
        <v>665</v>
      </c>
      <c r="AC134" s="252" t="s">
        <v>62</v>
      </c>
      <c r="AD134" s="251" t="s">
        <v>56</v>
      </c>
      <c r="AE134" s="251">
        <f t="shared" si="31"/>
        <v>432</v>
      </c>
      <c r="AF134" s="251">
        <f t="shared" si="29"/>
        <v>0</v>
      </c>
      <c r="AG134" s="266"/>
      <c r="AH134" s="266"/>
      <c r="AI134" s="253" t="s">
        <v>57</v>
      </c>
      <c r="AJ134" s="251">
        <v>0</v>
      </c>
      <c r="AK134" s="253" t="s">
        <v>73</v>
      </c>
      <c r="AL134" s="251">
        <v>0</v>
      </c>
      <c r="AM134" s="251"/>
      <c r="AN134" s="251">
        <f t="shared" si="32"/>
        <v>432</v>
      </c>
      <c r="AO134" s="290">
        <f t="shared" si="33"/>
        <v>432</v>
      </c>
      <c r="AP134" s="290" t="b">
        <f t="shared" si="34"/>
        <v>0</v>
      </c>
      <c r="AQ134" s="290">
        <f t="shared" si="35"/>
        <v>432</v>
      </c>
      <c r="AR134" s="293"/>
      <c r="AS134" s="266"/>
    </row>
    <row r="135" s="215" customFormat="1" ht="39" customHeight="1" spans="1:45">
      <c r="A135" s="254">
        <v>45701</v>
      </c>
      <c r="B135" s="249" t="s">
        <v>615</v>
      </c>
      <c r="C135" s="265" t="s">
        <v>44</v>
      </c>
      <c r="D135" s="256">
        <v>4500157310</v>
      </c>
      <c r="E135" s="257" t="s">
        <v>666</v>
      </c>
      <c r="F135" s="256" t="s">
        <v>667</v>
      </c>
      <c r="G135" s="253" t="s">
        <v>62</v>
      </c>
      <c r="H135" s="253" t="s">
        <v>63</v>
      </c>
      <c r="I135" s="251">
        <v>600</v>
      </c>
      <c r="J135" s="251">
        <v>0</v>
      </c>
      <c r="K135" s="251">
        <v>6</v>
      </c>
      <c r="L135" s="251">
        <f t="shared" si="24"/>
        <v>100</v>
      </c>
      <c r="M135" s="274">
        <v>45758</v>
      </c>
      <c r="N135" s="274">
        <v>45754</v>
      </c>
      <c r="O135" s="274"/>
      <c r="P135" s="274" t="s">
        <v>49</v>
      </c>
      <c r="Q135" s="274" t="s">
        <v>668</v>
      </c>
      <c r="R135" s="274"/>
      <c r="S135" s="277" t="s">
        <v>50</v>
      </c>
      <c r="T135" s="277">
        <v>45701</v>
      </c>
      <c r="U135" s="277">
        <v>45735</v>
      </c>
      <c r="V135" s="274"/>
      <c r="W135" s="274"/>
      <c r="X135" s="278" t="s">
        <v>100</v>
      </c>
      <c r="Y135" s="253" t="s">
        <v>618</v>
      </c>
      <c r="Z135" s="281">
        <v>3.6255</v>
      </c>
      <c r="AA135" s="282">
        <f t="shared" si="30"/>
        <v>2175.3</v>
      </c>
      <c r="AB135" s="253" t="s">
        <v>669</v>
      </c>
      <c r="AC135" s="252" t="s">
        <v>62</v>
      </c>
      <c r="AD135" s="251" t="s">
        <v>56</v>
      </c>
      <c r="AE135" s="251">
        <f t="shared" si="31"/>
        <v>600</v>
      </c>
      <c r="AF135" s="251">
        <f t="shared" si="29"/>
        <v>0</v>
      </c>
      <c r="AG135" s="266"/>
      <c r="AH135" s="266"/>
      <c r="AI135" s="253" t="s">
        <v>57</v>
      </c>
      <c r="AJ135" s="251">
        <v>0</v>
      </c>
      <c r="AK135" s="253" t="s">
        <v>73</v>
      </c>
      <c r="AL135" s="251">
        <v>0</v>
      </c>
      <c r="AM135" s="251"/>
      <c r="AN135" s="251">
        <f t="shared" si="32"/>
        <v>600</v>
      </c>
      <c r="AO135" s="290">
        <f t="shared" si="33"/>
        <v>600</v>
      </c>
      <c r="AP135" s="290" t="b">
        <f t="shared" si="34"/>
        <v>0</v>
      </c>
      <c r="AQ135" s="290">
        <f t="shared" si="35"/>
        <v>600</v>
      </c>
      <c r="AR135" s="293"/>
      <c r="AS135" s="266"/>
    </row>
    <row r="136" s="215" customFormat="1" ht="39" customHeight="1" spans="1:45">
      <c r="A136" s="254">
        <v>45701</v>
      </c>
      <c r="B136" s="249" t="s">
        <v>615</v>
      </c>
      <c r="C136" s="265" t="s">
        <v>44</v>
      </c>
      <c r="D136" s="256">
        <v>4500157311</v>
      </c>
      <c r="E136" s="257" t="s">
        <v>620</v>
      </c>
      <c r="F136" s="256" t="s">
        <v>670</v>
      </c>
      <c r="G136" s="253" t="s">
        <v>62</v>
      </c>
      <c r="H136" s="253" t="s">
        <v>63</v>
      </c>
      <c r="I136" s="251">
        <v>798</v>
      </c>
      <c r="J136" s="251">
        <v>0</v>
      </c>
      <c r="K136" s="251">
        <v>6</v>
      </c>
      <c r="L136" s="251">
        <f t="shared" si="24"/>
        <v>133</v>
      </c>
      <c r="M136" s="274">
        <v>45758</v>
      </c>
      <c r="N136" s="274">
        <v>45754</v>
      </c>
      <c r="O136" s="274"/>
      <c r="P136" s="274" t="s">
        <v>49</v>
      </c>
      <c r="Q136" s="274"/>
      <c r="R136" s="274"/>
      <c r="S136" s="277" t="s">
        <v>50</v>
      </c>
      <c r="T136" s="277">
        <v>45701</v>
      </c>
      <c r="U136" s="277">
        <v>45735</v>
      </c>
      <c r="V136" s="274"/>
      <c r="W136" s="274"/>
      <c r="X136" s="278" t="s">
        <v>623</v>
      </c>
      <c r="Y136" s="253" t="s">
        <v>101</v>
      </c>
      <c r="Z136" s="281">
        <v>3.6255</v>
      </c>
      <c r="AA136" s="282">
        <f t="shared" si="30"/>
        <v>2893.149</v>
      </c>
      <c r="AB136" s="253" t="s">
        <v>671</v>
      </c>
      <c r="AC136" s="252" t="s">
        <v>62</v>
      </c>
      <c r="AD136" s="251" t="s">
        <v>56</v>
      </c>
      <c r="AE136" s="251">
        <f t="shared" si="31"/>
        <v>798</v>
      </c>
      <c r="AF136" s="251">
        <f t="shared" si="29"/>
        <v>0</v>
      </c>
      <c r="AG136" s="266"/>
      <c r="AH136" s="266"/>
      <c r="AI136" s="253" t="s">
        <v>57</v>
      </c>
      <c r="AJ136" s="251">
        <v>0</v>
      </c>
      <c r="AK136" s="253" t="s">
        <v>73</v>
      </c>
      <c r="AL136" s="251">
        <v>0</v>
      </c>
      <c r="AM136" s="251"/>
      <c r="AN136" s="251">
        <f t="shared" si="32"/>
        <v>798</v>
      </c>
      <c r="AO136" s="290">
        <f t="shared" si="33"/>
        <v>798</v>
      </c>
      <c r="AP136" s="290" t="b">
        <f t="shared" si="34"/>
        <v>0</v>
      </c>
      <c r="AQ136" s="290">
        <f t="shared" si="35"/>
        <v>798</v>
      </c>
      <c r="AR136" s="293"/>
      <c r="AS136" s="266"/>
    </row>
    <row r="137" s="215" customFormat="1" ht="39" customHeight="1" spans="1:45">
      <c r="A137" s="254">
        <v>45721</v>
      </c>
      <c r="B137" s="249" t="s">
        <v>672</v>
      </c>
      <c r="C137" s="265" t="s">
        <v>157</v>
      </c>
      <c r="D137" s="256">
        <v>4500159190</v>
      </c>
      <c r="E137" s="257"/>
      <c r="F137" s="256" t="s">
        <v>673</v>
      </c>
      <c r="G137" s="253" t="s">
        <v>62</v>
      </c>
      <c r="H137" s="253" t="s">
        <v>63</v>
      </c>
      <c r="I137" s="251">
        <v>270</v>
      </c>
      <c r="J137" s="251">
        <v>0</v>
      </c>
      <c r="K137" s="251">
        <v>6</v>
      </c>
      <c r="L137" s="251">
        <f t="shared" si="24"/>
        <v>45</v>
      </c>
      <c r="M137" s="274">
        <v>45761</v>
      </c>
      <c r="N137" s="274">
        <v>45757</v>
      </c>
      <c r="O137" s="274"/>
      <c r="P137" s="274" t="s">
        <v>49</v>
      </c>
      <c r="Q137" s="274"/>
      <c r="R137" s="274"/>
      <c r="S137" s="277" t="s">
        <v>50</v>
      </c>
      <c r="T137" s="277">
        <v>45735</v>
      </c>
      <c r="U137" s="277">
        <v>45734</v>
      </c>
      <c r="V137" s="274"/>
      <c r="W137" s="274"/>
      <c r="X137" s="278" t="s">
        <v>674</v>
      </c>
      <c r="Y137" s="253" t="s">
        <v>161</v>
      </c>
      <c r="Z137" s="281">
        <v>3.6385</v>
      </c>
      <c r="AA137" s="282">
        <f t="shared" si="30"/>
        <v>982.395</v>
      </c>
      <c r="AB137" s="251" t="s">
        <v>675</v>
      </c>
      <c r="AC137" s="252" t="s">
        <v>62</v>
      </c>
      <c r="AD137" s="251" t="s">
        <v>56</v>
      </c>
      <c r="AE137" s="251">
        <f t="shared" si="31"/>
        <v>270</v>
      </c>
      <c r="AF137" s="251">
        <f t="shared" si="29"/>
        <v>0</v>
      </c>
      <c r="AG137" s="266"/>
      <c r="AH137" s="266"/>
      <c r="AI137" s="253" t="s">
        <v>57</v>
      </c>
      <c r="AJ137" s="251">
        <v>0</v>
      </c>
      <c r="AK137" s="253" t="s">
        <v>73</v>
      </c>
      <c r="AL137" s="251">
        <v>0</v>
      </c>
      <c r="AM137" s="251"/>
      <c r="AN137" s="251">
        <f t="shared" si="32"/>
        <v>270</v>
      </c>
      <c r="AO137" s="290">
        <f t="shared" si="33"/>
        <v>270</v>
      </c>
      <c r="AP137" s="290" t="b">
        <f t="shared" si="34"/>
        <v>0</v>
      </c>
      <c r="AQ137" s="290">
        <f t="shared" si="35"/>
        <v>270</v>
      </c>
      <c r="AR137" s="293"/>
      <c r="AS137" s="266"/>
    </row>
    <row r="138" s="215" customFormat="1" ht="39" hidden="1" customHeight="1" spans="1:45">
      <c r="A138" s="254">
        <v>45726</v>
      </c>
      <c r="B138" s="249" t="s">
        <v>676</v>
      </c>
      <c r="C138" s="265" t="s">
        <v>44</v>
      </c>
      <c r="D138" s="256">
        <v>4500159706</v>
      </c>
      <c r="E138" s="257">
        <v>5200006347</v>
      </c>
      <c r="F138" s="256" t="s">
        <v>677</v>
      </c>
      <c r="G138" s="253" t="s">
        <v>258</v>
      </c>
      <c r="H138" s="253" t="s">
        <v>63</v>
      </c>
      <c r="I138" s="251">
        <v>1500</v>
      </c>
      <c r="J138" s="251">
        <v>0</v>
      </c>
      <c r="K138" s="251">
        <v>6</v>
      </c>
      <c r="L138" s="251">
        <f t="shared" si="24"/>
        <v>250</v>
      </c>
      <c r="M138" s="274">
        <v>45761</v>
      </c>
      <c r="N138" s="274">
        <v>45757</v>
      </c>
      <c r="O138" s="274"/>
      <c r="P138" s="274" t="s">
        <v>49</v>
      </c>
      <c r="Q138" s="274"/>
      <c r="R138" s="274"/>
      <c r="S138" s="277" t="s">
        <v>50</v>
      </c>
      <c r="T138" s="277">
        <v>45726</v>
      </c>
      <c r="U138" s="277" t="s">
        <v>50</v>
      </c>
      <c r="V138" s="274"/>
      <c r="W138" s="274"/>
      <c r="X138" s="278" t="s">
        <v>678</v>
      </c>
      <c r="Y138" s="253" t="s">
        <v>679</v>
      </c>
      <c r="Z138" s="281">
        <v>3.3328</v>
      </c>
      <c r="AA138" s="282">
        <f t="shared" si="30"/>
        <v>4999.2</v>
      </c>
      <c r="AB138" s="251" t="s">
        <v>680</v>
      </c>
      <c r="AC138" s="252" t="s">
        <v>62</v>
      </c>
      <c r="AD138" s="251" t="s">
        <v>56</v>
      </c>
      <c r="AE138" s="251">
        <f t="shared" si="31"/>
        <v>1500</v>
      </c>
      <c r="AF138" s="251">
        <f t="shared" si="29"/>
        <v>0</v>
      </c>
      <c r="AG138" s="266"/>
      <c r="AH138" s="266"/>
      <c r="AI138" s="253" t="s">
        <v>57</v>
      </c>
      <c r="AJ138" s="251">
        <v>0</v>
      </c>
      <c r="AK138" s="253" t="s">
        <v>73</v>
      </c>
      <c r="AL138" s="251">
        <v>0</v>
      </c>
      <c r="AM138" s="251"/>
      <c r="AN138" s="251">
        <f t="shared" si="32"/>
        <v>1500</v>
      </c>
      <c r="AO138" s="290">
        <f t="shared" si="33"/>
        <v>1500</v>
      </c>
      <c r="AP138" s="290" t="b">
        <f t="shared" si="34"/>
        <v>0</v>
      </c>
      <c r="AQ138" s="290">
        <f t="shared" si="35"/>
        <v>1500</v>
      </c>
      <c r="AR138" s="293"/>
      <c r="AS138" s="266"/>
    </row>
    <row r="139" s="215" customFormat="1" ht="39" customHeight="1" spans="1:45">
      <c r="A139" s="254">
        <v>45714</v>
      </c>
      <c r="B139" s="249" t="s">
        <v>681</v>
      </c>
      <c r="C139" s="265" t="s">
        <v>682</v>
      </c>
      <c r="D139" s="256">
        <v>4500158447</v>
      </c>
      <c r="E139" s="257"/>
      <c r="F139" s="256" t="s">
        <v>683</v>
      </c>
      <c r="G139" s="253" t="s">
        <v>62</v>
      </c>
      <c r="H139" s="253" t="s">
        <v>63</v>
      </c>
      <c r="I139" s="251">
        <v>144</v>
      </c>
      <c r="J139" s="251">
        <v>0</v>
      </c>
      <c r="K139" s="251">
        <v>6</v>
      </c>
      <c r="L139" s="251">
        <f t="shared" si="24"/>
        <v>24</v>
      </c>
      <c r="M139" s="274">
        <v>45763</v>
      </c>
      <c r="N139" s="274">
        <v>45759</v>
      </c>
      <c r="O139" s="274"/>
      <c r="P139" s="274" t="s">
        <v>49</v>
      </c>
      <c r="Q139" s="274"/>
      <c r="R139" s="274"/>
      <c r="S139" s="277" t="s">
        <v>50</v>
      </c>
      <c r="T139" s="277">
        <v>45740</v>
      </c>
      <c r="U139" s="277">
        <v>45737</v>
      </c>
      <c r="V139" s="274"/>
      <c r="W139" s="274"/>
      <c r="X139" s="278" t="s">
        <v>684</v>
      </c>
      <c r="Y139" s="253" t="s">
        <v>685</v>
      </c>
      <c r="Z139" s="281">
        <v>3.6385</v>
      </c>
      <c r="AA139" s="282">
        <f t="shared" si="30"/>
        <v>523.944</v>
      </c>
      <c r="AB139" s="251" t="s">
        <v>686</v>
      </c>
      <c r="AC139" s="286" t="s">
        <v>71</v>
      </c>
      <c r="AD139" s="251" t="s">
        <v>56</v>
      </c>
      <c r="AE139" s="251">
        <f t="shared" si="31"/>
        <v>144</v>
      </c>
      <c r="AF139" s="251">
        <f t="shared" si="29"/>
        <v>0</v>
      </c>
      <c r="AG139" s="266"/>
      <c r="AH139" s="266"/>
      <c r="AI139" s="253" t="s">
        <v>72</v>
      </c>
      <c r="AJ139" s="251">
        <v>2</v>
      </c>
      <c r="AK139" s="253" t="s">
        <v>73</v>
      </c>
      <c r="AL139" s="251">
        <v>0</v>
      </c>
      <c r="AM139" s="251"/>
      <c r="AN139" s="251">
        <f t="shared" si="32"/>
        <v>144</v>
      </c>
      <c r="AO139" s="290">
        <f t="shared" si="33"/>
        <v>0</v>
      </c>
      <c r="AP139" s="290">
        <f t="shared" si="34"/>
        <v>144</v>
      </c>
      <c r="AQ139" s="290">
        <f t="shared" si="35"/>
        <v>144</v>
      </c>
      <c r="AR139" s="293"/>
      <c r="AS139" s="266"/>
    </row>
    <row r="140" s="215" customFormat="1" ht="39" customHeight="1" spans="1:45">
      <c r="A140" s="254">
        <v>45714</v>
      </c>
      <c r="B140" s="249" t="s">
        <v>687</v>
      </c>
      <c r="C140" s="265" t="s">
        <v>688</v>
      </c>
      <c r="D140" s="256">
        <v>4500158535</v>
      </c>
      <c r="E140" s="257"/>
      <c r="F140" s="256" t="s">
        <v>689</v>
      </c>
      <c r="G140" s="253" t="s">
        <v>62</v>
      </c>
      <c r="H140" s="253" t="s">
        <v>63</v>
      </c>
      <c r="I140" s="251">
        <v>192</v>
      </c>
      <c r="J140" s="251">
        <v>0</v>
      </c>
      <c r="K140" s="251">
        <v>6</v>
      </c>
      <c r="L140" s="251">
        <f t="shared" si="24"/>
        <v>32</v>
      </c>
      <c r="M140" s="274">
        <v>45763</v>
      </c>
      <c r="N140" s="274">
        <v>45759</v>
      </c>
      <c r="O140" s="274"/>
      <c r="P140" s="274" t="s">
        <v>49</v>
      </c>
      <c r="Q140" s="274"/>
      <c r="R140" s="274"/>
      <c r="S140" s="277" t="s">
        <v>50</v>
      </c>
      <c r="T140" s="277">
        <v>45740</v>
      </c>
      <c r="U140" s="277">
        <v>45737</v>
      </c>
      <c r="V140" s="274"/>
      <c r="W140" s="274"/>
      <c r="X140" s="278" t="s">
        <v>690</v>
      </c>
      <c r="Y140" s="253" t="s">
        <v>685</v>
      </c>
      <c r="Z140" s="281">
        <v>3.6385</v>
      </c>
      <c r="AA140" s="282">
        <f t="shared" si="30"/>
        <v>698.592</v>
      </c>
      <c r="AB140" s="251" t="s">
        <v>691</v>
      </c>
      <c r="AC140" s="286" t="s">
        <v>71</v>
      </c>
      <c r="AD140" s="251" t="s">
        <v>56</v>
      </c>
      <c r="AE140" s="251">
        <f t="shared" si="31"/>
        <v>192</v>
      </c>
      <c r="AF140" s="251">
        <f t="shared" si="29"/>
        <v>0</v>
      </c>
      <c r="AG140" s="266"/>
      <c r="AH140" s="266"/>
      <c r="AI140" s="253" t="s">
        <v>72</v>
      </c>
      <c r="AJ140" s="251">
        <v>2</v>
      </c>
      <c r="AK140" s="253" t="s">
        <v>73</v>
      </c>
      <c r="AL140" s="251">
        <v>0</v>
      </c>
      <c r="AM140" s="251"/>
      <c r="AN140" s="251">
        <f t="shared" si="32"/>
        <v>192</v>
      </c>
      <c r="AO140" s="290">
        <f t="shared" si="33"/>
        <v>0</v>
      </c>
      <c r="AP140" s="290">
        <f t="shared" si="34"/>
        <v>192</v>
      </c>
      <c r="AQ140" s="290">
        <f t="shared" si="35"/>
        <v>192</v>
      </c>
      <c r="AR140" s="293"/>
      <c r="AS140" s="266"/>
    </row>
    <row r="141" s="215" customFormat="1" ht="39" customHeight="1" spans="1:45">
      <c r="A141" s="254">
        <v>45712</v>
      </c>
      <c r="B141" s="249" t="s">
        <v>692</v>
      </c>
      <c r="C141" s="265" t="s">
        <v>693</v>
      </c>
      <c r="D141" s="256">
        <v>4500158302</v>
      </c>
      <c r="E141" s="257"/>
      <c r="F141" s="256" t="s">
        <v>694</v>
      </c>
      <c r="G141" s="253" t="s">
        <v>62</v>
      </c>
      <c r="H141" s="253" t="s">
        <v>63</v>
      </c>
      <c r="I141" s="251">
        <v>48</v>
      </c>
      <c r="J141" s="251">
        <v>0</v>
      </c>
      <c r="K141" s="251">
        <v>6</v>
      </c>
      <c r="L141" s="251">
        <f t="shared" si="24"/>
        <v>8</v>
      </c>
      <c r="M141" s="274">
        <v>45763</v>
      </c>
      <c r="N141" s="274">
        <v>45759</v>
      </c>
      <c r="O141" s="274"/>
      <c r="P141" s="274" t="s">
        <v>49</v>
      </c>
      <c r="Q141" s="274"/>
      <c r="R141" s="274"/>
      <c r="S141" s="277" t="s">
        <v>50</v>
      </c>
      <c r="T141" s="277">
        <v>45740</v>
      </c>
      <c r="U141" s="277">
        <v>45737</v>
      </c>
      <c r="V141" s="274"/>
      <c r="W141" s="274"/>
      <c r="X141" s="278" t="s">
        <v>695</v>
      </c>
      <c r="Y141" s="253" t="s">
        <v>685</v>
      </c>
      <c r="Z141" s="281">
        <v>3.6385</v>
      </c>
      <c r="AA141" s="282">
        <f t="shared" si="30"/>
        <v>174.648</v>
      </c>
      <c r="AB141" s="251" t="s">
        <v>696</v>
      </c>
      <c r="AC141" s="286" t="s">
        <v>71</v>
      </c>
      <c r="AD141" s="251" t="s">
        <v>56</v>
      </c>
      <c r="AE141" s="251">
        <f t="shared" si="31"/>
        <v>48</v>
      </c>
      <c r="AF141" s="251">
        <f t="shared" si="29"/>
        <v>0</v>
      </c>
      <c r="AG141" s="266"/>
      <c r="AH141" s="266"/>
      <c r="AI141" s="253" t="s">
        <v>72</v>
      </c>
      <c r="AJ141" s="251">
        <v>2</v>
      </c>
      <c r="AK141" s="253" t="s">
        <v>73</v>
      </c>
      <c r="AL141" s="251">
        <v>0</v>
      </c>
      <c r="AM141" s="251"/>
      <c r="AN141" s="251">
        <f t="shared" si="32"/>
        <v>48</v>
      </c>
      <c r="AO141" s="290">
        <f t="shared" si="33"/>
        <v>0</v>
      </c>
      <c r="AP141" s="290">
        <f t="shared" si="34"/>
        <v>48</v>
      </c>
      <c r="AQ141" s="290">
        <f t="shared" si="35"/>
        <v>48</v>
      </c>
      <c r="AR141" s="293"/>
      <c r="AS141" s="266"/>
    </row>
    <row r="142" s="215" customFormat="1" ht="39" customHeight="1" spans="1:45">
      <c r="A142" s="254">
        <v>45733</v>
      </c>
      <c r="B142" s="249" t="s">
        <v>697</v>
      </c>
      <c r="C142" s="265" t="s">
        <v>698</v>
      </c>
      <c r="D142" s="256">
        <v>4500160421</v>
      </c>
      <c r="E142" s="267"/>
      <c r="F142" s="256" t="s">
        <v>699</v>
      </c>
      <c r="G142" s="253" t="s">
        <v>62</v>
      </c>
      <c r="H142" s="253" t="s">
        <v>63</v>
      </c>
      <c r="I142" s="251">
        <v>102</v>
      </c>
      <c r="J142" s="251">
        <v>0</v>
      </c>
      <c r="K142" s="251">
        <v>6</v>
      </c>
      <c r="L142" s="251">
        <f t="shared" si="24"/>
        <v>17</v>
      </c>
      <c r="M142" s="274">
        <v>45768</v>
      </c>
      <c r="N142" s="274">
        <v>45764</v>
      </c>
      <c r="O142" s="274"/>
      <c r="P142" s="274" t="s">
        <v>49</v>
      </c>
      <c r="Q142" s="274"/>
      <c r="R142" s="274"/>
      <c r="S142" s="277" t="s">
        <v>50</v>
      </c>
      <c r="T142" s="277">
        <v>45736</v>
      </c>
      <c r="U142" s="277">
        <v>45747</v>
      </c>
      <c r="V142" s="274"/>
      <c r="W142" s="274"/>
      <c r="X142" s="278" t="s">
        <v>700</v>
      </c>
      <c r="Y142" s="261" t="s">
        <v>205</v>
      </c>
      <c r="Z142" s="281">
        <v>3.3587</v>
      </c>
      <c r="AA142" s="282">
        <f t="shared" si="30"/>
        <v>342.5874</v>
      </c>
      <c r="AB142" s="251" t="s">
        <v>701</v>
      </c>
      <c r="AC142" s="286" t="s">
        <v>71</v>
      </c>
      <c r="AD142" s="251" t="s">
        <v>56</v>
      </c>
      <c r="AE142" s="251">
        <f t="shared" si="31"/>
        <v>102</v>
      </c>
      <c r="AF142" s="251">
        <f t="shared" si="29"/>
        <v>0</v>
      </c>
      <c r="AG142" s="266"/>
      <c r="AH142" s="266"/>
      <c r="AI142" s="253" t="s">
        <v>72</v>
      </c>
      <c r="AJ142" s="251">
        <v>2</v>
      </c>
      <c r="AK142" s="253" t="s">
        <v>73</v>
      </c>
      <c r="AL142" s="251">
        <v>0</v>
      </c>
      <c r="AM142" s="251"/>
      <c r="AN142" s="251">
        <f t="shared" si="32"/>
        <v>102</v>
      </c>
      <c r="AO142" s="290">
        <f t="shared" si="33"/>
        <v>0</v>
      </c>
      <c r="AP142" s="290">
        <f t="shared" si="34"/>
        <v>102</v>
      </c>
      <c r="AQ142" s="290">
        <f t="shared" si="35"/>
        <v>102</v>
      </c>
      <c r="AR142" s="293"/>
      <c r="AS142" s="266"/>
    </row>
    <row r="143" s="215" customFormat="1" ht="39" customHeight="1" spans="1:45">
      <c r="A143" s="254">
        <v>45719</v>
      </c>
      <c r="B143" s="249" t="s">
        <v>137</v>
      </c>
      <c r="C143" s="265" t="s">
        <v>138</v>
      </c>
      <c r="D143" s="256">
        <v>4500158947</v>
      </c>
      <c r="E143" s="257" t="s">
        <v>702</v>
      </c>
      <c r="F143" s="256" t="s">
        <v>703</v>
      </c>
      <c r="G143" s="253" t="s">
        <v>62</v>
      </c>
      <c r="H143" s="253" t="s">
        <v>63</v>
      </c>
      <c r="I143" s="251">
        <v>6</v>
      </c>
      <c r="J143" s="251">
        <v>0</v>
      </c>
      <c r="K143" s="251">
        <v>6</v>
      </c>
      <c r="L143" s="251">
        <f t="shared" si="24"/>
        <v>1</v>
      </c>
      <c r="M143" s="274">
        <v>45763</v>
      </c>
      <c r="N143" s="274">
        <v>45759</v>
      </c>
      <c r="O143" s="274"/>
      <c r="P143" s="274" t="s">
        <v>49</v>
      </c>
      <c r="Q143" s="274"/>
      <c r="R143" s="274"/>
      <c r="S143" s="277">
        <v>45736</v>
      </c>
      <c r="T143" s="277">
        <v>45719</v>
      </c>
      <c r="U143" s="277" t="s">
        <v>704</v>
      </c>
      <c r="V143" s="274"/>
      <c r="W143" s="274"/>
      <c r="X143" s="278" t="s">
        <v>705</v>
      </c>
      <c r="Y143" s="253" t="s">
        <v>679</v>
      </c>
      <c r="Z143" s="281">
        <v>3.6385</v>
      </c>
      <c r="AA143" s="282">
        <f t="shared" ref="AA143:AA177" si="36">I143*Z143</f>
        <v>21.831</v>
      </c>
      <c r="AB143" s="251" t="s">
        <v>706</v>
      </c>
      <c r="AC143" s="286" t="s">
        <v>71</v>
      </c>
      <c r="AD143" s="251" t="s">
        <v>56</v>
      </c>
      <c r="AE143" s="251">
        <f t="shared" si="31"/>
        <v>6</v>
      </c>
      <c r="AF143" s="251">
        <f t="shared" si="29"/>
        <v>0</v>
      </c>
      <c r="AG143" s="266"/>
      <c r="AH143" s="266"/>
      <c r="AI143" s="253" t="s">
        <v>72</v>
      </c>
      <c r="AJ143" s="251">
        <v>2</v>
      </c>
      <c r="AK143" s="253" t="s">
        <v>73</v>
      </c>
      <c r="AL143" s="251">
        <v>0</v>
      </c>
      <c r="AM143" s="251"/>
      <c r="AN143" s="251">
        <f t="shared" si="32"/>
        <v>6</v>
      </c>
      <c r="AO143" s="290">
        <f t="shared" si="33"/>
        <v>0</v>
      </c>
      <c r="AP143" s="290">
        <f t="shared" si="34"/>
        <v>6</v>
      </c>
      <c r="AQ143" s="290">
        <f t="shared" si="35"/>
        <v>6</v>
      </c>
      <c r="AR143" s="293"/>
      <c r="AS143" s="266"/>
    </row>
    <row r="144" s="215" customFormat="1" ht="39" customHeight="1" spans="1:45">
      <c r="A144" s="254">
        <v>45723</v>
      </c>
      <c r="B144" s="249" t="s">
        <v>245</v>
      </c>
      <c r="C144" s="265" t="s">
        <v>214</v>
      </c>
      <c r="D144" s="256">
        <v>4500159542</v>
      </c>
      <c r="E144" s="257" t="s">
        <v>707</v>
      </c>
      <c r="F144" s="256" t="s">
        <v>708</v>
      </c>
      <c r="G144" s="253" t="s">
        <v>62</v>
      </c>
      <c r="H144" s="253" t="s">
        <v>63</v>
      </c>
      <c r="I144" s="251">
        <v>504</v>
      </c>
      <c r="J144" s="251">
        <v>0</v>
      </c>
      <c r="K144" s="251">
        <v>6</v>
      </c>
      <c r="L144" s="251">
        <f t="shared" si="24"/>
        <v>84</v>
      </c>
      <c r="M144" s="274">
        <v>45765</v>
      </c>
      <c r="N144" s="274">
        <v>45761</v>
      </c>
      <c r="O144" s="274"/>
      <c r="P144" s="274" t="s">
        <v>49</v>
      </c>
      <c r="Q144" s="274"/>
      <c r="R144" s="274"/>
      <c r="S144" s="277" t="s">
        <v>77</v>
      </c>
      <c r="T144" s="277" t="s">
        <v>709</v>
      </c>
      <c r="U144" s="277" t="s">
        <v>376</v>
      </c>
      <c r="V144" s="274"/>
      <c r="W144" s="274"/>
      <c r="X144" s="278" t="s">
        <v>710</v>
      </c>
      <c r="Y144" s="253" t="s">
        <v>252</v>
      </c>
      <c r="Z144" s="281">
        <v>3.5505</v>
      </c>
      <c r="AA144" s="282">
        <f t="shared" si="36"/>
        <v>1789.452</v>
      </c>
      <c r="AB144" s="251" t="s">
        <v>711</v>
      </c>
      <c r="AC144" s="286" t="s">
        <v>71</v>
      </c>
      <c r="AD144" s="251" t="s">
        <v>56</v>
      </c>
      <c r="AE144" s="251">
        <f t="shared" si="31"/>
        <v>504</v>
      </c>
      <c r="AF144" s="251">
        <f t="shared" si="29"/>
        <v>0</v>
      </c>
      <c r="AG144" s="266"/>
      <c r="AH144" s="266"/>
      <c r="AI144" s="253" t="s">
        <v>72</v>
      </c>
      <c r="AJ144" s="251">
        <v>2</v>
      </c>
      <c r="AK144" s="253" t="s">
        <v>73</v>
      </c>
      <c r="AL144" s="251">
        <v>0</v>
      </c>
      <c r="AM144" s="251"/>
      <c r="AN144" s="251">
        <f t="shared" si="32"/>
        <v>504</v>
      </c>
      <c r="AO144" s="290">
        <f t="shared" si="33"/>
        <v>0</v>
      </c>
      <c r="AP144" s="290">
        <f t="shared" si="34"/>
        <v>504</v>
      </c>
      <c r="AQ144" s="290">
        <f t="shared" si="35"/>
        <v>504</v>
      </c>
      <c r="AR144" s="293"/>
      <c r="AS144" s="266"/>
    </row>
    <row r="145" s="215" customFormat="1" ht="39" customHeight="1" spans="1:45">
      <c r="A145" s="254">
        <v>45615</v>
      </c>
      <c r="B145" s="249" t="s">
        <v>118</v>
      </c>
      <c r="C145" s="265" t="s">
        <v>119</v>
      </c>
      <c r="D145" s="256">
        <v>4500150219</v>
      </c>
      <c r="E145" s="257">
        <v>2000006310</v>
      </c>
      <c r="F145" s="256" t="s">
        <v>712</v>
      </c>
      <c r="G145" s="253" t="s">
        <v>62</v>
      </c>
      <c r="H145" s="253" t="s">
        <v>63</v>
      </c>
      <c r="I145" s="251">
        <v>450</v>
      </c>
      <c r="J145" s="251">
        <v>0</v>
      </c>
      <c r="K145" s="251">
        <v>6</v>
      </c>
      <c r="L145" s="251">
        <f t="shared" si="24"/>
        <v>75</v>
      </c>
      <c r="M145" s="274">
        <v>45768</v>
      </c>
      <c r="N145" s="274">
        <v>45764</v>
      </c>
      <c r="O145" s="274"/>
      <c r="P145" s="274" t="s">
        <v>49</v>
      </c>
      <c r="Q145" s="274"/>
      <c r="R145" s="274"/>
      <c r="S145" s="277" t="s">
        <v>50</v>
      </c>
      <c r="T145" s="277">
        <v>45720</v>
      </c>
      <c r="U145" s="277" t="s">
        <v>713</v>
      </c>
      <c r="V145" s="274"/>
      <c r="W145" s="274"/>
      <c r="X145" s="278" t="s">
        <v>714</v>
      </c>
      <c r="Y145" s="253" t="s">
        <v>69</v>
      </c>
      <c r="Z145" s="281">
        <v>3.6385</v>
      </c>
      <c r="AA145" s="282">
        <f t="shared" si="36"/>
        <v>1637.325</v>
      </c>
      <c r="AB145" s="251" t="s">
        <v>715</v>
      </c>
      <c r="AC145" s="286" t="s">
        <v>71</v>
      </c>
      <c r="AD145" s="251" t="s">
        <v>56</v>
      </c>
      <c r="AE145" s="251">
        <f t="shared" si="31"/>
        <v>450</v>
      </c>
      <c r="AF145" s="251">
        <f t="shared" si="29"/>
        <v>0</v>
      </c>
      <c r="AG145" s="266"/>
      <c r="AH145" s="266"/>
      <c r="AI145" s="253" t="s">
        <v>72</v>
      </c>
      <c r="AJ145" s="251">
        <v>2</v>
      </c>
      <c r="AK145" s="253" t="s">
        <v>73</v>
      </c>
      <c r="AL145" s="251">
        <v>0</v>
      </c>
      <c r="AM145" s="251"/>
      <c r="AN145" s="251">
        <f t="shared" si="32"/>
        <v>450</v>
      </c>
      <c r="AO145" s="290">
        <f t="shared" si="33"/>
        <v>0</v>
      </c>
      <c r="AP145" s="290">
        <f t="shared" si="34"/>
        <v>450</v>
      </c>
      <c r="AQ145" s="290">
        <f t="shared" si="35"/>
        <v>450</v>
      </c>
      <c r="AR145" s="293"/>
      <c r="AS145" s="266"/>
    </row>
    <row r="146" s="215" customFormat="1" ht="39" customHeight="1" spans="1:45">
      <c r="A146" s="254">
        <v>45720</v>
      </c>
      <c r="B146" s="249" t="s">
        <v>716</v>
      </c>
      <c r="C146" s="265" t="s">
        <v>138</v>
      </c>
      <c r="D146" s="256">
        <v>4500159075</v>
      </c>
      <c r="E146" s="267" t="s">
        <v>717</v>
      </c>
      <c r="F146" s="256" t="s">
        <v>718</v>
      </c>
      <c r="G146" s="253" t="s">
        <v>62</v>
      </c>
      <c r="H146" s="253" t="s">
        <v>63</v>
      </c>
      <c r="I146" s="251">
        <v>216</v>
      </c>
      <c r="J146" s="251">
        <v>0</v>
      </c>
      <c r="K146" s="251">
        <v>6</v>
      </c>
      <c r="L146" s="251">
        <f t="shared" si="24"/>
        <v>36</v>
      </c>
      <c r="M146" s="274">
        <v>45768</v>
      </c>
      <c r="N146" s="274">
        <v>45764</v>
      </c>
      <c r="O146" s="274"/>
      <c r="P146" s="274" t="s">
        <v>49</v>
      </c>
      <c r="Q146" s="274"/>
      <c r="R146" s="274"/>
      <c r="S146" s="277" t="s">
        <v>50</v>
      </c>
      <c r="T146" s="277">
        <v>45720</v>
      </c>
      <c r="U146" s="277">
        <v>45720</v>
      </c>
      <c r="V146" s="274"/>
      <c r="W146" s="274"/>
      <c r="X146" s="278" t="s">
        <v>719</v>
      </c>
      <c r="Y146" s="261" t="s">
        <v>608</v>
      </c>
      <c r="Z146" s="281">
        <v>3.6385</v>
      </c>
      <c r="AA146" s="282">
        <f t="shared" si="36"/>
        <v>785.916</v>
      </c>
      <c r="AB146" s="251" t="s">
        <v>720</v>
      </c>
      <c r="AC146" s="286" t="s">
        <v>71</v>
      </c>
      <c r="AD146" s="251" t="s">
        <v>56</v>
      </c>
      <c r="AE146" s="251">
        <f t="shared" ref="AE146:AE182" si="37">I146</f>
        <v>216</v>
      </c>
      <c r="AF146" s="251">
        <f t="shared" ref="AF146:AF180" si="38">AE146-I146</f>
        <v>0</v>
      </c>
      <c r="AG146" s="266"/>
      <c r="AH146" s="266"/>
      <c r="AI146" s="253" t="s">
        <v>72</v>
      </c>
      <c r="AJ146" s="251">
        <v>2</v>
      </c>
      <c r="AK146" s="253" t="s">
        <v>73</v>
      </c>
      <c r="AL146" s="251">
        <v>0</v>
      </c>
      <c r="AM146" s="251"/>
      <c r="AN146" s="251">
        <f t="shared" si="32"/>
        <v>216</v>
      </c>
      <c r="AO146" s="290">
        <f t="shared" si="33"/>
        <v>0</v>
      </c>
      <c r="AP146" s="290">
        <f t="shared" si="34"/>
        <v>216</v>
      </c>
      <c r="AQ146" s="290">
        <f t="shared" si="35"/>
        <v>216</v>
      </c>
      <c r="AR146" s="293"/>
      <c r="AS146" s="266"/>
    </row>
    <row r="147" s="215" customFormat="1" ht="39" customHeight="1" spans="1:45">
      <c r="A147" s="254">
        <v>45720</v>
      </c>
      <c r="B147" s="249" t="s">
        <v>716</v>
      </c>
      <c r="C147" s="265" t="s">
        <v>138</v>
      </c>
      <c r="D147" s="256">
        <v>4500159075</v>
      </c>
      <c r="E147" s="267" t="s">
        <v>721</v>
      </c>
      <c r="F147" s="256" t="s">
        <v>722</v>
      </c>
      <c r="G147" s="253" t="s">
        <v>62</v>
      </c>
      <c r="H147" s="253" t="s">
        <v>63</v>
      </c>
      <c r="I147" s="251">
        <v>120</v>
      </c>
      <c r="J147" s="251">
        <v>0</v>
      </c>
      <c r="K147" s="251">
        <v>6</v>
      </c>
      <c r="L147" s="251">
        <f t="shared" si="24"/>
        <v>20</v>
      </c>
      <c r="M147" s="274">
        <v>45768</v>
      </c>
      <c r="N147" s="274">
        <v>45764</v>
      </c>
      <c r="O147" s="274"/>
      <c r="P147" s="274" t="s">
        <v>49</v>
      </c>
      <c r="Q147" s="274"/>
      <c r="R147" s="274"/>
      <c r="S147" s="277" t="s">
        <v>50</v>
      </c>
      <c r="T147" s="277">
        <v>45720</v>
      </c>
      <c r="U147" s="277">
        <v>45720</v>
      </c>
      <c r="V147" s="274"/>
      <c r="W147" s="274"/>
      <c r="X147" s="278" t="s">
        <v>723</v>
      </c>
      <c r="Y147" s="261" t="s">
        <v>608</v>
      </c>
      <c r="Z147" s="281">
        <v>3.6385</v>
      </c>
      <c r="AA147" s="282">
        <f t="shared" si="36"/>
        <v>436.62</v>
      </c>
      <c r="AB147" s="251" t="s">
        <v>720</v>
      </c>
      <c r="AC147" s="286" t="s">
        <v>71</v>
      </c>
      <c r="AD147" s="251" t="s">
        <v>56</v>
      </c>
      <c r="AE147" s="251">
        <f t="shared" si="37"/>
        <v>120</v>
      </c>
      <c r="AF147" s="251">
        <f t="shared" si="38"/>
        <v>0</v>
      </c>
      <c r="AG147" s="266"/>
      <c r="AH147" s="266"/>
      <c r="AI147" s="253" t="s">
        <v>72</v>
      </c>
      <c r="AJ147" s="251">
        <v>2</v>
      </c>
      <c r="AK147" s="253" t="s">
        <v>73</v>
      </c>
      <c r="AL147" s="251">
        <v>0</v>
      </c>
      <c r="AM147" s="251"/>
      <c r="AN147" s="251">
        <f t="shared" si="32"/>
        <v>120</v>
      </c>
      <c r="AO147" s="290">
        <f t="shared" si="33"/>
        <v>0</v>
      </c>
      <c r="AP147" s="290">
        <f t="shared" si="34"/>
        <v>120</v>
      </c>
      <c r="AQ147" s="290">
        <f t="shared" si="35"/>
        <v>120</v>
      </c>
      <c r="AR147" s="293"/>
      <c r="AS147" s="266"/>
    </row>
    <row r="148" s="215" customFormat="1" ht="39" customHeight="1" spans="1:45">
      <c r="A148" s="254">
        <v>45720</v>
      </c>
      <c r="B148" s="249" t="s">
        <v>716</v>
      </c>
      <c r="C148" s="265" t="s">
        <v>138</v>
      </c>
      <c r="D148" s="256">
        <v>4500159075</v>
      </c>
      <c r="E148" s="267" t="s">
        <v>724</v>
      </c>
      <c r="F148" s="256" t="s">
        <v>725</v>
      </c>
      <c r="G148" s="253" t="s">
        <v>62</v>
      </c>
      <c r="H148" s="253" t="s">
        <v>63</v>
      </c>
      <c r="I148" s="251">
        <v>120</v>
      </c>
      <c r="J148" s="251">
        <v>0</v>
      </c>
      <c r="K148" s="251">
        <v>6</v>
      </c>
      <c r="L148" s="251">
        <f t="shared" si="24"/>
        <v>20</v>
      </c>
      <c r="M148" s="274">
        <v>45768</v>
      </c>
      <c r="N148" s="274">
        <v>45764</v>
      </c>
      <c r="O148" s="274"/>
      <c r="P148" s="274" t="s">
        <v>49</v>
      </c>
      <c r="Q148" s="274"/>
      <c r="R148" s="274"/>
      <c r="S148" s="277" t="s">
        <v>50</v>
      </c>
      <c r="T148" s="277">
        <v>45720</v>
      </c>
      <c r="U148" s="277">
        <v>45720</v>
      </c>
      <c r="V148" s="274"/>
      <c r="W148" s="274"/>
      <c r="X148" s="278" t="s">
        <v>726</v>
      </c>
      <c r="Y148" s="261" t="s">
        <v>608</v>
      </c>
      <c r="Z148" s="281">
        <v>3.6385</v>
      </c>
      <c r="AA148" s="282">
        <f t="shared" si="36"/>
        <v>436.62</v>
      </c>
      <c r="AB148" s="251" t="s">
        <v>720</v>
      </c>
      <c r="AC148" s="286" t="s">
        <v>71</v>
      </c>
      <c r="AD148" s="251" t="s">
        <v>56</v>
      </c>
      <c r="AE148" s="251">
        <f t="shared" si="37"/>
        <v>120</v>
      </c>
      <c r="AF148" s="251">
        <f t="shared" si="38"/>
        <v>0</v>
      </c>
      <c r="AG148" s="266"/>
      <c r="AH148" s="266"/>
      <c r="AI148" s="253" t="s">
        <v>72</v>
      </c>
      <c r="AJ148" s="251">
        <v>2</v>
      </c>
      <c r="AK148" s="253" t="s">
        <v>73</v>
      </c>
      <c r="AL148" s="251">
        <v>0</v>
      </c>
      <c r="AM148" s="251"/>
      <c r="AN148" s="251">
        <f t="shared" si="32"/>
        <v>120</v>
      </c>
      <c r="AO148" s="290">
        <f t="shared" si="33"/>
        <v>0</v>
      </c>
      <c r="AP148" s="290">
        <f t="shared" si="34"/>
        <v>120</v>
      </c>
      <c r="AQ148" s="290">
        <f t="shared" si="35"/>
        <v>120</v>
      </c>
      <c r="AR148" s="293"/>
      <c r="AS148" s="266"/>
    </row>
    <row r="149" s="215" customFormat="1" ht="39" customHeight="1" spans="1:45">
      <c r="A149" s="254">
        <v>45720</v>
      </c>
      <c r="B149" s="249" t="s">
        <v>716</v>
      </c>
      <c r="C149" s="265" t="s">
        <v>138</v>
      </c>
      <c r="D149" s="256">
        <v>4500158924</v>
      </c>
      <c r="E149" s="267" t="s">
        <v>727</v>
      </c>
      <c r="F149" s="256" t="s">
        <v>728</v>
      </c>
      <c r="G149" s="253" t="s">
        <v>62</v>
      </c>
      <c r="H149" s="253" t="s">
        <v>63</v>
      </c>
      <c r="I149" s="251">
        <v>876</v>
      </c>
      <c r="J149" s="251">
        <v>0</v>
      </c>
      <c r="K149" s="251">
        <v>6</v>
      </c>
      <c r="L149" s="251">
        <f t="shared" si="24"/>
        <v>146</v>
      </c>
      <c r="M149" s="274">
        <v>45768</v>
      </c>
      <c r="N149" s="274">
        <v>45764</v>
      </c>
      <c r="O149" s="274"/>
      <c r="P149" s="274" t="s">
        <v>49</v>
      </c>
      <c r="Q149" s="274"/>
      <c r="R149" s="274"/>
      <c r="S149" s="277" t="s">
        <v>50</v>
      </c>
      <c r="T149" s="277">
        <v>45720</v>
      </c>
      <c r="U149" s="277">
        <v>45720</v>
      </c>
      <c r="V149" s="274"/>
      <c r="W149" s="274"/>
      <c r="X149" s="278" t="s">
        <v>729</v>
      </c>
      <c r="Y149" s="261" t="s">
        <v>608</v>
      </c>
      <c r="Z149" s="281">
        <v>3.612</v>
      </c>
      <c r="AA149" s="282">
        <f t="shared" si="36"/>
        <v>3164.112</v>
      </c>
      <c r="AB149" s="251" t="s">
        <v>730</v>
      </c>
      <c r="AC149" s="286" t="s">
        <v>71</v>
      </c>
      <c r="AD149" s="251" t="s">
        <v>56</v>
      </c>
      <c r="AE149" s="251">
        <f t="shared" si="37"/>
        <v>876</v>
      </c>
      <c r="AF149" s="251">
        <f t="shared" si="38"/>
        <v>0</v>
      </c>
      <c r="AG149" s="266"/>
      <c r="AH149" s="266"/>
      <c r="AI149" s="253" t="s">
        <v>72</v>
      </c>
      <c r="AJ149" s="251">
        <v>2</v>
      </c>
      <c r="AK149" s="253" t="s">
        <v>73</v>
      </c>
      <c r="AL149" s="251">
        <v>0</v>
      </c>
      <c r="AM149" s="251"/>
      <c r="AN149" s="251">
        <f t="shared" si="32"/>
        <v>876</v>
      </c>
      <c r="AO149" s="290">
        <f t="shared" si="33"/>
        <v>0</v>
      </c>
      <c r="AP149" s="290">
        <f t="shared" si="34"/>
        <v>876</v>
      </c>
      <c r="AQ149" s="290">
        <f t="shared" si="35"/>
        <v>876</v>
      </c>
      <c r="AR149" s="293"/>
      <c r="AS149" s="266"/>
    </row>
    <row r="150" s="215" customFormat="1" ht="39" customHeight="1" spans="1:45">
      <c r="A150" s="254">
        <v>45720</v>
      </c>
      <c r="B150" s="249" t="s">
        <v>716</v>
      </c>
      <c r="C150" s="265" t="s">
        <v>138</v>
      </c>
      <c r="D150" s="256">
        <v>4500158924</v>
      </c>
      <c r="E150" s="267" t="s">
        <v>731</v>
      </c>
      <c r="F150" s="256" t="s">
        <v>732</v>
      </c>
      <c r="G150" s="253" t="s">
        <v>62</v>
      </c>
      <c r="H150" s="253" t="s">
        <v>63</v>
      </c>
      <c r="I150" s="251">
        <v>324</v>
      </c>
      <c r="J150" s="251">
        <v>0</v>
      </c>
      <c r="K150" s="251">
        <v>6</v>
      </c>
      <c r="L150" s="251">
        <f t="shared" si="24"/>
        <v>54</v>
      </c>
      <c r="M150" s="274">
        <v>45768</v>
      </c>
      <c r="N150" s="274">
        <v>45764</v>
      </c>
      <c r="O150" s="274"/>
      <c r="P150" s="274" t="s">
        <v>49</v>
      </c>
      <c r="Q150" s="274"/>
      <c r="R150" s="274"/>
      <c r="S150" s="277" t="s">
        <v>50</v>
      </c>
      <c r="T150" s="277">
        <v>45720</v>
      </c>
      <c r="U150" s="277">
        <v>45720</v>
      </c>
      <c r="V150" s="274"/>
      <c r="W150" s="274"/>
      <c r="X150" s="278" t="s">
        <v>729</v>
      </c>
      <c r="Y150" s="261" t="s">
        <v>608</v>
      </c>
      <c r="Z150" s="281">
        <v>3.612</v>
      </c>
      <c r="AA150" s="282">
        <f t="shared" si="36"/>
        <v>1170.288</v>
      </c>
      <c r="AB150" s="251" t="s">
        <v>730</v>
      </c>
      <c r="AC150" s="286" t="s">
        <v>71</v>
      </c>
      <c r="AD150" s="251" t="s">
        <v>56</v>
      </c>
      <c r="AE150" s="251">
        <f t="shared" si="37"/>
        <v>324</v>
      </c>
      <c r="AF150" s="251">
        <f t="shared" si="38"/>
        <v>0</v>
      </c>
      <c r="AG150" s="266"/>
      <c r="AH150" s="266"/>
      <c r="AI150" s="253" t="s">
        <v>72</v>
      </c>
      <c r="AJ150" s="251">
        <v>2</v>
      </c>
      <c r="AK150" s="253" t="s">
        <v>73</v>
      </c>
      <c r="AL150" s="251">
        <v>0</v>
      </c>
      <c r="AM150" s="251"/>
      <c r="AN150" s="251">
        <f t="shared" si="32"/>
        <v>324</v>
      </c>
      <c r="AO150" s="290">
        <f t="shared" si="33"/>
        <v>0</v>
      </c>
      <c r="AP150" s="290">
        <f t="shared" si="34"/>
        <v>324</v>
      </c>
      <c r="AQ150" s="290">
        <f t="shared" si="35"/>
        <v>324</v>
      </c>
      <c r="AR150" s="293"/>
      <c r="AS150" s="266"/>
    </row>
    <row r="151" s="215" customFormat="1" ht="39" customHeight="1" spans="1:45">
      <c r="A151" s="254">
        <v>45720</v>
      </c>
      <c r="B151" s="249" t="s">
        <v>716</v>
      </c>
      <c r="C151" s="265" t="s">
        <v>138</v>
      </c>
      <c r="D151" s="256">
        <v>4500158924</v>
      </c>
      <c r="E151" s="267" t="s">
        <v>733</v>
      </c>
      <c r="F151" s="256" t="s">
        <v>734</v>
      </c>
      <c r="G151" s="253" t="s">
        <v>62</v>
      </c>
      <c r="H151" s="253" t="s">
        <v>63</v>
      </c>
      <c r="I151" s="251">
        <v>444</v>
      </c>
      <c r="J151" s="251">
        <v>0</v>
      </c>
      <c r="K151" s="251">
        <v>6</v>
      </c>
      <c r="L151" s="251">
        <f t="shared" si="24"/>
        <v>74</v>
      </c>
      <c r="M151" s="274">
        <v>45768</v>
      </c>
      <c r="N151" s="274">
        <v>45764</v>
      </c>
      <c r="O151" s="274"/>
      <c r="P151" s="274" t="s">
        <v>49</v>
      </c>
      <c r="Q151" s="274"/>
      <c r="R151" s="274"/>
      <c r="S151" s="277" t="s">
        <v>50</v>
      </c>
      <c r="T151" s="277">
        <v>45720</v>
      </c>
      <c r="U151" s="277">
        <v>45720</v>
      </c>
      <c r="V151" s="274"/>
      <c r="W151" s="274"/>
      <c r="X151" s="278" t="s">
        <v>729</v>
      </c>
      <c r="Y151" s="261" t="s">
        <v>608</v>
      </c>
      <c r="Z151" s="281">
        <v>3.612</v>
      </c>
      <c r="AA151" s="282">
        <f t="shared" si="36"/>
        <v>1603.728</v>
      </c>
      <c r="AB151" s="251" t="s">
        <v>730</v>
      </c>
      <c r="AC151" s="286" t="s">
        <v>71</v>
      </c>
      <c r="AD151" s="251" t="s">
        <v>56</v>
      </c>
      <c r="AE151" s="251">
        <f t="shared" si="37"/>
        <v>444</v>
      </c>
      <c r="AF151" s="251">
        <f t="shared" si="38"/>
        <v>0</v>
      </c>
      <c r="AG151" s="266"/>
      <c r="AH151" s="266"/>
      <c r="AI151" s="253" t="s">
        <v>72</v>
      </c>
      <c r="AJ151" s="251">
        <v>2</v>
      </c>
      <c r="AK151" s="253" t="s">
        <v>73</v>
      </c>
      <c r="AL151" s="251">
        <v>0</v>
      </c>
      <c r="AM151" s="251"/>
      <c r="AN151" s="251">
        <f t="shared" si="32"/>
        <v>444</v>
      </c>
      <c r="AO151" s="290">
        <f t="shared" si="33"/>
        <v>0</v>
      </c>
      <c r="AP151" s="290">
        <f t="shared" si="34"/>
        <v>444</v>
      </c>
      <c r="AQ151" s="290">
        <f t="shared" si="35"/>
        <v>444</v>
      </c>
      <c r="AR151" s="293"/>
      <c r="AS151" s="266"/>
    </row>
    <row r="152" s="215" customFormat="1" ht="39" customHeight="1" spans="1:45">
      <c r="A152" s="254">
        <v>45720</v>
      </c>
      <c r="B152" s="249" t="s">
        <v>716</v>
      </c>
      <c r="C152" s="265" t="s">
        <v>138</v>
      </c>
      <c r="D152" s="256">
        <v>4500158873</v>
      </c>
      <c r="E152" s="267" t="s">
        <v>735</v>
      </c>
      <c r="F152" s="256" t="s">
        <v>736</v>
      </c>
      <c r="G152" s="253" t="s">
        <v>62</v>
      </c>
      <c r="H152" s="253" t="s">
        <v>63</v>
      </c>
      <c r="I152" s="251">
        <v>156</v>
      </c>
      <c r="J152" s="251">
        <v>0</v>
      </c>
      <c r="K152" s="251">
        <v>6</v>
      </c>
      <c r="L152" s="251">
        <f t="shared" si="24"/>
        <v>26</v>
      </c>
      <c r="M152" s="274">
        <v>45768</v>
      </c>
      <c r="N152" s="274">
        <v>45764</v>
      </c>
      <c r="O152" s="274"/>
      <c r="P152" s="274" t="s">
        <v>49</v>
      </c>
      <c r="Q152" s="274"/>
      <c r="R152" s="274"/>
      <c r="S152" s="277" t="s">
        <v>50</v>
      </c>
      <c r="T152" s="277">
        <v>45720</v>
      </c>
      <c r="U152" s="277">
        <v>45720</v>
      </c>
      <c r="V152" s="274"/>
      <c r="W152" s="274"/>
      <c r="X152" s="278" t="s">
        <v>737</v>
      </c>
      <c r="Y152" s="261" t="s">
        <v>608</v>
      </c>
      <c r="Z152" s="281">
        <v>3.612</v>
      </c>
      <c r="AA152" s="282">
        <f t="shared" si="36"/>
        <v>563.472</v>
      </c>
      <c r="AB152" s="251" t="s">
        <v>738</v>
      </c>
      <c r="AC152" s="286" t="s">
        <v>71</v>
      </c>
      <c r="AD152" s="251" t="s">
        <v>56</v>
      </c>
      <c r="AE152" s="251">
        <f t="shared" si="37"/>
        <v>156</v>
      </c>
      <c r="AF152" s="251">
        <f t="shared" si="38"/>
        <v>0</v>
      </c>
      <c r="AG152" s="266"/>
      <c r="AH152" s="266"/>
      <c r="AI152" s="253" t="s">
        <v>72</v>
      </c>
      <c r="AJ152" s="251">
        <v>2</v>
      </c>
      <c r="AK152" s="253" t="s">
        <v>73</v>
      </c>
      <c r="AL152" s="251">
        <v>0</v>
      </c>
      <c r="AM152" s="251"/>
      <c r="AN152" s="251">
        <f t="shared" si="32"/>
        <v>156</v>
      </c>
      <c r="AO152" s="290">
        <f t="shared" si="33"/>
        <v>0</v>
      </c>
      <c r="AP152" s="290">
        <f t="shared" si="34"/>
        <v>156</v>
      </c>
      <c r="AQ152" s="290">
        <f t="shared" si="35"/>
        <v>156</v>
      </c>
      <c r="AR152" s="293"/>
      <c r="AS152" s="266"/>
    </row>
    <row r="153" s="215" customFormat="1" ht="39" customHeight="1" spans="1:45">
      <c r="A153" s="254">
        <v>45720</v>
      </c>
      <c r="B153" s="249" t="s">
        <v>716</v>
      </c>
      <c r="C153" s="265" t="s">
        <v>138</v>
      </c>
      <c r="D153" s="256">
        <v>4500158873</v>
      </c>
      <c r="E153" s="267" t="s">
        <v>739</v>
      </c>
      <c r="F153" s="256" t="s">
        <v>740</v>
      </c>
      <c r="G153" s="253" t="s">
        <v>62</v>
      </c>
      <c r="H153" s="253" t="s">
        <v>63</v>
      </c>
      <c r="I153" s="251">
        <v>324</v>
      </c>
      <c r="J153" s="251">
        <v>0</v>
      </c>
      <c r="K153" s="251">
        <v>6</v>
      </c>
      <c r="L153" s="251">
        <f t="shared" si="24"/>
        <v>54</v>
      </c>
      <c r="M153" s="274">
        <v>45768</v>
      </c>
      <c r="N153" s="274">
        <v>45764</v>
      </c>
      <c r="O153" s="274"/>
      <c r="P153" s="274" t="s">
        <v>49</v>
      </c>
      <c r="Q153" s="274"/>
      <c r="R153" s="274"/>
      <c r="S153" s="277" t="s">
        <v>50</v>
      </c>
      <c r="T153" s="277">
        <v>45720</v>
      </c>
      <c r="U153" s="277">
        <v>45720</v>
      </c>
      <c r="V153" s="274"/>
      <c r="W153" s="274"/>
      <c r="X153" s="278" t="s">
        <v>737</v>
      </c>
      <c r="Y153" s="261" t="s">
        <v>608</v>
      </c>
      <c r="Z153" s="281">
        <v>3.4032</v>
      </c>
      <c r="AA153" s="282">
        <f t="shared" si="36"/>
        <v>1102.6368</v>
      </c>
      <c r="AB153" s="251" t="s">
        <v>741</v>
      </c>
      <c r="AC153" s="286" t="s">
        <v>71</v>
      </c>
      <c r="AD153" s="251" t="s">
        <v>56</v>
      </c>
      <c r="AE153" s="251">
        <f t="shared" si="37"/>
        <v>324</v>
      </c>
      <c r="AF153" s="251">
        <f t="shared" si="38"/>
        <v>0</v>
      </c>
      <c r="AG153" s="266"/>
      <c r="AH153" s="266"/>
      <c r="AI153" s="253" t="s">
        <v>72</v>
      </c>
      <c r="AJ153" s="251">
        <v>2</v>
      </c>
      <c r="AK153" s="253" t="s">
        <v>73</v>
      </c>
      <c r="AL153" s="251">
        <v>0</v>
      </c>
      <c r="AM153" s="251"/>
      <c r="AN153" s="251">
        <f t="shared" si="32"/>
        <v>324</v>
      </c>
      <c r="AO153" s="290">
        <f t="shared" si="33"/>
        <v>0</v>
      </c>
      <c r="AP153" s="290">
        <f t="shared" si="34"/>
        <v>324</v>
      </c>
      <c r="AQ153" s="290">
        <f t="shared" si="35"/>
        <v>324</v>
      </c>
      <c r="AR153" s="293"/>
      <c r="AS153" s="266"/>
    </row>
    <row r="154" s="215" customFormat="1" ht="39" customHeight="1" spans="1:45">
      <c r="A154" s="254">
        <v>45720</v>
      </c>
      <c r="B154" s="249" t="s">
        <v>716</v>
      </c>
      <c r="C154" s="265" t="s">
        <v>138</v>
      </c>
      <c r="D154" s="256">
        <v>4500158873</v>
      </c>
      <c r="E154" s="267" t="s">
        <v>742</v>
      </c>
      <c r="F154" s="256" t="s">
        <v>743</v>
      </c>
      <c r="G154" s="253" t="s">
        <v>62</v>
      </c>
      <c r="H154" s="253" t="s">
        <v>63</v>
      </c>
      <c r="I154" s="251">
        <v>876</v>
      </c>
      <c r="J154" s="251">
        <v>0</v>
      </c>
      <c r="K154" s="251">
        <v>6</v>
      </c>
      <c r="L154" s="251">
        <f t="shared" si="24"/>
        <v>146</v>
      </c>
      <c r="M154" s="274">
        <v>45768</v>
      </c>
      <c r="N154" s="274">
        <v>45764</v>
      </c>
      <c r="O154" s="274"/>
      <c r="P154" s="274" t="s">
        <v>49</v>
      </c>
      <c r="Q154" s="274"/>
      <c r="R154" s="274"/>
      <c r="S154" s="277" t="s">
        <v>50</v>
      </c>
      <c r="T154" s="277">
        <v>45720</v>
      </c>
      <c r="U154" s="277">
        <v>45720</v>
      </c>
      <c r="V154" s="274"/>
      <c r="W154" s="274"/>
      <c r="X154" s="278" t="s">
        <v>737</v>
      </c>
      <c r="Y154" s="261" t="s">
        <v>608</v>
      </c>
      <c r="Z154" s="281">
        <v>3.612</v>
      </c>
      <c r="AA154" s="282">
        <f t="shared" si="36"/>
        <v>3164.112</v>
      </c>
      <c r="AB154" s="251" t="s">
        <v>741</v>
      </c>
      <c r="AC154" s="286" t="s">
        <v>71</v>
      </c>
      <c r="AD154" s="251" t="s">
        <v>56</v>
      </c>
      <c r="AE154" s="251">
        <f t="shared" si="37"/>
        <v>876</v>
      </c>
      <c r="AF154" s="251">
        <f t="shared" si="38"/>
        <v>0</v>
      </c>
      <c r="AG154" s="266"/>
      <c r="AH154" s="266"/>
      <c r="AI154" s="253" t="s">
        <v>72</v>
      </c>
      <c r="AJ154" s="251">
        <v>2</v>
      </c>
      <c r="AK154" s="253" t="s">
        <v>73</v>
      </c>
      <c r="AL154" s="251">
        <v>0</v>
      </c>
      <c r="AM154" s="251"/>
      <c r="AN154" s="251">
        <f t="shared" si="32"/>
        <v>876</v>
      </c>
      <c r="AO154" s="290">
        <f t="shared" si="33"/>
        <v>0</v>
      </c>
      <c r="AP154" s="290">
        <f t="shared" si="34"/>
        <v>876</v>
      </c>
      <c r="AQ154" s="290">
        <f t="shared" si="35"/>
        <v>876</v>
      </c>
      <c r="AR154" s="293"/>
      <c r="AS154" s="266"/>
    </row>
    <row r="155" s="215" customFormat="1" ht="39" customHeight="1" spans="1:45">
      <c r="A155" s="254">
        <v>45730</v>
      </c>
      <c r="B155" s="249" t="s">
        <v>655</v>
      </c>
      <c r="C155" s="265" t="s">
        <v>182</v>
      </c>
      <c r="D155" s="256">
        <v>4500160268</v>
      </c>
      <c r="E155" s="267">
        <v>20694436</v>
      </c>
      <c r="F155" s="256" t="s">
        <v>744</v>
      </c>
      <c r="G155" s="253" t="s">
        <v>62</v>
      </c>
      <c r="H155" s="253" t="s">
        <v>63</v>
      </c>
      <c r="I155" s="251">
        <v>1500</v>
      </c>
      <c r="J155" s="251">
        <v>0</v>
      </c>
      <c r="K155" s="251">
        <v>6</v>
      </c>
      <c r="L155" s="251">
        <f t="shared" ref="L155:L218" si="39">I155/K155</f>
        <v>250</v>
      </c>
      <c r="M155" s="274">
        <v>45768</v>
      </c>
      <c r="N155" s="274">
        <v>45764</v>
      </c>
      <c r="O155" s="274"/>
      <c r="P155" s="274" t="s">
        <v>49</v>
      </c>
      <c r="Q155" s="274"/>
      <c r="R155" s="274"/>
      <c r="S155" s="277">
        <v>45747</v>
      </c>
      <c r="T155" s="277">
        <v>45736</v>
      </c>
      <c r="U155" s="277" t="s">
        <v>50</v>
      </c>
      <c r="V155" s="274"/>
      <c r="W155" s="274"/>
      <c r="X155" s="278" t="s">
        <v>745</v>
      </c>
      <c r="Y155" s="261" t="s">
        <v>556</v>
      </c>
      <c r="Z155" s="281">
        <v>3.9714</v>
      </c>
      <c r="AA155" s="282">
        <f t="shared" si="36"/>
        <v>5957.1</v>
      </c>
      <c r="AB155" s="251" t="s">
        <v>746</v>
      </c>
      <c r="AC155" s="286" t="s">
        <v>62</v>
      </c>
      <c r="AD155" s="251" t="s">
        <v>56</v>
      </c>
      <c r="AE155" s="251">
        <f t="shared" si="37"/>
        <v>1500</v>
      </c>
      <c r="AF155" s="251">
        <f t="shared" si="38"/>
        <v>0</v>
      </c>
      <c r="AG155" s="266"/>
      <c r="AH155" s="266"/>
      <c r="AI155" s="253" t="s">
        <v>57</v>
      </c>
      <c r="AJ155" s="251">
        <v>0</v>
      </c>
      <c r="AK155" s="253" t="s">
        <v>73</v>
      </c>
      <c r="AL155" s="251">
        <v>0</v>
      </c>
      <c r="AM155" s="251"/>
      <c r="AN155" s="251">
        <f t="shared" si="32"/>
        <v>1500</v>
      </c>
      <c r="AO155" s="290">
        <f t="shared" si="33"/>
        <v>1500</v>
      </c>
      <c r="AP155" s="290" t="b">
        <f t="shared" si="34"/>
        <v>0</v>
      </c>
      <c r="AQ155" s="290">
        <f t="shared" si="35"/>
        <v>1500</v>
      </c>
      <c r="AR155" s="293"/>
      <c r="AS155" s="266"/>
    </row>
    <row r="156" s="215" customFormat="1" ht="39" customHeight="1" spans="1:45">
      <c r="A156" s="254">
        <v>45726</v>
      </c>
      <c r="B156" s="249" t="s">
        <v>747</v>
      </c>
      <c r="C156" s="265" t="s">
        <v>214</v>
      </c>
      <c r="D156" s="256">
        <v>4500159326</v>
      </c>
      <c r="E156" s="267" t="s">
        <v>748</v>
      </c>
      <c r="F156" s="256" t="s">
        <v>749</v>
      </c>
      <c r="G156" s="253" t="s">
        <v>62</v>
      </c>
      <c r="H156" s="253" t="s">
        <v>63</v>
      </c>
      <c r="I156" s="251">
        <v>2586</v>
      </c>
      <c r="J156" s="251">
        <v>0</v>
      </c>
      <c r="K156" s="251">
        <v>6</v>
      </c>
      <c r="L156" s="251">
        <f t="shared" si="39"/>
        <v>431</v>
      </c>
      <c r="M156" s="274">
        <v>45769</v>
      </c>
      <c r="N156" s="274">
        <v>45765</v>
      </c>
      <c r="O156" s="274"/>
      <c r="P156" s="274" t="s">
        <v>49</v>
      </c>
      <c r="Q156" s="274"/>
      <c r="R156" s="274"/>
      <c r="S156" s="277" t="s">
        <v>50</v>
      </c>
      <c r="T156" s="277">
        <v>45740</v>
      </c>
      <c r="U156" s="277" t="s">
        <v>50</v>
      </c>
      <c r="V156" s="274"/>
      <c r="W156" s="274"/>
      <c r="X156" s="278" t="s">
        <v>750</v>
      </c>
      <c r="Y156" s="261" t="s">
        <v>252</v>
      </c>
      <c r="Z156" s="281">
        <v>3.5373</v>
      </c>
      <c r="AA156" s="282">
        <f t="shared" si="36"/>
        <v>9147.4578</v>
      </c>
      <c r="AB156" s="251" t="s">
        <v>751</v>
      </c>
      <c r="AC156" s="286" t="s">
        <v>62</v>
      </c>
      <c r="AD156" s="251" t="s">
        <v>56</v>
      </c>
      <c r="AE156" s="251">
        <f t="shared" si="37"/>
        <v>2586</v>
      </c>
      <c r="AF156" s="251">
        <f t="shared" si="38"/>
        <v>0</v>
      </c>
      <c r="AG156" s="266"/>
      <c r="AH156" s="266"/>
      <c r="AI156" s="253" t="s">
        <v>57</v>
      </c>
      <c r="AJ156" s="251">
        <v>0</v>
      </c>
      <c r="AK156" s="253" t="s">
        <v>73</v>
      </c>
      <c r="AL156" s="251">
        <v>0</v>
      </c>
      <c r="AM156" s="251"/>
      <c r="AN156" s="251">
        <f t="shared" si="32"/>
        <v>2586</v>
      </c>
      <c r="AO156" s="290">
        <f t="shared" si="33"/>
        <v>2586</v>
      </c>
      <c r="AP156" s="290" t="b">
        <f t="shared" si="34"/>
        <v>0</v>
      </c>
      <c r="AQ156" s="290">
        <f t="shared" si="35"/>
        <v>2586</v>
      </c>
      <c r="AR156" s="293"/>
      <c r="AS156" s="266"/>
    </row>
    <row r="157" s="215" customFormat="1" ht="39" customHeight="1" spans="1:45">
      <c r="A157" s="254">
        <v>45726</v>
      </c>
      <c r="B157" s="249" t="s">
        <v>747</v>
      </c>
      <c r="C157" s="265" t="s">
        <v>214</v>
      </c>
      <c r="D157" s="256">
        <v>4500159326</v>
      </c>
      <c r="E157" s="267" t="s">
        <v>752</v>
      </c>
      <c r="F157" s="256" t="s">
        <v>753</v>
      </c>
      <c r="G157" s="253" t="s">
        <v>62</v>
      </c>
      <c r="H157" s="253" t="s">
        <v>63</v>
      </c>
      <c r="I157" s="251">
        <v>2586</v>
      </c>
      <c r="J157" s="251">
        <v>0</v>
      </c>
      <c r="K157" s="251">
        <v>6</v>
      </c>
      <c r="L157" s="251">
        <f t="shared" si="39"/>
        <v>431</v>
      </c>
      <c r="M157" s="274">
        <v>45769</v>
      </c>
      <c r="N157" s="274">
        <v>45765</v>
      </c>
      <c r="O157" s="274"/>
      <c r="P157" s="274" t="s">
        <v>49</v>
      </c>
      <c r="Q157" s="274"/>
      <c r="R157" s="274"/>
      <c r="S157" s="277" t="s">
        <v>50</v>
      </c>
      <c r="T157" s="277">
        <v>45740</v>
      </c>
      <c r="U157" s="277" t="s">
        <v>50</v>
      </c>
      <c r="V157" s="274"/>
      <c r="W157" s="274"/>
      <c r="X157" s="278" t="s">
        <v>750</v>
      </c>
      <c r="Y157" s="261" t="s">
        <v>252</v>
      </c>
      <c r="Z157" s="281">
        <v>3.5373</v>
      </c>
      <c r="AA157" s="282">
        <f t="shared" si="36"/>
        <v>9147.4578</v>
      </c>
      <c r="AB157" s="251" t="s">
        <v>751</v>
      </c>
      <c r="AC157" s="286" t="s">
        <v>62</v>
      </c>
      <c r="AD157" s="251" t="s">
        <v>56</v>
      </c>
      <c r="AE157" s="251">
        <f t="shared" si="37"/>
        <v>2586</v>
      </c>
      <c r="AF157" s="251">
        <f t="shared" si="38"/>
        <v>0</v>
      </c>
      <c r="AG157" s="266"/>
      <c r="AH157" s="266"/>
      <c r="AI157" s="253" t="s">
        <v>57</v>
      </c>
      <c r="AJ157" s="251">
        <v>0</v>
      </c>
      <c r="AK157" s="253" t="s">
        <v>73</v>
      </c>
      <c r="AL157" s="251">
        <v>0</v>
      </c>
      <c r="AM157" s="251"/>
      <c r="AN157" s="251">
        <f t="shared" si="32"/>
        <v>2586</v>
      </c>
      <c r="AO157" s="290">
        <f t="shared" si="33"/>
        <v>2586</v>
      </c>
      <c r="AP157" s="290" t="b">
        <f t="shared" si="34"/>
        <v>0</v>
      </c>
      <c r="AQ157" s="290">
        <f t="shared" si="35"/>
        <v>2586</v>
      </c>
      <c r="AR157" s="293"/>
      <c r="AS157" s="266"/>
    </row>
    <row r="158" s="215" customFormat="1" ht="39" customHeight="1" spans="1:45">
      <c r="A158" s="254">
        <v>45726</v>
      </c>
      <c r="B158" s="249" t="s">
        <v>747</v>
      </c>
      <c r="C158" s="265" t="s">
        <v>214</v>
      </c>
      <c r="D158" s="256">
        <v>4500159326</v>
      </c>
      <c r="E158" s="267" t="s">
        <v>754</v>
      </c>
      <c r="F158" s="256" t="s">
        <v>755</v>
      </c>
      <c r="G158" s="253" t="s">
        <v>62</v>
      </c>
      <c r="H158" s="253" t="s">
        <v>63</v>
      </c>
      <c r="I158" s="251">
        <v>2586</v>
      </c>
      <c r="J158" s="251">
        <v>0</v>
      </c>
      <c r="K158" s="251">
        <v>6</v>
      </c>
      <c r="L158" s="251">
        <f t="shared" si="39"/>
        <v>431</v>
      </c>
      <c r="M158" s="274">
        <v>45769</v>
      </c>
      <c r="N158" s="274">
        <v>45765</v>
      </c>
      <c r="O158" s="274"/>
      <c r="P158" s="274" t="s">
        <v>49</v>
      </c>
      <c r="Q158" s="274"/>
      <c r="R158" s="274"/>
      <c r="S158" s="277" t="s">
        <v>50</v>
      </c>
      <c r="T158" s="277">
        <v>45740</v>
      </c>
      <c r="U158" s="277" t="s">
        <v>50</v>
      </c>
      <c r="V158" s="274"/>
      <c r="W158" s="274"/>
      <c r="X158" s="278" t="s">
        <v>750</v>
      </c>
      <c r="Y158" s="261" t="s">
        <v>252</v>
      </c>
      <c r="Z158" s="281">
        <v>3.5373</v>
      </c>
      <c r="AA158" s="282">
        <f t="shared" si="36"/>
        <v>9147.4578</v>
      </c>
      <c r="AB158" s="251" t="s">
        <v>751</v>
      </c>
      <c r="AC158" s="286" t="s">
        <v>62</v>
      </c>
      <c r="AD158" s="251" t="s">
        <v>56</v>
      </c>
      <c r="AE158" s="251">
        <f t="shared" si="37"/>
        <v>2586</v>
      </c>
      <c r="AF158" s="251">
        <f t="shared" si="38"/>
        <v>0</v>
      </c>
      <c r="AG158" s="266"/>
      <c r="AH158" s="266"/>
      <c r="AI158" s="253" t="s">
        <v>57</v>
      </c>
      <c r="AJ158" s="251">
        <v>0</v>
      </c>
      <c r="AK158" s="253" t="s">
        <v>73</v>
      </c>
      <c r="AL158" s="251">
        <v>0</v>
      </c>
      <c r="AM158" s="251"/>
      <c r="AN158" s="251">
        <f t="shared" si="32"/>
        <v>2586</v>
      </c>
      <c r="AO158" s="290">
        <f t="shared" si="33"/>
        <v>2586</v>
      </c>
      <c r="AP158" s="290" t="b">
        <f t="shared" si="34"/>
        <v>0</v>
      </c>
      <c r="AQ158" s="290">
        <f t="shared" si="35"/>
        <v>2586</v>
      </c>
      <c r="AR158" s="293"/>
      <c r="AS158" s="266"/>
    </row>
    <row r="159" s="215" customFormat="1" ht="39" customHeight="1" spans="1:45">
      <c r="A159" s="254">
        <v>45726</v>
      </c>
      <c r="B159" s="249" t="s">
        <v>747</v>
      </c>
      <c r="C159" s="265" t="s">
        <v>214</v>
      </c>
      <c r="D159" s="256">
        <v>4500159326</v>
      </c>
      <c r="E159" s="267" t="s">
        <v>756</v>
      </c>
      <c r="F159" s="256" t="s">
        <v>757</v>
      </c>
      <c r="G159" s="253" t="s">
        <v>62</v>
      </c>
      <c r="H159" s="253" t="s">
        <v>63</v>
      </c>
      <c r="I159" s="251">
        <v>2586</v>
      </c>
      <c r="J159" s="251">
        <v>0</v>
      </c>
      <c r="K159" s="251">
        <v>6</v>
      </c>
      <c r="L159" s="251">
        <f t="shared" si="39"/>
        <v>431</v>
      </c>
      <c r="M159" s="274">
        <v>45769</v>
      </c>
      <c r="N159" s="274">
        <v>45765</v>
      </c>
      <c r="O159" s="274"/>
      <c r="P159" s="274" t="s">
        <v>49</v>
      </c>
      <c r="Q159" s="274"/>
      <c r="R159" s="274"/>
      <c r="S159" s="277" t="s">
        <v>50</v>
      </c>
      <c r="T159" s="277">
        <v>45740</v>
      </c>
      <c r="U159" s="277" t="s">
        <v>50</v>
      </c>
      <c r="V159" s="274"/>
      <c r="W159" s="274"/>
      <c r="X159" s="278" t="s">
        <v>750</v>
      </c>
      <c r="Y159" s="261" t="s">
        <v>252</v>
      </c>
      <c r="Z159" s="281">
        <v>3.5373</v>
      </c>
      <c r="AA159" s="282">
        <f t="shared" si="36"/>
        <v>9147.4578</v>
      </c>
      <c r="AB159" s="251" t="s">
        <v>751</v>
      </c>
      <c r="AC159" s="286" t="s">
        <v>62</v>
      </c>
      <c r="AD159" s="251" t="s">
        <v>56</v>
      </c>
      <c r="AE159" s="251">
        <f t="shared" si="37"/>
        <v>2586</v>
      </c>
      <c r="AF159" s="251">
        <f t="shared" si="38"/>
        <v>0</v>
      </c>
      <c r="AG159" s="266"/>
      <c r="AH159" s="266"/>
      <c r="AI159" s="253" t="s">
        <v>57</v>
      </c>
      <c r="AJ159" s="251">
        <v>0</v>
      </c>
      <c r="AK159" s="253" t="s">
        <v>73</v>
      </c>
      <c r="AL159" s="251">
        <v>0</v>
      </c>
      <c r="AM159" s="251"/>
      <c r="AN159" s="251">
        <f t="shared" si="32"/>
        <v>2586</v>
      </c>
      <c r="AO159" s="290">
        <f t="shared" si="33"/>
        <v>2586</v>
      </c>
      <c r="AP159" s="290" t="b">
        <f t="shared" si="34"/>
        <v>0</v>
      </c>
      <c r="AQ159" s="290">
        <f t="shared" si="35"/>
        <v>2586</v>
      </c>
      <c r="AR159" s="293"/>
      <c r="AS159" s="266"/>
    </row>
    <row r="160" s="215" customFormat="1" ht="39" customHeight="1" spans="1:45">
      <c r="A160" s="254">
        <v>45729</v>
      </c>
      <c r="B160" s="249" t="s">
        <v>758</v>
      </c>
      <c r="C160" s="265" t="s">
        <v>759</v>
      </c>
      <c r="D160" s="256">
        <v>4500159866</v>
      </c>
      <c r="E160" s="257"/>
      <c r="F160" s="256" t="s">
        <v>760</v>
      </c>
      <c r="G160" s="253" t="s">
        <v>62</v>
      </c>
      <c r="H160" s="253" t="s">
        <v>63</v>
      </c>
      <c r="I160" s="251">
        <v>120</v>
      </c>
      <c r="J160" s="251">
        <v>0</v>
      </c>
      <c r="K160" s="251">
        <v>6</v>
      </c>
      <c r="L160" s="251">
        <f t="shared" si="39"/>
        <v>20</v>
      </c>
      <c r="M160" s="274">
        <v>45769</v>
      </c>
      <c r="N160" s="274">
        <v>45765</v>
      </c>
      <c r="O160" s="274"/>
      <c r="P160" s="274" t="s">
        <v>49</v>
      </c>
      <c r="Q160" s="274"/>
      <c r="R160" s="274"/>
      <c r="S160" s="277" t="s">
        <v>50</v>
      </c>
      <c r="T160" s="277">
        <v>45729</v>
      </c>
      <c r="U160" s="277">
        <v>45730</v>
      </c>
      <c r="V160" s="274"/>
      <c r="W160" s="274"/>
      <c r="X160" s="278" t="s">
        <v>761</v>
      </c>
      <c r="Y160" s="261" t="s">
        <v>161</v>
      </c>
      <c r="Z160" s="281">
        <v>3.5632</v>
      </c>
      <c r="AA160" s="282">
        <f t="shared" si="36"/>
        <v>427.584</v>
      </c>
      <c r="AB160" s="251" t="s">
        <v>762</v>
      </c>
      <c r="AC160" s="286" t="s">
        <v>62</v>
      </c>
      <c r="AD160" s="251" t="s">
        <v>56</v>
      </c>
      <c r="AE160" s="251">
        <f t="shared" si="37"/>
        <v>120</v>
      </c>
      <c r="AF160" s="251">
        <f t="shared" si="38"/>
        <v>0</v>
      </c>
      <c r="AG160" s="266"/>
      <c r="AH160" s="266"/>
      <c r="AI160" s="253" t="s">
        <v>57</v>
      </c>
      <c r="AJ160" s="251">
        <v>0</v>
      </c>
      <c r="AK160" s="253" t="s">
        <v>73</v>
      </c>
      <c r="AL160" s="251">
        <v>0</v>
      </c>
      <c r="AM160" s="251"/>
      <c r="AN160" s="251">
        <f t="shared" si="32"/>
        <v>120</v>
      </c>
      <c r="AO160" s="290">
        <f t="shared" si="33"/>
        <v>120</v>
      </c>
      <c r="AP160" s="290" t="b">
        <f t="shared" si="34"/>
        <v>0</v>
      </c>
      <c r="AQ160" s="290">
        <f t="shared" si="35"/>
        <v>120</v>
      </c>
      <c r="AR160" s="293"/>
      <c r="AS160" s="266"/>
    </row>
    <row r="161" s="215" customFormat="1" ht="39" customHeight="1" spans="1:45">
      <c r="A161" s="254">
        <v>45737</v>
      </c>
      <c r="B161" s="249" t="s">
        <v>763</v>
      </c>
      <c r="C161" s="265" t="s">
        <v>764</v>
      </c>
      <c r="D161" s="256">
        <v>4500161136</v>
      </c>
      <c r="E161" s="257"/>
      <c r="F161" s="256" t="s">
        <v>765</v>
      </c>
      <c r="G161" s="253" t="s">
        <v>62</v>
      </c>
      <c r="H161" s="253" t="s">
        <v>63</v>
      </c>
      <c r="I161" s="251">
        <v>960</v>
      </c>
      <c r="J161" s="251">
        <v>0</v>
      </c>
      <c r="K161" s="251">
        <v>6</v>
      </c>
      <c r="L161" s="251">
        <f t="shared" si="39"/>
        <v>160</v>
      </c>
      <c r="M161" s="274">
        <v>45770</v>
      </c>
      <c r="N161" s="274">
        <v>45766</v>
      </c>
      <c r="O161" s="274"/>
      <c r="P161" s="274" t="s">
        <v>49</v>
      </c>
      <c r="Q161" s="274"/>
      <c r="R161" s="274"/>
      <c r="S161" s="277" t="s">
        <v>50</v>
      </c>
      <c r="T161" s="277">
        <v>45737</v>
      </c>
      <c r="U161" s="277" t="s">
        <v>50</v>
      </c>
      <c r="V161" s="274"/>
      <c r="W161" s="274"/>
      <c r="X161" s="278" t="s">
        <v>766</v>
      </c>
      <c r="Y161" s="261" t="s">
        <v>454</v>
      </c>
      <c r="Z161" s="281">
        <v>3.346</v>
      </c>
      <c r="AA161" s="282">
        <f t="shared" si="36"/>
        <v>3212.16</v>
      </c>
      <c r="AB161" s="251" t="s">
        <v>767</v>
      </c>
      <c r="AC161" s="286" t="s">
        <v>62</v>
      </c>
      <c r="AD161" s="251" t="s">
        <v>56</v>
      </c>
      <c r="AE161" s="251">
        <f t="shared" si="37"/>
        <v>960</v>
      </c>
      <c r="AF161" s="251">
        <f t="shared" si="38"/>
        <v>0</v>
      </c>
      <c r="AG161" s="266"/>
      <c r="AH161" s="266"/>
      <c r="AI161" s="253" t="s">
        <v>57</v>
      </c>
      <c r="AJ161" s="251">
        <v>0</v>
      </c>
      <c r="AK161" s="253" t="s">
        <v>73</v>
      </c>
      <c r="AL161" s="251">
        <v>0</v>
      </c>
      <c r="AM161" s="251"/>
      <c r="AN161" s="251">
        <f t="shared" si="32"/>
        <v>960</v>
      </c>
      <c r="AO161" s="290">
        <f t="shared" si="33"/>
        <v>960</v>
      </c>
      <c r="AP161" s="290" t="b">
        <f t="shared" si="34"/>
        <v>0</v>
      </c>
      <c r="AQ161" s="290">
        <f t="shared" si="35"/>
        <v>960</v>
      </c>
      <c r="AR161" s="293"/>
      <c r="AS161" s="266"/>
    </row>
    <row r="162" s="215" customFormat="1" ht="39" customHeight="1" spans="1:45">
      <c r="A162" s="254">
        <v>45701</v>
      </c>
      <c r="B162" s="249" t="s">
        <v>615</v>
      </c>
      <c r="C162" s="265" t="s">
        <v>44</v>
      </c>
      <c r="D162" s="256">
        <v>4500157316</v>
      </c>
      <c r="E162" s="257" t="s">
        <v>768</v>
      </c>
      <c r="F162" s="256" t="s">
        <v>769</v>
      </c>
      <c r="G162" s="253" t="s">
        <v>62</v>
      </c>
      <c r="H162" s="253" t="s">
        <v>63</v>
      </c>
      <c r="I162" s="251">
        <v>600</v>
      </c>
      <c r="J162" s="251">
        <v>0</v>
      </c>
      <c r="K162" s="251">
        <v>6</v>
      </c>
      <c r="L162" s="251">
        <f t="shared" si="39"/>
        <v>100</v>
      </c>
      <c r="M162" s="274">
        <v>45772</v>
      </c>
      <c r="N162" s="274">
        <f>M162-4</f>
        <v>45768</v>
      </c>
      <c r="O162" s="274"/>
      <c r="P162" s="274" t="s">
        <v>49</v>
      </c>
      <c r="Q162" s="274"/>
      <c r="R162" s="274"/>
      <c r="S162" s="277" t="s">
        <v>50</v>
      </c>
      <c r="T162" s="277">
        <v>45701</v>
      </c>
      <c r="U162" s="277">
        <v>45747</v>
      </c>
      <c r="V162" s="274"/>
      <c r="W162" s="274"/>
      <c r="X162" s="278" t="s">
        <v>770</v>
      </c>
      <c r="Y162" s="261" t="s">
        <v>101</v>
      </c>
      <c r="Z162" s="281">
        <v>3.6255</v>
      </c>
      <c r="AA162" s="282">
        <f t="shared" si="36"/>
        <v>2175.3</v>
      </c>
      <c r="AB162" s="251" t="s">
        <v>771</v>
      </c>
      <c r="AC162" s="252" t="s">
        <v>62</v>
      </c>
      <c r="AD162" s="251" t="s">
        <v>56</v>
      </c>
      <c r="AE162" s="251">
        <f t="shared" si="37"/>
        <v>600</v>
      </c>
      <c r="AF162" s="251">
        <f t="shared" si="38"/>
        <v>0</v>
      </c>
      <c r="AG162" s="266"/>
      <c r="AH162" s="266"/>
      <c r="AI162" s="253" t="s">
        <v>57</v>
      </c>
      <c r="AJ162" s="251">
        <v>0</v>
      </c>
      <c r="AK162" s="253" t="s">
        <v>73</v>
      </c>
      <c r="AL162" s="251">
        <v>0</v>
      </c>
      <c r="AM162" s="251"/>
      <c r="AN162" s="251">
        <f t="shared" si="32"/>
        <v>600</v>
      </c>
      <c r="AO162" s="290">
        <f t="shared" si="33"/>
        <v>600</v>
      </c>
      <c r="AP162" s="290" t="b">
        <f t="shared" si="34"/>
        <v>0</v>
      </c>
      <c r="AQ162" s="290">
        <f t="shared" si="35"/>
        <v>600</v>
      </c>
      <c r="AR162" s="293"/>
      <c r="AS162" s="266"/>
    </row>
    <row r="163" s="215" customFormat="1" ht="39" customHeight="1" spans="1:45">
      <c r="A163" s="254">
        <v>45701</v>
      </c>
      <c r="B163" s="249" t="s">
        <v>615</v>
      </c>
      <c r="C163" s="265" t="s">
        <v>44</v>
      </c>
      <c r="D163" s="256">
        <v>4500157317</v>
      </c>
      <c r="E163" s="257" t="s">
        <v>772</v>
      </c>
      <c r="F163" s="256" t="s">
        <v>773</v>
      </c>
      <c r="G163" s="253" t="s">
        <v>62</v>
      </c>
      <c r="H163" s="253" t="s">
        <v>63</v>
      </c>
      <c r="I163" s="251">
        <v>798</v>
      </c>
      <c r="J163" s="251">
        <v>0</v>
      </c>
      <c r="K163" s="251">
        <v>6</v>
      </c>
      <c r="L163" s="251">
        <f t="shared" si="39"/>
        <v>133</v>
      </c>
      <c r="M163" s="274">
        <v>45772</v>
      </c>
      <c r="N163" s="274">
        <f>M163-4</f>
        <v>45768</v>
      </c>
      <c r="O163" s="274"/>
      <c r="P163" s="274" t="s">
        <v>49</v>
      </c>
      <c r="Q163" s="274"/>
      <c r="R163" s="274"/>
      <c r="S163" s="277" t="s">
        <v>50</v>
      </c>
      <c r="T163" s="277">
        <v>45701</v>
      </c>
      <c r="U163" s="277">
        <v>45747</v>
      </c>
      <c r="V163" s="274"/>
      <c r="W163" s="274"/>
      <c r="X163" s="278" t="s">
        <v>770</v>
      </c>
      <c r="Y163" s="261" t="s">
        <v>101</v>
      </c>
      <c r="Z163" s="281">
        <v>3.6255</v>
      </c>
      <c r="AA163" s="282">
        <f t="shared" si="36"/>
        <v>2893.149</v>
      </c>
      <c r="AB163" s="251" t="s">
        <v>774</v>
      </c>
      <c r="AC163" s="252" t="s">
        <v>62</v>
      </c>
      <c r="AD163" s="251" t="s">
        <v>56</v>
      </c>
      <c r="AE163" s="297">
        <f t="shared" si="37"/>
        <v>798</v>
      </c>
      <c r="AF163" s="251">
        <f t="shared" si="38"/>
        <v>0</v>
      </c>
      <c r="AG163" s="266"/>
      <c r="AH163" s="266"/>
      <c r="AI163" s="253" t="s">
        <v>57</v>
      </c>
      <c r="AJ163" s="251">
        <v>0</v>
      </c>
      <c r="AK163" s="253" t="s">
        <v>73</v>
      </c>
      <c r="AL163" s="251">
        <v>0</v>
      </c>
      <c r="AM163" s="251"/>
      <c r="AN163" s="251">
        <f t="shared" si="32"/>
        <v>798</v>
      </c>
      <c r="AO163" s="290">
        <f t="shared" si="33"/>
        <v>798</v>
      </c>
      <c r="AP163" s="290" t="b">
        <f t="shared" si="34"/>
        <v>0</v>
      </c>
      <c r="AQ163" s="290">
        <f t="shared" si="35"/>
        <v>798</v>
      </c>
      <c r="AR163" s="293"/>
      <c r="AS163" s="266"/>
    </row>
    <row r="164" s="215" customFormat="1" ht="39" customHeight="1" spans="1:45">
      <c r="A164" s="254">
        <v>45730</v>
      </c>
      <c r="B164" s="249" t="s">
        <v>775</v>
      </c>
      <c r="C164" s="265" t="s">
        <v>776</v>
      </c>
      <c r="D164" s="256">
        <v>4500160092</v>
      </c>
      <c r="E164" s="257" t="s">
        <v>777</v>
      </c>
      <c r="F164" s="256" t="s">
        <v>778</v>
      </c>
      <c r="G164" s="253" t="s">
        <v>62</v>
      </c>
      <c r="H164" s="253" t="s">
        <v>63</v>
      </c>
      <c r="I164" s="251">
        <v>600</v>
      </c>
      <c r="J164" s="251">
        <v>0</v>
      </c>
      <c r="K164" s="251">
        <v>6</v>
      </c>
      <c r="L164" s="251">
        <f t="shared" si="39"/>
        <v>100</v>
      </c>
      <c r="M164" s="274">
        <v>45775</v>
      </c>
      <c r="N164" s="274">
        <v>45771</v>
      </c>
      <c r="O164" s="274"/>
      <c r="P164" s="274" t="s">
        <v>49</v>
      </c>
      <c r="Q164" s="274"/>
      <c r="R164" s="274"/>
      <c r="S164" s="277" t="s">
        <v>50</v>
      </c>
      <c r="T164" s="277">
        <v>45741</v>
      </c>
      <c r="U164" s="277">
        <v>45761</v>
      </c>
      <c r="V164" s="274"/>
      <c r="W164" s="274"/>
      <c r="X164" s="278" t="s">
        <v>779</v>
      </c>
      <c r="Y164" s="261" t="s">
        <v>205</v>
      </c>
      <c r="Z164" s="281">
        <v>3.5505</v>
      </c>
      <c r="AA164" s="282">
        <f t="shared" si="36"/>
        <v>2130.3</v>
      </c>
      <c r="AB164" s="251" t="s">
        <v>780</v>
      </c>
      <c r="AC164" s="286" t="s">
        <v>71</v>
      </c>
      <c r="AD164" s="251" t="s">
        <v>56</v>
      </c>
      <c r="AE164" s="297">
        <f t="shared" si="37"/>
        <v>600</v>
      </c>
      <c r="AF164" s="251">
        <f t="shared" si="38"/>
        <v>0</v>
      </c>
      <c r="AG164" s="266"/>
      <c r="AH164" s="266"/>
      <c r="AI164" s="253" t="s">
        <v>72</v>
      </c>
      <c r="AJ164" s="251">
        <v>2</v>
      </c>
      <c r="AK164" s="253" t="s">
        <v>73</v>
      </c>
      <c r="AL164" s="251">
        <v>0</v>
      </c>
      <c r="AM164" s="251"/>
      <c r="AN164" s="251">
        <f t="shared" si="32"/>
        <v>600</v>
      </c>
      <c r="AO164" s="290">
        <f t="shared" si="33"/>
        <v>0</v>
      </c>
      <c r="AP164" s="290">
        <f t="shared" si="34"/>
        <v>600</v>
      </c>
      <c r="AQ164" s="290">
        <f t="shared" si="35"/>
        <v>600</v>
      </c>
      <c r="AR164" s="293"/>
      <c r="AS164" s="266"/>
    </row>
    <row r="165" s="215" customFormat="1" ht="39" customHeight="1" spans="1:45">
      <c r="A165" s="254">
        <v>45730</v>
      </c>
      <c r="B165" s="249" t="s">
        <v>781</v>
      </c>
      <c r="C165" s="265" t="s">
        <v>782</v>
      </c>
      <c r="D165" s="256">
        <v>4500160345</v>
      </c>
      <c r="E165" s="257"/>
      <c r="F165" s="256" t="s">
        <v>783</v>
      </c>
      <c r="G165" s="253" t="s">
        <v>62</v>
      </c>
      <c r="H165" s="253" t="s">
        <v>63</v>
      </c>
      <c r="I165" s="251">
        <v>60</v>
      </c>
      <c r="J165" s="251">
        <v>0</v>
      </c>
      <c r="K165" s="251">
        <v>6</v>
      </c>
      <c r="L165" s="251">
        <f t="shared" si="39"/>
        <v>10</v>
      </c>
      <c r="M165" s="274">
        <v>45776</v>
      </c>
      <c r="N165" s="274">
        <v>45772</v>
      </c>
      <c r="O165" s="274"/>
      <c r="P165" s="274" t="s">
        <v>49</v>
      </c>
      <c r="Q165" s="274"/>
      <c r="R165" s="274"/>
      <c r="S165" s="277" t="s">
        <v>50</v>
      </c>
      <c r="T165" s="277">
        <v>45744</v>
      </c>
      <c r="U165" s="277">
        <v>45747</v>
      </c>
      <c r="V165" s="274"/>
      <c r="W165" s="274"/>
      <c r="X165" s="278" t="s">
        <v>784</v>
      </c>
      <c r="Y165" s="261" t="s">
        <v>205</v>
      </c>
      <c r="Z165" s="281">
        <v>3.3587</v>
      </c>
      <c r="AA165" s="282">
        <f t="shared" si="36"/>
        <v>201.522</v>
      </c>
      <c r="AB165" s="251" t="s">
        <v>785</v>
      </c>
      <c r="AC165" s="252" t="s">
        <v>71</v>
      </c>
      <c r="AD165" s="251" t="s">
        <v>56</v>
      </c>
      <c r="AE165" s="298">
        <f t="shared" si="37"/>
        <v>60</v>
      </c>
      <c r="AF165" s="251">
        <f t="shared" si="38"/>
        <v>0</v>
      </c>
      <c r="AG165" s="266"/>
      <c r="AH165" s="266"/>
      <c r="AI165" s="253" t="s">
        <v>72</v>
      </c>
      <c r="AJ165" s="251">
        <v>2</v>
      </c>
      <c r="AK165" s="253" t="s">
        <v>73</v>
      </c>
      <c r="AL165" s="251">
        <v>0</v>
      </c>
      <c r="AM165" s="251"/>
      <c r="AN165" s="251">
        <f t="shared" si="32"/>
        <v>60</v>
      </c>
      <c r="AO165" s="290">
        <f t="shared" si="33"/>
        <v>0</v>
      </c>
      <c r="AP165" s="290">
        <f t="shared" si="34"/>
        <v>60</v>
      </c>
      <c r="AQ165" s="290">
        <f t="shared" si="35"/>
        <v>60</v>
      </c>
      <c r="AR165" s="293"/>
      <c r="AS165" s="266"/>
    </row>
    <row r="166" s="215" customFormat="1" ht="39" customHeight="1" spans="1:45">
      <c r="A166" s="254">
        <v>45734</v>
      </c>
      <c r="B166" s="249" t="s">
        <v>786</v>
      </c>
      <c r="C166" s="265" t="s">
        <v>787</v>
      </c>
      <c r="D166" s="256">
        <v>4500160575</v>
      </c>
      <c r="E166" s="257" t="s">
        <v>788</v>
      </c>
      <c r="F166" s="256" t="s">
        <v>789</v>
      </c>
      <c r="G166" s="253" t="s">
        <v>62</v>
      </c>
      <c r="H166" s="253" t="s">
        <v>63</v>
      </c>
      <c r="I166" s="251">
        <v>504</v>
      </c>
      <c r="J166" s="251">
        <v>0</v>
      </c>
      <c r="K166" s="251">
        <v>6</v>
      </c>
      <c r="L166" s="251">
        <f t="shared" si="39"/>
        <v>84</v>
      </c>
      <c r="M166" s="274">
        <v>45777</v>
      </c>
      <c r="N166" s="274">
        <v>45773</v>
      </c>
      <c r="O166" s="274"/>
      <c r="P166" s="274" t="s">
        <v>49</v>
      </c>
      <c r="Q166" s="274"/>
      <c r="R166" s="274"/>
      <c r="S166" s="277" t="s">
        <v>50</v>
      </c>
      <c r="T166" s="277">
        <v>45737</v>
      </c>
      <c r="U166" s="277" t="s">
        <v>790</v>
      </c>
      <c r="V166" s="274"/>
      <c r="W166" s="274"/>
      <c r="X166" s="278" t="s">
        <v>791</v>
      </c>
      <c r="Y166" s="261" t="s">
        <v>205</v>
      </c>
      <c r="Z166" s="281">
        <v>3.346</v>
      </c>
      <c r="AA166" s="282">
        <f t="shared" si="36"/>
        <v>1686.384</v>
      </c>
      <c r="AB166" s="251" t="s">
        <v>792</v>
      </c>
      <c r="AC166" s="252" t="s">
        <v>71</v>
      </c>
      <c r="AD166" s="251" t="s">
        <v>56</v>
      </c>
      <c r="AE166" s="298">
        <f t="shared" si="37"/>
        <v>504</v>
      </c>
      <c r="AF166" s="251">
        <f t="shared" si="38"/>
        <v>0</v>
      </c>
      <c r="AG166" s="266"/>
      <c r="AH166" s="266"/>
      <c r="AI166" s="253" t="s">
        <v>72</v>
      </c>
      <c r="AJ166" s="251">
        <v>2</v>
      </c>
      <c r="AK166" s="253" t="s">
        <v>73</v>
      </c>
      <c r="AL166" s="251">
        <v>0</v>
      </c>
      <c r="AM166" s="251"/>
      <c r="AN166" s="251">
        <f t="shared" si="32"/>
        <v>504</v>
      </c>
      <c r="AO166" s="290">
        <f t="shared" si="33"/>
        <v>0</v>
      </c>
      <c r="AP166" s="290">
        <f t="shared" si="34"/>
        <v>504</v>
      </c>
      <c r="AQ166" s="290">
        <f t="shared" si="35"/>
        <v>504</v>
      </c>
      <c r="AR166" s="293"/>
      <c r="AS166" s="266"/>
    </row>
    <row r="167" s="215" customFormat="1" ht="39" customHeight="1" spans="1:45">
      <c r="A167" s="254">
        <v>45735</v>
      </c>
      <c r="B167" s="249" t="s">
        <v>245</v>
      </c>
      <c r="C167" s="265" t="s">
        <v>214</v>
      </c>
      <c r="D167" s="256">
        <v>4500160662</v>
      </c>
      <c r="E167" s="257" t="s">
        <v>793</v>
      </c>
      <c r="F167" s="256" t="s">
        <v>794</v>
      </c>
      <c r="G167" s="253" t="s">
        <v>62</v>
      </c>
      <c r="H167" s="253" t="s">
        <v>63</v>
      </c>
      <c r="I167" s="251">
        <v>504</v>
      </c>
      <c r="J167" s="251">
        <v>0</v>
      </c>
      <c r="K167" s="251">
        <v>6</v>
      </c>
      <c r="L167" s="251">
        <f t="shared" si="39"/>
        <v>84</v>
      </c>
      <c r="M167" s="274">
        <v>45777</v>
      </c>
      <c r="N167" s="274">
        <v>45773</v>
      </c>
      <c r="O167" s="274"/>
      <c r="P167" s="274" t="s">
        <v>49</v>
      </c>
      <c r="Q167" s="274"/>
      <c r="R167" s="274"/>
      <c r="S167" s="277" t="s">
        <v>77</v>
      </c>
      <c r="T167" s="277" t="s">
        <v>795</v>
      </c>
      <c r="U167" s="277" t="s">
        <v>796</v>
      </c>
      <c r="V167" s="274"/>
      <c r="W167" s="274"/>
      <c r="X167" s="278" t="s">
        <v>797</v>
      </c>
      <c r="Y167" s="261" t="s">
        <v>252</v>
      </c>
      <c r="Z167" s="281">
        <v>3.5505</v>
      </c>
      <c r="AA167" s="282">
        <f t="shared" si="36"/>
        <v>1789.452</v>
      </c>
      <c r="AB167" s="251" t="s">
        <v>798</v>
      </c>
      <c r="AC167" s="252" t="s">
        <v>71</v>
      </c>
      <c r="AD167" s="251" t="s">
        <v>56</v>
      </c>
      <c r="AE167" s="298">
        <f t="shared" si="37"/>
        <v>504</v>
      </c>
      <c r="AF167" s="251">
        <f t="shared" si="38"/>
        <v>0</v>
      </c>
      <c r="AG167" s="266"/>
      <c r="AH167" s="266"/>
      <c r="AI167" s="253" t="s">
        <v>72</v>
      </c>
      <c r="AJ167" s="251">
        <v>2</v>
      </c>
      <c r="AK167" s="253" t="s">
        <v>73</v>
      </c>
      <c r="AL167" s="251">
        <v>0</v>
      </c>
      <c r="AM167" s="251"/>
      <c r="AN167" s="251">
        <f t="shared" si="32"/>
        <v>504</v>
      </c>
      <c r="AO167" s="290">
        <f t="shared" si="33"/>
        <v>0</v>
      </c>
      <c r="AP167" s="290">
        <f t="shared" si="34"/>
        <v>504</v>
      </c>
      <c r="AQ167" s="290">
        <f t="shared" si="35"/>
        <v>504</v>
      </c>
      <c r="AR167" s="293"/>
      <c r="AS167" s="266"/>
    </row>
    <row r="168" s="215" customFormat="1" ht="39" customHeight="1" spans="1:45">
      <c r="A168" s="254">
        <v>45735</v>
      </c>
      <c r="B168" s="249" t="s">
        <v>799</v>
      </c>
      <c r="C168" s="265" t="s">
        <v>44</v>
      </c>
      <c r="D168" s="256">
        <v>4500160726</v>
      </c>
      <c r="E168" s="257" t="s">
        <v>800</v>
      </c>
      <c r="F168" s="256" t="s">
        <v>801</v>
      </c>
      <c r="G168" s="253" t="s">
        <v>62</v>
      </c>
      <c r="H168" s="253" t="s">
        <v>63</v>
      </c>
      <c r="I168" s="251">
        <v>348</v>
      </c>
      <c r="J168" s="251">
        <v>0</v>
      </c>
      <c r="K168" s="251">
        <v>6</v>
      </c>
      <c r="L168" s="251">
        <f t="shared" si="39"/>
        <v>58</v>
      </c>
      <c r="M168" s="274">
        <v>45818</v>
      </c>
      <c r="N168" s="274">
        <v>45814</v>
      </c>
      <c r="O168" s="274"/>
      <c r="P168" s="274" t="s">
        <v>49</v>
      </c>
      <c r="Q168" s="274"/>
      <c r="R168" s="274"/>
      <c r="S168" s="277" t="s">
        <v>50</v>
      </c>
      <c r="T168" s="277">
        <v>45742</v>
      </c>
      <c r="U168" s="277" t="s">
        <v>50</v>
      </c>
      <c r="V168" s="274"/>
      <c r="W168" s="274"/>
      <c r="X168" s="278" t="s">
        <v>802</v>
      </c>
      <c r="Y168" s="261" t="s">
        <v>803</v>
      </c>
      <c r="Z168" s="281">
        <v>3.5632</v>
      </c>
      <c r="AA168" s="282">
        <f t="shared" si="36"/>
        <v>1239.9936</v>
      </c>
      <c r="AB168" s="251" t="s">
        <v>804</v>
      </c>
      <c r="AC168" s="252" t="s">
        <v>62</v>
      </c>
      <c r="AD168" s="251" t="s">
        <v>56</v>
      </c>
      <c r="AE168" s="298">
        <f t="shared" si="37"/>
        <v>348</v>
      </c>
      <c r="AF168" s="251">
        <f t="shared" si="38"/>
        <v>0</v>
      </c>
      <c r="AG168" s="266"/>
      <c r="AH168" s="266"/>
      <c r="AI168" s="253" t="s">
        <v>57</v>
      </c>
      <c r="AJ168" s="251">
        <v>0</v>
      </c>
      <c r="AK168" s="253" t="s">
        <v>73</v>
      </c>
      <c r="AL168" s="251">
        <v>0</v>
      </c>
      <c r="AM168" s="251"/>
      <c r="AN168" s="251">
        <f t="shared" si="32"/>
        <v>348</v>
      </c>
      <c r="AO168" s="290">
        <f t="shared" si="33"/>
        <v>348</v>
      </c>
      <c r="AP168" s="290" t="b">
        <f t="shared" si="34"/>
        <v>0</v>
      </c>
      <c r="AQ168" s="290">
        <f t="shared" si="35"/>
        <v>348</v>
      </c>
      <c r="AR168" s="293"/>
      <c r="AS168" s="266"/>
    </row>
    <row r="169" s="215" customFormat="1" ht="39" customHeight="1" spans="1:45">
      <c r="A169" s="254">
        <v>45738</v>
      </c>
      <c r="B169" s="249" t="s">
        <v>181</v>
      </c>
      <c r="C169" s="265" t="s">
        <v>182</v>
      </c>
      <c r="D169" s="256">
        <v>4500161138</v>
      </c>
      <c r="E169" s="257">
        <v>2460427</v>
      </c>
      <c r="F169" s="256" t="s">
        <v>805</v>
      </c>
      <c r="G169" s="253" t="s">
        <v>62</v>
      </c>
      <c r="H169" s="253" t="s">
        <v>63</v>
      </c>
      <c r="I169" s="251">
        <v>1500</v>
      </c>
      <c r="J169" s="251">
        <v>0</v>
      </c>
      <c r="K169" s="251">
        <v>6</v>
      </c>
      <c r="L169" s="251">
        <f t="shared" si="39"/>
        <v>250</v>
      </c>
      <c r="M169" s="274">
        <v>45783</v>
      </c>
      <c r="N169" s="274">
        <v>45779</v>
      </c>
      <c r="O169" s="274"/>
      <c r="P169" s="274" t="s">
        <v>49</v>
      </c>
      <c r="Q169" s="274"/>
      <c r="R169" s="274"/>
      <c r="S169" s="277">
        <v>45770</v>
      </c>
      <c r="T169" s="277">
        <v>45738</v>
      </c>
      <c r="U169" s="277">
        <v>45770</v>
      </c>
      <c r="V169" s="274"/>
      <c r="W169" s="274"/>
      <c r="X169" s="278" t="s">
        <v>806</v>
      </c>
      <c r="Y169" s="261" t="s">
        <v>807</v>
      </c>
      <c r="Z169" s="281">
        <v>3.9714</v>
      </c>
      <c r="AA169" s="282">
        <f t="shared" si="36"/>
        <v>5957.1</v>
      </c>
      <c r="AB169" s="251" t="s">
        <v>808</v>
      </c>
      <c r="AC169" s="252" t="s">
        <v>62</v>
      </c>
      <c r="AD169" s="251" t="s">
        <v>56</v>
      </c>
      <c r="AE169" s="298">
        <f t="shared" si="37"/>
        <v>1500</v>
      </c>
      <c r="AF169" s="251">
        <f t="shared" si="38"/>
        <v>0</v>
      </c>
      <c r="AG169" s="266"/>
      <c r="AH169" s="266"/>
      <c r="AI169" s="253" t="s">
        <v>57</v>
      </c>
      <c r="AJ169" s="251">
        <v>0</v>
      </c>
      <c r="AK169" s="253" t="s">
        <v>73</v>
      </c>
      <c r="AL169" s="251">
        <v>0</v>
      </c>
      <c r="AM169" s="251"/>
      <c r="AN169" s="251">
        <f t="shared" si="32"/>
        <v>1500</v>
      </c>
      <c r="AO169" s="290">
        <f t="shared" si="33"/>
        <v>1500</v>
      </c>
      <c r="AP169" s="290" t="b">
        <f t="shared" si="34"/>
        <v>0</v>
      </c>
      <c r="AQ169" s="290">
        <f t="shared" si="35"/>
        <v>1500</v>
      </c>
      <c r="AR169" s="293"/>
      <c r="AS169" s="266"/>
    </row>
    <row r="170" s="215" customFormat="1" ht="39" customHeight="1" spans="1:45">
      <c r="A170" s="254">
        <v>45701</v>
      </c>
      <c r="B170" s="249" t="s">
        <v>615</v>
      </c>
      <c r="C170" s="265" t="s">
        <v>44</v>
      </c>
      <c r="D170" s="256">
        <v>4500157321</v>
      </c>
      <c r="E170" s="257" t="s">
        <v>809</v>
      </c>
      <c r="F170" s="256" t="s">
        <v>810</v>
      </c>
      <c r="G170" s="253" t="s">
        <v>62</v>
      </c>
      <c r="H170" s="253" t="s">
        <v>63</v>
      </c>
      <c r="I170" s="251">
        <v>798</v>
      </c>
      <c r="J170" s="251">
        <v>0</v>
      </c>
      <c r="K170" s="251">
        <v>6</v>
      </c>
      <c r="L170" s="251">
        <f t="shared" si="39"/>
        <v>133</v>
      </c>
      <c r="M170" s="274">
        <v>45786</v>
      </c>
      <c r="N170" s="274">
        <f>M170-4</f>
        <v>45782</v>
      </c>
      <c r="O170" s="274"/>
      <c r="P170" s="274" t="s">
        <v>49</v>
      </c>
      <c r="Q170" s="274"/>
      <c r="R170" s="274"/>
      <c r="S170" s="277" t="s">
        <v>50</v>
      </c>
      <c r="T170" s="277">
        <v>45701</v>
      </c>
      <c r="U170" s="277">
        <v>45747</v>
      </c>
      <c r="V170" s="274"/>
      <c r="W170" s="274"/>
      <c r="X170" s="278" t="s">
        <v>623</v>
      </c>
      <c r="Y170" s="261" t="s">
        <v>101</v>
      </c>
      <c r="Z170" s="281">
        <v>3.6255</v>
      </c>
      <c r="AA170" s="282">
        <f t="shared" si="36"/>
        <v>2893.149</v>
      </c>
      <c r="AB170" s="251" t="s">
        <v>811</v>
      </c>
      <c r="AC170" s="252" t="s">
        <v>62</v>
      </c>
      <c r="AD170" s="251" t="s">
        <v>56</v>
      </c>
      <c r="AE170" s="298">
        <f t="shared" si="37"/>
        <v>798</v>
      </c>
      <c r="AF170" s="251">
        <f t="shared" si="38"/>
        <v>0</v>
      </c>
      <c r="AG170" s="266"/>
      <c r="AH170" s="266"/>
      <c r="AI170" s="253" t="s">
        <v>57</v>
      </c>
      <c r="AJ170" s="251">
        <v>0</v>
      </c>
      <c r="AK170" s="253" t="s">
        <v>73</v>
      </c>
      <c r="AL170" s="251">
        <v>0</v>
      </c>
      <c r="AM170" s="251"/>
      <c r="AN170" s="251">
        <f t="shared" si="32"/>
        <v>798</v>
      </c>
      <c r="AO170" s="290">
        <f t="shared" si="33"/>
        <v>798</v>
      </c>
      <c r="AP170" s="290" t="b">
        <f t="shared" si="34"/>
        <v>0</v>
      </c>
      <c r="AQ170" s="290">
        <f t="shared" si="35"/>
        <v>798</v>
      </c>
      <c r="AR170" s="293"/>
      <c r="AS170" s="266"/>
    </row>
    <row r="171" s="215" customFormat="1" ht="39" customHeight="1" spans="1:45">
      <c r="A171" s="254">
        <v>45701</v>
      </c>
      <c r="B171" s="249" t="s">
        <v>615</v>
      </c>
      <c r="C171" s="265" t="s">
        <v>44</v>
      </c>
      <c r="D171" s="256">
        <v>4500157320</v>
      </c>
      <c r="E171" s="257" t="s">
        <v>812</v>
      </c>
      <c r="F171" s="256" t="s">
        <v>813</v>
      </c>
      <c r="G171" s="253" t="s">
        <v>62</v>
      </c>
      <c r="H171" s="253" t="s">
        <v>63</v>
      </c>
      <c r="I171" s="251">
        <v>600</v>
      </c>
      <c r="J171" s="251">
        <v>0</v>
      </c>
      <c r="K171" s="251">
        <v>6</v>
      </c>
      <c r="L171" s="251">
        <f t="shared" si="39"/>
        <v>100</v>
      </c>
      <c r="M171" s="274">
        <v>45786</v>
      </c>
      <c r="N171" s="274">
        <f>M171-4</f>
        <v>45782</v>
      </c>
      <c r="O171" s="274"/>
      <c r="P171" s="274" t="s">
        <v>49</v>
      </c>
      <c r="Q171" s="274"/>
      <c r="R171" s="274"/>
      <c r="S171" s="277" t="s">
        <v>50</v>
      </c>
      <c r="T171" s="277">
        <v>45701</v>
      </c>
      <c r="U171" s="277">
        <v>45747</v>
      </c>
      <c r="V171" s="274"/>
      <c r="W171" s="274"/>
      <c r="X171" s="278" t="s">
        <v>770</v>
      </c>
      <c r="Y171" s="261" t="s">
        <v>101</v>
      </c>
      <c r="Z171" s="281">
        <v>3.6255</v>
      </c>
      <c r="AA171" s="282">
        <f t="shared" si="36"/>
        <v>2175.3</v>
      </c>
      <c r="AB171" s="251" t="s">
        <v>814</v>
      </c>
      <c r="AC171" s="252" t="s">
        <v>62</v>
      </c>
      <c r="AD171" s="251" t="s">
        <v>56</v>
      </c>
      <c r="AE171" s="298">
        <f t="shared" si="37"/>
        <v>600</v>
      </c>
      <c r="AF171" s="251">
        <f t="shared" si="38"/>
        <v>0</v>
      </c>
      <c r="AG171" s="266"/>
      <c r="AH171" s="266"/>
      <c r="AI171" s="253" t="s">
        <v>57</v>
      </c>
      <c r="AJ171" s="251">
        <v>0</v>
      </c>
      <c r="AK171" s="253" t="s">
        <v>73</v>
      </c>
      <c r="AL171" s="251">
        <v>0</v>
      </c>
      <c r="AM171" s="251"/>
      <c r="AN171" s="251">
        <f t="shared" si="32"/>
        <v>600</v>
      </c>
      <c r="AO171" s="290">
        <f t="shared" si="33"/>
        <v>600</v>
      </c>
      <c r="AP171" s="290" t="b">
        <f t="shared" si="34"/>
        <v>0</v>
      </c>
      <c r="AQ171" s="290">
        <f t="shared" si="35"/>
        <v>600</v>
      </c>
      <c r="AR171" s="293"/>
      <c r="AS171" s="266"/>
    </row>
    <row r="172" s="215" customFormat="1" ht="39" customHeight="1" spans="1:45">
      <c r="A172" s="254">
        <v>45747</v>
      </c>
      <c r="B172" s="249" t="s">
        <v>655</v>
      </c>
      <c r="C172" s="265" t="s">
        <v>182</v>
      </c>
      <c r="D172" s="256">
        <v>4500161960</v>
      </c>
      <c r="E172" s="257">
        <v>20739446</v>
      </c>
      <c r="F172" s="267" t="s">
        <v>815</v>
      </c>
      <c r="G172" s="253" t="s">
        <v>62</v>
      </c>
      <c r="H172" s="253" t="s">
        <v>63</v>
      </c>
      <c r="I172" s="251">
        <v>1344</v>
      </c>
      <c r="J172" s="251">
        <v>0</v>
      </c>
      <c r="K172" s="251">
        <v>6</v>
      </c>
      <c r="L172" s="251">
        <f t="shared" si="39"/>
        <v>224</v>
      </c>
      <c r="M172" s="274">
        <v>45789</v>
      </c>
      <c r="N172" s="274">
        <v>45785</v>
      </c>
      <c r="O172" s="274"/>
      <c r="P172" s="274" t="s">
        <v>49</v>
      </c>
      <c r="Q172" s="274"/>
      <c r="R172" s="274"/>
      <c r="S172" s="277" t="s">
        <v>77</v>
      </c>
      <c r="T172" s="277">
        <v>45757</v>
      </c>
      <c r="U172" s="277">
        <v>45768</v>
      </c>
      <c r="V172" s="274"/>
      <c r="W172" s="274"/>
      <c r="X172" s="278" t="s">
        <v>816</v>
      </c>
      <c r="Y172" s="261" t="s">
        <v>556</v>
      </c>
      <c r="Z172" s="281">
        <v>3.9714</v>
      </c>
      <c r="AA172" s="282">
        <f t="shared" si="36"/>
        <v>5337.5616</v>
      </c>
      <c r="AB172" s="251" t="s">
        <v>817</v>
      </c>
      <c r="AC172" s="252" t="s">
        <v>62</v>
      </c>
      <c r="AD172" s="251" t="s">
        <v>56</v>
      </c>
      <c r="AE172" s="251">
        <f t="shared" si="37"/>
        <v>1344</v>
      </c>
      <c r="AF172" s="251">
        <f t="shared" si="38"/>
        <v>0</v>
      </c>
      <c r="AG172" s="266"/>
      <c r="AH172" s="266"/>
      <c r="AI172" s="253" t="s">
        <v>57</v>
      </c>
      <c r="AJ172" s="251">
        <v>0</v>
      </c>
      <c r="AK172" s="253" t="s">
        <v>73</v>
      </c>
      <c r="AL172" s="251">
        <v>0</v>
      </c>
      <c r="AM172" s="251"/>
      <c r="AN172" s="251">
        <f t="shared" si="32"/>
        <v>1344</v>
      </c>
      <c r="AO172" s="290">
        <f t="shared" si="33"/>
        <v>1344</v>
      </c>
      <c r="AP172" s="290" t="b">
        <f t="shared" si="34"/>
        <v>0</v>
      </c>
      <c r="AQ172" s="290">
        <f t="shared" si="35"/>
        <v>1344</v>
      </c>
      <c r="AR172" s="293"/>
      <c r="AS172" s="266"/>
    </row>
    <row r="173" s="215" customFormat="1" ht="39" customHeight="1" spans="1:45">
      <c r="A173" s="254">
        <v>45747</v>
      </c>
      <c r="B173" s="249" t="s">
        <v>552</v>
      </c>
      <c r="C173" s="265" t="s">
        <v>553</v>
      </c>
      <c r="D173" s="256">
        <v>4500161963</v>
      </c>
      <c r="E173" s="257">
        <v>20739447</v>
      </c>
      <c r="F173" s="267" t="s">
        <v>818</v>
      </c>
      <c r="G173" s="253" t="s">
        <v>62</v>
      </c>
      <c r="H173" s="253" t="s">
        <v>63</v>
      </c>
      <c r="I173" s="251">
        <v>156</v>
      </c>
      <c r="J173" s="251">
        <v>0</v>
      </c>
      <c r="K173" s="251">
        <v>6</v>
      </c>
      <c r="L173" s="251">
        <f t="shared" si="39"/>
        <v>26</v>
      </c>
      <c r="M173" s="274">
        <v>45789</v>
      </c>
      <c r="N173" s="274">
        <v>45785</v>
      </c>
      <c r="O173" s="274"/>
      <c r="P173" s="274" t="s">
        <v>49</v>
      </c>
      <c r="Q173" s="274"/>
      <c r="R173" s="274"/>
      <c r="S173" s="277" t="s">
        <v>77</v>
      </c>
      <c r="T173" s="277">
        <v>45757</v>
      </c>
      <c r="U173" s="277">
        <v>45768</v>
      </c>
      <c r="V173" s="274"/>
      <c r="W173" s="274"/>
      <c r="X173" s="278" t="s">
        <v>819</v>
      </c>
      <c r="Y173" s="261" t="s">
        <v>556</v>
      </c>
      <c r="Z173" s="281">
        <v>3.9973</v>
      </c>
      <c r="AA173" s="282">
        <f t="shared" si="36"/>
        <v>623.5788</v>
      </c>
      <c r="AB173" s="251" t="s">
        <v>820</v>
      </c>
      <c r="AC173" s="252" t="s">
        <v>62</v>
      </c>
      <c r="AD173" s="251" t="s">
        <v>56</v>
      </c>
      <c r="AE173" s="251">
        <f t="shared" si="37"/>
        <v>156</v>
      </c>
      <c r="AF173" s="251">
        <f t="shared" si="38"/>
        <v>0</v>
      </c>
      <c r="AG173" s="266"/>
      <c r="AH173" s="266"/>
      <c r="AI173" s="253" t="s">
        <v>57</v>
      </c>
      <c r="AJ173" s="251">
        <v>0</v>
      </c>
      <c r="AK173" s="253" t="s">
        <v>73</v>
      </c>
      <c r="AL173" s="251">
        <v>0</v>
      </c>
      <c r="AM173" s="251"/>
      <c r="AN173" s="251">
        <f t="shared" si="32"/>
        <v>156</v>
      </c>
      <c r="AO173" s="290">
        <f t="shared" si="33"/>
        <v>156</v>
      </c>
      <c r="AP173" s="290" t="b">
        <f t="shared" si="34"/>
        <v>0</v>
      </c>
      <c r="AQ173" s="290">
        <f t="shared" si="35"/>
        <v>156</v>
      </c>
      <c r="AR173" s="293"/>
      <c r="AS173" s="266"/>
    </row>
    <row r="174" s="215" customFormat="1" ht="39" customHeight="1" spans="1:45">
      <c r="A174" s="254">
        <v>45750</v>
      </c>
      <c r="B174" s="249" t="s">
        <v>245</v>
      </c>
      <c r="C174" s="265" t="s">
        <v>214</v>
      </c>
      <c r="D174" s="256">
        <v>4500162456</v>
      </c>
      <c r="E174" s="257" t="s">
        <v>821</v>
      </c>
      <c r="F174" s="267" t="s">
        <v>822</v>
      </c>
      <c r="G174" s="253" t="s">
        <v>62</v>
      </c>
      <c r="H174" s="253" t="s">
        <v>63</v>
      </c>
      <c r="I174" s="251">
        <v>504</v>
      </c>
      <c r="J174" s="251">
        <v>0</v>
      </c>
      <c r="K174" s="251">
        <v>6</v>
      </c>
      <c r="L174" s="251">
        <f t="shared" si="39"/>
        <v>84</v>
      </c>
      <c r="M174" s="274">
        <v>45792</v>
      </c>
      <c r="N174" s="274">
        <v>45789</v>
      </c>
      <c r="O174" s="274"/>
      <c r="P174" s="274" t="s">
        <v>49</v>
      </c>
      <c r="Q174" s="274"/>
      <c r="R174" s="274"/>
      <c r="S174" s="277" t="s">
        <v>77</v>
      </c>
      <c r="T174" s="277" t="s">
        <v>375</v>
      </c>
      <c r="U174" s="277" t="s">
        <v>823</v>
      </c>
      <c r="V174" s="274"/>
      <c r="W174" s="274"/>
      <c r="X174" s="278" t="s">
        <v>824</v>
      </c>
      <c r="Y174" s="261" t="s">
        <v>252</v>
      </c>
      <c r="Z174" s="281">
        <v>3.5505</v>
      </c>
      <c r="AA174" s="282">
        <f t="shared" si="36"/>
        <v>1789.452</v>
      </c>
      <c r="AB174" s="251" t="s">
        <v>825</v>
      </c>
      <c r="AC174" s="252" t="s">
        <v>71</v>
      </c>
      <c r="AD174" s="251" t="s">
        <v>56</v>
      </c>
      <c r="AE174" s="251">
        <f t="shared" si="37"/>
        <v>504</v>
      </c>
      <c r="AF174" s="251">
        <f t="shared" si="38"/>
        <v>0</v>
      </c>
      <c r="AG174" s="266"/>
      <c r="AH174" s="266"/>
      <c r="AI174" s="253" t="s">
        <v>72</v>
      </c>
      <c r="AJ174" s="251">
        <v>2</v>
      </c>
      <c r="AK174" s="253" t="s">
        <v>73</v>
      </c>
      <c r="AL174" s="251">
        <v>0</v>
      </c>
      <c r="AM174" s="251"/>
      <c r="AN174" s="251">
        <f t="shared" si="32"/>
        <v>504</v>
      </c>
      <c r="AO174" s="290">
        <f t="shared" si="33"/>
        <v>0</v>
      </c>
      <c r="AP174" s="290">
        <f t="shared" si="34"/>
        <v>504</v>
      </c>
      <c r="AQ174" s="290">
        <f t="shared" si="35"/>
        <v>504</v>
      </c>
      <c r="AR174" s="293"/>
      <c r="AS174" s="266"/>
    </row>
    <row r="175" s="215" customFormat="1" ht="39" customHeight="1" spans="1:45">
      <c r="A175" s="254">
        <v>45750</v>
      </c>
      <c r="B175" s="249" t="s">
        <v>826</v>
      </c>
      <c r="C175" s="265" t="s">
        <v>827</v>
      </c>
      <c r="D175" s="256">
        <v>4500162345</v>
      </c>
      <c r="E175" s="257"/>
      <c r="F175" s="267" t="s">
        <v>828</v>
      </c>
      <c r="G175" s="253" t="s">
        <v>62</v>
      </c>
      <c r="H175" s="253" t="s">
        <v>63</v>
      </c>
      <c r="I175" s="251">
        <v>600</v>
      </c>
      <c r="J175" s="251">
        <v>0</v>
      </c>
      <c r="K175" s="251">
        <v>6</v>
      </c>
      <c r="L175" s="251">
        <f t="shared" si="39"/>
        <v>100</v>
      </c>
      <c r="M175" s="274">
        <v>45792</v>
      </c>
      <c r="N175" s="274">
        <v>45789</v>
      </c>
      <c r="O175" s="274"/>
      <c r="P175" s="274" t="s">
        <v>49</v>
      </c>
      <c r="Q175" s="274"/>
      <c r="R175" s="274"/>
      <c r="S175" s="277" t="s">
        <v>50</v>
      </c>
      <c r="T175" s="277">
        <v>45762</v>
      </c>
      <c r="U175" s="277" t="s">
        <v>829</v>
      </c>
      <c r="V175" s="274"/>
      <c r="W175" s="274"/>
      <c r="X175" s="278" t="s">
        <v>830</v>
      </c>
      <c r="Y175" s="261" t="s">
        <v>133</v>
      </c>
      <c r="Z175" s="281">
        <v>3.5505</v>
      </c>
      <c r="AA175" s="282">
        <f t="shared" si="36"/>
        <v>2130.3</v>
      </c>
      <c r="AB175" s="251" t="s">
        <v>831</v>
      </c>
      <c r="AC175" s="252" t="s">
        <v>62</v>
      </c>
      <c r="AD175" s="251" t="s">
        <v>56</v>
      </c>
      <c r="AE175" s="251">
        <f t="shared" si="37"/>
        <v>600</v>
      </c>
      <c r="AF175" s="251">
        <f t="shared" si="38"/>
        <v>0</v>
      </c>
      <c r="AG175" s="266"/>
      <c r="AH175" s="266"/>
      <c r="AI175" s="253" t="s">
        <v>57</v>
      </c>
      <c r="AJ175" s="251">
        <v>0</v>
      </c>
      <c r="AK175" s="253" t="s">
        <v>73</v>
      </c>
      <c r="AL175" s="251">
        <v>0</v>
      </c>
      <c r="AM175" s="251"/>
      <c r="AN175" s="251">
        <f t="shared" si="32"/>
        <v>600</v>
      </c>
      <c r="AO175" s="290">
        <f t="shared" si="33"/>
        <v>600</v>
      </c>
      <c r="AP175" s="290" t="b">
        <f t="shared" si="34"/>
        <v>0</v>
      </c>
      <c r="AQ175" s="290">
        <f t="shared" si="35"/>
        <v>600</v>
      </c>
      <c r="AR175" s="293"/>
      <c r="AS175" s="266"/>
    </row>
    <row r="176" s="215" customFormat="1" ht="39" customHeight="1" spans="1:45">
      <c r="A176" s="254">
        <v>45742</v>
      </c>
      <c r="B176" s="249" t="s">
        <v>832</v>
      </c>
      <c r="C176" s="265" t="s">
        <v>833</v>
      </c>
      <c r="D176" s="256">
        <v>4500161075</v>
      </c>
      <c r="E176" s="257">
        <v>11098</v>
      </c>
      <c r="F176" s="267" t="s">
        <v>834</v>
      </c>
      <c r="G176" s="253" t="s">
        <v>62</v>
      </c>
      <c r="H176" s="253" t="s">
        <v>63</v>
      </c>
      <c r="I176" s="251">
        <v>660</v>
      </c>
      <c r="J176" s="251">
        <v>0</v>
      </c>
      <c r="K176" s="251">
        <v>6</v>
      </c>
      <c r="L176" s="251">
        <f t="shared" si="39"/>
        <v>110</v>
      </c>
      <c r="M176" s="274">
        <v>45793</v>
      </c>
      <c r="N176" s="274">
        <v>45789</v>
      </c>
      <c r="O176" s="274"/>
      <c r="P176" s="274" t="s">
        <v>49</v>
      </c>
      <c r="Q176" s="274"/>
      <c r="R176" s="274"/>
      <c r="S176" s="277" t="s">
        <v>50</v>
      </c>
      <c r="T176" s="277">
        <v>45758</v>
      </c>
      <c r="U176" s="277">
        <v>45758</v>
      </c>
      <c r="V176" s="274"/>
      <c r="W176" s="274"/>
      <c r="X176" s="278" t="s">
        <v>835</v>
      </c>
      <c r="Y176" s="261" t="s">
        <v>836</v>
      </c>
      <c r="Z176" s="281">
        <v>3.5505</v>
      </c>
      <c r="AA176" s="282">
        <f t="shared" si="36"/>
        <v>2343.33</v>
      </c>
      <c r="AB176" s="251" t="s">
        <v>837</v>
      </c>
      <c r="AC176" s="252" t="s">
        <v>71</v>
      </c>
      <c r="AD176" s="251" t="s">
        <v>56</v>
      </c>
      <c r="AE176" s="251">
        <f t="shared" si="37"/>
        <v>660</v>
      </c>
      <c r="AF176" s="251">
        <f t="shared" si="38"/>
        <v>0</v>
      </c>
      <c r="AG176" s="266"/>
      <c r="AH176" s="266"/>
      <c r="AI176" s="253" t="s">
        <v>72</v>
      </c>
      <c r="AJ176" s="251">
        <v>2</v>
      </c>
      <c r="AK176" s="253" t="s">
        <v>73</v>
      </c>
      <c r="AL176" s="251">
        <v>0</v>
      </c>
      <c r="AM176" s="251"/>
      <c r="AN176" s="251">
        <f t="shared" si="32"/>
        <v>660</v>
      </c>
      <c r="AO176" s="290">
        <f t="shared" si="33"/>
        <v>0</v>
      </c>
      <c r="AP176" s="290">
        <f t="shared" si="34"/>
        <v>660</v>
      </c>
      <c r="AQ176" s="290">
        <f t="shared" si="35"/>
        <v>660</v>
      </c>
      <c r="AR176" s="293"/>
      <c r="AS176" s="266"/>
    </row>
    <row r="177" s="215" customFormat="1" ht="39" hidden="1" customHeight="1" spans="1:45">
      <c r="A177" s="254">
        <v>45763</v>
      </c>
      <c r="B177" s="249" t="s">
        <v>838</v>
      </c>
      <c r="C177" s="265" t="s">
        <v>44</v>
      </c>
      <c r="D177" s="256">
        <v>4500163969</v>
      </c>
      <c r="E177" s="257" t="s">
        <v>839</v>
      </c>
      <c r="F177" s="267" t="s">
        <v>840</v>
      </c>
      <c r="G177" s="253" t="s">
        <v>46</v>
      </c>
      <c r="H177" s="253" t="s">
        <v>47</v>
      </c>
      <c r="I177" s="251">
        <v>294</v>
      </c>
      <c r="J177" s="251">
        <v>0</v>
      </c>
      <c r="K177" s="251">
        <v>98</v>
      </c>
      <c r="L177" s="251">
        <f t="shared" si="39"/>
        <v>3</v>
      </c>
      <c r="M177" s="274">
        <v>45792</v>
      </c>
      <c r="N177" s="274">
        <v>45789</v>
      </c>
      <c r="O177" s="296" t="s">
        <v>841</v>
      </c>
      <c r="P177" s="274" t="s">
        <v>49</v>
      </c>
      <c r="Q177" s="274"/>
      <c r="R177" s="274"/>
      <c r="S177" s="277" t="s">
        <v>50</v>
      </c>
      <c r="T177" s="277" t="s">
        <v>313</v>
      </c>
      <c r="U177" s="277" t="s">
        <v>842</v>
      </c>
      <c r="V177" s="274"/>
      <c r="W177" s="274"/>
      <c r="X177" s="278" t="s">
        <v>843</v>
      </c>
      <c r="Y177" s="261" t="s">
        <v>844</v>
      </c>
      <c r="Z177" s="281">
        <v>368.4458</v>
      </c>
      <c r="AA177" s="282">
        <f>Z177*L177</f>
        <v>1105.3374</v>
      </c>
      <c r="AB177" s="251" t="s">
        <v>845</v>
      </c>
      <c r="AC177" s="252" t="s">
        <v>46</v>
      </c>
      <c r="AD177" s="251" t="s">
        <v>56</v>
      </c>
      <c r="AE177" s="298">
        <f t="shared" si="37"/>
        <v>294</v>
      </c>
      <c r="AF177" s="251">
        <f t="shared" si="38"/>
        <v>0</v>
      </c>
      <c r="AG177" s="266"/>
      <c r="AH177" s="266"/>
      <c r="AI177" s="253" t="s">
        <v>57</v>
      </c>
      <c r="AJ177" s="251">
        <v>0</v>
      </c>
      <c r="AK177" s="253" t="s">
        <v>73</v>
      </c>
      <c r="AL177" s="251">
        <v>0</v>
      </c>
      <c r="AM177" s="251"/>
      <c r="AN177" s="251">
        <f t="shared" si="32"/>
        <v>294</v>
      </c>
      <c r="AO177" s="290">
        <f t="shared" si="33"/>
        <v>294</v>
      </c>
      <c r="AP177" s="290" t="b">
        <f t="shared" si="34"/>
        <v>0</v>
      </c>
      <c r="AQ177" s="290">
        <f t="shared" si="35"/>
        <v>294</v>
      </c>
      <c r="AR177" s="293"/>
      <c r="AS177" s="266"/>
    </row>
    <row r="178" s="215" customFormat="1" ht="39" customHeight="1" spans="1:45">
      <c r="A178" s="254">
        <v>45758</v>
      </c>
      <c r="B178" s="249" t="s">
        <v>846</v>
      </c>
      <c r="C178" s="265" t="s">
        <v>138</v>
      </c>
      <c r="D178" s="256">
        <v>4500163457</v>
      </c>
      <c r="E178" s="257">
        <v>3501527865</v>
      </c>
      <c r="F178" s="267" t="s">
        <v>847</v>
      </c>
      <c r="G178" s="253" t="s">
        <v>62</v>
      </c>
      <c r="H178" s="253" t="s">
        <v>63</v>
      </c>
      <c r="I178" s="251">
        <v>804</v>
      </c>
      <c r="J178" s="251">
        <v>0</v>
      </c>
      <c r="K178" s="251">
        <v>6</v>
      </c>
      <c r="L178" s="251">
        <f t="shared" si="39"/>
        <v>134</v>
      </c>
      <c r="M178" s="274">
        <v>45796</v>
      </c>
      <c r="N178" s="274">
        <v>45792</v>
      </c>
      <c r="O178" s="274" t="s">
        <v>848</v>
      </c>
      <c r="P178" s="274" t="s">
        <v>49</v>
      </c>
      <c r="Q178" s="274"/>
      <c r="R178" s="274"/>
      <c r="S178" s="277" t="s">
        <v>50</v>
      </c>
      <c r="T178" s="277">
        <v>45764</v>
      </c>
      <c r="U178" s="277">
        <v>45764</v>
      </c>
      <c r="V178" s="274"/>
      <c r="W178" s="274"/>
      <c r="X178" s="278" t="s">
        <v>849</v>
      </c>
      <c r="Y178" s="261" t="s">
        <v>850</v>
      </c>
      <c r="Z178" s="281">
        <v>3.5505</v>
      </c>
      <c r="AA178" s="282">
        <f>I178*Z178</f>
        <v>2854.602</v>
      </c>
      <c r="AB178" s="251" t="s">
        <v>851</v>
      </c>
      <c r="AC178" s="252" t="s">
        <v>71</v>
      </c>
      <c r="AD178" s="251" t="s">
        <v>56</v>
      </c>
      <c r="AE178" s="298">
        <f t="shared" si="37"/>
        <v>804</v>
      </c>
      <c r="AF178" s="251">
        <f t="shared" ref="AF178:AF183" si="40">AE178-I178</f>
        <v>0</v>
      </c>
      <c r="AG178" s="266"/>
      <c r="AH178" s="266"/>
      <c r="AI178" s="253" t="s">
        <v>72</v>
      </c>
      <c r="AJ178" s="251">
        <v>2</v>
      </c>
      <c r="AK178" s="253" t="s">
        <v>73</v>
      </c>
      <c r="AL178" s="251">
        <v>0</v>
      </c>
      <c r="AM178" s="251"/>
      <c r="AN178" s="251">
        <f t="shared" si="32"/>
        <v>804</v>
      </c>
      <c r="AO178" s="290">
        <f t="shared" si="33"/>
        <v>0</v>
      </c>
      <c r="AP178" s="290">
        <f t="shared" si="34"/>
        <v>804</v>
      </c>
      <c r="AQ178" s="290">
        <f t="shared" si="35"/>
        <v>804</v>
      </c>
      <c r="AR178" s="293"/>
      <c r="AS178" s="266"/>
    </row>
    <row r="179" s="215" customFormat="1" ht="39" hidden="1" customHeight="1" spans="1:45">
      <c r="A179" s="254">
        <v>45768</v>
      </c>
      <c r="B179" s="249" t="s">
        <v>852</v>
      </c>
      <c r="C179" s="265" t="s">
        <v>239</v>
      </c>
      <c r="D179" s="256">
        <v>4500164397</v>
      </c>
      <c r="E179" s="257">
        <v>5200006651</v>
      </c>
      <c r="F179" s="267" t="s">
        <v>853</v>
      </c>
      <c r="G179" s="253" t="s">
        <v>258</v>
      </c>
      <c r="H179" s="253" t="s">
        <v>63</v>
      </c>
      <c r="I179" s="251">
        <v>504</v>
      </c>
      <c r="J179" s="251">
        <v>0</v>
      </c>
      <c r="K179" s="251">
        <v>6</v>
      </c>
      <c r="L179" s="251">
        <f t="shared" si="39"/>
        <v>84</v>
      </c>
      <c r="M179" s="274">
        <v>45796</v>
      </c>
      <c r="N179" s="274">
        <v>45792</v>
      </c>
      <c r="O179" s="274"/>
      <c r="P179" s="274" t="s">
        <v>49</v>
      </c>
      <c r="Q179" s="274"/>
      <c r="R179" s="274"/>
      <c r="S179" s="277" t="s">
        <v>50</v>
      </c>
      <c r="T179" s="277">
        <v>45768</v>
      </c>
      <c r="U179" s="277" t="s">
        <v>50</v>
      </c>
      <c r="V179" s="274" t="s">
        <v>854</v>
      </c>
      <c r="W179" s="274"/>
      <c r="X179" s="278" t="s">
        <v>855</v>
      </c>
      <c r="Y179" s="261" t="s">
        <v>856</v>
      </c>
      <c r="Z179" s="281">
        <v>3.5505</v>
      </c>
      <c r="AA179" s="282">
        <f>I179*Z179</f>
        <v>1789.452</v>
      </c>
      <c r="AB179" s="251" t="s">
        <v>857</v>
      </c>
      <c r="AC179" s="269" t="s">
        <v>858</v>
      </c>
      <c r="AD179" s="251" t="s">
        <v>56</v>
      </c>
      <c r="AE179" s="298">
        <f t="shared" si="37"/>
        <v>504</v>
      </c>
      <c r="AF179" s="251">
        <f t="shared" si="40"/>
        <v>0</v>
      </c>
      <c r="AG179" s="266"/>
      <c r="AH179" s="266"/>
      <c r="AI179" s="253" t="s">
        <v>72</v>
      </c>
      <c r="AJ179" s="251">
        <v>2</v>
      </c>
      <c r="AK179" s="253" t="s">
        <v>859</v>
      </c>
      <c r="AL179" s="251">
        <v>1</v>
      </c>
      <c r="AM179" s="251"/>
      <c r="AN179" s="251">
        <f t="shared" si="32"/>
        <v>504</v>
      </c>
      <c r="AO179" s="290">
        <f t="shared" si="33"/>
        <v>0</v>
      </c>
      <c r="AP179" s="290">
        <f t="shared" si="34"/>
        <v>504</v>
      </c>
      <c r="AQ179" s="290">
        <f t="shared" si="35"/>
        <v>0</v>
      </c>
      <c r="AR179" s="293"/>
      <c r="AS179" s="266"/>
    </row>
    <row r="180" s="215" customFormat="1" ht="39" customHeight="1" spans="1:45">
      <c r="A180" s="254">
        <v>45749</v>
      </c>
      <c r="B180" s="249" t="s">
        <v>860</v>
      </c>
      <c r="C180" s="265" t="s">
        <v>833</v>
      </c>
      <c r="D180" s="256">
        <v>4500162375</v>
      </c>
      <c r="E180" s="257">
        <v>20106</v>
      </c>
      <c r="F180" s="267" t="s">
        <v>861</v>
      </c>
      <c r="G180" s="253" t="s">
        <v>62</v>
      </c>
      <c r="H180" s="253" t="s">
        <v>63</v>
      </c>
      <c r="I180" s="251">
        <v>150</v>
      </c>
      <c r="J180" s="251">
        <v>0</v>
      </c>
      <c r="K180" s="251">
        <v>6</v>
      </c>
      <c r="L180" s="251">
        <f t="shared" si="39"/>
        <v>25</v>
      </c>
      <c r="M180" s="274">
        <v>45797</v>
      </c>
      <c r="N180" s="274">
        <v>45793</v>
      </c>
      <c r="O180" s="274"/>
      <c r="P180" s="274" t="s">
        <v>49</v>
      </c>
      <c r="Q180" s="274"/>
      <c r="R180" s="274"/>
      <c r="S180" s="277" t="s">
        <v>77</v>
      </c>
      <c r="T180" s="277">
        <v>45750</v>
      </c>
      <c r="U180" s="277" t="s">
        <v>50</v>
      </c>
      <c r="V180" s="274" t="s">
        <v>136</v>
      </c>
      <c r="W180" s="274"/>
      <c r="X180" s="278" t="s">
        <v>862</v>
      </c>
      <c r="Y180" s="261" t="s">
        <v>597</v>
      </c>
      <c r="Z180" s="281">
        <v>3.5632</v>
      </c>
      <c r="AA180" s="282">
        <f>I180*Z180</f>
        <v>534.48</v>
      </c>
      <c r="AB180" s="251" t="s">
        <v>863</v>
      </c>
      <c r="AC180" s="252" t="s">
        <v>858</v>
      </c>
      <c r="AD180" s="251" t="s">
        <v>56</v>
      </c>
      <c r="AE180" s="298">
        <f t="shared" si="37"/>
        <v>150</v>
      </c>
      <c r="AF180" s="251">
        <f t="shared" si="40"/>
        <v>0</v>
      </c>
      <c r="AG180" s="266"/>
      <c r="AH180" s="266"/>
      <c r="AI180" s="253" t="s">
        <v>72</v>
      </c>
      <c r="AJ180" s="251">
        <v>2</v>
      </c>
      <c r="AK180" s="253" t="s">
        <v>136</v>
      </c>
      <c r="AL180" s="251">
        <v>1</v>
      </c>
      <c r="AM180" s="251"/>
      <c r="AN180" s="251">
        <f t="shared" si="32"/>
        <v>150</v>
      </c>
      <c r="AO180" s="290">
        <f t="shared" si="33"/>
        <v>0</v>
      </c>
      <c r="AP180" s="290">
        <f t="shared" si="34"/>
        <v>150</v>
      </c>
      <c r="AQ180" s="290">
        <f t="shared" si="35"/>
        <v>0</v>
      </c>
      <c r="AR180" s="293"/>
      <c r="AS180" s="266"/>
    </row>
    <row r="181" s="215" customFormat="1" ht="39" customHeight="1" spans="1:45">
      <c r="A181" s="254">
        <v>45747</v>
      </c>
      <c r="B181" s="249" t="s">
        <v>74</v>
      </c>
      <c r="C181" s="265" t="s">
        <v>44</v>
      </c>
      <c r="D181" s="256">
        <v>4500162010</v>
      </c>
      <c r="E181" s="257" t="s">
        <v>864</v>
      </c>
      <c r="F181" s="267" t="s">
        <v>865</v>
      </c>
      <c r="G181" s="253" t="s">
        <v>62</v>
      </c>
      <c r="H181" s="253" t="s">
        <v>63</v>
      </c>
      <c r="I181" s="251">
        <v>792</v>
      </c>
      <c r="J181" s="251">
        <v>0</v>
      </c>
      <c r="K181" s="251">
        <v>6</v>
      </c>
      <c r="L181" s="251">
        <f t="shared" si="39"/>
        <v>132</v>
      </c>
      <c r="M181" s="274">
        <v>45792</v>
      </c>
      <c r="N181" s="274">
        <v>45789</v>
      </c>
      <c r="O181" s="274"/>
      <c r="P181" s="274" t="s">
        <v>49</v>
      </c>
      <c r="Q181" s="274"/>
      <c r="R181" s="274" t="s">
        <v>56</v>
      </c>
      <c r="S181" s="277" t="s">
        <v>77</v>
      </c>
      <c r="T181" s="277">
        <v>45761</v>
      </c>
      <c r="U181" s="277">
        <v>45763</v>
      </c>
      <c r="V181" s="274"/>
      <c r="W181" s="274"/>
      <c r="X181" s="278" t="s">
        <v>866</v>
      </c>
      <c r="Y181" s="261" t="s">
        <v>116</v>
      </c>
      <c r="Z181" s="281">
        <v>3.346</v>
      </c>
      <c r="AA181" s="282">
        <f>I181*Z181</f>
        <v>2650.032</v>
      </c>
      <c r="AB181" s="251" t="s">
        <v>867</v>
      </c>
      <c r="AC181" s="252" t="s">
        <v>62</v>
      </c>
      <c r="AD181" s="251" t="s">
        <v>56</v>
      </c>
      <c r="AE181" s="298">
        <f t="shared" ref="AE181:AE193" si="41">I181</f>
        <v>792</v>
      </c>
      <c r="AF181" s="251">
        <f t="shared" si="40"/>
        <v>0</v>
      </c>
      <c r="AG181" s="266"/>
      <c r="AH181" s="266"/>
      <c r="AI181" s="253" t="s">
        <v>57</v>
      </c>
      <c r="AJ181" s="251">
        <v>0</v>
      </c>
      <c r="AK181" s="253" t="s">
        <v>73</v>
      </c>
      <c r="AL181" s="251">
        <v>0</v>
      </c>
      <c r="AM181" s="251"/>
      <c r="AN181" s="251">
        <f t="shared" si="32"/>
        <v>792</v>
      </c>
      <c r="AO181" s="290">
        <f t="shared" si="33"/>
        <v>792</v>
      </c>
      <c r="AP181" s="290" t="b">
        <f t="shared" si="34"/>
        <v>0</v>
      </c>
      <c r="AQ181" s="290">
        <f t="shared" si="35"/>
        <v>792</v>
      </c>
      <c r="AR181" s="293"/>
      <c r="AS181" s="266"/>
    </row>
    <row r="182" s="215" customFormat="1" ht="39" customHeight="1" spans="1:45">
      <c r="A182" s="254">
        <v>45729</v>
      </c>
      <c r="B182" s="249" t="s">
        <v>868</v>
      </c>
      <c r="C182" s="265" t="s">
        <v>869</v>
      </c>
      <c r="D182" s="256">
        <v>4500159898</v>
      </c>
      <c r="E182" s="257"/>
      <c r="F182" s="256" t="s">
        <v>870</v>
      </c>
      <c r="G182" s="253" t="s">
        <v>62</v>
      </c>
      <c r="H182" s="253" t="s">
        <v>63</v>
      </c>
      <c r="I182" s="251">
        <v>720</v>
      </c>
      <c r="J182" s="251">
        <v>0</v>
      </c>
      <c r="K182" s="251">
        <v>6</v>
      </c>
      <c r="L182" s="251">
        <f t="shared" si="39"/>
        <v>120</v>
      </c>
      <c r="M182" s="274">
        <v>45800</v>
      </c>
      <c r="N182" s="274">
        <v>45796</v>
      </c>
      <c r="O182" s="274"/>
      <c r="P182" s="274" t="s">
        <v>49</v>
      </c>
      <c r="Q182" s="274"/>
      <c r="R182" s="274" t="s">
        <v>871</v>
      </c>
      <c r="S182" s="277" t="s">
        <v>50</v>
      </c>
      <c r="T182" s="277">
        <v>45729</v>
      </c>
      <c r="U182" s="277">
        <v>45758</v>
      </c>
      <c r="V182" s="274" t="s">
        <v>872</v>
      </c>
      <c r="W182" s="274"/>
      <c r="X182" s="278" t="s">
        <v>873</v>
      </c>
      <c r="Y182" s="261" t="s">
        <v>543</v>
      </c>
      <c r="Z182" s="281">
        <v>3.5737</v>
      </c>
      <c r="AA182" s="282">
        <f>I182*Z182</f>
        <v>2573.064</v>
      </c>
      <c r="AB182" s="251" t="s">
        <v>874</v>
      </c>
      <c r="AC182" s="299" t="s">
        <v>875</v>
      </c>
      <c r="AD182" s="251" t="s">
        <v>56</v>
      </c>
      <c r="AE182" s="298">
        <f t="shared" si="41"/>
        <v>720</v>
      </c>
      <c r="AF182" s="251">
        <f t="shared" si="40"/>
        <v>0</v>
      </c>
      <c r="AG182" s="266"/>
      <c r="AH182" s="266"/>
      <c r="AI182" s="253" t="s">
        <v>57</v>
      </c>
      <c r="AJ182" s="251">
        <v>0</v>
      </c>
      <c r="AK182" s="253" t="s">
        <v>136</v>
      </c>
      <c r="AL182" s="251">
        <v>1</v>
      </c>
      <c r="AM182" s="251"/>
      <c r="AN182" s="251">
        <f t="shared" si="32"/>
        <v>720</v>
      </c>
      <c r="AO182" s="290">
        <f t="shared" si="33"/>
        <v>720</v>
      </c>
      <c r="AP182" s="290" t="b">
        <f t="shared" si="34"/>
        <v>0</v>
      </c>
      <c r="AQ182" s="290">
        <f t="shared" si="35"/>
        <v>0</v>
      </c>
      <c r="AR182" s="293"/>
      <c r="AS182" s="266"/>
    </row>
    <row r="183" s="215" customFormat="1" ht="39" customHeight="1" spans="1:45">
      <c r="A183" s="254">
        <v>45762</v>
      </c>
      <c r="B183" s="249" t="s">
        <v>876</v>
      </c>
      <c r="C183" s="265" t="s">
        <v>764</v>
      </c>
      <c r="D183" s="256">
        <v>4500163743</v>
      </c>
      <c r="E183" s="257" t="s">
        <v>877</v>
      </c>
      <c r="F183" s="267" t="s">
        <v>878</v>
      </c>
      <c r="G183" s="253" t="s">
        <v>62</v>
      </c>
      <c r="H183" s="253" t="s">
        <v>63</v>
      </c>
      <c r="I183" s="251">
        <v>1200</v>
      </c>
      <c r="J183" s="251">
        <v>0</v>
      </c>
      <c r="K183" s="251">
        <v>6</v>
      </c>
      <c r="L183" s="251">
        <f t="shared" si="39"/>
        <v>200</v>
      </c>
      <c r="M183" s="274">
        <v>45800</v>
      </c>
      <c r="N183" s="274">
        <v>45796</v>
      </c>
      <c r="O183" s="274"/>
      <c r="P183" s="274" t="s">
        <v>49</v>
      </c>
      <c r="Q183" s="274"/>
      <c r="R183" s="274" t="s">
        <v>871</v>
      </c>
      <c r="S183" s="277" t="s">
        <v>50</v>
      </c>
      <c r="T183" s="277">
        <v>45762</v>
      </c>
      <c r="U183" s="277" t="s">
        <v>50</v>
      </c>
      <c r="V183" s="274"/>
      <c r="W183" s="274"/>
      <c r="X183" s="278" t="s">
        <v>879</v>
      </c>
      <c r="Y183" s="261" t="s">
        <v>454</v>
      </c>
      <c r="Z183" s="281">
        <v>3.5373</v>
      </c>
      <c r="AA183" s="282">
        <f t="shared" ref="AA181:AA195" si="42">I183*Z183</f>
        <v>4244.76</v>
      </c>
      <c r="AB183" s="251" t="s">
        <v>880</v>
      </c>
      <c r="AC183" s="252" t="s">
        <v>62</v>
      </c>
      <c r="AD183" s="251" t="s">
        <v>56</v>
      </c>
      <c r="AE183" s="298">
        <f t="shared" si="41"/>
        <v>1200</v>
      </c>
      <c r="AF183" s="251">
        <f t="shared" si="40"/>
        <v>0</v>
      </c>
      <c r="AG183" s="266"/>
      <c r="AH183" s="266"/>
      <c r="AI183" s="253" t="s">
        <v>57</v>
      </c>
      <c r="AJ183" s="251">
        <v>0</v>
      </c>
      <c r="AK183" s="253" t="s">
        <v>73</v>
      </c>
      <c r="AL183" s="251">
        <v>0</v>
      </c>
      <c r="AM183" s="251"/>
      <c r="AN183" s="251">
        <f t="shared" si="32"/>
        <v>1200</v>
      </c>
      <c r="AO183" s="290">
        <f t="shared" si="33"/>
        <v>1200</v>
      </c>
      <c r="AP183" s="290" t="b">
        <f t="shared" si="34"/>
        <v>0</v>
      </c>
      <c r="AQ183" s="290">
        <f t="shared" si="35"/>
        <v>1200</v>
      </c>
      <c r="AR183" s="293"/>
      <c r="AS183" s="266"/>
    </row>
    <row r="184" s="215" customFormat="1" ht="39" customHeight="1" spans="1:45">
      <c r="A184" s="254">
        <v>45749</v>
      </c>
      <c r="B184" s="249" t="s">
        <v>881</v>
      </c>
      <c r="C184" s="265" t="s">
        <v>157</v>
      </c>
      <c r="D184" s="256">
        <v>4500162283</v>
      </c>
      <c r="E184" s="257"/>
      <c r="F184" s="267" t="s">
        <v>882</v>
      </c>
      <c r="G184" s="253" t="s">
        <v>62</v>
      </c>
      <c r="H184" s="253" t="s">
        <v>63</v>
      </c>
      <c r="I184" s="251">
        <v>252</v>
      </c>
      <c r="J184" s="251">
        <v>0</v>
      </c>
      <c r="K184" s="251">
        <v>6</v>
      </c>
      <c r="L184" s="251">
        <f t="shared" si="39"/>
        <v>42</v>
      </c>
      <c r="M184" s="274">
        <v>45803</v>
      </c>
      <c r="N184" s="274">
        <v>45799</v>
      </c>
      <c r="O184" s="274"/>
      <c r="P184" s="274" t="s">
        <v>49</v>
      </c>
      <c r="Q184" s="274"/>
      <c r="R184" s="274" t="s">
        <v>871</v>
      </c>
      <c r="S184" s="277" t="s">
        <v>50</v>
      </c>
      <c r="T184" s="277">
        <v>45801</v>
      </c>
      <c r="U184" s="277">
        <v>45783</v>
      </c>
      <c r="V184" s="274"/>
      <c r="W184" s="274"/>
      <c r="X184" s="278" t="s">
        <v>883</v>
      </c>
      <c r="Y184" s="261" t="s">
        <v>884</v>
      </c>
      <c r="Z184" s="281">
        <v>3.3587</v>
      </c>
      <c r="AA184" s="282">
        <f t="shared" si="42"/>
        <v>846.3924</v>
      </c>
      <c r="AB184" s="251" t="s">
        <v>885</v>
      </c>
      <c r="AC184" s="252" t="s">
        <v>62</v>
      </c>
      <c r="AD184" s="251" t="s">
        <v>56</v>
      </c>
      <c r="AE184" s="298">
        <f t="shared" si="41"/>
        <v>252</v>
      </c>
      <c r="AF184" s="251">
        <f t="shared" ref="AF184:AF201" si="43">AE184-I184</f>
        <v>0</v>
      </c>
      <c r="AG184" s="266"/>
      <c r="AH184" s="266"/>
      <c r="AI184" s="253" t="s">
        <v>57</v>
      </c>
      <c r="AJ184" s="251">
        <v>0</v>
      </c>
      <c r="AK184" s="253" t="s">
        <v>73</v>
      </c>
      <c r="AL184" s="251">
        <v>0</v>
      </c>
      <c r="AM184" s="251"/>
      <c r="AN184" s="251">
        <f t="shared" si="32"/>
        <v>252</v>
      </c>
      <c r="AO184" s="290">
        <f t="shared" si="33"/>
        <v>252</v>
      </c>
      <c r="AP184" s="290" t="b">
        <f t="shared" si="34"/>
        <v>0</v>
      </c>
      <c r="AQ184" s="290">
        <f t="shared" si="35"/>
        <v>252</v>
      </c>
      <c r="AR184" s="293"/>
      <c r="AS184" s="266"/>
    </row>
    <row r="185" s="215" customFormat="1" ht="39" customHeight="1" spans="1:45">
      <c r="A185" s="254">
        <v>45749</v>
      </c>
      <c r="B185" s="249" t="s">
        <v>886</v>
      </c>
      <c r="C185" s="265" t="s">
        <v>887</v>
      </c>
      <c r="D185" s="256">
        <v>4500161573</v>
      </c>
      <c r="E185" s="257">
        <v>4100411993</v>
      </c>
      <c r="F185" s="267" t="s">
        <v>888</v>
      </c>
      <c r="G185" s="253" t="s">
        <v>62</v>
      </c>
      <c r="H185" s="253" t="s">
        <v>63</v>
      </c>
      <c r="I185" s="251">
        <v>60</v>
      </c>
      <c r="J185" s="251">
        <v>0</v>
      </c>
      <c r="K185" s="251">
        <v>6</v>
      </c>
      <c r="L185" s="251">
        <f t="shared" si="39"/>
        <v>10</v>
      </c>
      <c r="M185" s="274">
        <v>45803</v>
      </c>
      <c r="N185" s="274">
        <v>45799</v>
      </c>
      <c r="O185" s="274"/>
      <c r="P185" s="274" t="s">
        <v>49</v>
      </c>
      <c r="Q185" s="274"/>
      <c r="R185" s="274" t="s">
        <v>871</v>
      </c>
      <c r="S185" s="277" t="s">
        <v>50</v>
      </c>
      <c r="T185" s="277">
        <v>45770</v>
      </c>
      <c r="U185" s="277" t="s">
        <v>50</v>
      </c>
      <c r="V185" s="274"/>
      <c r="W185" s="274"/>
      <c r="X185" s="278" t="s">
        <v>889</v>
      </c>
      <c r="Y185" s="261" t="s">
        <v>836</v>
      </c>
      <c r="Z185" s="281">
        <v>3.3587</v>
      </c>
      <c r="AA185" s="282">
        <f t="shared" si="42"/>
        <v>201.522</v>
      </c>
      <c r="AB185" s="251" t="s">
        <v>890</v>
      </c>
      <c r="AC185" s="252" t="s">
        <v>71</v>
      </c>
      <c r="AD185" s="251" t="s">
        <v>56</v>
      </c>
      <c r="AE185" s="298">
        <f t="shared" si="41"/>
        <v>60</v>
      </c>
      <c r="AF185" s="251">
        <f t="shared" si="43"/>
        <v>0</v>
      </c>
      <c r="AG185" s="266"/>
      <c r="AH185" s="266"/>
      <c r="AI185" s="253" t="s">
        <v>72</v>
      </c>
      <c r="AJ185" s="251">
        <v>2</v>
      </c>
      <c r="AK185" s="253" t="s">
        <v>73</v>
      </c>
      <c r="AL185" s="251">
        <v>0</v>
      </c>
      <c r="AM185" s="251"/>
      <c r="AN185" s="251">
        <f t="shared" si="32"/>
        <v>60</v>
      </c>
      <c r="AO185" s="290">
        <f t="shared" si="33"/>
        <v>0</v>
      </c>
      <c r="AP185" s="290">
        <f t="shared" si="34"/>
        <v>60</v>
      </c>
      <c r="AQ185" s="290">
        <f t="shared" si="35"/>
        <v>60</v>
      </c>
      <c r="AR185" s="293"/>
      <c r="AS185" s="266"/>
    </row>
    <row r="186" s="215" customFormat="1" ht="39" customHeight="1" spans="1:45">
      <c r="A186" s="254">
        <v>45756</v>
      </c>
      <c r="B186" s="249" t="s">
        <v>552</v>
      </c>
      <c r="C186" s="265" t="s">
        <v>553</v>
      </c>
      <c r="D186" s="256">
        <v>4500162969</v>
      </c>
      <c r="E186" s="257">
        <v>20768285</v>
      </c>
      <c r="F186" s="256" t="s">
        <v>891</v>
      </c>
      <c r="G186" s="253" t="s">
        <v>62</v>
      </c>
      <c r="H186" s="253" t="s">
        <v>63</v>
      </c>
      <c r="I186" s="251">
        <v>144</v>
      </c>
      <c r="J186" s="251">
        <v>0</v>
      </c>
      <c r="K186" s="251">
        <v>6</v>
      </c>
      <c r="L186" s="251">
        <f t="shared" si="39"/>
        <v>24</v>
      </c>
      <c r="M186" s="274">
        <v>45803</v>
      </c>
      <c r="N186" s="274">
        <v>45799</v>
      </c>
      <c r="O186" s="274"/>
      <c r="P186" s="274" t="s">
        <v>49</v>
      </c>
      <c r="Q186" s="274"/>
      <c r="R186" s="274" t="s">
        <v>871</v>
      </c>
      <c r="S186" s="277">
        <v>45783</v>
      </c>
      <c r="T186" s="277">
        <v>45769</v>
      </c>
      <c r="U186" s="277">
        <v>45783</v>
      </c>
      <c r="V186" s="274"/>
      <c r="W186" s="274"/>
      <c r="X186" s="278" t="s">
        <v>892</v>
      </c>
      <c r="Y186" s="261" t="s">
        <v>556</v>
      </c>
      <c r="Z186" s="281">
        <v>3.9973</v>
      </c>
      <c r="AA186" s="282">
        <f t="shared" si="42"/>
        <v>575.6112</v>
      </c>
      <c r="AB186" s="251" t="s">
        <v>893</v>
      </c>
      <c r="AC186" s="252" t="s">
        <v>62</v>
      </c>
      <c r="AD186" s="251" t="s">
        <v>56</v>
      </c>
      <c r="AE186" s="298">
        <f t="shared" si="41"/>
        <v>144</v>
      </c>
      <c r="AF186" s="251">
        <f t="shared" si="43"/>
        <v>0</v>
      </c>
      <c r="AG186" s="266"/>
      <c r="AH186" s="266"/>
      <c r="AI186" s="253" t="s">
        <v>57</v>
      </c>
      <c r="AJ186" s="251">
        <v>0</v>
      </c>
      <c r="AK186" s="253" t="s">
        <v>73</v>
      </c>
      <c r="AL186" s="251">
        <v>0</v>
      </c>
      <c r="AM186" s="251"/>
      <c r="AN186" s="251">
        <f t="shared" si="32"/>
        <v>144</v>
      </c>
      <c r="AO186" s="290">
        <f t="shared" si="33"/>
        <v>144</v>
      </c>
      <c r="AP186" s="290" t="b">
        <f t="shared" si="34"/>
        <v>0</v>
      </c>
      <c r="AQ186" s="290">
        <f t="shared" si="35"/>
        <v>144</v>
      </c>
      <c r="AR186" s="293"/>
      <c r="AS186" s="266"/>
    </row>
    <row r="187" s="215" customFormat="1" ht="39" customHeight="1" spans="1:45">
      <c r="A187" s="254">
        <v>45756</v>
      </c>
      <c r="B187" s="249" t="s">
        <v>655</v>
      </c>
      <c r="C187" s="265" t="s">
        <v>182</v>
      </c>
      <c r="D187" s="256">
        <v>4500162968</v>
      </c>
      <c r="E187" s="257">
        <v>20768284</v>
      </c>
      <c r="F187" s="256" t="s">
        <v>894</v>
      </c>
      <c r="G187" s="253" t="s">
        <v>62</v>
      </c>
      <c r="H187" s="253" t="s">
        <v>63</v>
      </c>
      <c r="I187" s="251">
        <v>1356</v>
      </c>
      <c r="J187" s="251">
        <v>0</v>
      </c>
      <c r="K187" s="251">
        <v>6</v>
      </c>
      <c r="L187" s="251">
        <f t="shared" si="39"/>
        <v>226</v>
      </c>
      <c r="M187" s="274">
        <v>45803</v>
      </c>
      <c r="N187" s="274">
        <v>45799</v>
      </c>
      <c r="O187" s="274"/>
      <c r="P187" s="274" t="s">
        <v>49</v>
      </c>
      <c r="Q187" s="274"/>
      <c r="R187" s="274" t="s">
        <v>871</v>
      </c>
      <c r="S187" s="277">
        <v>45783</v>
      </c>
      <c r="T187" s="277">
        <v>45769</v>
      </c>
      <c r="U187" s="277">
        <v>45783</v>
      </c>
      <c r="V187" s="274"/>
      <c r="W187" s="274"/>
      <c r="X187" s="278" t="s">
        <v>895</v>
      </c>
      <c r="Y187" s="261" t="s">
        <v>556</v>
      </c>
      <c r="Z187" s="281">
        <v>3.9714</v>
      </c>
      <c r="AA187" s="282">
        <f t="shared" si="42"/>
        <v>5385.2184</v>
      </c>
      <c r="AB187" s="251" t="s">
        <v>896</v>
      </c>
      <c r="AC187" s="252" t="s">
        <v>62</v>
      </c>
      <c r="AD187" s="251" t="s">
        <v>56</v>
      </c>
      <c r="AE187" s="298">
        <f t="shared" si="41"/>
        <v>1356</v>
      </c>
      <c r="AF187" s="251">
        <f t="shared" si="43"/>
        <v>0</v>
      </c>
      <c r="AG187" s="266"/>
      <c r="AH187" s="266"/>
      <c r="AI187" s="253" t="s">
        <v>57</v>
      </c>
      <c r="AJ187" s="251">
        <v>0</v>
      </c>
      <c r="AK187" s="253" t="s">
        <v>73</v>
      </c>
      <c r="AL187" s="251">
        <v>0</v>
      </c>
      <c r="AM187" s="251"/>
      <c r="AN187" s="251">
        <f t="shared" si="32"/>
        <v>1356</v>
      </c>
      <c r="AO187" s="290">
        <f t="shared" si="33"/>
        <v>1356</v>
      </c>
      <c r="AP187" s="290" t="b">
        <f t="shared" si="34"/>
        <v>0</v>
      </c>
      <c r="AQ187" s="290">
        <f t="shared" si="35"/>
        <v>1356</v>
      </c>
      <c r="AR187" s="293"/>
      <c r="AS187" s="266"/>
    </row>
    <row r="188" s="215" customFormat="1" ht="39" customHeight="1" spans="1:45">
      <c r="A188" s="254">
        <v>45756</v>
      </c>
      <c r="B188" s="249" t="s">
        <v>897</v>
      </c>
      <c r="C188" s="265" t="s">
        <v>898</v>
      </c>
      <c r="D188" s="256">
        <v>4500163069</v>
      </c>
      <c r="E188" s="257"/>
      <c r="F188" s="267" t="s">
        <v>899</v>
      </c>
      <c r="G188" s="253" t="s">
        <v>62</v>
      </c>
      <c r="H188" s="253" t="s">
        <v>63</v>
      </c>
      <c r="I188" s="251">
        <v>204</v>
      </c>
      <c r="J188" s="251">
        <v>0</v>
      </c>
      <c r="K188" s="251">
        <v>6</v>
      </c>
      <c r="L188" s="251">
        <f t="shared" si="39"/>
        <v>34</v>
      </c>
      <c r="M188" s="274">
        <v>45807</v>
      </c>
      <c r="N188" s="274">
        <v>45803</v>
      </c>
      <c r="O188" s="274"/>
      <c r="P188" s="274" t="s">
        <v>49</v>
      </c>
      <c r="Q188" s="274"/>
      <c r="R188" s="274" t="s">
        <v>871</v>
      </c>
      <c r="S188" s="277" t="s">
        <v>50</v>
      </c>
      <c r="T188" s="277">
        <v>45756</v>
      </c>
      <c r="U188" s="277" t="s">
        <v>50</v>
      </c>
      <c r="V188" s="274"/>
      <c r="W188" s="274"/>
      <c r="X188" s="278" t="s">
        <v>900</v>
      </c>
      <c r="Y188" s="261" t="s">
        <v>454</v>
      </c>
      <c r="Z188" s="281">
        <v>3.5632</v>
      </c>
      <c r="AA188" s="282">
        <f t="shared" si="42"/>
        <v>726.8928</v>
      </c>
      <c r="AB188" s="251" t="s">
        <v>901</v>
      </c>
      <c r="AC188" s="252" t="s">
        <v>62</v>
      </c>
      <c r="AD188" s="251" t="s">
        <v>56</v>
      </c>
      <c r="AE188" s="298">
        <f t="shared" si="41"/>
        <v>204</v>
      </c>
      <c r="AF188" s="251">
        <f t="shared" si="43"/>
        <v>0</v>
      </c>
      <c r="AG188" s="266"/>
      <c r="AH188" s="266"/>
      <c r="AI188" s="253" t="s">
        <v>57</v>
      </c>
      <c r="AJ188" s="251">
        <v>0</v>
      </c>
      <c r="AK188" s="253" t="s">
        <v>73</v>
      </c>
      <c r="AL188" s="251">
        <v>0</v>
      </c>
      <c r="AM188" s="251"/>
      <c r="AN188" s="251">
        <f t="shared" si="32"/>
        <v>204</v>
      </c>
      <c r="AO188" s="290">
        <f t="shared" si="33"/>
        <v>204</v>
      </c>
      <c r="AP188" s="290" t="b">
        <f t="shared" si="34"/>
        <v>0</v>
      </c>
      <c r="AQ188" s="290">
        <f t="shared" si="35"/>
        <v>204</v>
      </c>
      <c r="AR188" s="293"/>
      <c r="AS188" s="266"/>
    </row>
    <row r="189" s="215" customFormat="1" ht="39" customHeight="1" spans="1:45">
      <c r="A189" s="254">
        <v>45771</v>
      </c>
      <c r="B189" s="249" t="s">
        <v>565</v>
      </c>
      <c r="C189" s="265" t="s">
        <v>214</v>
      </c>
      <c r="D189" s="256">
        <v>4500164539</v>
      </c>
      <c r="E189" s="257">
        <v>253898</v>
      </c>
      <c r="F189" s="267" t="s">
        <v>902</v>
      </c>
      <c r="G189" s="253" t="s">
        <v>62</v>
      </c>
      <c r="H189" s="253" t="s">
        <v>63</v>
      </c>
      <c r="I189" s="251">
        <v>1002</v>
      </c>
      <c r="J189" s="251">
        <v>0</v>
      </c>
      <c r="K189" s="251">
        <v>6</v>
      </c>
      <c r="L189" s="251">
        <f t="shared" si="39"/>
        <v>167</v>
      </c>
      <c r="M189" s="274">
        <v>45807</v>
      </c>
      <c r="N189" s="274">
        <v>45803</v>
      </c>
      <c r="O189" s="274"/>
      <c r="P189" s="274" t="s">
        <v>49</v>
      </c>
      <c r="Q189" s="274"/>
      <c r="R189" s="274" t="s">
        <v>871</v>
      </c>
      <c r="S189" s="277" t="s">
        <v>50</v>
      </c>
      <c r="T189" s="277">
        <v>45776</v>
      </c>
      <c r="U189" s="277">
        <v>45776</v>
      </c>
      <c r="V189" s="274"/>
      <c r="W189" s="274"/>
      <c r="X189" s="278" t="s">
        <v>903</v>
      </c>
      <c r="Y189" s="261" t="s">
        <v>904</v>
      </c>
      <c r="Z189" s="281">
        <v>3.5373</v>
      </c>
      <c r="AA189" s="282">
        <f t="shared" si="42"/>
        <v>3544.3746</v>
      </c>
      <c r="AB189" s="251" t="s">
        <v>905</v>
      </c>
      <c r="AC189" s="252" t="s">
        <v>62</v>
      </c>
      <c r="AD189" s="251" t="s">
        <v>56</v>
      </c>
      <c r="AE189" s="298">
        <f t="shared" si="41"/>
        <v>1002</v>
      </c>
      <c r="AF189" s="251">
        <f t="shared" si="43"/>
        <v>0</v>
      </c>
      <c r="AG189" s="266"/>
      <c r="AH189" s="266"/>
      <c r="AI189" s="253" t="s">
        <v>57</v>
      </c>
      <c r="AJ189" s="251">
        <v>0</v>
      </c>
      <c r="AK189" s="253" t="s">
        <v>73</v>
      </c>
      <c r="AL189" s="251">
        <v>0</v>
      </c>
      <c r="AM189" s="251"/>
      <c r="AN189" s="251">
        <f t="shared" si="32"/>
        <v>1002</v>
      </c>
      <c r="AO189" s="290">
        <f t="shared" si="33"/>
        <v>1002</v>
      </c>
      <c r="AP189" s="290" t="b">
        <f t="shared" si="34"/>
        <v>0</v>
      </c>
      <c r="AQ189" s="290">
        <f t="shared" si="35"/>
        <v>1002</v>
      </c>
      <c r="AR189" s="293"/>
      <c r="AS189" s="266"/>
    </row>
    <row r="190" s="215" customFormat="1" ht="39" customHeight="1" spans="1:45">
      <c r="A190" s="254">
        <v>45765</v>
      </c>
      <c r="B190" s="249" t="s">
        <v>441</v>
      </c>
      <c r="C190" s="265" t="s">
        <v>442</v>
      </c>
      <c r="D190" s="256">
        <v>4500164228</v>
      </c>
      <c r="E190" s="257" t="s">
        <v>906</v>
      </c>
      <c r="F190" s="267" t="s">
        <v>907</v>
      </c>
      <c r="G190" s="253" t="s">
        <v>62</v>
      </c>
      <c r="H190" s="253" t="s">
        <v>63</v>
      </c>
      <c r="I190" s="251">
        <v>3504</v>
      </c>
      <c r="J190" s="251">
        <v>0</v>
      </c>
      <c r="K190" s="251">
        <v>6</v>
      </c>
      <c r="L190" s="251">
        <f t="shared" si="39"/>
        <v>584</v>
      </c>
      <c r="M190" s="274">
        <v>45810</v>
      </c>
      <c r="N190" s="274">
        <f>M190-4</f>
        <v>45806</v>
      </c>
      <c r="O190" s="274"/>
      <c r="P190" s="274" t="s">
        <v>49</v>
      </c>
      <c r="Q190" s="274"/>
      <c r="R190" s="274" t="s">
        <v>871</v>
      </c>
      <c r="S190" s="277" t="s">
        <v>50</v>
      </c>
      <c r="T190" s="277" t="s">
        <v>50</v>
      </c>
      <c r="U190" s="277" t="s">
        <v>908</v>
      </c>
      <c r="V190" s="274"/>
      <c r="W190" s="274"/>
      <c r="X190" s="278" t="s">
        <v>909</v>
      </c>
      <c r="Y190" s="261" t="s">
        <v>197</v>
      </c>
      <c r="Z190" s="281">
        <v>3.3019</v>
      </c>
      <c r="AA190" s="282">
        <f t="shared" si="42"/>
        <v>11569.8576</v>
      </c>
      <c r="AB190" s="251" t="s">
        <v>910</v>
      </c>
      <c r="AC190" s="252" t="s">
        <v>62</v>
      </c>
      <c r="AD190" s="251" t="s">
        <v>56</v>
      </c>
      <c r="AE190" s="298">
        <f t="shared" si="41"/>
        <v>3504</v>
      </c>
      <c r="AF190" s="251">
        <f t="shared" si="43"/>
        <v>0</v>
      </c>
      <c r="AG190" s="266"/>
      <c r="AH190" s="266"/>
      <c r="AI190" s="253" t="s">
        <v>57</v>
      </c>
      <c r="AJ190" s="251">
        <v>0</v>
      </c>
      <c r="AK190" s="253" t="s">
        <v>73</v>
      </c>
      <c r="AL190" s="251">
        <v>0</v>
      </c>
      <c r="AM190" s="251"/>
      <c r="AN190" s="251">
        <f t="shared" si="32"/>
        <v>3504</v>
      </c>
      <c r="AO190" s="290">
        <f t="shared" si="33"/>
        <v>3504</v>
      </c>
      <c r="AP190" s="290" t="b">
        <f t="shared" si="34"/>
        <v>0</v>
      </c>
      <c r="AQ190" s="290">
        <f t="shared" si="35"/>
        <v>3504</v>
      </c>
      <c r="AR190" s="293"/>
      <c r="AS190" s="266"/>
    </row>
    <row r="191" s="215" customFormat="1" ht="39" customHeight="1" spans="1:45">
      <c r="A191" s="254">
        <v>45765</v>
      </c>
      <c r="B191" s="249" t="s">
        <v>103</v>
      </c>
      <c r="C191" s="265" t="s">
        <v>214</v>
      </c>
      <c r="D191" s="256">
        <v>4500164250</v>
      </c>
      <c r="E191" s="257" t="s">
        <v>911</v>
      </c>
      <c r="F191" s="267" t="s">
        <v>912</v>
      </c>
      <c r="G191" s="253" t="s">
        <v>62</v>
      </c>
      <c r="H191" s="253" t="s">
        <v>63</v>
      </c>
      <c r="I191" s="251">
        <v>834</v>
      </c>
      <c r="J191" s="251">
        <v>0</v>
      </c>
      <c r="K191" s="251">
        <v>6</v>
      </c>
      <c r="L191" s="251">
        <f t="shared" si="39"/>
        <v>139</v>
      </c>
      <c r="M191" s="274">
        <v>45813</v>
      </c>
      <c r="N191" s="274">
        <v>45810</v>
      </c>
      <c r="O191" s="274"/>
      <c r="P191" s="274" t="s">
        <v>49</v>
      </c>
      <c r="Q191" s="274"/>
      <c r="R191" s="274" t="s">
        <v>871</v>
      </c>
      <c r="S191" s="277" t="s">
        <v>50</v>
      </c>
      <c r="T191" s="277" t="s">
        <v>375</v>
      </c>
      <c r="U191" s="277">
        <v>45771</v>
      </c>
      <c r="V191" s="274"/>
      <c r="W191" s="274"/>
      <c r="X191" s="278" t="s">
        <v>913</v>
      </c>
      <c r="Y191" s="261" t="s">
        <v>252</v>
      </c>
      <c r="Z191" s="281">
        <v>3.5505</v>
      </c>
      <c r="AA191" s="282">
        <f t="shared" si="42"/>
        <v>2961.117</v>
      </c>
      <c r="AB191" s="251" t="s">
        <v>914</v>
      </c>
      <c r="AC191" s="252" t="s">
        <v>71</v>
      </c>
      <c r="AD191" s="251" t="s">
        <v>56</v>
      </c>
      <c r="AE191" s="298">
        <f t="shared" si="41"/>
        <v>834</v>
      </c>
      <c r="AF191" s="251">
        <f t="shared" si="43"/>
        <v>0</v>
      </c>
      <c r="AG191" s="266"/>
      <c r="AH191" s="266"/>
      <c r="AI191" s="253" t="s">
        <v>72</v>
      </c>
      <c r="AJ191" s="251">
        <v>2</v>
      </c>
      <c r="AK191" s="253" t="s">
        <v>73</v>
      </c>
      <c r="AL191" s="251">
        <v>0</v>
      </c>
      <c r="AM191" s="251"/>
      <c r="AN191" s="251">
        <f t="shared" si="32"/>
        <v>834</v>
      </c>
      <c r="AO191" s="290">
        <f t="shared" si="33"/>
        <v>0</v>
      </c>
      <c r="AP191" s="290">
        <f t="shared" si="34"/>
        <v>834</v>
      </c>
      <c r="AQ191" s="290">
        <f t="shared" si="35"/>
        <v>834</v>
      </c>
      <c r="AR191" s="293"/>
      <c r="AS191" s="266"/>
    </row>
    <row r="192" s="215" customFormat="1" ht="39" customHeight="1" spans="1:45">
      <c r="A192" s="254">
        <v>45768</v>
      </c>
      <c r="B192" s="249" t="s">
        <v>846</v>
      </c>
      <c r="C192" s="265" t="s">
        <v>138</v>
      </c>
      <c r="D192" s="256">
        <v>4500164179</v>
      </c>
      <c r="E192" s="257">
        <v>3501527845</v>
      </c>
      <c r="F192" s="267" t="s">
        <v>915</v>
      </c>
      <c r="G192" s="253" t="s">
        <v>62</v>
      </c>
      <c r="H192" s="253" t="s">
        <v>63</v>
      </c>
      <c r="I192" s="251">
        <v>804</v>
      </c>
      <c r="J192" s="251">
        <v>0</v>
      </c>
      <c r="K192" s="251">
        <v>6</v>
      </c>
      <c r="L192" s="251">
        <f t="shared" si="39"/>
        <v>134</v>
      </c>
      <c r="M192" s="274">
        <v>45817</v>
      </c>
      <c r="N192" s="274">
        <v>45813</v>
      </c>
      <c r="O192" s="274" t="s">
        <v>916</v>
      </c>
      <c r="P192" s="274" t="s">
        <v>49</v>
      </c>
      <c r="Q192" s="274"/>
      <c r="R192" s="274" t="s">
        <v>871</v>
      </c>
      <c r="S192" s="277" t="s">
        <v>50</v>
      </c>
      <c r="T192" s="277">
        <v>45784</v>
      </c>
      <c r="U192" s="277">
        <v>45784</v>
      </c>
      <c r="V192" s="274"/>
      <c r="W192" s="274"/>
      <c r="X192" s="278" t="s">
        <v>917</v>
      </c>
      <c r="Y192" s="261" t="s">
        <v>850</v>
      </c>
      <c r="Z192" s="281">
        <v>3.346</v>
      </c>
      <c r="AA192" s="282">
        <f t="shared" si="42"/>
        <v>2690.184</v>
      </c>
      <c r="AB192" s="251" t="s">
        <v>918</v>
      </c>
      <c r="AC192" s="252" t="s">
        <v>71</v>
      </c>
      <c r="AD192" s="251" t="s">
        <v>56</v>
      </c>
      <c r="AE192" s="298">
        <f t="shared" ref="AE192:AE221" si="44">I192</f>
        <v>804</v>
      </c>
      <c r="AF192" s="251">
        <f t="shared" si="43"/>
        <v>0</v>
      </c>
      <c r="AG192" s="266"/>
      <c r="AH192" s="266"/>
      <c r="AI192" s="253" t="s">
        <v>72</v>
      </c>
      <c r="AJ192" s="251">
        <v>2</v>
      </c>
      <c r="AK192" s="253" t="s">
        <v>73</v>
      </c>
      <c r="AL192" s="251">
        <v>0</v>
      </c>
      <c r="AM192" s="251"/>
      <c r="AN192" s="251">
        <f t="shared" si="32"/>
        <v>804</v>
      </c>
      <c r="AO192" s="290">
        <f t="shared" si="33"/>
        <v>0</v>
      </c>
      <c r="AP192" s="290">
        <f t="shared" si="34"/>
        <v>804</v>
      </c>
      <c r="AQ192" s="290">
        <f t="shared" si="35"/>
        <v>804</v>
      </c>
      <c r="AR192" s="293"/>
      <c r="AS192" s="266"/>
    </row>
    <row r="193" s="215" customFormat="1" ht="39" customHeight="1" spans="1:45">
      <c r="A193" s="254">
        <v>45774</v>
      </c>
      <c r="B193" s="249" t="s">
        <v>919</v>
      </c>
      <c r="C193" s="265" t="s">
        <v>424</v>
      </c>
      <c r="D193" s="256">
        <v>4500164596</v>
      </c>
      <c r="E193" s="257"/>
      <c r="F193" s="267" t="s">
        <v>920</v>
      </c>
      <c r="G193" s="253" t="s">
        <v>62</v>
      </c>
      <c r="H193" s="253" t="s">
        <v>63</v>
      </c>
      <c r="I193" s="251">
        <v>156</v>
      </c>
      <c r="J193" s="251">
        <v>0</v>
      </c>
      <c r="K193" s="251">
        <v>6</v>
      </c>
      <c r="L193" s="251">
        <f t="shared" si="39"/>
        <v>26</v>
      </c>
      <c r="M193" s="274">
        <v>45817</v>
      </c>
      <c r="N193" s="274">
        <v>45813</v>
      </c>
      <c r="O193" s="274"/>
      <c r="P193" s="274" t="s">
        <v>49</v>
      </c>
      <c r="Q193" s="274"/>
      <c r="R193" s="274" t="s">
        <v>871</v>
      </c>
      <c r="S193" s="277" t="s">
        <v>50</v>
      </c>
      <c r="T193" s="277">
        <v>45774</v>
      </c>
      <c r="U193" s="277" t="s">
        <v>50</v>
      </c>
      <c r="V193" s="274"/>
      <c r="W193" s="274"/>
      <c r="X193" s="278" t="s">
        <v>921</v>
      </c>
      <c r="Y193" s="261" t="s">
        <v>884</v>
      </c>
      <c r="Z193" s="281">
        <v>3.5632</v>
      </c>
      <c r="AA193" s="282">
        <f t="shared" si="42"/>
        <v>555.8592</v>
      </c>
      <c r="AB193" s="251" t="s">
        <v>922</v>
      </c>
      <c r="AC193" s="252" t="s">
        <v>62</v>
      </c>
      <c r="AD193" s="251" t="s">
        <v>56</v>
      </c>
      <c r="AE193" s="298">
        <f t="shared" si="44"/>
        <v>156</v>
      </c>
      <c r="AF193" s="251">
        <f t="shared" si="43"/>
        <v>0</v>
      </c>
      <c r="AG193" s="266"/>
      <c r="AH193" s="266"/>
      <c r="AI193" s="253" t="s">
        <v>57</v>
      </c>
      <c r="AJ193" s="251">
        <v>0</v>
      </c>
      <c r="AK193" s="253" t="s">
        <v>73</v>
      </c>
      <c r="AL193" s="251">
        <v>0</v>
      </c>
      <c r="AM193" s="251"/>
      <c r="AN193" s="251">
        <f t="shared" si="32"/>
        <v>156</v>
      </c>
      <c r="AO193" s="290">
        <f t="shared" si="33"/>
        <v>156</v>
      </c>
      <c r="AP193" s="290" t="b">
        <f t="shared" si="34"/>
        <v>0</v>
      </c>
      <c r="AQ193" s="290">
        <f t="shared" si="35"/>
        <v>156</v>
      </c>
      <c r="AR193" s="293"/>
      <c r="AS193" s="266"/>
    </row>
    <row r="194" s="215" customFormat="1" ht="39" customHeight="1" spans="1:45">
      <c r="A194" s="254">
        <v>45774</v>
      </c>
      <c r="B194" s="249" t="s">
        <v>923</v>
      </c>
      <c r="C194" s="265" t="s">
        <v>887</v>
      </c>
      <c r="D194" s="256">
        <v>4500160378</v>
      </c>
      <c r="E194" s="257">
        <v>164147</v>
      </c>
      <c r="F194" s="256" t="s">
        <v>924</v>
      </c>
      <c r="G194" s="253" t="s">
        <v>62</v>
      </c>
      <c r="H194" s="253" t="s">
        <v>63</v>
      </c>
      <c r="I194" s="251">
        <v>600</v>
      </c>
      <c r="J194" s="251">
        <v>0</v>
      </c>
      <c r="K194" s="251">
        <v>6</v>
      </c>
      <c r="L194" s="251">
        <f t="shared" si="39"/>
        <v>100</v>
      </c>
      <c r="M194" s="274">
        <v>45818</v>
      </c>
      <c r="N194" s="274">
        <v>45814</v>
      </c>
      <c r="O194" s="274"/>
      <c r="P194" s="274" t="s">
        <v>49</v>
      </c>
      <c r="Q194" s="274"/>
      <c r="R194" s="274" t="s">
        <v>871</v>
      </c>
      <c r="S194" s="277" t="s">
        <v>50</v>
      </c>
      <c r="T194" s="277">
        <v>45785</v>
      </c>
      <c r="U194" s="277">
        <v>45791</v>
      </c>
      <c r="V194" s="274" t="s">
        <v>925</v>
      </c>
      <c r="W194" s="274"/>
      <c r="X194" s="278" t="s">
        <v>926</v>
      </c>
      <c r="Y194" s="261" t="s">
        <v>223</v>
      </c>
      <c r="Z194" s="281">
        <v>3.5505</v>
      </c>
      <c r="AA194" s="282">
        <f t="shared" si="42"/>
        <v>2130.3</v>
      </c>
      <c r="AB194" s="251" t="s">
        <v>927</v>
      </c>
      <c r="AC194" s="252" t="s">
        <v>858</v>
      </c>
      <c r="AD194" s="251" t="s">
        <v>56</v>
      </c>
      <c r="AE194" s="298">
        <f t="shared" si="44"/>
        <v>600</v>
      </c>
      <c r="AF194" s="251">
        <f t="shared" si="43"/>
        <v>0</v>
      </c>
      <c r="AG194" s="266"/>
      <c r="AH194" s="266"/>
      <c r="AI194" s="253" t="s">
        <v>72</v>
      </c>
      <c r="AJ194" s="251">
        <v>2</v>
      </c>
      <c r="AK194" s="253" t="s">
        <v>925</v>
      </c>
      <c r="AL194" s="251">
        <v>1</v>
      </c>
      <c r="AM194" s="251"/>
      <c r="AN194" s="251">
        <f t="shared" ref="AN194:AN257" si="45">I194</f>
        <v>600</v>
      </c>
      <c r="AO194" s="290">
        <f t="shared" ref="AO194:AO257" si="46">IF($AJ194=0,$AN194,IF($AJ194&gt;0,0))</f>
        <v>0</v>
      </c>
      <c r="AP194" s="290">
        <f t="shared" ref="AP194:AP257" si="47">IF($AJ194=2,$AN194,IF($AJ194&gt;0,0))</f>
        <v>600</v>
      </c>
      <c r="AQ194" s="290">
        <f t="shared" ref="AQ194:AQ257" si="48">IF($AL194=0,$AN194,IF($AL194&gt;0,0))</f>
        <v>0</v>
      </c>
      <c r="AR194" s="293"/>
      <c r="AS194" s="266"/>
    </row>
    <row r="195" s="215" customFormat="1" ht="39" hidden="1" customHeight="1" spans="1:45">
      <c r="A195" s="254">
        <v>45776</v>
      </c>
      <c r="B195" s="249" t="s">
        <v>838</v>
      </c>
      <c r="C195" s="265" t="s">
        <v>44</v>
      </c>
      <c r="D195" s="256">
        <v>4500165281</v>
      </c>
      <c r="E195" s="257" t="s">
        <v>928</v>
      </c>
      <c r="F195" s="256" t="s">
        <v>929</v>
      </c>
      <c r="G195" s="253" t="s">
        <v>46</v>
      </c>
      <c r="H195" s="253" t="s">
        <v>47</v>
      </c>
      <c r="I195" s="251">
        <v>1470</v>
      </c>
      <c r="J195" s="251">
        <v>0</v>
      </c>
      <c r="K195" s="251">
        <v>98</v>
      </c>
      <c r="L195" s="251">
        <f t="shared" si="39"/>
        <v>15</v>
      </c>
      <c r="M195" s="274">
        <v>45818</v>
      </c>
      <c r="N195" s="274">
        <v>45814</v>
      </c>
      <c r="O195" s="274" t="s">
        <v>930</v>
      </c>
      <c r="P195" s="274" t="s">
        <v>49</v>
      </c>
      <c r="Q195" s="274"/>
      <c r="R195" s="274" t="s">
        <v>871</v>
      </c>
      <c r="S195" s="277" t="s">
        <v>50</v>
      </c>
      <c r="T195" s="277" t="s">
        <v>931</v>
      </c>
      <c r="U195" s="277" t="s">
        <v>932</v>
      </c>
      <c r="V195" s="274"/>
      <c r="W195" s="274"/>
      <c r="X195" s="278" t="s">
        <v>53</v>
      </c>
      <c r="Y195" s="261" t="s">
        <v>844</v>
      </c>
      <c r="Z195" s="281">
        <v>216.4927</v>
      </c>
      <c r="AA195" s="282">
        <f>Z195*L195</f>
        <v>3247.3905</v>
      </c>
      <c r="AB195" s="251" t="s">
        <v>933</v>
      </c>
      <c r="AC195" s="252" t="s">
        <v>46</v>
      </c>
      <c r="AD195" s="251" t="s">
        <v>56</v>
      </c>
      <c r="AE195" s="298">
        <f t="shared" si="44"/>
        <v>1470</v>
      </c>
      <c r="AF195" s="251">
        <f t="shared" si="43"/>
        <v>0</v>
      </c>
      <c r="AG195" s="266"/>
      <c r="AH195" s="266"/>
      <c r="AI195" s="253" t="s">
        <v>57</v>
      </c>
      <c r="AJ195" s="251">
        <v>0</v>
      </c>
      <c r="AK195" s="253" t="s">
        <v>73</v>
      </c>
      <c r="AL195" s="251">
        <v>0</v>
      </c>
      <c r="AM195" s="251"/>
      <c r="AN195" s="251">
        <f t="shared" si="45"/>
        <v>1470</v>
      </c>
      <c r="AO195" s="290">
        <f t="shared" si="46"/>
        <v>1470</v>
      </c>
      <c r="AP195" s="290" t="b">
        <f t="shared" si="47"/>
        <v>0</v>
      </c>
      <c r="AQ195" s="290">
        <f t="shared" si="48"/>
        <v>1470</v>
      </c>
      <c r="AR195" s="293"/>
      <c r="AS195" s="266"/>
    </row>
    <row r="196" s="215" customFormat="1" ht="39" customHeight="1" spans="1:45">
      <c r="A196" s="254">
        <v>45786</v>
      </c>
      <c r="B196" s="249" t="s">
        <v>574</v>
      </c>
      <c r="C196" s="265" t="s">
        <v>575</v>
      </c>
      <c r="D196" s="256">
        <v>4500165878</v>
      </c>
      <c r="E196" s="257" t="s">
        <v>934</v>
      </c>
      <c r="F196" s="256" t="s">
        <v>935</v>
      </c>
      <c r="G196" s="253" t="s">
        <v>62</v>
      </c>
      <c r="H196" s="253" t="s">
        <v>63</v>
      </c>
      <c r="I196" s="251">
        <v>504</v>
      </c>
      <c r="J196" s="251">
        <v>0</v>
      </c>
      <c r="K196" s="251">
        <v>6</v>
      </c>
      <c r="L196" s="251">
        <f t="shared" si="39"/>
        <v>84</v>
      </c>
      <c r="M196" s="274">
        <v>45818</v>
      </c>
      <c r="N196" s="274">
        <v>45814</v>
      </c>
      <c r="O196" s="274"/>
      <c r="P196" s="274" t="s">
        <v>49</v>
      </c>
      <c r="Q196" s="274"/>
      <c r="R196" s="274" t="s">
        <v>56</v>
      </c>
      <c r="S196" s="277" t="s">
        <v>50</v>
      </c>
      <c r="T196" s="277">
        <v>45786</v>
      </c>
      <c r="U196" s="277">
        <v>45786</v>
      </c>
      <c r="V196" s="274"/>
      <c r="W196" s="274"/>
      <c r="X196" s="278" t="s">
        <v>936</v>
      </c>
      <c r="Y196" s="261" t="s">
        <v>580</v>
      </c>
      <c r="Z196" s="281">
        <v>3.5505</v>
      </c>
      <c r="AA196" s="282">
        <f t="shared" ref="AA196:AA202" si="49">I196*Z196</f>
        <v>1789.452</v>
      </c>
      <c r="AB196" s="251" t="s">
        <v>937</v>
      </c>
      <c r="AC196" s="252" t="s">
        <v>62</v>
      </c>
      <c r="AD196" s="251" t="s">
        <v>56</v>
      </c>
      <c r="AE196" s="298">
        <f t="shared" si="44"/>
        <v>504</v>
      </c>
      <c r="AF196" s="251">
        <f t="shared" si="43"/>
        <v>0</v>
      </c>
      <c r="AG196" s="266"/>
      <c r="AH196" s="266"/>
      <c r="AI196" s="253" t="s">
        <v>57</v>
      </c>
      <c r="AJ196" s="251">
        <v>0</v>
      </c>
      <c r="AK196" s="253" t="s">
        <v>73</v>
      </c>
      <c r="AL196" s="251">
        <v>0</v>
      </c>
      <c r="AM196" s="251"/>
      <c r="AN196" s="251">
        <f t="shared" si="45"/>
        <v>504</v>
      </c>
      <c r="AO196" s="290">
        <f t="shared" si="46"/>
        <v>504</v>
      </c>
      <c r="AP196" s="290" t="b">
        <f t="shared" si="47"/>
        <v>0</v>
      </c>
      <c r="AQ196" s="290">
        <f t="shared" si="48"/>
        <v>504</v>
      </c>
      <c r="AR196" s="293"/>
      <c r="AS196" s="266"/>
    </row>
    <row r="197" s="215" customFormat="1" ht="39" customHeight="1" spans="1:45">
      <c r="A197" s="254">
        <v>45797</v>
      </c>
      <c r="B197" s="249" t="s">
        <v>74</v>
      </c>
      <c r="C197" s="265" t="s">
        <v>44</v>
      </c>
      <c r="D197" s="256">
        <v>4500167008</v>
      </c>
      <c r="E197" s="257" t="s">
        <v>938</v>
      </c>
      <c r="F197" s="256" t="s">
        <v>939</v>
      </c>
      <c r="G197" s="253" t="s">
        <v>62</v>
      </c>
      <c r="H197" s="253" t="s">
        <v>63</v>
      </c>
      <c r="I197" s="251">
        <v>1176</v>
      </c>
      <c r="J197" s="251">
        <v>0</v>
      </c>
      <c r="K197" s="251">
        <v>6</v>
      </c>
      <c r="L197" s="251">
        <f t="shared" si="39"/>
        <v>196</v>
      </c>
      <c r="M197" s="274">
        <v>45821</v>
      </c>
      <c r="N197" s="274">
        <v>45817</v>
      </c>
      <c r="O197" s="274"/>
      <c r="P197" s="274" t="s">
        <v>49</v>
      </c>
      <c r="Q197" s="274"/>
      <c r="R197" s="274" t="s">
        <v>871</v>
      </c>
      <c r="S197" s="277" t="s">
        <v>77</v>
      </c>
      <c r="T197" s="277">
        <v>45797</v>
      </c>
      <c r="U197" s="277">
        <v>45806</v>
      </c>
      <c r="V197" s="274"/>
      <c r="W197" s="274"/>
      <c r="X197" s="278" t="s">
        <v>940</v>
      </c>
      <c r="Y197" s="261" t="s">
        <v>116</v>
      </c>
      <c r="Z197" s="281">
        <v>1.9997</v>
      </c>
      <c r="AA197" s="282">
        <f t="shared" si="49"/>
        <v>2351.6472</v>
      </c>
      <c r="AB197" s="251" t="s">
        <v>941</v>
      </c>
      <c r="AC197" s="252" t="s">
        <v>62</v>
      </c>
      <c r="AD197" s="251" t="s">
        <v>56</v>
      </c>
      <c r="AE197" s="298">
        <f t="shared" si="44"/>
        <v>1176</v>
      </c>
      <c r="AF197" s="251">
        <f t="shared" si="43"/>
        <v>0</v>
      </c>
      <c r="AG197" s="266"/>
      <c r="AH197" s="266"/>
      <c r="AI197" s="253" t="s">
        <v>57</v>
      </c>
      <c r="AJ197" s="251">
        <v>0</v>
      </c>
      <c r="AK197" s="253" t="s">
        <v>73</v>
      </c>
      <c r="AL197" s="251">
        <v>0</v>
      </c>
      <c r="AM197" s="251"/>
      <c r="AN197" s="251">
        <f t="shared" si="45"/>
        <v>1176</v>
      </c>
      <c r="AO197" s="290">
        <f t="shared" si="46"/>
        <v>1176</v>
      </c>
      <c r="AP197" s="290" t="b">
        <f t="shared" si="47"/>
        <v>0</v>
      </c>
      <c r="AQ197" s="290">
        <f t="shared" si="48"/>
        <v>1176</v>
      </c>
      <c r="AR197" s="293"/>
      <c r="AS197" s="266"/>
    </row>
    <row r="198" s="215" customFormat="1" ht="39" customHeight="1" spans="1:45">
      <c r="A198" s="254">
        <v>45761</v>
      </c>
      <c r="B198" s="249" t="s">
        <v>942</v>
      </c>
      <c r="C198" s="265" t="s">
        <v>66</v>
      </c>
      <c r="D198" s="256">
        <v>4500163490</v>
      </c>
      <c r="E198" s="257"/>
      <c r="F198" s="267" t="s">
        <v>943</v>
      </c>
      <c r="G198" s="253" t="s">
        <v>62</v>
      </c>
      <c r="H198" s="253" t="s">
        <v>63</v>
      </c>
      <c r="I198" s="251">
        <v>252</v>
      </c>
      <c r="J198" s="251">
        <v>0</v>
      </c>
      <c r="K198" s="251">
        <v>6</v>
      </c>
      <c r="L198" s="251">
        <f t="shared" si="39"/>
        <v>42</v>
      </c>
      <c r="M198" s="274">
        <v>45826</v>
      </c>
      <c r="N198" s="274">
        <v>45822</v>
      </c>
      <c r="O198" s="274"/>
      <c r="P198" s="274" t="s">
        <v>49</v>
      </c>
      <c r="Q198" s="274"/>
      <c r="R198" s="274" t="s">
        <v>871</v>
      </c>
      <c r="S198" s="277" t="s">
        <v>50</v>
      </c>
      <c r="T198" s="277">
        <v>45771</v>
      </c>
      <c r="U198" s="277">
        <v>45803</v>
      </c>
      <c r="V198" s="274"/>
      <c r="W198" s="274"/>
      <c r="X198" s="278" t="s">
        <v>944</v>
      </c>
      <c r="Y198" s="261" t="s">
        <v>945</v>
      </c>
      <c r="Z198" s="281">
        <v>3.3587</v>
      </c>
      <c r="AA198" s="282">
        <f t="shared" si="49"/>
        <v>846.3924</v>
      </c>
      <c r="AB198" s="251" t="s">
        <v>946</v>
      </c>
      <c r="AC198" s="252" t="s">
        <v>71</v>
      </c>
      <c r="AD198" s="251" t="s">
        <v>56</v>
      </c>
      <c r="AE198" s="298">
        <f t="shared" si="44"/>
        <v>252</v>
      </c>
      <c r="AF198" s="251">
        <f t="shared" ref="AF198:AF261" si="50">AE198-I198</f>
        <v>0</v>
      </c>
      <c r="AG198" s="266"/>
      <c r="AH198" s="266"/>
      <c r="AI198" s="253" t="s">
        <v>72</v>
      </c>
      <c r="AJ198" s="251">
        <v>2</v>
      </c>
      <c r="AK198" s="253" t="s">
        <v>73</v>
      </c>
      <c r="AL198" s="251">
        <v>0</v>
      </c>
      <c r="AM198" s="251"/>
      <c r="AN198" s="251">
        <f t="shared" si="45"/>
        <v>252</v>
      </c>
      <c r="AO198" s="290">
        <f t="shared" si="46"/>
        <v>0</v>
      </c>
      <c r="AP198" s="290">
        <f t="shared" si="47"/>
        <v>252</v>
      </c>
      <c r="AQ198" s="290">
        <f t="shared" si="48"/>
        <v>252</v>
      </c>
      <c r="AR198" s="293"/>
      <c r="AS198" s="266"/>
    </row>
    <row r="199" s="215" customFormat="1" ht="39" customHeight="1" spans="1:45">
      <c r="A199" s="254">
        <v>45789</v>
      </c>
      <c r="B199" s="249" t="s">
        <v>947</v>
      </c>
      <c r="C199" s="265" t="s">
        <v>214</v>
      </c>
      <c r="D199" s="256">
        <v>4500166127</v>
      </c>
      <c r="E199" s="257" t="s">
        <v>948</v>
      </c>
      <c r="F199" s="256" t="s">
        <v>949</v>
      </c>
      <c r="G199" s="253" t="s">
        <v>62</v>
      </c>
      <c r="H199" s="253" t="s">
        <v>63</v>
      </c>
      <c r="I199" s="251">
        <v>504</v>
      </c>
      <c r="J199" s="251">
        <v>0</v>
      </c>
      <c r="K199" s="251">
        <v>6</v>
      </c>
      <c r="L199" s="251">
        <f t="shared" si="39"/>
        <v>84</v>
      </c>
      <c r="M199" s="274">
        <v>45826</v>
      </c>
      <c r="N199" s="274">
        <v>45822</v>
      </c>
      <c r="O199" s="274"/>
      <c r="P199" s="274" t="s">
        <v>49</v>
      </c>
      <c r="Q199" s="274"/>
      <c r="R199" s="274" t="s">
        <v>871</v>
      </c>
      <c r="S199" s="277" t="s">
        <v>50</v>
      </c>
      <c r="T199" s="277">
        <v>45797</v>
      </c>
      <c r="U199" s="277" t="s">
        <v>950</v>
      </c>
      <c r="V199" s="274"/>
      <c r="W199" s="274"/>
      <c r="X199" s="278" t="s">
        <v>951</v>
      </c>
      <c r="Y199" s="261" t="s">
        <v>952</v>
      </c>
      <c r="Z199" s="281">
        <v>3.5505</v>
      </c>
      <c r="AA199" s="282">
        <f t="shared" si="49"/>
        <v>1789.452</v>
      </c>
      <c r="AB199" s="251" t="s">
        <v>953</v>
      </c>
      <c r="AC199" s="252" t="s">
        <v>62</v>
      </c>
      <c r="AD199" s="251" t="s">
        <v>56</v>
      </c>
      <c r="AE199" s="298">
        <f t="shared" si="44"/>
        <v>504</v>
      </c>
      <c r="AF199" s="251">
        <f t="shared" si="50"/>
        <v>0</v>
      </c>
      <c r="AG199" s="266"/>
      <c r="AH199" s="266"/>
      <c r="AI199" s="253" t="s">
        <v>57</v>
      </c>
      <c r="AJ199" s="251">
        <v>0</v>
      </c>
      <c r="AK199" s="253" t="s">
        <v>73</v>
      </c>
      <c r="AL199" s="251">
        <v>0</v>
      </c>
      <c r="AM199" s="251"/>
      <c r="AN199" s="251">
        <f t="shared" si="45"/>
        <v>504</v>
      </c>
      <c r="AO199" s="290">
        <f t="shared" si="46"/>
        <v>504</v>
      </c>
      <c r="AP199" s="290" t="b">
        <f t="shared" si="47"/>
        <v>0</v>
      </c>
      <c r="AQ199" s="290">
        <f t="shared" si="48"/>
        <v>504</v>
      </c>
      <c r="AR199" s="293"/>
      <c r="AS199" s="266"/>
    </row>
    <row r="200" s="215" customFormat="1" ht="39" customHeight="1" spans="1:45">
      <c r="A200" s="254">
        <v>45749</v>
      </c>
      <c r="B200" s="249" t="s">
        <v>954</v>
      </c>
      <c r="C200" s="265" t="s">
        <v>119</v>
      </c>
      <c r="D200" s="256">
        <v>4500162245</v>
      </c>
      <c r="E200" s="257">
        <v>1042701</v>
      </c>
      <c r="F200" s="256" t="s">
        <v>955</v>
      </c>
      <c r="G200" s="253" t="s">
        <v>62</v>
      </c>
      <c r="H200" s="253" t="s">
        <v>63</v>
      </c>
      <c r="I200" s="251">
        <v>564</v>
      </c>
      <c r="J200" s="251">
        <v>0</v>
      </c>
      <c r="K200" s="251">
        <v>6</v>
      </c>
      <c r="L200" s="251">
        <f t="shared" si="39"/>
        <v>94</v>
      </c>
      <c r="M200" s="274">
        <v>45824</v>
      </c>
      <c r="N200" s="274">
        <v>45820</v>
      </c>
      <c r="O200" s="274">
        <v>45824</v>
      </c>
      <c r="P200" s="274" t="s">
        <v>49</v>
      </c>
      <c r="Q200" s="274"/>
      <c r="R200" s="274" t="s">
        <v>56</v>
      </c>
      <c r="S200" s="277" t="s">
        <v>50</v>
      </c>
      <c r="T200" s="277">
        <v>45757</v>
      </c>
      <c r="U200" s="277">
        <v>45749</v>
      </c>
      <c r="V200" s="274" t="s">
        <v>136</v>
      </c>
      <c r="W200" s="274"/>
      <c r="X200" s="278" t="s">
        <v>956</v>
      </c>
      <c r="Y200" s="261" t="s">
        <v>211</v>
      </c>
      <c r="Z200" s="281">
        <v>3.346</v>
      </c>
      <c r="AA200" s="282">
        <f t="shared" si="49"/>
        <v>1887.144</v>
      </c>
      <c r="AB200" s="251" t="s">
        <v>957</v>
      </c>
      <c r="AC200" s="252" t="s">
        <v>958</v>
      </c>
      <c r="AD200" s="266" t="s">
        <v>56</v>
      </c>
      <c r="AE200" s="303">
        <f t="shared" si="44"/>
        <v>564</v>
      </c>
      <c r="AF200" s="251">
        <f t="shared" si="50"/>
        <v>0</v>
      </c>
      <c r="AG200" s="266"/>
      <c r="AI200" s="253" t="s">
        <v>72</v>
      </c>
      <c r="AJ200" s="251">
        <v>2</v>
      </c>
      <c r="AK200" s="253" t="s">
        <v>136</v>
      </c>
      <c r="AL200" s="251">
        <v>1</v>
      </c>
      <c r="AM200" s="251"/>
      <c r="AN200" s="251">
        <f t="shared" si="45"/>
        <v>564</v>
      </c>
      <c r="AO200" s="290">
        <f t="shared" si="46"/>
        <v>0</v>
      </c>
      <c r="AP200" s="290">
        <f t="shared" si="47"/>
        <v>564</v>
      </c>
      <c r="AQ200" s="290">
        <f t="shared" si="48"/>
        <v>0</v>
      </c>
      <c r="AR200" s="293"/>
      <c r="AS200" s="266"/>
    </row>
    <row r="201" s="215" customFormat="1" ht="39" customHeight="1" spans="1:45">
      <c r="A201" s="254">
        <v>45749</v>
      </c>
      <c r="B201" s="249" t="s">
        <v>954</v>
      </c>
      <c r="C201" s="265" t="s">
        <v>119</v>
      </c>
      <c r="D201" s="256">
        <v>4500162245</v>
      </c>
      <c r="E201" s="257">
        <v>1042701</v>
      </c>
      <c r="F201" s="256" t="s">
        <v>959</v>
      </c>
      <c r="G201" s="253" t="s">
        <v>62</v>
      </c>
      <c r="H201" s="253" t="s">
        <v>63</v>
      </c>
      <c r="I201" s="251">
        <v>114</v>
      </c>
      <c r="J201" s="251">
        <v>0</v>
      </c>
      <c r="K201" s="251">
        <v>6</v>
      </c>
      <c r="L201" s="251">
        <f t="shared" si="39"/>
        <v>19</v>
      </c>
      <c r="M201" s="274">
        <v>45824</v>
      </c>
      <c r="N201" s="274">
        <v>45820</v>
      </c>
      <c r="O201" s="301" t="s">
        <v>960</v>
      </c>
      <c r="P201" s="274" t="s">
        <v>49</v>
      </c>
      <c r="Q201" s="274"/>
      <c r="R201" s="274" t="s">
        <v>56</v>
      </c>
      <c r="S201" s="277" t="s">
        <v>50</v>
      </c>
      <c r="T201" s="277">
        <v>45757</v>
      </c>
      <c r="U201" s="277">
        <v>45749</v>
      </c>
      <c r="V201" s="274" t="s">
        <v>136</v>
      </c>
      <c r="W201" s="274"/>
      <c r="X201" s="278" t="s">
        <v>956</v>
      </c>
      <c r="Y201" s="261" t="s">
        <v>211</v>
      </c>
      <c r="Z201" s="281">
        <v>3.346</v>
      </c>
      <c r="AA201" s="282">
        <f t="shared" si="49"/>
        <v>381.444</v>
      </c>
      <c r="AB201" s="251" t="s">
        <v>957</v>
      </c>
      <c r="AC201" s="252" t="s">
        <v>958</v>
      </c>
      <c r="AD201" s="266" t="s">
        <v>56</v>
      </c>
      <c r="AE201" s="303">
        <f t="shared" si="44"/>
        <v>114</v>
      </c>
      <c r="AF201" s="251">
        <f t="shared" si="50"/>
        <v>0</v>
      </c>
      <c r="AG201" s="266"/>
      <c r="AI201" s="253" t="s">
        <v>72</v>
      </c>
      <c r="AJ201" s="251">
        <v>2</v>
      </c>
      <c r="AK201" s="253" t="s">
        <v>136</v>
      </c>
      <c r="AL201" s="251">
        <v>1</v>
      </c>
      <c r="AM201" s="251"/>
      <c r="AN201" s="251">
        <f t="shared" si="45"/>
        <v>114</v>
      </c>
      <c r="AO201" s="290">
        <f t="shared" si="46"/>
        <v>0</v>
      </c>
      <c r="AP201" s="290">
        <f t="shared" si="47"/>
        <v>114</v>
      </c>
      <c r="AQ201" s="290">
        <f t="shared" si="48"/>
        <v>0</v>
      </c>
      <c r="AR201" s="293"/>
      <c r="AS201" s="266"/>
    </row>
    <row r="202" s="215" customFormat="1" ht="39" customHeight="1" spans="1:45">
      <c r="A202" s="254">
        <v>45791</v>
      </c>
      <c r="B202" s="249" t="s">
        <v>961</v>
      </c>
      <c r="C202" s="265" t="s">
        <v>104</v>
      </c>
      <c r="D202" s="256">
        <v>4500166352</v>
      </c>
      <c r="E202" s="257">
        <v>247116</v>
      </c>
      <c r="F202" s="256" t="s">
        <v>962</v>
      </c>
      <c r="G202" s="253" t="s">
        <v>62</v>
      </c>
      <c r="H202" s="253" t="s">
        <v>63</v>
      </c>
      <c r="I202" s="251">
        <v>960</v>
      </c>
      <c r="J202" s="251">
        <v>0</v>
      </c>
      <c r="K202" s="251">
        <v>6</v>
      </c>
      <c r="L202" s="251">
        <f t="shared" si="39"/>
        <v>160</v>
      </c>
      <c r="M202" s="274">
        <v>45826</v>
      </c>
      <c r="N202" s="274">
        <v>45822</v>
      </c>
      <c r="O202" s="274"/>
      <c r="P202" s="274" t="s">
        <v>49</v>
      </c>
      <c r="Q202" s="274"/>
      <c r="R202" s="274" t="s">
        <v>871</v>
      </c>
      <c r="S202" s="277" t="s">
        <v>50</v>
      </c>
      <c r="T202" s="277">
        <v>45798</v>
      </c>
      <c r="U202" s="277" t="s">
        <v>963</v>
      </c>
      <c r="V202" s="274"/>
      <c r="W202" s="274"/>
      <c r="X202" s="278" t="s">
        <v>964</v>
      </c>
      <c r="Y202" s="261" t="s">
        <v>965</v>
      </c>
      <c r="Z202" s="281">
        <v>3.5505</v>
      </c>
      <c r="AA202" s="282">
        <f t="shared" si="49"/>
        <v>3408.48</v>
      </c>
      <c r="AB202" s="251" t="s">
        <v>966</v>
      </c>
      <c r="AC202" s="252" t="s">
        <v>71</v>
      </c>
      <c r="AD202" s="251" t="s">
        <v>56</v>
      </c>
      <c r="AE202" s="303">
        <f t="shared" si="44"/>
        <v>960</v>
      </c>
      <c r="AF202" s="251">
        <f t="shared" si="50"/>
        <v>0</v>
      </c>
      <c r="AG202" s="266"/>
      <c r="AH202" s="266"/>
      <c r="AI202" s="253" t="s">
        <v>72</v>
      </c>
      <c r="AJ202" s="251">
        <v>2</v>
      </c>
      <c r="AK202" s="253" t="s">
        <v>73</v>
      </c>
      <c r="AL202" s="251">
        <v>0</v>
      </c>
      <c r="AM202" s="251"/>
      <c r="AN202" s="251">
        <f t="shared" si="45"/>
        <v>960</v>
      </c>
      <c r="AO202" s="290">
        <f t="shared" si="46"/>
        <v>0</v>
      </c>
      <c r="AP202" s="290">
        <f t="shared" si="47"/>
        <v>960</v>
      </c>
      <c r="AQ202" s="290">
        <f t="shared" si="48"/>
        <v>960</v>
      </c>
      <c r="AR202" s="293"/>
      <c r="AS202" s="266"/>
    </row>
    <row r="203" s="215" customFormat="1" ht="39" hidden="1" customHeight="1" spans="1:45">
      <c r="A203" s="254">
        <v>45796</v>
      </c>
      <c r="B203" s="249" t="s">
        <v>838</v>
      </c>
      <c r="C203" s="265" t="s">
        <v>44</v>
      </c>
      <c r="D203" s="256">
        <v>4500166490</v>
      </c>
      <c r="E203" s="257" t="s">
        <v>967</v>
      </c>
      <c r="F203" s="256" t="s">
        <v>968</v>
      </c>
      <c r="G203" s="253" t="s">
        <v>46</v>
      </c>
      <c r="H203" s="253" t="s">
        <v>47</v>
      </c>
      <c r="I203" s="251">
        <v>686</v>
      </c>
      <c r="J203" s="251">
        <v>0</v>
      </c>
      <c r="K203" s="251">
        <v>98</v>
      </c>
      <c r="L203" s="251">
        <f t="shared" si="39"/>
        <v>7</v>
      </c>
      <c r="M203" s="274">
        <v>45827</v>
      </c>
      <c r="N203" s="274">
        <v>45824</v>
      </c>
      <c r="O203" s="274" t="s">
        <v>969</v>
      </c>
      <c r="P203" s="274" t="s">
        <v>49</v>
      </c>
      <c r="Q203" s="274"/>
      <c r="R203" s="274" t="s">
        <v>871</v>
      </c>
      <c r="S203" s="277" t="s">
        <v>50</v>
      </c>
      <c r="T203" s="277" t="s">
        <v>970</v>
      </c>
      <c r="U203" s="277" t="s">
        <v>971</v>
      </c>
      <c r="V203" s="274"/>
      <c r="W203" s="274"/>
      <c r="X203" s="278" t="s">
        <v>53</v>
      </c>
      <c r="Y203" s="261" t="s">
        <v>844</v>
      </c>
      <c r="Z203" s="281">
        <v>217.2686</v>
      </c>
      <c r="AA203" s="282">
        <f>Z203*L203</f>
        <v>1520.8802</v>
      </c>
      <c r="AB203" s="251" t="s">
        <v>972</v>
      </c>
      <c r="AC203" s="252" t="s">
        <v>46</v>
      </c>
      <c r="AD203" s="251" t="s">
        <v>56</v>
      </c>
      <c r="AE203" s="303">
        <f t="shared" si="44"/>
        <v>686</v>
      </c>
      <c r="AF203" s="251">
        <f t="shared" si="50"/>
        <v>0</v>
      </c>
      <c r="AG203" s="266"/>
      <c r="AH203" s="266"/>
      <c r="AI203" s="253" t="s">
        <v>57</v>
      </c>
      <c r="AJ203" s="251">
        <v>0</v>
      </c>
      <c r="AK203" s="253" t="s">
        <v>73</v>
      </c>
      <c r="AL203" s="251">
        <v>0</v>
      </c>
      <c r="AM203" s="251"/>
      <c r="AN203" s="251">
        <f t="shared" si="45"/>
        <v>686</v>
      </c>
      <c r="AO203" s="290">
        <f t="shared" si="46"/>
        <v>686</v>
      </c>
      <c r="AP203" s="290" t="b">
        <f t="shared" si="47"/>
        <v>0</v>
      </c>
      <c r="AQ203" s="290">
        <f t="shared" si="48"/>
        <v>686</v>
      </c>
      <c r="AR203" s="293"/>
      <c r="AS203" s="266"/>
    </row>
    <row r="204" s="215" customFormat="1" ht="39" customHeight="1" spans="1:45">
      <c r="A204" s="254">
        <v>45775</v>
      </c>
      <c r="B204" s="249" t="s">
        <v>118</v>
      </c>
      <c r="C204" s="265" t="s">
        <v>119</v>
      </c>
      <c r="D204" s="256">
        <v>4500165276</v>
      </c>
      <c r="E204" s="257" t="s">
        <v>973</v>
      </c>
      <c r="F204" s="256" t="s">
        <v>974</v>
      </c>
      <c r="G204" s="253" t="s">
        <v>62</v>
      </c>
      <c r="H204" s="253" t="s">
        <v>63</v>
      </c>
      <c r="I204" s="251">
        <v>768</v>
      </c>
      <c r="J204" s="251">
        <v>0</v>
      </c>
      <c r="K204" s="251">
        <v>6</v>
      </c>
      <c r="L204" s="251">
        <f t="shared" si="39"/>
        <v>128</v>
      </c>
      <c r="M204" s="274">
        <v>45828</v>
      </c>
      <c r="N204" s="274">
        <v>45824</v>
      </c>
      <c r="O204" s="274" t="s">
        <v>975</v>
      </c>
      <c r="P204" s="274" t="s">
        <v>49</v>
      </c>
      <c r="Q204" s="274"/>
      <c r="R204" s="274" t="s">
        <v>56</v>
      </c>
      <c r="S204" s="277" t="s">
        <v>50</v>
      </c>
      <c r="T204" s="277">
        <v>45775</v>
      </c>
      <c r="U204" s="277" t="s">
        <v>976</v>
      </c>
      <c r="V204" s="274"/>
      <c r="W204" s="274"/>
      <c r="X204" s="278" t="s">
        <v>977</v>
      </c>
      <c r="Y204" s="261" t="s">
        <v>978</v>
      </c>
      <c r="Z204" s="281">
        <v>3.55</v>
      </c>
      <c r="AA204" s="282">
        <f t="shared" ref="AA204:AA238" si="51">I204*Z204</f>
        <v>2726.4</v>
      </c>
      <c r="AB204" s="251" t="s">
        <v>979</v>
      </c>
      <c r="AC204" s="252" t="s">
        <v>71</v>
      </c>
      <c r="AD204" s="251" t="s">
        <v>56</v>
      </c>
      <c r="AE204" s="303">
        <f t="shared" si="44"/>
        <v>768</v>
      </c>
      <c r="AF204" s="251">
        <f t="shared" si="50"/>
        <v>0</v>
      </c>
      <c r="AG204" s="266"/>
      <c r="AH204" s="266"/>
      <c r="AI204" s="253" t="s">
        <v>72</v>
      </c>
      <c r="AJ204" s="251">
        <v>2</v>
      </c>
      <c r="AK204" s="253" t="s">
        <v>73</v>
      </c>
      <c r="AL204" s="251">
        <v>0</v>
      </c>
      <c r="AM204" s="251"/>
      <c r="AN204" s="251">
        <f t="shared" si="45"/>
        <v>768</v>
      </c>
      <c r="AO204" s="290">
        <f t="shared" si="46"/>
        <v>0</v>
      </c>
      <c r="AP204" s="290">
        <f t="shared" si="47"/>
        <v>768</v>
      </c>
      <c r="AQ204" s="290">
        <f t="shared" si="48"/>
        <v>768</v>
      </c>
      <c r="AR204" s="293"/>
      <c r="AS204" s="266"/>
    </row>
    <row r="205" s="215" customFormat="1" ht="39" customHeight="1" spans="1:45">
      <c r="A205" s="254">
        <v>45786</v>
      </c>
      <c r="B205" s="249" t="s">
        <v>980</v>
      </c>
      <c r="C205" s="265" t="s">
        <v>182</v>
      </c>
      <c r="D205" s="256">
        <v>4500165860</v>
      </c>
      <c r="E205" s="257">
        <v>20825695</v>
      </c>
      <c r="F205" s="267" t="s">
        <v>981</v>
      </c>
      <c r="G205" s="253" t="s">
        <v>62</v>
      </c>
      <c r="H205" s="253" t="s">
        <v>63</v>
      </c>
      <c r="I205" s="251">
        <v>1410</v>
      </c>
      <c r="J205" s="251">
        <v>0</v>
      </c>
      <c r="K205" s="251">
        <v>6</v>
      </c>
      <c r="L205" s="251">
        <f t="shared" si="39"/>
        <v>235</v>
      </c>
      <c r="M205" s="274">
        <v>45831</v>
      </c>
      <c r="N205" s="274">
        <v>45827</v>
      </c>
      <c r="O205" s="274"/>
      <c r="P205" s="274" t="s">
        <v>49</v>
      </c>
      <c r="Q205" s="274"/>
      <c r="R205" s="274" t="s">
        <v>871</v>
      </c>
      <c r="S205" s="277" t="s">
        <v>77</v>
      </c>
      <c r="T205" s="277">
        <v>45800</v>
      </c>
      <c r="U205" s="277">
        <v>45811</v>
      </c>
      <c r="V205" s="274"/>
      <c r="W205" s="274"/>
      <c r="X205" s="278" t="s">
        <v>982</v>
      </c>
      <c r="Y205" s="261" t="s">
        <v>983</v>
      </c>
      <c r="Z205" s="281">
        <v>3.9714</v>
      </c>
      <c r="AA205" s="282">
        <f t="shared" si="51"/>
        <v>5599.674</v>
      </c>
      <c r="AB205" s="251" t="s">
        <v>984</v>
      </c>
      <c r="AC205" s="252" t="s">
        <v>62</v>
      </c>
      <c r="AD205" s="251" t="s">
        <v>56</v>
      </c>
      <c r="AE205" s="303">
        <f t="shared" si="44"/>
        <v>1410</v>
      </c>
      <c r="AF205" s="251">
        <f t="shared" si="50"/>
        <v>0</v>
      </c>
      <c r="AG205" s="266"/>
      <c r="AH205" s="266"/>
      <c r="AI205" s="253" t="s">
        <v>57</v>
      </c>
      <c r="AJ205" s="251">
        <v>0</v>
      </c>
      <c r="AK205" s="253" t="s">
        <v>73</v>
      </c>
      <c r="AL205" s="251">
        <v>0</v>
      </c>
      <c r="AM205" s="251"/>
      <c r="AN205" s="251">
        <f t="shared" si="45"/>
        <v>1410</v>
      </c>
      <c r="AO205" s="290">
        <f t="shared" si="46"/>
        <v>1410</v>
      </c>
      <c r="AP205" s="290" t="b">
        <f t="shared" si="47"/>
        <v>0</v>
      </c>
      <c r="AQ205" s="290">
        <f t="shared" si="48"/>
        <v>1410</v>
      </c>
      <c r="AR205" s="293"/>
      <c r="AS205" s="266"/>
    </row>
    <row r="206" s="215" customFormat="1" ht="39" customHeight="1" spans="1:45">
      <c r="A206" s="254">
        <v>45786</v>
      </c>
      <c r="B206" s="249" t="s">
        <v>985</v>
      </c>
      <c r="C206" s="265" t="s">
        <v>553</v>
      </c>
      <c r="D206" s="256">
        <v>4500165861</v>
      </c>
      <c r="E206" s="257">
        <v>20825696</v>
      </c>
      <c r="F206" s="267" t="s">
        <v>986</v>
      </c>
      <c r="G206" s="253" t="s">
        <v>62</v>
      </c>
      <c r="H206" s="253" t="s">
        <v>63</v>
      </c>
      <c r="I206" s="251">
        <v>90</v>
      </c>
      <c r="J206" s="251">
        <v>0</v>
      </c>
      <c r="K206" s="251">
        <v>6</v>
      </c>
      <c r="L206" s="251">
        <f t="shared" si="39"/>
        <v>15</v>
      </c>
      <c r="M206" s="274">
        <v>45831</v>
      </c>
      <c r="N206" s="274">
        <v>45827</v>
      </c>
      <c r="O206" s="274"/>
      <c r="P206" s="274" t="s">
        <v>49</v>
      </c>
      <c r="Q206" s="274"/>
      <c r="R206" s="274" t="s">
        <v>871</v>
      </c>
      <c r="S206" s="277" t="s">
        <v>77</v>
      </c>
      <c r="T206" s="277">
        <v>45800</v>
      </c>
      <c r="U206" s="277">
        <v>45811</v>
      </c>
      <c r="V206" s="274"/>
      <c r="W206" s="274"/>
      <c r="X206" s="278" t="s">
        <v>987</v>
      </c>
      <c r="Y206" s="261" t="s">
        <v>983</v>
      </c>
      <c r="Z206" s="281">
        <v>3.9973</v>
      </c>
      <c r="AA206" s="282">
        <f t="shared" si="51"/>
        <v>359.757</v>
      </c>
      <c r="AB206" s="251" t="s">
        <v>988</v>
      </c>
      <c r="AC206" s="252" t="s">
        <v>62</v>
      </c>
      <c r="AD206" s="251" t="s">
        <v>56</v>
      </c>
      <c r="AE206" s="303">
        <f t="shared" si="44"/>
        <v>90</v>
      </c>
      <c r="AF206" s="251">
        <f t="shared" si="50"/>
        <v>0</v>
      </c>
      <c r="AG206" s="266"/>
      <c r="AH206" s="266"/>
      <c r="AI206" s="253" t="s">
        <v>57</v>
      </c>
      <c r="AJ206" s="251">
        <v>0</v>
      </c>
      <c r="AK206" s="253" t="s">
        <v>73</v>
      </c>
      <c r="AL206" s="251">
        <v>0</v>
      </c>
      <c r="AM206" s="251"/>
      <c r="AN206" s="251">
        <f t="shared" si="45"/>
        <v>90</v>
      </c>
      <c r="AO206" s="290">
        <f t="shared" si="46"/>
        <v>90</v>
      </c>
      <c r="AP206" s="290" t="b">
        <f t="shared" si="47"/>
        <v>0</v>
      </c>
      <c r="AQ206" s="290">
        <f t="shared" si="48"/>
        <v>90</v>
      </c>
      <c r="AR206" s="293"/>
      <c r="AS206" s="266"/>
    </row>
    <row r="207" s="215" customFormat="1" ht="39" customHeight="1" spans="1:45">
      <c r="A207" s="254">
        <v>45747</v>
      </c>
      <c r="B207" s="249" t="s">
        <v>989</v>
      </c>
      <c r="C207" s="265" t="s">
        <v>44</v>
      </c>
      <c r="D207" s="256">
        <v>4500161570</v>
      </c>
      <c r="E207" s="257" t="s">
        <v>990</v>
      </c>
      <c r="F207" s="267" t="s">
        <v>991</v>
      </c>
      <c r="G207" s="253" t="s">
        <v>62</v>
      </c>
      <c r="H207" s="253" t="s">
        <v>63</v>
      </c>
      <c r="I207" s="251">
        <v>180</v>
      </c>
      <c r="J207" s="251">
        <v>0</v>
      </c>
      <c r="K207" s="251">
        <v>6</v>
      </c>
      <c r="L207" s="251">
        <f t="shared" si="39"/>
        <v>30</v>
      </c>
      <c r="M207" s="274">
        <v>45833</v>
      </c>
      <c r="N207" s="274">
        <f>M207-4</f>
        <v>45829</v>
      </c>
      <c r="O207" s="274"/>
      <c r="P207" s="274" t="s">
        <v>49</v>
      </c>
      <c r="Q207" s="274"/>
      <c r="R207" s="274" t="s">
        <v>871</v>
      </c>
      <c r="S207" s="277" t="s">
        <v>50</v>
      </c>
      <c r="T207" s="277">
        <v>45800</v>
      </c>
      <c r="U207" s="277" t="s">
        <v>50</v>
      </c>
      <c r="V207" s="274"/>
      <c r="W207" s="274"/>
      <c r="X207" s="278" t="s">
        <v>992</v>
      </c>
      <c r="Y207" s="261" t="s">
        <v>87</v>
      </c>
      <c r="Z207" s="281">
        <v>3.5632</v>
      </c>
      <c r="AA207" s="282">
        <f t="shared" si="51"/>
        <v>641.376</v>
      </c>
      <c r="AB207" s="251" t="s">
        <v>993</v>
      </c>
      <c r="AC207" s="269" t="s">
        <v>62</v>
      </c>
      <c r="AD207" s="251" t="s">
        <v>56</v>
      </c>
      <c r="AE207" s="303">
        <f t="shared" si="44"/>
        <v>180</v>
      </c>
      <c r="AF207" s="251">
        <f t="shared" si="50"/>
        <v>0</v>
      </c>
      <c r="AG207" s="266"/>
      <c r="AH207" s="266"/>
      <c r="AI207" s="253" t="s">
        <v>57</v>
      </c>
      <c r="AJ207" s="251">
        <v>0</v>
      </c>
      <c r="AK207" s="253" t="s">
        <v>73</v>
      </c>
      <c r="AL207" s="251">
        <v>0</v>
      </c>
      <c r="AM207" s="251"/>
      <c r="AN207" s="251">
        <f t="shared" si="45"/>
        <v>180</v>
      </c>
      <c r="AO207" s="290">
        <f t="shared" si="46"/>
        <v>180</v>
      </c>
      <c r="AP207" s="290" t="b">
        <f t="shared" si="47"/>
        <v>0</v>
      </c>
      <c r="AQ207" s="290">
        <f t="shared" si="48"/>
        <v>180</v>
      </c>
      <c r="AR207" s="293"/>
      <c r="AS207" s="266"/>
    </row>
    <row r="208" s="215" customFormat="1" ht="39" customHeight="1" spans="1:45">
      <c r="A208" s="254">
        <v>45762</v>
      </c>
      <c r="B208" s="249" t="s">
        <v>994</v>
      </c>
      <c r="C208" s="265" t="s">
        <v>995</v>
      </c>
      <c r="D208" s="256">
        <v>4500163691</v>
      </c>
      <c r="E208" s="257" t="s">
        <v>996</v>
      </c>
      <c r="F208" s="267" t="s">
        <v>997</v>
      </c>
      <c r="G208" s="253" t="s">
        <v>62</v>
      </c>
      <c r="H208" s="253" t="s">
        <v>63</v>
      </c>
      <c r="I208" s="251">
        <v>1500</v>
      </c>
      <c r="J208" s="251">
        <v>0</v>
      </c>
      <c r="K208" s="251">
        <v>6</v>
      </c>
      <c r="L208" s="251">
        <f t="shared" si="39"/>
        <v>250</v>
      </c>
      <c r="M208" s="274">
        <v>45834</v>
      </c>
      <c r="N208" s="274">
        <v>45831</v>
      </c>
      <c r="O208" s="274"/>
      <c r="P208" s="274" t="s">
        <v>49</v>
      </c>
      <c r="Q208" s="274"/>
      <c r="R208" s="274" t="s">
        <v>871</v>
      </c>
      <c r="S208" s="277" t="s">
        <v>50</v>
      </c>
      <c r="T208" s="277">
        <v>45784</v>
      </c>
      <c r="U208" s="277">
        <v>45813</v>
      </c>
      <c r="V208" s="274"/>
      <c r="W208" s="274"/>
      <c r="X208" s="278" t="s">
        <v>998</v>
      </c>
      <c r="Y208" s="261" t="s">
        <v>205</v>
      </c>
      <c r="Z208" s="281">
        <v>3.5373</v>
      </c>
      <c r="AA208" s="282">
        <f t="shared" si="51"/>
        <v>5305.95</v>
      </c>
      <c r="AB208" s="251" t="s">
        <v>999</v>
      </c>
      <c r="AC208" s="252" t="s">
        <v>71</v>
      </c>
      <c r="AD208" s="251" t="s">
        <v>56</v>
      </c>
      <c r="AE208" s="303">
        <f t="shared" si="44"/>
        <v>1500</v>
      </c>
      <c r="AF208" s="251">
        <f t="shared" si="50"/>
        <v>0</v>
      </c>
      <c r="AG208" s="266"/>
      <c r="AH208" s="266"/>
      <c r="AI208" s="253" t="s">
        <v>72</v>
      </c>
      <c r="AJ208" s="251">
        <v>2</v>
      </c>
      <c r="AK208" s="253" t="s">
        <v>73</v>
      </c>
      <c r="AL208" s="251">
        <v>0</v>
      </c>
      <c r="AM208" s="251"/>
      <c r="AN208" s="251">
        <f t="shared" si="45"/>
        <v>1500</v>
      </c>
      <c r="AO208" s="290">
        <f t="shared" si="46"/>
        <v>0</v>
      </c>
      <c r="AP208" s="290">
        <f t="shared" si="47"/>
        <v>1500</v>
      </c>
      <c r="AQ208" s="290">
        <f t="shared" si="48"/>
        <v>1500</v>
      </c>
      <c r="AR208" s="293"/>
      <c r="AS208" s="266"/>
    </row>
    <row r="209" s="215" customFormat="1" ht="39" customHeight="1" spans="1:45">
      <c r="A209" s="254">
        <v>45748</v>
      </c>
      <c r="B209" s="249" t="s">
        <v>1000</v>
      </c>
      <c r="C209" s="265" t="s">
        <v>66</v>
      </c>
      <c r="D209" s="256">
        <v>4500161102</v>
      </c>
      <c r="E209" s="257">
        <v>865019</v>
      </c>
      <c r="F209" s="267" t="s">
        <v>1001</v>
      </c>
      <c r="G209" s="253" t="s">
        <v>62</v>
      </c>
      <c r="H209" s="253" t="s">
        <v>63</v>
      </c>
      <c r="I209" s="251">
        <v>1002</v>
      </c>
      <c r="J209" s="251">
        <v>0</v>
      </c>
      <c r="K209" s="251">
        <v>6</v>
      </c>
      <c r="L209" s="251">
        <f t="shared" si="39"/>
        <v>167</v>
      </c>
      <c r="M209" s="274">
        <v>45831</v>
      </c>
      <c r="N209" s="274">
        <v>45827</v>
      </c>
      <c r="O209" s="274" t="s">
        <v>1002</v>
      </c>
      <c r="P209" s="274" t="s">
        <v>49</v>
      </c>
      <c r="Q209" s="274"/>
      <c r="R209" s="274" t="s">
        <v>56</v>
      </c>
      <c r="S209" s="277" t="s">
        <v>50</v>
      </c>
      <c r="T209" s="277">
        <v>45756</v>
      </c>
      <c r="U209" s="277">
        <v>45757</v>
      </c>
      <c r="V209" s="274"/>
      <c r="W209" s="274" t="s">
        <v>1003</v>
      </c>
      <c r="X209" s="278" t="s">
        <v>1004</v>
      </c>
      <c r="Y209" s="261" t="s">
        <v>211</v>
      </c>
      <c r="Z209" s="281">
        <v>3.3328</v>
      </c>
      <c r="AA209" s="282">
        <f t="shared" si="51"/>
        <v>3339.4656</v>
      </c>
      <c r="AB209" s="251" t="s">
        <v>1005</v>
      </c>
      <c r="AC209" s="269" t="s">
        <v>71</v>
      </c>
      <c r="AD209" s="251" t="s">
        <v>56</v>
      </c>
      <c r="AE209" s="303">
        <f t="shared" si="44"/>
        <v>1002</v>
      </c>
      <c r="AF209" s="251">
        <f t="shared" si="50"/>
        <v>0</v>
      </c>
      <c r="AG209" s="266"/>
      <c r="AH209" s="266"/>
      <c r="AI209" s="253" t="s">
        <v>72</v>
      </c>
      <c r="AJ209" s="251">
        <v>2</v>
      </c>
      <c r="AK209" s="253" t="s">
        <v>73</v>
      </c>
      <c r="AL209" s="251">
        <v>0</v>
      </c>
      <c r="AM209" s="251"/>
      <c r="AN209" s="251">
        <f t="shared" si="45"/>
        <v>1002</v>
      </c>
      <c r="AO209" s="290">
        <f t="shared" si="46"/>
        <v>0</v>
      </c>
      <c r="AP209" s="290">
        <f t="shared" si="47"/>
        <v>1002</v>
      </c>
      <c r="AQ209" s="290">
        <f t="shared" si="48"/>
        <v>1002</v>
      </c>
      <c r="AR209" s="293"/>
      <c r="AS209" s="266"/>
    </row>
    <row r="210" s="215" customFormat="1" ht="39" customHeight="1" spans="1:45">
      <c r="A210" s="254">
        <v>45798</v>
      </c>
      <c r="B210" s="249" t="s">
        <v>137</v>
      </c>
      <c r="C210" s="265" t="s">
        <v>138</v>
      </c>
      <c r="D210" s="256">
        <v>4500167378</v>
      </c>
      <c r="E210" s="257" t="s">
        <v>1006</v>
      </c>
      <c r="F210" s="256" t="s">
        <v>1007</v>
      </c>
      <c r="G210" s="253" t="s">
        <v>62</v>
      </c>
      <c r="H210" s="253" t="s">
        <v>63</v>
      </c>
      <c r="I210" s="251">
        <v>12</v>
      </c>
      <c r="J210" s="251">
        <v>0</v>
      </c>
      <c r="K210" s="251">
        <v>6</v>
      </c>
      <c r="L210" s="251">
        <f t="shared" si="39"/>
        <v>2</v>
      </c>
      <c r="M210" s="274">
        <v>45834</v>
      </c>
      <c r="N210" s="274">
        <v>45831</v>
      </c>
      <c r="O210" s="274"/>
      <c r="P210" s="274" t="s">
        <v>49</v>
      </c>
      <c r="Q210" s="274"/>
      <c r="R210" s="274" t="s">
        <v>871</v>
      </c>
      <c r="S210" s="277" t="s">
        <v>77</v>
      </c>
      <c r="T210" s="277">
        <v>45798</v>
      </c>
      <c r="U210" s="277">
        <v>45817</v>
      </c>
      <c r="V210" s="274"/>
      <c r="W210" s="274"/>
      <c r="X210" s="278" t="s">
        <v>286</v>
      </c>
      <c r="Y210" s="261" t="s">
        <v>1008</v>
      </c>
      <c r="Z210" s="281">
        <v>3.5632</v>
      </c>
      <c r="AA210" s="282">
        <f t="shared" si="51"/>
        <v>42.7584</v>
      </c>
      <c r="AB210" s="251" t="s">
        <v>1009</v>
      </c>
      <c r="AC210" s="269" t="s">
        <v>71</v>
      </c>
      <c r="AD210" s="251" t="s">
        <v>56</v>
      </c>
      <c r="AE210" s="303">
        <f t="shared" si="44"/>
        <v>12</v>
      </c>
      <c r="AF210" s="251">
        <f t="shared" si="50"/>
        <v>0</v>
      </c>
      <c r="AG210" s="266"/>
      <c r="AH210" s="266"/>
      <c r="AI210" s="253" t="s">
        <v>72</v>
      </c>
      <c r="AJ210" s="251">
        <v>2</v>
      </c>
      <c r="AK210" s="253" t="s">
        <v>73</v>
      </c>
      <c r="AL210" s="251">
        <v>0</v>
      </c>
      <c r="AM210" s="251"/>
      <c r="AN210" s="251">
        <f t="shared" si="45"/>
        <v>12</v>
      </c>
      <c r="AO210" s="290">
        <f t="shared" si="46"/>
        <v>0</v>
      </c>
      <c r="AP210" s="290">
        <f t="shared" si="47"/>
        <v>12</v>
      </c>
      <c r="AQ210" s="290">
        <f t="shared" si="48"/>
        <v>12</v>
      </c>
      <c r="AR210" s="293"/>
      <c r="AS210" s="266"/>
    </row>
    <row r="211" s="215" customFormat="1" ht="39" customHeight="1" spans="1:45">
      <c r="A211" s="254">
        <v>45798</v>
      </c>
      <c r="B211" s="249" t="s">
        <v>137</v>
      </c>
      <c r="C211" s="265" t="s">
        <v>138</v>
      </c>
      <c r="D211" s="256">
        <v>4500167378</v>
      </c>
      <c r="E211" s="257" t="s">
        <v>1010</v>
      </c>
      <c r="F211" s="256" t="s">
        <v>1011</v>
      </c>
      <c r="G211" s="253" t="s">
        <v>62</v>
      </c>
      <c r="H211" s="253" t="s">
        <v>63</v>
      </c>
      <c r="I211" s="251">
        <v>12</v>
      </c>
      <c r="J211" s="251">
        <v>0</v>
      </c>
      <c r="K211" s="251">
        <v>6</v>
      </c>
      <c r="L211" s="251">
        <f t="shared" si="39"/>
        <v>2</v>
      </c>
      <c r="M211" s="274">
        <v>45834</v>
      </c>
      <c r="N211" s="274">
        <v>45831</v>
      </c>
      <c r="O211" s="274"/>
      <c r="P211" s="274" t="s">
        <v>49</v>
      </c>
      <c r="Q211" s="274"/>
      <c r="R211" s="274" t="s">
        <v>871</v>
      </c>
      <c r="S211" s="277" t="s">
        <v>77</v>
      </c>
      <c r="T211" s="277">
        <v>45798</v>
      </c>
      <c r="U211" s="277">
        <v>45817</v>
      </c>
      <c r="V211" s="274"/>
      <c r="W211" s="274"/>
      <c r="X211" s="278" t="s">
        <v>286</v>
      </c>
      <c r="Y211" s="261" t="s">
        <v>1008</v>
      </c>
      <c r="Z211" s="281">
        <v>3.5632</v>
      </c>
      <c r="AA211" s="282">
        <f t="shared" si="51"/>
        <v>42.7584</v>
      </c>
      <c r="AB211" s="251" t="s">
        <v>1009</v>
      </c>
      <c r="AC211" s="269" t="s">
        <v>71</v>
      </c>
      <c r="AD211" s="251" t="s">
        <v>56</v>
      </c>
      <c r="AE211" s="303">
        <f t="shared" si="44"/>
        <v>12</v>
      </c>
      <c r="AF211" s="251">
        <f t="shared" si="50"/>
        <v>0</v>
      </c>
      <c r="AG211" s="266"/>
      <c r="AH211" s="266"/>
      <c r="AI211" s="253" t="s">
        <v>72</v>
      </c>
      <c r="AJ211" s="251">
        <v>2</v>
      </c>
      <c r="AK211" s="253" t="s">
        <v>73</v>
      </c>
      <c r="AL211" s="251">
        <v>0</v>
      </c>
      <c r="AM211" s="251"/>
      <c r="AN211" s="251">
        <f t="shared" si="45"/>
        <v>12</v>
      </c>
      <c r="AO211" s="290">
        <f t="shared" si="46"/>
        <v>0</v>
      </c>
      <c r="AP211" s="290">
        <f t="shared" si="47"/>
        <v>12</v>
      </c>
      <c r="AQ211" s="290">
        <f t="shared" si="48"/>
        <v>12</v>
      </c>
      <c r="AR211" s="293"/>
      <c r="AS211" s="266"/>
    </row>
    <row r="212" s="215" customFormat="1" ht="39" customHeight="1" spans="1:45">
      <c r="A212" s="254">
        <v>45798</v>
      </c>
      <c r="B212" s="249" t="s">
        <v>593</v>
      </c>
      <c r="C212" s="265" t="s">
        <v>594</v>
      </c>
      <c r="D212" s="256">
        <v>4500166269</v>
      </c>
      <c r="E212" s="257"/>
      <c r="F212" s="256" t="s">
        <v>1012</v>
      </c>
      <c r="G212" s="253" t="s">
        <v>62</v>
      </c>
      <c r="H212" s="253" t="s">
        <v>63</v>
      </c>
      <c r="I212" s="251">
        <v>300</v>
      </c>
      <c r="J212" s="251">
        <v>0</v>
      </c>
      <c r="K212" s="251">
        <v>6</v>
      </c>
      <c r="L212" s="251">
        <f t="shared" si="39"/>
        <v>50</v>
      </c>
      <c r="M212" s="274">
        <v>45834</v>
      </c>
      <c r="N212" s="274">
        <v>45831</v>
      </c>
      <c r="O212" s="274"/>
      <c r="P212" s="274" t="s">
        <v>49</v>
      </c>
      <c r="Q212" s="274"/>
      <c r="R212" s="274" t="s">
        <v>871</v>
      </c>
      <c r="S212" s="277" t="s">
        <v>50</v>
      </c>
      <c r="T212" s="277">
        <v>45798</v>
      </c>
      <c r="U212" s="277" t="s">
        <v>50</v>
      </c>
      <c r="V212" s="274" t="s">
        <v>1013</v>
      </c>
      <c r="W212" s="274"/>
      <c r="X212" s="278" t="s">
        <v>1014</v>
      </c>
      <c r="Y212" s="261" t="s">
        <v>597</v>
      </c>
      <c r="Z212" s="281">
        <v>3.5632</v>
      </c>
      <c r="AA212" s="282">
        <f t="shared" si="51"/>
        <v>1068.96</v>
      </c>
      <c r="AB212" s="251" t="s">
        <v>1015</v>
      </c>
      <c r="AC212" s="252" t="s">
        <v>858</v>
      </c>
      <c r="AD212" s="251" t="s">
        <v>56</v>
      </c>
      <c r="AE212" s="303">
        <f t="shared" si="44"/>
        <v>300</v>
      </c>
      <c r="AF212" s="251">
        <f t="shared" si="50"/>
        <v>0</v>
      </c>
      <c r="AG212" s="266"/>
      <c r="AH212" s="266"/>
      <c r="AI212" s="253" t="s">
        <v>72</v>
      </c>
      <c r="AJ212" s="251">
        <v>2</v>
      </c>
      <c r="AK212" s="253" t="s">
        <v>925</v>
      </c>
      <c r="AL212" s="251">
        <v>1</v>
      </c>
      <c r="AM212" s="251"/>
      <c r="AN212" s="251">
        <f t="shared" si="45"/>
        <v>300</v>
      </c>
      <c r="AO212" s="290">
        <f t="shared" si="46"/>
        <v>0</v>
      </c>
      <c r="AP212" s="290">
        <f t="shared" si="47"/>
        <v>300</v>
      </c>
      <c r="AQ212" s="290">
        <f t="shared" si="48"/>
        <v>0</v>
      </c>
      <c r="AR212" s="293"/>
      <c r="AS212" s="266"/>
    </row>
    <row r="213" s="215" customFormat="1" ht="39" customHeight="1" spans="1:45">
      <c r="A213" s="254">
        <v>45785</v>
      </c>
      <c r="B213" s="249" t="s">
        <v>1016</v>
      </c>
      <c r="C213" s="265" t="s">
        <v>104</v>
      </c>
      <c r="D213" s="256">
        <v>4500165774</v>
      </c>
      <c r="E213" s="257">
        <v>4400482765</v>
      </c>
      <c r="F213" s="256" t="s">
        <v>1017</v>
      </c>
      <c r="G213" s="253" t="s">
        <v>62</v>
      </c>
      <c r="H213" s="253" t="s">
        <v>63</v>
      </c>
      <c r="I213" s="251">
        <v>1200</v>
      </c>
      <c r="J213" s="251">
        <v>0</v>
      </c>
      <c r="K213" s="251">
        <v>6</v>
      </c>
      <c r="L213" s="251">
        <f t="shared" si="39"/>
        <v>200</v>
      </c>
      <c r="M213" s="274">
        <v>45824</v>
      </c>
      <c r="N213" s="274">
        <v>45820</v>
      </c>
      <c r="O213" s="274"/>
      <c r="P213" s="274" t="s">
        <v>49</v>
      </c>
      <c r="Q213" s="274"/>
      <c r="R213" s="274" t="s">
        <v>871</v>
      </c>
      <c r="S213" s="277" t="s">
        <v>50</v>
      </c>
      <c r="T213" s="277">
        <v>45785</v>
      </c>
      <c r="U213" s="277" t="s">
        <v>1018</v>
      </c>
      <c r="V213" s="274"/>
      <c r="W213" s="274"/>
      <c r="X213" s="278" t="s">
        <v>1019</v>
      </c>
      <c r="Y213" s="261" t="s">
        <v>1020</v>
      </c>
      <c r="Z213" s="281">
        <v>3.5373</v>
      </c>
      <c r="AA213" s="282">
        <f t="shared" si="51"/>
        <v>4244.76</v>
      </c>
      <c r="AB213" s="251" t="s">
        <v>1021</v>
      </c>
      <c r="AC213" s="252" t="s">
        <v>71</v>
      </c>
      <c r="AD213" s="251" t="s">
        <v>56</v>
      </c>
      <c r="AE213" s="251">
        <f t="shared" si="44"/>
        <v>1200</v>
      </c>
      <c r="AF213" s="251">
        <f t="shared" si="50"/>
        <v>0</v>
      </c>
      <c r="AG213" s="266"/>
      <c r="AH213" s="266"/>
      <c r="AI213" s="253" t="s">
        <v>72</v>
      </c>
      <c r="AJ213" s="251">
        <v>2</v>
      </c>
      <c r="AK213" s="253" t="s">
        <v>73</v>
      </c>
      <c r="AL213" s="251">
        <v>0</v>
      </c>
      <c r="AM213" s="251"/>
      <c r="AN213" s="251">
        <f t="shared" si="45"/>
        <v>1200</v>
      </c>
      <c r="AO213" s="290">
        <f t="shared" si="46"/>
        <v>0</v>
      </c>
      <c r="AP213" s="290">
        <f t="shared" si="47"/>
        <v>1200</v>
      </c>
      <c r="AQ213" s="290">
        <f t="shared" si="48"/>
        <v>1200</v>
      </c>
      <c r="AR213" s="293"/>
      <c r="AS213" s="266"/>
    </row>
    <row r="214" s="215" customFormat="1" ht="39" customHeight="1" spans="1:45">
      <c r="A214" s="254">
        <v>45790</v>
      </c>
      <c r="B214" s="249" t="s">
        <v>1022</v>
      </c>
      <c r="C214" s="265" t="s">
        <v>214</v>
      </c>
      <c r="D214" s="256">
        <v>4500164499</v>
      </c>
      <c r="E214" s="257" t="s">
        <v>1023</v>
      </c>
      <c r="F214" s="267" t="s">
        <v>1024</v>
      </c>
      <c r="G214" s="253" t="s">
        <v>62</v>
      </c>
      <c r="H214" s="253" t="s">
        <v>63</v>
      </c>
      <c r="I214" s="251">
        <v>504</v>
      </c>
      <c r="J214" s="251">
        <v>0</v>
      </c>
      <c r="K214" s="251">
        <v>6</v>
      </c>
      <c r="L214" s="251">
        <f t="shared" si="39"/>
        <v>84</v>
      </c>
      <c r="M214" s="274">
        <v>45835</v>
      </c>
      <c r="N214" s="274">
        <v>45831</v>
      </c>
      <c r="O214" s="274"/>
      <c r="P214" s="274" t="s">
        <v>49</v>
      </c>
      <c r="Q214" s="274"/>
      <c r="R214" s="274" t="s">
        <v>871</v>
      </c>
      <c r="S214" s="277" t="s">
        <v>50</v>
      </c>
      <c r="T214" s="277">
        <v>45790</v>
      </c>
      <c r="U214" s="277" t="s">
        <v>1025</v>
      </c>
      <c r="V214" s="274"/>
      <c r="W214" s="274"/>
      <c r="X214" s="278" t="s">
        <v>1026</v>
      </c>
      <c r="Y214" s="261" t="s">
        <v>904</v>
      </c>
      <c r="Z214" s="281">
        <v>3.5505</v>
      </c>
      <c r="AA214" s="282">
        <f t="shared" si="51"/>
        <v>1789.452</v>
      </c>
      <c r="AB214" s="251" t="s">
        <v>1027</v>
      </c>
      <c r="AC214" s="252" t="s">
        <v>62</v>
      </c>
      <c r="AD214" s="251" t="s">
        <v>56</v>
      </c>
      <c r="AE214" s="303">
        <f t="shared" si="44"/>
        <v>504</v>
      </c>
      <c r="AF214" s="251">
        <f t="shared" si="50"/>
        <v>0</v>
      </c>
      <c r="AG214" s="266"/>
      <c r="AH214" s="266"/>
      <c r="AI214" s="253" t="s">
        <v>57</v>
      </c>
      <c r="AJ214" s="251">
        <v>0</v>
      </c>
      <c r="AK214" s="253" t="s">
        <v>73</v>
      </c>
      <c r="AL214" s="251">
        <v>0</v>
      </c>
      <c r="AM214" s="251"/>
      <c r="AN214" s="251">
        <f t="shared" si="45"/>
        <v>504</v>
      </c>
      <c r="AO214" s="290">
        <f t="shared" si="46"/>
        <v>504</v>
      </c>
      <c r="AP214" s="290" t="b">
        <f t="shared" si="47"/>
        <v>0</v>
      </c>
      <c r="AQ214" s="290">
        <f t="shared" si="48"/>
        <v>504</v>
      </c>
      <c r="AR214" s="293"/>
      <c r="AS214" s="266"/>
    </row>
    <row r="215" s="215" customFormat="1" ht="39" customHeight="1" spans="1:45">
      <c r="A215" s="254">
        <v>45792</v>
      </c>
      <c r="B215" s="249" t="s">
        <v>1028</v>
      </c>
      <c r="C215" s="265" t="s">
        <v>764</v>
      </c>
      <c r="D215" s="256">
        <v>4500166516</v>
      </c>
      <c r="E215" s="257"/>
      <c r="F215" s="267" t="s">
        <v>1029</v>
      </c>
      <c r="G215" s="253" t="s">
        <v>62</v>
      </c>
      <c r="H215" s="253" t="s">
        <v>63</v>
      </c>
      <c r="I215" s="251">
        <v>720</v>
      </c>
      <c r="J215" s="251">
        <v>0</v>
      </c>
      <c r="K215" s="251">
        <v>6</v>
      </c>
      <c r="L215" s="251">
        <f t="shared" si="39"/>
        <v>120</v>
      </c>
      <c r="M215" s="274">
        <v>45838</v>
      </c>
      <c r="N215" s="274">
        <v>45834</v>
      </c>
      <c r="O215" s="274"/>
      <c r="P215" s="274" t="s">
        <v>49</v>
      </c>
      <c r="Q215" s="274"/>
      <c r="R215" s="274" t="s">
        <v>56</v>
      </c>
      <c r="S215" s="277" t="s">
        <v>50</v>
      </c>
      <c r="T215" s="277">
        <v>45796</v>
      </c>
      <c r="U215" s="277" t="s">
        <v>50</v>
      </c>
      <c r="V215" s="274"/>
      <c r="W215" s="274"/>
      <c r="X215" s="278" t="s">
        <v>1030</v>
      </c>
      <c r="Y215" s="261" t="s">
        <v>1031</v>
      </c>
      <c r="Z215" s="281">
        <v>3.5505</v>
      </c>
      <c r="AA215" s="282">
        <f t="shared" si="51"/>
        <v>2556.36</v>
      </c>
      <c r="AB215" s="251" t="s">
        <v>1032</v>
      </c>
      <c r="AC215" s="252" t="s">
        <v>62</v>
      </c>
      <c r="AD215" s="251" t="s">
        <v>56</v>
      </c>
      <c r="AE215" s="303">
        <f t="shared" si="44"/>
        <v>720</v>
      </c>
      <c r="AF215" s="251">
        <f t="shared" si="50"/>
        <v>0</v>
      </c>
      <c r="AG215" s="266"/>
      <c r="AH215" s="266"/>
      <c r="AI215" s="253" t="s">
        <v>57</v>
      </c>
      <c r="AJ215" s="251">
        <v>0</v>
      </c>
      <c r="AK215" s="253" t="s">
        <v>73</v>
      </c>
      <c r="AL215" s="251">
        <v>0</v>
      </c>
      <c r="AM215" s="251"/>
      <c r="AN215" s="251">
        <f t="shared" si="45"/>
        <v>720</v>
      </c>
      <c r="AO215" s="290">
        <f t="shared" si="46"/>
        <v>720</v>
      </c>
      <c r="AP215" s="290" t="b">
        <f t="shared" si="47"/>
        <v>0</v>
      </c>
      <c r="AQ215" s="290">
        <f t="shared" si="48"/>
        <v>720</v>
      </c>
      <c r="AR215" s="293"/>
      <c r="AS215" s="266"/>
    </row>
    <row r="216" s="215" customFormat="1" ht="39" customHeight="1" spans="1:45">
      <c r="A216" s="254">
        <v>45793</v>
      </c>
      <c r="B216" s="249" t="s">
        <v>181</v>
      </c>
      <c r="C216" s="265" t="s">
        <v>182</v>
      </c>
      <c r="D216" s="256">
        <v>4500166668</v>
      </c>
      <c r="E216" s="257">
        <v>2460430</v>
      </c>
      <c r="F216" s="267" t="s">
        <v>1033</v>
      </c>
      <c r="G216" s="253" t="s">
        <v>62</v>
      </c>
      <c r="H216" s="253" t="s">
        <v>63</v>
      </c>
      <c r="I216" s="251">
        <v>1500</v>
      </c>
      <c r="J216" s="251">
        <v>0</v>
      </c>
      <c r="K216" s="251">
        <v>6</v>
      </c>
      <c r="L216" s="251">
        <f t="shared" si="39"/>
        <v>250</v>
      </c>
      <c r="M216" s="274">
        <v>45838</v>
      </c>
      <c r="N216" s="274">
        <v>45834</v>
      </c>
      <c r="O216" s="274"/>
      <c r="P216" s="274" t="s">
        <v>49</v>
      </c>
      <c r="Q216" s="274"/>
      <c r="R216" s="274" t="s">
        <v>871</v>
      </c>
      <c r="S216" s="277" t="s">
        <v>77</v>
      </c>
      <c r="T216" s="277">
        <v>45793</v>
      </c>
      <c r="U216" s="277">
        <v>45826</v>
      </c>
      <c r="V216" s="274"/>
      <c r="W216" s="274"/>
      <c r="X216" s="278" t="s">
        <v>1034</v>
      </c>
      <c r="Y216" s="261" t="s">
        <v>807</v>
      </c>
      <c r="Z216" s="281">
        <v>3.9714</v>
      </c>
      <c r="AA216" s="282">
        <f t="shared" si="51"/>
        <v>5957.1</v>
      </c>
      <c r="AB216" s="251" t="s">
        <v>1035</v>
      </c>
      <c r="AC216" s="252" t="s">
        <v>62</v>
      </c>
      <c r="AD216" s="251" t="s">
        <v>56</v>
      </c>
      <c r="AE216" s="303">
        <f t="shared" si="44"/>
        <v>1500</v>
      </c>
      <c r="AF216" s="251">
        <f t="shared" si="50"/>
        <v>0</v>
      </c>
      <c r="AG216" s="266"/>
      <c r="AH216" s="266"/>
      <c r="AI216" s="253" t="s">
        <v>57</v>
      </c>
      <c r="AJ216" s="251">
        <v>0</v>
      </c>
      <c r="AK216" s="253" t="s">
        <v>73</v>
      </c>
      <c r="AL216" s="251">
        <v>0</v>
      </c>
      <c r="AM216" s="251"/>
      <c r="AN216" s="251">
        <f t="shared" si="45"/>
        <v>1500</v>
      </c>
      <c r="AO216" s="290">
        <f t="shared" si="46"/>
        <v>1500</v>
      </c>
      <c r="AP216" s="290" t="b">
        <f t="shared" si="47"/>
        <v>0</v>
      </c>
      <c r="AQ216" s="290">
        <f t="shared" si="48"/>
        <v>1500</v>
      </c>
      <c r="AR216" s="293"/>
      <c r="AS216" s="266"/>
    </row>
    <row r="217" s="215" customFormat="1" ht="39" hidden="1" customHeight="1" spans="1:45">
      <c r="A217" s="254">
        <v>45790</v>
      </c>
      <c r="B217" s="249" t="s">
        <v>1036</v>
      </c>
      <c r="C217" s="265" t="s">
        <v>214</v>
      </c>
      <c r="D217" s="256">
        <v>4500166275</v>
      </c>
      <c r="E217" s="257" t="s">
        <v>1037</v>
      </c>
      <c r="F217" s="267" t="s">
        <v>1038</v>
      </c>
      <c r="G217" s="253" t="s">
        <v>334</v>
      </c>
      <c r="H217" s="253" t="s">
        <v>63</v>
      </c>
      <c r="I217" s="251">
        <v>503</v>
      </c>
      <c r="J217" s="251">
        <v>0</v>
      </c>
      <c r="K217" s="251">
        <v>1</v>
      </c>
      <c r="L217" s="272">
        <f t="shared" si="39"/>
        <v>503</v>
      </c>
      <c r="M217" s="274">
        <v>45839</v>
      </c>
      <c r="N217" s="274">
        <f>M217-4</f>
        <v>45835</v>
      </c>
      <c r="O217" s="274"/>
      <c r="P217" s="274" t="s">
        <v>49</v>
      </c>
      <c r="Q217" s="274"/>
      <c r="R217" s="274" t="s">
        <v>871</v>
      </c>
      <c r="S217" s="277" t="s">
        <v>50</v>
      </c>
      <c r="T217" s="277">
        <v>45811</v>
      </c>
      <c r="U217" s="277" t="s">
        <v>1039</v>
      </c>
      <c r="V217" s="274"/>
      <c r="W217" s="274"/>
      <c r="X217" s="278" t="s">
        <v>1040</v>
      </c>
      <c r="Y217" s="261" t="s">
        <v>1041</v>
      </c>
      <c r="Z217" s="281">
        <v>3.7216</v>
      </c>
      <c r="AA217" s="282">
        <f t="shared" si="51"/>
        <v>1871.9648</v>
      </c>
      <c r="AB217" s="251" t="s">
        <v>1042</v>
      </c>
      <c r="AC217" s="252" t="s">
        <v>334</v>
      </c>
      <c r="AD217" s="251" t="s">
        <v>56</v>
      </c>
      <c r="AE217" s="303">
        <f t="shared" si="44"/>
        <v>503</v>
      </c>
      <c r="AF217" s="251">
        <f t="shared" si="50"/>
        <v>0</v>
      </c>
      <c r="AG217" s="266"/>
      <c r="AH217" s="266"/>
      <c r="AI217" s="253" t="s">
        <v>57</v>
      </c>
      <c r="AJ217" s="251">
        <v>0</v>
      </c>
      <c r="AK217" s="253" t="s">
        <v>73</v>
      </c>
      <c r="AL217" s="251">
        <v>0</v>
      </c>
      <c r="AM217" s="251"/>
      <c r="AN217" s="251">
        <f t="shared" si="45"/>
        <v>503</v>
      </c>
      <c r="AO217" s="290">
        <f t="shared" si="46"/>
        <v>503</v>
      </c>
      <c r="AP217" s="290" t="b">
        <f t="shared" si="47"/>
        <v>0</v>
      </c>
      <c r="AQ217" s="290">
        <f t="shared" si="48"/>
        <v>503</v>
      </c>
      <c r="AR217" s="293"/>
      <c r="AS217" s="266"/>
    </row>
    <row r="218" s="215" customFormat="1" ht="39" hidden="1" customHeight="1" spans="1:45">
      <c r="A218" s="254">
        <v>45798</v>
      </c>
      <c r="B218" s="249" t="s">
        <v>1043</v>
      </c>
      <c r="C218" s="265" t="s">
        <v>44</v>
      </c>
      <c r="D218" s="256">
        <v>4500167106</v>
      </c>
      <c r="E218" s="300" t="s">
        <v>1044</v>
      </c>
      <c r="F218" s="256" t="s">
        <v>1045</v>
      </c>
      <c r="G218" s="253" t="s">
        <v>148</v>
      </c>
      <c r="H218" s="253" t="s">
        <v>63</v>
      </c>
      <c r="I218" s="251">
        <v>554</v>
      </c>
      <c r="J218" s="251">
        <v>0</v>
      </c>
      <c r="K218" s="251">
        <v>2</v>
      </c>
      <c r="L218" s="251">
        <f t="shared" si="39"/>
        <v>277</v>
      </c>
      <c r="M218" s="274">
        <v>45839</v>
      </c>
      <c r="N218" s="274">
        <f>M218-4</f>
        <v>45835</v>
      </c>
      <c r="O218" s="274" t="s">
        <v>1046</v>
      </c>
      <c r="P218" s="274" t="s">
        <v>49</v>
      </c>
      <c r="Q218" s="274"/>
      <c r="R218" s="274" t="s">
        <v>56</v>
      </c>
      <c r="S218" s="277" t="s">
        <v>50</v>
      </c>
      <c r="T218" s="277">
        <v>45803</v>
      </c>
      <c r="U218" s="277" t="s">
        <v>50</v>
      </c>
      <c r="V218" s="274"/>
      <c r="W218" s="274"/>
      <c r="X218" s="278" t="s">
        <v>1047</v>
      </c>
      <c r="Y218" s="261" t="s">
        <v>1048</v>
      </c>
      <c r="Z218" s="281">
        <v>2.1702</v>
      </c>
      <c r="AA218" s="282">
        <f t="shared" si="51"/>
        <v>1202.2908</v>
      </c>
      <c r="AB218" s="251" t="s">
        <v>1049</v>
      </c>
      <c r="AC218" s="253" t="s">
        <v>148</v>
      </c>
      <c r="AD218" s="266" t="s">
        <v>56</v>
      </c>
      <c r="AE218" s="303">
        <f t="shared" si="44"/>
        <v>554</v>
      </c>
      <c r="AF218" s="251">
        <f t="shared" si="50"/>
        <v>0</v>
      </c>
      <c r="AG218" s="266"/>
      <c r="AI218" s="253" t="s">
        <v>57</v>
      </c>
      <c r="AJ218" s="251">
        <v>0</v>
      </c>
      <c r="AK218" s="253" t="s">
        <v>73</v>
      </c>
      <c r="AL218" s="251">
        <v>0</v>
      </c>
      <c r="AM218" s="251"/>
      <c r="AN218" s="251">
        <f t="shared" si="45"/>
        <v>554</v>
      </c>
      <c r="AO218" s="290">
        <f t="shared" si="46"/>
        <v>554</v>
      </c>
      <c r="AP218" s="290" t="b">
        <f t="shared" si="47"/>
        <v>0</v>
      </c>
      <c r="AQ218" s="290">
        <f t="shared" si="48"/>
        <v>554</v>
      </c>
      <c r="AR218" s="293"/>
      <c r="AS218" s="266"/>
    </row>
    <row r="219" s="215" customFormat="1" ht="39" customHeight="1" spans="1:45">
      <c r="A219" s="254">
        <v>45803</v>
      </c>
      <c r="B219" s="249" t="s">
        <v>1050</v>
      </c>
      <c r="C219" s="265" t="s">
        <v>44</v>
      </c>
      <c r="D219" s="256">
        <v>4500168016</v>
      </c>
      <c r="E219" s="257" t="s">
        <v>1051</v>
      </c>
      <c r="F219" s="256" t="s">
        <v>1052</v>
      </c>
      <c r="G219" s="253" t="s">
        <v>62</v>
      </c>
      <c r="H219" s="253" t="s">
        <v>63</v>
      </c>
      <c r="I219" s="251">
        <v>660</v>
      </c>
      <c r="J219" s="251">
        <v>0</v>
      </c>
      <c r="K219" s="251">
        <v>6</v>
      </c>
      <c r="L219" s="251">
        <f t="shared" ref="L219:L251" si="52">I219/K219</f>
        <v>110</v>
      </c>
      <c r="M219" s="274">
        <v>45840</v>
      </c>
      <c r="N219" s="274">
        <f>M219-4</f>
        <v>45836</v>
      </c>
      <c r="O219" s="274"/>
      <c r="P219" s="274" t="s">
        <v>49</v>
      </c>
      <c r="Q219" s="274"/>
      <c r="R219" s="274" t="s">
        <v>871</v>
      </c>
      <c r="S219" s="277" t="s">
        <v>50</v>
      </c>
      <c r="T219" s="277">
        <v>45805</v>
      </c>
      <c r="U219" s="277" t="s">
        <v>50</v>
      </c>
      <c r="V219" s="274"/>
      <c r="W219" s="274"/>
      <c r="X219" s="278" t="s">
        <v>1053</v>
      </c>
      <c r="Y219" s="261" t="s">
        <v>94</v>
      </c>
      <c r="Z219" s="281">
        <v>2.1303</v>
      </c>
      <c r="AA219" s="282">
        <f t="shared" si="51"/>
        <v>1405.998</v>
      </c>
      <c r="AB219" s="251" t="s">
        <v>1054</v>
      </c>
      <c r="AC219" s="252" t="s">
        <v>62</v>
      </c>
      <c r="AD219" s="251" t="s">
        <v>56</v>
      </c>
      <c r="AE219" s="303">
        <f t="shared" si="44"/>
        <v>660</v>
      </c>
      <c r="AF219" s="251">
        <f t="shared" si="50"/>
        <v>0</v>
      </c>
      <c r="AG219" s="266"/>
      <c r="AH219" s="266"/>
      <c r="AI219" s="253" t="s">
        <v>57</v>
      </c>
      <c r="AJ219" s="251">
        <v>0</v>
      </c>
      <c r="AK219" s="253" t="s">
        <v>73</v>
      </c>
      <c r="AL219" s="251">
        <v>0</v>
      </c>
      <c r="AM219" s="251"/>
      <c r="AN219" s="251">
        <f t="shared" si="45"/>
        <v>660</v>
      </c>
      <c r="AO219" s="290">
        <f t="shared" si="46"/>
        <v>660</v>
      </c>
      <c r="AP219" s="290" t="b">
        <f t="shared" si="47"/>
        <v>0</v>
      </c>
      <c r="AQ219" s="290">
        <f t="shared" si="48"/>
        <v>660</v>
      </c>
      <c r="AR219" s="293"/>
      <c r="AS219" s="266"/>
    </row>
    <row r="220" s="215" customFormat="1" ht="39" customHeight="1" spans="1:45">
      <c r="A220" s="254">
        <v>45799</v>
      </c>
      <c r="B220" s="249" t="s">
        <v>74</v>
      </c>
      <c r="C220" s="265" t="s">
        <v>44</v>
      </c>
      <c r="D220" s="256">
        <v>4500167569</v>
      </c>
      <c r="E220" s="257" t="s">
        <v>1055</v>
      </c>
      <c r="F220" s="256" t="s">
        <v>1056</v>
      </c>
      <c r="G220" s="253" t="s">
        <v>62</v>
      </c>
      <c r="H220" s="253" t="s">
        <v>63</v>
      </c>
      <c r="I220" s="251">
        <v>1758</v>
      </c>
      <c r="J220" s="251">
        <v>0</v>
      </c>
      <c r="K220" s="251">
        <v>6</v>
      </c>
      <c r="L220" s="251">
        <f t="shared" si="52"/>
        <v>293</v>
      </c>
      <c r="M220" s="274">
        <v>45834</v>
      </c>
      <c r="N220" s="274">
        <v>45831</v>
      </c>
      <c r="O220" s="274"/>
      <c r="P220" s="274" t="s">
        <v>49</v>
      </c>
      <c r="Q220" s="274"/>
      <c r="R220" s="274" t="s">
        <v>871</v>
      </c>
      <c r="S220" s="277" t="s">
        <v>77</v>
      </c>
      <c r="T220" s="277">
        <v>45803</v>
      </c>
      <c r="U220" s="277">
        <v>45818</v>
      </c>
      <c r="V220" s="274"/>
      <c r="W220" s="274"/>
      <c r="X220" s="278" t="s">
        <v>940</v>
      </c>
      <c r="Y220" s="261" t="s">
        <v>116</v>
      </c>
      <c r="Z220" s="281">
        <v>1.9997</v>
      </c>
      <c r="AA220" s="282">
        <f t="shared" si="51"/>
        <v>3515.4726</v>
      </c>
      <c r="AB220" s="251" t="s">
        <v>1057</v>
      </c>
      <c r="AC220" s="252" t="s">
        <v>62</v>
      </c>
      <c r="AD220" s="251" t="s">
        <v>56</v>
      </c>
      <c r="AE220" s="303">
        <f t="shared" ref="AE220:AE234" si="53">I220</f>
        <v>1758</v>
      </c>
      <c r="AF220" s="251">
        <f t="shared" si="50"/>
        <v>0</v>
      </c>
      <c r="AG220" s="266"/>
      <c r="AH220" s="266"/>
      <c r="AI220" s="253" t="s">
        <v>57</v>
      </c>
      <c r="AJ220" s="251">
        <v>0</v>
      </c>
      <c r="AK220" s="253" t="s">
        <v>73</v>
      </c>
      <c r="AL220" s="251">
        <v>0</v>
      </c>
      <c r="AM220" s="251"/>
      <c r="AN220" s="251">
        <f t="shared" si="45"/>
        <v>1758</v>
      </c>
      <c r="AO220" s="290">
        <f t="shared" si="46"/>
        <v>1758</v>
      </c>
      <c r="AP220" s="290" t="b">
        <f t="shared" si="47"/>
        <v>0</v>
      </c>
      <c r="AQ220" s="290">
        <f t="shared" si="48"/>
        <v>1758</v>
      </c>
      <c r="AR220" s="293"/>
      <c r="AS220" s="266"/>
    </row>
    <row r="221" s="215" customFormat="1" ht="39" hidden="1" customHeight="1" spans="1:45">
      <c r="A221" s="254">
        <v>45804</v>
      </c>
      <c r="B221" s="249" t="s">
        <v>1058</v>
      </c>
      <c r="C221" s="265" t="s">
        <v>44</v>
      </c>
      <c r="D221" s="256">
        <v>4500167638</v>
      </c>
      <c r="E221" s="257">
        <v>217173716</v>
      </c>
      <c r="F221" s="256" t="s">
        <v>1059</v>
      </c>
      <c r="G221" s="253" t="s">
        <v>84</v>
      </c>
      <c r="H221" s="253" t="s">
        <v>63</v>
      </c>
      <c r="I221" s="251">
        <v>600</v>
      </c>
      <c r="J221" s="251">
        <v>0</v>
      </c>
      <c r="K221" s="251">
        <v>3</v>
      </c>
      <c r="L221" s="272">
        <f t="shared" si="52"/>
        <v>200</v>
      </c>
      <c r="M221" s="274">
        <v>45840</v>
      </c>
      <c r="N221" s="274">
        <f>M221-4</f>
        <v>45836</v>
      </c>
      <c r="O221" s="274"/>
      <c r="P221" s="274" t="s">
        <v>49</v>
      </c>
      <c r="Q221" s="274"/>
      <c r="R221" s="274" t="s">
        <v>871</v>
      </c>
      <c r="S221" s="277" t="s">
        <v>50</v>
      </c>
      <c r="T221" s="277">
        <v>45811</v>
      </c>
      <c r="U221" s="277" t="s">
        <v>50</v>
      </c>
      <c r="V221" s="274"/>
      <c r="W221" s="274"/>
      <c r="X221" s="278" t="s">
        <v>1060</v>
      </c>
      <c r="Y221" s="261" t="s">
        <v>1061</v>
      </c>
      <c r="Z221" s="281">
        <v>2.4511</v>
      </c>
      <c r="AA221" s="282">
        <f t="shared" si="51"/>
        <v>1470.66</v>
      </c>
      <c r="AB221" s="251" t="s">
        <v>1062</v>
      </c>
      <c r="AC221" s="252" t="s">
        <v>84</v>
      </c>
      <c r="AD221" s="251" t="s">
        <v>56</v>
      </c>
      <c r="AE221" s="303">
        <f t="shared" si="53"/>
        <v>600</v>
      </c>
      <c r="AF221" s="251">
        <f t="shared" si="50"/>
        <v>0</v>
      </c>
      <c r="AG221" s="266"/>
      <c r="AH221" s="266"/>
      <c r="AI221" s="253" t="s">
        <v>57</v>
      </c>
      <c r="AJ221" s="251">
        <v>0</v>
      </c>
      <c r="AK221" s="253" t="s">
        <v>73</v>
      </c>
      <c r="AL221" s="251">
        <v>0</v>
      </c>
      <c r="AM221" s="251"/>
      <c r="AN221" s="251">
        <f t="shared" si="45"/>
        <v>600</v>
      </c>
      <c r="AO221" s="290">
        <f t="shared" si="46"/>
        <v>600</v>
      </c>
      <c r="AP221" s="290" t="b">
        <f t="shared" si="47"/>
        <v>0</v>
      </c>
      <c r="AQ221" s="290">
        <f t="shared" si="48"/>
        <v>600</v>
      </c>
      <c r="AR221" s="293"/>
      <c r="AS221" s="266"/>
    </row>
    <row r="222" s="215" customFormat="1" ht="39" hidden="1" customHeight="1" spans="1:45">
      <c r="A222" s="254">
        <v>45804</v>
      </c>
      <c r="B222" s="249" t="s">
        <v>1058</v>
      </c>
      <c r="C222" s="265" t="s">
        <v>44</v>
      </c>
      <c r="D222" s="256">
        <v>4500167639</v>
      </c>
      <c r="E222" s="257">
        <v>217173729</v>
      </c>
      <c r="F222" s="256" t="s">
        <v>1063</v>
      </c>
      <c r="G222" s="253" t="s">
        <v>84</v>
      </c>
      <c r="H222" s="253" t="s">
        <v>63</v>
      </c>
      <c r="I222" s="251">
        <v>402</v>
      </c>
      <c r="J222" s="251">
        <v>0</v>
      </c>
      <c r="K222" s="251">
        <v>3</v>
      </c>
      <c r="L222" s="272">
        <f t="shared" si="52"/>
        <v>134</v>
      </c>
      <c r="M222" s="274">
        <v>45840</v>
      </c>
      <c r="N222" s="274">
        <f>M222-4</f>
        <v>45836</v>
      </c>
      <c r="O222" s="274"/>
      <c r="P222" s="274" t="s">
        <v>49</v>
      </c>
      <c r="Q222" s="274"/>
      <c r="R222" s="274" t="s">
        <v>871</v>
      </c>
      <c r="S222" s="277" t="s">
        <v>50</v>
      </c>
      <c r="T222" s="277">
        <v>45811</v>
      </c>
      <c r="U222" s="277" t="s">
        <v>50</v>
      </c>
      <c r="V222" s="274"/>
      <c r="W222" s="274"/>
      <c r="X222" s="278" t="s">
        <v>1060</v>
      </c>
      <c r="Y222" s="261" t="s">
        <v>1061</v>
      </c>
      <c r="Z222" s="281">
        <v>2.4589</v>
      </c>
      <c r="AA222" s="282">
        <f t="shared" si="51"/>
        <v>988.4778</v>
      </c>
      <c r="AB222" s="251" t="s">
        <v>1064</v>
      </c>
      <c r="AC222" s="252" t="s">
        <v>84</v>
      </c>
      <c r="AD222" s="251" t="s">
        <v>56</v>
      </c>
      <c r="AE222" s="303">
        <f t="shared" si="53"/>
        <v>402</v>
      </c>
      <c r="AF222" s="251">
        <f t="shared" si="50"/>
        <v>0</v>
      </c>
      <c r="AG222" s="266"/>
      <c r="AH222" s="266"/>
      <c r="AI222" s="253" t="s">
        <v>57</v>
      </c>
      <c r="AJ222" s="251">
        <v>0</v>
      </c>
      <c r="AK222" s="253" t="s">
        <v>73</v>
      </c>
      <c r="AL222" s="251">
        <v>0</v>
      </c>
      <c r="AM222" s="251"/>
      <c r="AN222" s="251">
        <f t="shared" si="45"/>
        <v>402</v>
      </c>
      <c r="AO222" s="290">
        <f t="shared" si="46"/>
        <v>402</v>
      </c>
      <c r="AP222" s="290" t="b">
        <f t="shared" si="47"/>
        <v>0</v>
      </c>
      <c r="AQ222" s="290">
        <f t="shared" si="48"/>
        <v>402</v>
      </c>
      <c r="AR222" s="293"/>
      <c r="AS222" s="266"/>
    </row>
    <row r="223" s="215" customFormat="1" ht="39" customHeight="1" spans="1:45">
      <c r="A223" s="254">
        <v>45792</v>
      </c>
      <c r="B223" s="249" t="s">
        <v>1065</v>
      </c>
      <c r="C223" s="265" t="s">
        <v>458</v>
      </c>
      <c r="D223" s="256">
        <v>4500166578</v>
      </c>
      <c r="E223" s="257" t="s">
        <v>1066</v>
      </c>
      <c r="F223" s="267" t="s">
        <v>1067</v>
      </c>
      <c r="G223" s="253" t="s">
        <v>62</v>
      </c>
      <c r="H223" s="253" t="s">
        <v>63</v>
      </c>
      <c r="I223" s="251">
        <v>1002</v>
      </c>
      <c r="J223" s="251">
        <v>0</v>
      </c>
      <c r="K223" s="251">
        <v>6</v>
      </c>
      <c r="L223" s="251">
        <f t="shared" si="52"/>
        <v>167</v>
      </c>
      <c r="M223" s="274">
        <v>45842</v>
      </c>
      <c r="N223" s="274">
        <f>M223-4</f>
        <v>45838</v>
      </c>
      <c r="O223" s="274"/>
      <c r="P223" s="274" t="s">
        <v>49</v>
      </c>
      <c r="Q223" s="274"/>
      <c r="R223" s="274" t="s">
        <v>871</v>
      </c>
      <c r="S223" s="277" t="s">
        <v>50</v>
      </c>
      <c r="T223" s="277">
        <v>45792</v>
      </c>
      <c r="U223" s="277" t="s">
        <v>1068</v>
      </c>
      <c r="V223" s="274"/>
      <c r="W223" s="274"/>
      <c r="X223" s="278" t="s">
        <v>1069</v>
      </c>
      <c r="Y223" s="261" t="s">
        <v>1070</v>
      </c>
      <c r="Z223" s="281">
        <v>3.9714</v>
      </c>
      <c r="AA223" s="282">
        <f t="shared" si="51"/>
        <v>3979.3428</v>
      </c>
      <c r="AB223" s="251" t="s">
        <v>1071</v>
      </c>
      <c r="AC223" s="252" t="s">
        <v>62</v>
      </c>
      <c r="AD223" s="251" t="s">
        <v>56</v>
      </c>
      <c r="AE223" s="303">
        <f t="shared" si="53"/>
        <v>1002</v>
      </c>
      <c r="AF223" s="251">
        <f t="shared" si="50"/>
        <v>0</v>
      </c>
      <c r="AG223" s="266"/>
      <c r="AH223" s="266"/>
      <c r="AI223" s="253" t="s">
        <v>57</v>
      </c>
      <c r="AJ223" s="251">
        <v>0</v>
      </c>
      <c r="AK223" s="253" t="s">
        <v>73</v>
      </c>
      <c r="AL223" s="251">
        <v>0</v>
      </c>
      <c r="AM223" s="251"/>
      <c r="AN223" s="251">
        <f t="shared" si="45"/>
        <v>1002</v>
      </c>
      <c r="AO223" s="290">
        <f t="shared" si="46"/>
        <v>1002</v>
      </c>
      <c r="AP223" s="290" t="b">
        <f t="shared" si="47"/>
        <v>0</v>
      </c>
      <c r="AQ223" s="290">
        <f t="shared" si="48"/>
        <v>1002</v>
      </c>
      <c r="AR223" s="293"/>
      <c r="AS223" s="266"/>
    </row>
    <row r="224" s="215" customFormat="1" ht="39" customHeight="1" spans="1:45">
      <c r="A224" s="254">
        <v>45806</v>
      </c>
      <c r="B224" s="249" t="s">
        <v>1072</v>
      </c>
      <c r="C224" s="265" t="s">
        <v>66</v>
      </c>
      <c r="D224" s="256">
        <v>4500168264</v>
      </c>
      <c r="E224" s="257"/>
      <c r="F224" s="256" t="s">
        <v>1073</v>
      </c>
      <c r="G224" s="253" t="s">
        <v>62</v>
      </c>
      <c r="H224" s="253" t="s">
        <v>63</v>
      </c>
      <c r="I224" s="251">
        <v>240</v>
      </c>
      <c r="J224" s="251">
        <v>0</v>
      </c>
      <c r="K224" s="251">
        <v>6</v>
      </c>
      <c r="L224" s="251">
        <f t="shared" si="52"/>
        <v>40</v>
      </c>
      <c r="M224" s="274">
        <v>45842</v>
      </c>
      <c r="N224" s="274">
        <f>M224-4</f>
        <v>45838</v>
      </c>
      <c r="O224" s="274"/>
      <c r="P224" s="274" t="s">
        <v>49</v>
      </c>
      <c r="Q224" s="274"/>
      <c r="R224" s="274" t="s">
        <v>56</v>
      </c>
      <c r="S224" s="277" t="s">
        <v>50</v>
      </c>
      <c r="T224" s="277">
        <v>45812</v>
      </c>
      <c r="U224" s="277" t="s">
        <v>1074</v>
      </c>
      <c r="V224" s="274"/>
      <c r="W224" s="274"/>
      <c r="X224" s="278" t="s">
        <v>1075</v>
      </c>
      <c r="Y224" s="261" t="s">
        <v>945</v>
      </c>
      <c r="Z224" s="281">
        <v>3.3587</v>
      </c>
      <c r="AA224" s="282">
        <f t="shared" si="51"/>
        <v>806.088</v>
      </c>
      <c r="AB224" s="251" t="s">
        <v>1076</v>
      </c>
      <c r="AC224" s="252" t="s">
        <v>71</v>
      </c>
      <c r="AD224" s="251" t="s">
        <v>56</v>
      </c>
      <c r="AE224" s="303">
        <f t="shared" si="53"/>
        <v>240</v>
      </c>
      <c r="AF224" s="251">
        <f t="shared" si="50"/>
        <v>0</v>
      </c>
      <c r="AG224" s="266"/>
      <c r="AH224" s="266"/>
      <c r="AI224" s="253" t="s">
        <v>72</v>
      </c>
      <c r="AJ224" s="251">
        <v>2</v>
      </c>
      <c r="AK224" s="253" t="s">
        <v>73</v>
      </c>
      <c r="AL224" s="251">
        <v>0</v>
      </c>
      <c r="AM224" s="251"/>
      <c r="AN224" s="251">
        <f t="shared" si="45"/>
        <v>240</v>
      </c>
      <c r="AO224" s="290">
        <f t="shared" si="46"/>
        <v>0</v>
      </c>
      <c r="AP224" s="290">
        <f t="shared" si="47"/>
        <v>240</v>
      </c>
      <c r="AQ224" s="290">
        <f t="shared" si="48"/>
        <v>240</v>
      </c>
      <c r="AR224" s="293"/>
      <c r="AS224" s="266"/>
    </row>
    <row r="225" s="215" customFormat="1" ht="39" customHeight="1" spans="1:45">
      <c r="A225" s="254">
        <v>45803</v>
      </c>
      <c r="B225" s="249" t="s">
        <v>552</v>
      </c>
      <c r="C225" s="265" t="s">
        <v>553</v>
      </c>
      <c r="D225" s="256">
        <v>4500166290</v>
      </c>
      <c r="E225" s="257">
        <v>20858534</v>
      </c>
      <c r="F225" s="267" t="s">
        <v>1077</v>
      </c>
      <c r="G225" s="253" t="s">
        <v>62</v>
      </c>
      <c r="H225" s="253" t="s">
        <v>63</v>
      </c>
      <c r="I225" s="251">
        <v>102</v>
      </c>
      <c r="J225" s="251">
        <v>0</v>
      </c>
      <c r="K225" s="251">
        <v>6</v>
      </c>
      <c r="L225" s="251">
        <f t="shared" si="52"/>
        <v>17</v>
      </c>
      <c r="M225" s="274">
        <v>45845</v>
      </c>
      <c r="N225" s="274">
        <v>45841</v>
      </c>
      <c r="O225" s="274"/>
      <c r="P225" s="274" t="s">
        <v>49</v>
      </c>
      <c r="Q225" s="274"/>
      <c r="R225" s="274" t="s">
        <v>871</v>
      </c>
      <c r="S225" s="277" t="s">
        <v>50</v>
      </c>
      <c r="T225" s="277">
        <v>45803</v>
      </c>
      <c r="U225" s="277" t="s">
        <v>50</v>
      </c>
      <c r="V225" s="274"/>
      <c r="W225" s="274"/>
      <c r="X225" s="278" t="s">
        <v>892</v>
      </c>
      <c r="Y225" s="261" t="s">
        <v>556</v>
      </c>
      <c r="Z225" s="281">
        <v>3.9973</v>
      </c>
      <c r="AA225" s="282">
        <f t="shared" si="51"/>
        <v>407.7246</v>
      </c>
      <c r="AB225" s="251" t="s">
        <v>1078</v>
      </c>
      <c r="AC225" s="252" t="s">
        <v>62</v>
      </c>
      <c r="AD225" s="251" t="s">
        <v>56</v>
      </c>
      <c r="AE225" s="303">
        <f t="shared" si="53"/>
        <v>102</v>
      </c>
      <c r="AF225" s="251">
        <f t="shared" si="50"/>
        <v>0</v>
      </c>
      <c r="AG225" s="266"/>
      <c r="AH225" s="266"/>
      <c r="AI225" s="253" t="s">
        <v>57</v>
      </c>
      <c r="AJ225" s="251">
        <v>0</v>
      </c>
      <c r="AK225" s="253" t="s">
        <v>73</v>
      </c>
      <c r="AL225" s="251">
        <v>0</v>
      </c>
      <c r="AM225" s="251"/>
      <c r="AN225" s="251">
        <f t="shared" si="45"/>
        <v>102</v>
      </c>
      <c r="AO225" s="290">
        <f t="shared" si="46"/>
        <v>102</v>
      </c>
      <c r="AP225" s="290" t="b">
        <f t="shared" si="47"/>
        <v>0</v>
      </c>
      <c r="AQ225" s="290">
        <f t="shared" si="48"/>
        <v>102</v>
      </c>
      <c r="AR225" s="293"/>
      <c r="AS225" s="266"/>
    </row>
    <row r="226" s="215" customFormat="1" ht="39" customHeight="1" spans="1:45">
      <c r="A226" s="254">
        <v>45803</v>
      </c>
      <c r="B226" s="249" t="s">
        <v>655</v>
      </c>
      <c r="C226" s="265" t="s">
        <v>182</v>
      </c>
      <c r="D226" s="256">
        <v>4500166289</v>
      </c>
      <c r="E226" s="257">
        <v>20858533</v>
      </c>
      <c r="F226" s="267" t="s">
        <v>1079</v>
      </c>
      <c r="G226" s="253" t="s">
        <v>62</v>
      </c>
      <c r="H226" s="253" t="s">
        <v>63</v>
      </c>
      <c r="I226" s="251">
        <v>1398</v>
      </c>
      <c r="J226" s="251">
        <v>0</v>
      </c>
      <c r="K226" s="251">
        <v>6</v>
      </c>
      <c r="L226" s="251">
        <f t="shared" si="52"/>
        <v>233</v>
      </c>
      <c r="M226" s="274">
        <v>45845</v>
      </c>
      <c r="N226" s="274">
        <v>45841</v>
      </c>
      <c r="O226" s="274"/>
      <c r="P226" s="274" t="s">
        <v>49</v>
      </c>
      <c r="Q226" s="274"/>
      <c r="R226" s="274" t="s">
        <v>871</v>
      </c>
      <c r="S226" s="277" t="s">
        <v>50</v>
      </c>
      <c r="T226" s="277">
        <v>45803</v>
      </c>
      <c r="U226" s="277" t="s">
        <v>50</v>
      </c>
      <c r="V226" s="274"/>
      <c r="W226" s="274"/>
      <c r="X226" s="278" t="s">
        <v>816</v>
      </c>
      <c r="Y226" s="261" t="s">
        <v>556</v>
      </c>
      <c r="Z226" s="281">
        <v>3.9714</v>
      </c>
      <c r="AA226" s="282">
        <f t="shared" si="51"/>
        <v>5552.0172</v>
      </c>
      <c r="AB226" s="251" t="s">
        <v>1080</v>
      </c>
      <c r="AC226" s="252" t="s">
        <v>62</v>
      </c>
      <c r="AD226" s="251" t="s">
        <v>56</v>
      </c>
      <c r="AE226" s="303">
        <f t="shared" si="53"/>
        <v>1398</v>
      </c>
      <c r="AF226" s="251">
        <f t="shared" si="50"/>
        <v>0</v>
      </c>
      <c r="AG226" s="266"/>
      <c r="AH226" s="266"/>
      <c r="AI226" s="253" t="s">
        <v>57</v>
      </c>
      <c r="AJ226" s="251">
        <v>0</v>
      </c>
      <c r="AK226" s="253" t="s">
        <v>73</v>
      </c>
      <c r="AL226" s="251">
        <v>0</v>
      </c>
      <c r="AM226" s="251"/>
      <c r="AN226" s="251">
        <f t="shared" si="45"/>
        <v>1398</v>
      </c>
      <c r="AO226" s="290">
        <f t="shared" si="46"/>
        <v>1398</v>
      </c>
      <c r="AP226" s="290" t="b">
        <f t="shared" si="47"/>
        <v>0</v>
      </c>
      <c r="AQ226" s="290">
        <f t="shared" si="48"/>
        <v>1398</v>
      </c>
      <c r="AR226" s="293"/>
      <c r="AS226" s="266"/>
    </row>
    <row r="227" s="215" customFormat="1" ht="39" customHeight="1" spans="1:45">
      <c r="A227" s="254">
        <v>45807</v>
      </c>
      <c r="B227" s="249" t="s">
        <v>1081</v>
      </c>
      <c r="C227" s="265" t="s">
        <v>138</v>
      </c>
      <c r="D227" s="256">
        <v>4500168495</v>
      </c>
      <c r="E227" s="257" t="s">
        <v>1082</v>
      </c>
      <c r="F227" s="267" t="s">
        <v>1083</v>
      </c>
      <c r="G227" s="253" t="s">
        <v>62</v>
      </c>
      <c r="H227" s="253" t="s">
        <v>63</v>
      </c>
      <c r="I227" s="251">
        <v>1332</v>
      </c>
      <c r="J227" s="251">
        <v>0</v>
      </c>
      <c r="K227" s="251">
        <v>6</v>
      </c>
      <c r="L227" s="251">
        <f t="shared" si="52"/>
        <v>222</v>
      </c>
      <c r="M227" s="274">
        <v>45845</v>
      </c>
      <c r="N227" s="274">
        <v>45841</v>
      </c>
      <c r="O227" s="274"/>
      <c r="P227" s="274" t="s">
        <v>49</v>
      </c>
      <c r="Q227" s="274"/>
      <c r="R227" s="274" t="s">
        <v>871</v>
      </c>
      <c r="S227" s="277" t="s">
        <v>77</v>
      </c>
      <c r="T227" s="277">
        <v>45814</v>
      </c>
      <c r="U227" s="277" t="s">
        <v>1084</v>
      </c>
      <c r="V227" s="274"/>
      <c r="W227" s="274"/>
      <c r="X227" s="278" t="s">
        <v>1085</v>
      </c>
      <c r="Y227" s="261" t="s">
        <v>608</v>
      </c>
      <c r="Z227" s="281">
        <v>3.5373</v>
      </c>
      <c r="AA227" s="282">
        <f t="shared" si="51"/>
        <v>4711.6836</v>
      </c>
      <c r="AB227" s="251" t="s">
        <v>1086</v>
      </c>
      <c r="AC227" s="252" t="s">
        <v>71</v>
      </c>
      <c r="AD227" s="251" t="s">
        <v>56</v>
      </c>
      <c r="AE227" s="303">
        <f t="shared" si="53"/>
        <v>1332</v>
      </c>
      <c r="AF227" s="251">
        <f t="shared" si="50"/>
        <v>0</v>
      </c>
      <c r="AG227" s="266"/>
      <c r="AH227" s="266"/>
      <c r="AI227" s="253" t="s">
        <v>72</v>
      </c>
      <c r="AJ227" s="251">
        <v>2</v>
      </c>
      <c r="AK227" s="253" t="s">
        <v>73</v>
      </c>
      <c r="AL227" s="251">
        <v>0</v>
      </c>
      <c r="AM227" s="251"/>
      <c r="AN227" s="251">
        <f t="shared" si="45"/>
        <v>1332</v>
      </c>
      <c r="AO227" s="290">
        <f t="shared" si="46"/>
        <v>0</v>
      </c>
      <c r="AP227" s="290">
        <f t="shared" si="47"/>
        <v>1332</v>
      </c>
      <c r="AQ227" s="290">
        <f t="shared" si="48"/>
        <v>1332</v>
      </c>
      <c r="AR227" s="293"/>
      <c r="AS227" s="266"/>
    </row>
    <row r="228" s="215" customFormat="1" ht="39" customHeight="1" spans="1:45">
      <c r="A228" s="254">
        <v>45807</v>
      </c>
      <c r="B228" s="249" t="s">
        <v>103</v>
      </c>
      <c r="C228" s="265" t="s">
        <v>214</v>
      </c>
      <c r="D228" s="256">
        <v>4500168472</v>
      </c>
      <c r="E228" s="257" t="s">
        <v>1087</v>
      </c>
      <c r="F228" s="267" t="s">
        <v>1088</v>
      </c>
      <c r="G228" s="253" t="s">
        <v>62</v>
      </c>
      <c r="H228" s="253" t="s">
        <v>63</v>
      </c>
      <c r="I228" s="251">
        <v>1008</v>
      </c>
      <c r="J228" s="251">
        <v>0</v>
      </c>
      <c r="K228" s="251">
        <v>6</v>
      </c>
      <c r="L228" s="251">
        <f t="shared" si="52"/>
        <v>168</v>
      </c>
      <c r="M228" s="274">
        <v>45847</v>
      </c>
      <c r="N228" s="274">
        <v>45843</v>
      </c>
      <c r="O228" s="274"/>
      <c r="P228" s="274" t="s">
        <v>49</v>
      </c>
      <c r="Q228" s="274"/>
      <c r="R228" s="274" t="s">
        <v>871</v>
      </c>
      <c r="S228" s="277" t="s">
        <v>56</v>
      </c>
      <c r="T228" s="277" t="s">
        <v>375</v>
      </c>
      <c r="U228" s="277">
        <v>45817</v>
      </c>
      <c r="V228" s="274"/>
      <c r="W228" s="274"/>
      <c r="X228" s="278" t="s">
        <v>1089</v>
      </c>
      <c r="Y228" s="261" t="s">
        <v>252</v>
      </c>
      <c r="Z228" s="281">
        <v>3.5373</v>
      </c>
      <c r="AA228" s="282">
        <f t="shared" si="51"/>
        <v>3565.5984</v>
      </c>
      <c r="AB228" s="251" t="s">
        <v>1090</v>
      </c>
      <c r="AC228" s="252" t="s">
        <v>71</v>
      </c>
      <c r="AD228" s="251" t="s">
        <v>56</v>
      </c>
      <c r="AE228" s="303">
        <f t="shared" si="53"/>
        <v>1008</v>
      </c>
      <c r="AF228" s="251">
        <f t="shared" si="50"/>
        <v>0</v>
      </c>
      <c r="AG228" s="266"/>
      <c r="AH228" s="266"/>
      <c r="AI228" s="253" t="s">
        <v>72</v>
      </c>
      <c r="AJ228" s="251">
        <v>2</v>
      </c>
      <c r="AK228" s="253" t="s">
        <v>73</v>
      </c>
      <c r="AL228" s="251">
        <v>0</v>
      </c>
      <c r="AM228" s="251"/>
      <c r="AN228" s="251">
        <f t="shared" si="45"/>
        <v>1008</v>
      </c>
      <c r="AO228" s="290">
        <f t="shared" si="46"/>
        <v>0</v>
      </c>
      <c r="AP228" s="290">
        <f t="shared" si="47"/>
        <v>1008</v>
      </c>
      <c r="AQ228" s="290">
        <f t="shared" si="48"/>
        <v>1008</v>
      </c>
      <c r="AR228" s="293"/>
      <c r="AS228" s="266"/>
    </row>
    <row r="229" s="215" customFormat="1" ht="39" customHeight="1" spans="1:45">
      <c r="A229" s="254">
        <v>45807</v>
      </c>
      <c r="B229" s="249" t="s">
        <v>103</v>
      </c>
      <c r="C229" s="265" t="s">
        <v>104</v>
      </c>
      <c r="D229" s="256">
        <v>4500168472</v>
      </c>
      <c r="E229" s="257" t="s">
        <v>1091</v>
      </c>
      <c r="F229" s="267" t="s">
        <v>1092</v>
      </c>
      <c r="G229" s="253" t="s">
        <v>62</v>
      </c>
      <c r="H229" s="253" t="s">
        <v>63</v>
      </c>
      <c r="I229" s="251">
        <v>984</v>
      </c>
      <c r="J229" s="251">
        <v>0</v>
      </c>
      <c r="K229" s="251">
        <v>6</v>
      </c>
      <c r="L229" s="251">
        <f t="shared" si="52"/>
        <v>164</v>
      </c>
      <c r="M229" s="274">
        <v>45847</v>
      </c>
      <c r="N229" s="274">
        <v>45843</v>
      </c>
      <c r="O229" s="274"/>
      <c r="P229" s="274" t="s">
        <v>49</v>
      </c>
      <c r="Q229" s="274"/>
      <c r="R229" s="274" t="s">
        <v>871</v>
      </c>
      <c r="S229" s="277" t="s">
        <v>56</v>
      </c>
      <c r="T229" s="277" t="s">
        <v>375</v>
      </c>
      <c r="U229" s="277">
        <v>45817</v>
      </c>
      <c r="V229" s="274"/>
      <c r="W229" s="274"/>
      <c r="X229" s="278" t="s">
        <v>1089</v>
      </c>
      <c r="Y229" s="261" t="s">
        <v>252</v>
      </c>
      <c r="Z229" s="281">
        <v>3.5505</v>
      </c>
      <c r="AA229" s="282">
        <f t="shared" si="51"/>
        <v>3493.692</v>
      </c>
      <c r="AB229" s="215" t="s">
        <v>1093</v>
      </c>
      <c r="AC229" s="252" t="s">
        <v>71</v>
      </c>
      <c r="AD229" s="251" t="s">
        <v>56</v>
      </c>
      <c r="AE229" s="303">
        <f t="shared" si="53"/>
        <v>984</v>
      </c>
      <c r="AF229" s="251">
        <f t="shared" si="50"/>
        <v>0</v>
      </c>
      <c r="AG229" s="266"/>
      <c r="AH229" s="266"/>
      <c r="AI229" s="253" t="s">
        <v>72</v>
      </c>
      <c r="AJ229" s="251">
        <v>2</v>
      </c>
      <c r="AK229" s="253" t="s">
        <v>73</v>
      </c>
      <c r="AL229" s="251">
        <v>0</v>
      </c>
      <c r="AM229" s="251"/>
      <c r="AN229" s="251">
        <f t="shared" si="45"/>
        <v>984</v>
      </c>
      <c r="AO229" s="290">
        <f t="shared" si="46"/>
        <v>0</v>
      </c>
      <c r="AP229" s="290">
        <f t="shared" si="47"/>
        <v>984</v>
      </c>
      <c r="AQ229" s="290">
        <f t="shared" si="48"/>
        <v>984</v>
      </c>
      <c r="AR229" s="293"/>
      <c r="AS229" s="266"/>
    </row>
    <row r="230" s="215" customFormat="1" ht="39" customHeight="1" spans="1:45">
      <c r="A230" s="254">
        <v>45812</v>
      </c>
      <c r="B230" s="249" t="s">
        <v>846</v>
      </c>
      <c r="C230" s="265" t="s">
        <v>138</v>
      </c>
      <c r="D230" s="256">
        <v>4500168926</v>
      </c>
      <c r="E230" s="257">
        <v>3501527846</v>
      </c>
      <c r="F230" s="267" t="s">
        <v>1094</v>
      </c>
      <c r="G230" s="253" t="s">
        <v>62</v>
      </c>
      <c r="H230" s="253" t="s">
        <v>63</v>
      </c>
      <c r="I230" s="251">
        <v>606</v>
      </c>
      <c r="J230" s="251">
        <v>0</v>
      </c>
      <c r="K230" s="251">
        <v>6</v>
      </c>
      <c r="L230" s="251">
        <f t="shared" si="52"/>
        <v>101</v>
      </c>
      <c r="M230" s="274">
        <v>45847</v>
      </c>
      <c r="N230" s="274">
        <v>45843</v>
      </c>
      <c r="O230" s="274" t="s">
        <v>1095</v>
      </c>
      <c r="P230" s="274" t="s">
        <v>49</v>
      </c>
      <c r="Q230" s="274"/>
      <c r="R230" s="274" t="s">
        <v>871</v>
      </c>
      <c r="S230" s="277" t="s">
        <v>50</v>
      </c>
      <c r="T230" s="277">
        <v>45818</v>
      </c>
      <c r="U230" s="277">
        <v>45820</v>
      </c>
      <c r="V230" s="274"/>
      <c r="W230" s="274"/>
      <c r="X230" s="278" t="s">
        <v>1096</v>
      </c>
      <c r="Y230" s="261" t="s">
        <v>850</v>
      </c>
      <c r="Z230" s="281">
        <v>3.5505</v>
      </c>
      <c r="AA230" s="282">
        <f t="shared" si="51"/>
        <v>2151.603</v>
      </c>
      <c r="AB230" s="251" t="s">
        <v>1097</v>
      </c>
      <c r="AC230" s="252" t="s">
        <v>71</v>
      </c>
      <c r="AD230" s="251" t="s">
        <v>56</v>
      </c>
      <c r="AE230" s="303">
        <f t="shared" si="53"/>
        <v>606</v>
      </c>
      <c r="AF230" s="251">
        <f t="shared" si="50"/>
        <v>0</v>
      </c>
      <c r="AG230" s="266"/>
      <c r="AH230" s="266"/>
      <c r="AI230" s="253" t="s">
        <v>72</v>
      </c>
      <c r="AJ230" s="251">
        <v>2</v>
      </c>
      <c r="AK230" s="253" t="s">
        <v>73</v>
      </c>
      <c r="AL230" s="251">
        <v>0</v>
      </c>
      <c r="AM230" s="251"/>
      <c r="AN230" s="251">
        <f t="shared" si="45"/>
        <v>606</v>
      </c>
      <c r="AO230" s="290">
        <f t="shared" si="46"/>
        <v>0</v>
      </c>
      <c r="AP230" s="290">
        <f t="shared" si="47"/>
        <v>606</v>
      </c>
      <c r="AQ230" s="290">
        <f t="shared" si="48"/>
        <v>606</v>
      </c>
      <c r="AR230" s="293"/>
      <c r="AS230" s="266"/>
    </row>
    <row r="231" s="215" customFormat="1" ht="39" customHeight="1" spans="1:45">
      <c r="A231" s="254">
        <v>45807</v>
      </c>
      <c r="B231" s="249" t="s">
        <v>74</v>
      </c>
      <c r="C231" s="265" t="s">
        <v>44</v>
      </c>
      <c r="D231" s="256">
        <v>4500168560</v>
      </c>
      <c r="E231" s="257" t="s">
        <v>1098</v>
      </c>
      <c r="F231" s="267" t="s">
        <v>1099</v>
      </c>
      <c r="G231" s="253" t="s">
        <v>62</v>
      </c>
      <c r="H231" s="253" t="s">
        <v>63</v>
      </c>
      <c r="I231" s="251">
        <v>1260</v>
      </c>
      <c r="J231" s="251">
        <v>0</v>
      </c>
      <c r="K231" s="251">
        <v>6</v>
      </c>
      <c r="L231" s="251">
        <f t="shared" si="52"/>
        <v>210</v>
      </c>
      <c r="M231" s="274">
        <v>45848</v>
      </c>
      <c r="N231" s="274">
        <v>45845</v>
      </c>
      <c r="O231" s="274"/>
      <c r="P231" s="274" t="s">
        <v>49</v>
      </c>
      <c r="Q231" s="274"/>
      <c r="R231" s="274" t="s">
        <v>871</v>
      </c>
      <c r="S231" s="277" t="s">
        <v>77</v>
      </c>
      <c r="T231" s="277">
        <v>45817</v>
      </c>
      <c r="U231" s="277">
        <v>45828</v>
      </c>
      <c r="V231" s="274"/>
      <c r="W231" s="274"/>
      <c r="X231" s="278" t="s">
        <v>940</v>
      </c>
      <c r="Y231" s="261" t="s">
        <v>116</v>
      </c>
      <c r="Z231" s="281">
        <v>1.9997</v>
      </c>
      <c r="AA231" s="282">
        <f t="shared" si="51"/>
        <v>2519.622</v>
      </c>
      <c r="AB231" s="251" t="s">
        <v>1100</v>
      </c>
      <c r="AC231" s="252" t="s">
        <v>62</v>
      </c>
      <c r="AD231" s="251" t="s">
        <v>56</v>
      </c>
      <c r="AE231" s="303">
        <f t="shared" si="53"/>
        <v>1260</v>
      </c>
      <c r="AF231" s="251">
        <f t="shared" si="50"/>
        <v>0</v>
      </c>
      <c r="AG231" s="266"/>
      <c r="AH231" s="266"/>
      <c r="AI231" s="253" t="s">
        <v>57</v>
      </c>
      <c r="AJ231" s="251">
        <v>0</v>
      </c>
      <c r="AK231" s="253" t="s">
        <v>73</v>
      </c>
      <c r="AL231" s="251">
        <v>0</v>
      </c>
      <c r="AM231" s="251"/>
      <c r="AN231" s="251">
        <f t="shared" si="45"/>
        <v>1260</v>
      </c>
      <c r="AO231" s="290">
        <f t="shared" si="46"/>
        <v>1260</v>
      </c>
      <c r="AP231" s="290" t="b">
        <f t="shared" si="47"/>
        <v>0</v>
      </c>
      <c r="AQ231" s="290">
        <f t="shared" si="48"/>
        <v>1260</v>
      </c>
      <c r="AR231" s="293"/>
      <c r="AS231" s="266"/>
    </row>
    <row r="232" s="215" customFormat="1" ht="39" customHeight="1" spans="1:45">
      <c r="A232" s="254">
        <v>45806</v>
      </c>
      <c r="B232" s="249" t="s">
        <v>1101</v>
      </c>
      <c r="C232" s="265" t="s">
        <v>66</v>
      </c>
      <c r="D232" s="256">
        <v>4500167790</v>
      </c>
      <c r="E232" s="257"/>
      <c r="F232" s="267" t="s">
        <v>1102</v>
      </c>
      <c r="G232" s="253" t="s">
        <v>62</v>
      </c>
      <c r="H232" s="253" t="s">
        <v>63</v>
      </c>
      <c r="I232" s="251">
        <v>1152</v>
      </c>
      <c r="J232" s="251">
        <v>0</v>
      </c>
      <c r="K232" s="251">
        <v>6</v>
      </c>
      <c r="L232" s="251">
        <f t="shared" si="52"/>
        <v>192</v>
      </c>
      <c r="M232" s="274">
        <v>45852</v>
      </c>
      <c r="N232" s="274">
        <v>45848</v>
      </c>
      <c r="O232" s="274" t="s">
        <v>1103</v>
      </c>
      <c r="P232" s="274" t="s">
        <v>49</v>
      </c>
      <c r="Q232" s="274"/>
      <c r="R232" s="274" t="s">
        <v>56</v>
      </c>
      <c r="S232" s="277" t="s">
        <v>871</v>
      </c>
      <c r="T232" s="277">
        <v>45813</v>
      </c>
      <c r="U232" s="277">
        <v>45831</v>
      </c>
      <c r="V232" s="274"/>
      <c r="W232" s="274"/>
      <c r="X232" s="278" t="s">
        <v>1104</v>
      </c>
      <c r="Y232" s="261" t="s">
        <v>945</v>
      </c>
      <c r="Z232" s="281">
        <v>3.5373</v>
      </c>
      <c r="AA232" s="282">
        <f t="shared" si="51"/>
        <v>4074.9696</v>
      </c>
      <c r="AB232" s="251" t="s">
        <v>1105</v>
      </c>
      <c r="AC232" s="252" t="s">
        <v>71</v>
      </c>
      <c r="AD232" s="251" t="s">
        <v>56</v>
      </c>
      <c r="AE232" s="303">
        <f t="shared" si="53"/>
        <v>1152</v>
      </c>
      <c r="AF232" s="251">
        <f t="shared" si="50"/>
        <v>0</v>
      </c>
      <c r="AG232" s="266"/>
      <c r="AH232" s="266"/>
      <c r="AI232" s="253" t="s">
        <v>72</v>
      </c>
      <c r="AJ232" s="251">
        <v>2</v>
      </c>
      <c r="AK232" s="253" t="s">
        <v>73</v>
      </c>
      <c r="AL232" s="251">
        <v>0</v>
      </c>
      <c r="AM232" s="251"/>
      <c r="AN232" s="251">
        <f t="shared" si="45"/>
        <v>1152</v>
      </c>
      <c r="AO232" s="290">
        <f t="shared" si="46"/>
        <v>0</v>
      </c>
      <c r="AP232" s="290">
        <f t="shared" si="47"/>
        <v>1152</v>
      </c>
      <c r="AQ232" s="290">
        <f t="shared" si="48"/>
        <v>1152</v>
      </c>
      <c r="AR232" s="293"/>
      <c r="AS232" s="266"/>
    </row>
    <row r="233" s="215" customFormat="1" ht="39" customHeight="1" spans="1:45">
      <c r="A233" s="254">
        <v>45811</v>
      </c>
      <c r="B233" s="249" t="s">
        <v>423</v>
      </c>
      <c r="C233" s="265" t="s">
        <v>424</v>
      </c>
      <c r="D233" s="256">
        <v>4500168730</v>
      </c>
      <c r="E233" s="257"/>
      <c r="F233" s="267" t="s">
        <v>1106</v>
      </c>
      <c r="G233" s="253" t="s">
        <v>62</v>
      </c>
      <c r="H233" s="253" t="s">
        <v>63</v>
      </c>
      <c r="I233" s="251">
        <v>552</v>
      </c>
      <c r="J233" s="251">
        <v>0</v>
      </c>
      <c r="K233" s="251">
        <v>6</v>
      </c>
      <c r="L233" s="251">
        <f t="shared" si="52"/>
        <v>92</v>
      </c>
      <c r="M233" s="274">
        <v>45848</v>
      </c>
      <c r="N233" s="274">
        <v>45845</v>
      </c>
      <c r="O233" s="274"/>
      <c r="P233" s="274" t="s">
        <v>49</v>
      </c>
      <c r="Q233" s="274"/>
      <c r="R233" s="274" t="s">
        <v>871</v>
      </c>
      <c r="S233" s="277" t="s">
        <v>50</v>
      </c>
      <c r="T233" s="277">
        <v>45814</v>
      </c>
      <c r="U233" s="277">
        <v>45824</v>
      </c>
      <c r="V233" s="274"/>
      <c r="W233" s="274"/>
      <c r="X233" s="278" t="s">
        <v>1107</v>
      </c>
      <c r="Y233" s="261" t="s">
        <v>1108</v>
      </c>
      <c r="Z233" s="281">
        <v>3.5505</v>
      </c>
      <c r="AA233" s="282">
        <f t="shared" si="51"/>
        <v>1959.876</v>
      </c>
      <c r="AB233" s="304" t="s">
        <v>1109</v>
      </c>
      <c r="AC233" s="252" t="s">
        <v>62</v>
      </c>
      <c r="AD233" s="251" t="s">
        <v>56</v>
      </c>
      <c r="AE233" s="251">
        <f t="shared" ref="AE233:AE252" si="54">I233</f>
        <v>552</v>
      </c>
      <c r="AF233" s="251">
        <f t="shared" si="50"/>
        <v>0</v>
      </c>
      <c r="AG233" s="266"/>
      <c r="AH233" s="266"/>
      <c r="AI233" s="253" t="s">
        <v>57</v>
      </c>
      <c r="AJ233" s="251">
        <v>0</v>
      </c>
      <c r="AK233" s="253" t="s">
        <v>73</v>
      </c>
      <c r="AL233" s="251">
        <v>0</v>
      </c>
      <c r="AM233" s="251"/>
      <c r="AN233" s="251">
        <f t="shared" si="45"/>
        <v>552</v>
      </c>
      <c r="AO233" s="290">
        <f t="shared" si="46"/>
        <v>552</v>
      </c>
      <c r="AP233" s="290" t="b">
        <f t="shared" si="47"/>
        <v>0</v>
      </c>
      <c r="AQ233" s="290">
        <f t="shared" si="48"/>
        <v>552</v>
      </c>
      <c r="AR233" s="293"/>
      <c r="AS233" s="266"/>
    </row>
    <row r="234" s="215" customFormat="1" ht="39" customHeight="1" spans="1:45">
      <c r="A234" s="254">
        <v>45811</v>
      </c>
      <c r="B234" s="249" t="s">
        <v>1110</v>
      </c>
      <c r="C234" s="265" t="s">
        <v>1111</v>
      </c>
      <c r="D234" s="256">
        <v>4500168801</v>
      </c>
      <c r="E234" s="257">
        <v>1158191</v>
      </c>
      <c r="F234" s="267" t="s">
        <v>1112</v>
      </c>
      <c r="G234" s="253" t="s">
        <v>62</v>
      </c>
      <c r="H234" s="253" t="s">
        <v>63</v>
      </c>
      <c r="I234" s="251">
        <v>1200</v>
      </c>
      <c r="J234" s="251">
        <v>0</v>
      </c>
      <c r="K234" s="251">
        <v>6</v>
      </c>
      <c r="L234" s="251">
        <f t="shared" si="52"/>
        <v>200</v>
      </c>
      <c r="M234" s="274">
        <v>45853</v>
      </c>
      <c r="N234" s="274">
        <v>45849</v>
      </c>
      <c r="O234" s="274"/>
      <c r="P234" s="274" t="s">
        <v>49</v>
      </c>
      <c r="Q234" s="274"/>
      <c r="R234" s="274" t="s">
        <v>871</v>
      </c>
      <c r="S234" s="277" t="s">
        <v>871</v>
      </c>
      <c r="T234" s="277">
        <v>45811</v>
      </c>
      <c r="U234" s="277">
        <v>45828</v>
      </c>
      <c r="V234" s="274" t="s">
        <v>1013</v>
      </c>
      <c r="W234" s="274"/>
      <c r="X234" s="278" t="s">
        <v>1113</v>
      </c>
      <c r="Y234" s="261" t="s">
        <v>597</v>
      </c>
      <c r="Z234" s="281">
        <v>3.3328</v>
      </c>
      <c r="AA234" s="282">
        <f t="shared" si="51"/>
        <v>3999.36</v>
      </c>
      <c r="AB234" s="251" t="s">
        <v>1114</v>
      </c>
      <c r="AC234" s="252" t="s">
        <v>858</v>
      </c>
      <c r="AD234" s="251" t="s">
        <v>56</v>
      </c>
      <c r="AE234" s="251">
        <f t="shared" si="54"/>
        <v>1200</v>
      </c>
      <c r="AF234" s="251">
        <f t="shared" si="50"/>
        <v>0</v>
      </c>
      <c r="AG234" s="266"/>
      <c r="AH234" s="266"/>
      <c r="AI234" s="253" t="s">
        <v>72</v>
      </c>
      <c r="AJ234" s="251">
        <v>2</v>
      </c>
      <c r="AK234" s="253" t="s">
        <v>136</v>
      </c>
      <c r="AL234" s="251">
        <v>1</v>
      </c>
      <c r="AM234" s="251"/>
      <c r="AN234" s="251">
        <f t="shared" si="45"/>
        <v>1200</v>
      </c>
      <c r="AO234" s="290">
        <f t="shared" si="46"/>
        <v>0</v>
      </c>
      <c r="AP234" s="290">
        <f t="shared" si="47"/>
        <v>1200</v>
      </c>
      <c r="AQ234" s="290">
        <f t="shared" si="48"/>
        <v>0</v>
      </c>
      <c r="AR234" s="293"/>
      <c r="AS234" s="266"/>
    </row>
    <row r="235" s="215" customFormat="1" ht="39" customHeight="1" spans="1:45">
      <c r="A235" s="254">
        <v>45785</v>
      </c>
      <c r="B235" s="249" t="s">
        <v>1016</v>
      </c>
      <c r="C235" s="265" t="s">
        <v>104</v>
      </c>
      <c r="D235" s="256">
        <v>4500165776</v>
      </c>
      <c r="E235" s="257">
        <v>4400482768</v>
      </c>
      <c r="F235" s="256" t="s">
        <v>1115</v>
      </c>
      <c r="G235" s="253" t="s">
        <v>62</v>
      </c>
      <c r="H235" s="253" t="s">
        <v>63</v>
      </c>
      <c r="I235" s="251">
        <v>1200</v>
      </c>
      <c r="J235" s="251">
        <v>0</v>
      </c>
      <c r="K235" s="251">
        <v>6</v>
      </c>
      <c r="L235" s="251">
        <f t="shared" si="52"/>
        <v>200</v>
      </c>
      <c r="M235" s="274">
        <v>45854</v>
      </c>
      <c r="N235" s="274">
        <v>45850</v>
      </c>
      <c r="O235" s="274"/>
      <c r="P235" s="274" t="s">
        <v>49</v>
      </c>
      <c r="Q235" s="274"/>
      <c r="R235" s="274" t="s">
        <v>871</v>
      </c>
      <c r="S235" s="277" t="s">
        <v>50</v>
      </c>
      <c r="T235" s="277">
        <v>45785</v>
      </c>
      <c r="U235" s="277" t="s">
        <v>1116</v>
      </c>
      <c r="V235" s="274"/>
      <c r="W235" s="274"/>
      <c r="X235" s="278" t="s">
        <v>1117</v>
      </c>
      <c r="Y235" s="261" t="s">
        <v>1020</v>
      </c>
      <c r="Z235" s="281">
        <v>3.5373</v>
      </c>
      <c r="AA235" s="282">
        <f t="shared" si="51"/>
        <v>4244.76</v>
      </c>
      <c r="AB235" s="251" t="s">
        <v>1118</v>
      </c>
      <c r="AC235" s="252" t="s">
        <v>71</v>
      </c>
      <c r="AD235" s="251" t="s">
        <v>56</v>
      </c>
      <c r="AE235" s="251">
        <f t="shared" si="54"/>
        <v>1200</v>
      </c>
      <c r="AF235" s="251">
        <f t="shared" si="50"/>
        <v>0</v>
      </c>
      <c r="AG235" s="266"/>
      <c r="AH235" s="266"/>
      <c r="AI235" s="253" t="s">
        <v>72</v>
      </c>
      <c r="AJ235" s="251">
        <v>2</v>
      </c>
      <c r="AK235" s="253" t="s">
        <v>73</v>
      </c>
      <c r="AL235" s="251">
        <v>0</v>
      </c>
      <c r="AM235" s="251"/>
      <c r="AN235" s="251">
        <f t="shared" si="45"/>
        <v>1200</v>
      </c>
      <c r="AO235" s="290">
        <f t="shared" si="46"/>
        <v>0</v>
      </c>
      <c r="AP235" s="290">
        <f t="shared" si="47"/>
        <v>1200</v>
      </c>
      <c r="AQ235" s="290">
        <f t="shared" si="48"/>
        <v>1200</v>
      </c>
      <c r="AR235" s="293"/>
      <c r="AS235" s="266"/>
    </row>
    <row r="236" s="215" customFormat="1" ht="39" hidden="1" customHeight="1" spans="1:45">
      <c r="A236" s="254">
        <v>45818</v>
      </c>
      <c r="B236" s="249" t="s">
        <v>676</v>
      </c>
      <c r="C236" s="265" t="s">
        <v>44</v>
      </c>
      <c r="D236" s="256">
        <v>4500169495</v>
      </c>
      <c r="E236" s="257" t="s">
        <v>1119</v>
      </c>
      <c r="F236" s="267" t="s">
        <v>1120</v>
      </c>
      <c r="G236" s="253" t="s">
        <v>258</v>
      </c>
      <c r="H236" s="253" t="s">
        <v>63</v>
      </c>
      <c r="I236" s="251">
        <v>1362</v>
      </c>
      <c r="J236" s="251">
        <v>0</v>
      </c>
      <c r="K236" s="251">
        <v>6</v>
      </c>
      <c r="L236" s="251">
        <f t="shared" si="52"/>
        <v>227</v>
      </c>
      <c r="M236" s="274">
        <v>45855</v>
      </c>
      <c r="N236" s="274">
        <v>45852</v>
      </c>
      <c r="O236" s="274"/>
      <c r="P236" s="274" t="s">
        <v>49</v>
      </c>
      <c r="Q236" s="274"/>
      <c r="R236" s="274" t="s">
        <v>871</v>
      </c>
      <c r="S236" s="277" t="s">
        <v>50</v>
      </c>
      <c r="T236" s="277">
        <v>45818</v>
      </c>
      <c r="U236" s="277" t="s">
        <v>50</v>
      </c>
      <c r="V236" s="274"/>
      <c r="W236" s="302"/>
      <c r="X236" s="278" t="s">
        <v>1121</v>
      </c>
      <c r="Y236" s="261" t="s">
        <v>679</v>
      </c>
      <c r="Z236" s="281">
        <v>2.1224</v>
      </c>
      <c r="AA236" s="282">
        <f t="shared" si="51"/>
        <v>2890.7088</v>
      </c>
      <c r="AB236" s="251" t="s">
        <v>1122</v>
      </c>
      <c r="AC236" s="252" t="s">
        <v>62</v>
      </c>
      <c r="AD236" s="251" t="s">
        <v>56</v>
      </c>
      <c r="AE236" s="251">
        <f t="shared" si="54"/>
        <v>1362</v>
      </c>
      <c r="AF236" s="251">
        <f t="shared" si="50"/>
        <v>0</v>
      </c>
      <c r="AG236" s="266"/>
      <c r="AH236" s="266"/>
      <c r="AI236" s="253" t="s">
        <v>57</v>
      </c>
      <c r="AJ236" s="251">
        <v>0</v>
      </c>
      <c r="AK236" s="253" t="s">
        <v>73</v>
      </c>
      <c r="AL236" s="251">
        <v>0</v>
      </c>
      <c r="AM236" s="251"/>
      <c r="AN236" s="251">
        <f t="shared" si="45"/>
        <v>1362</v>
      </c>
      <c r="AO236" s="290">
        <f t="shared" si="46"/>
        <v>1362</v>
      </c>
      <c r="AP236" s="290" t="b">
        <f t="shared" si="47"/>
        <v>0</v>
      </c>
      <c r="AQ236" s="290">
        <f t="shared" si="48"/>
        <v>1362</v>
      </c>
      <c r="AR236" s="293"/>
      <c r="AS236" s="266"/>
    </row>
    <row r="237" s="215" customFormat="1" ht="39" customHeight="1" spans="1:45">
      <c r="A237" s="254">
        <v>45798</v>
      </c>
      <c r="B237" s="249" t="s">
        <v>1123</v>
      </c>
      <c r="C237" s="265" t="s">
        <v>688</v>
      </c>
      <c r="D237" s="256">
        <v>4500167463</v>
      </c>
      <c r="E237" s="257" t="s">
        <v>1124</v>
      </c>
      <c r="F237" s="256" t="s">
        <v>1125</v>
      </c>
      <c r="G237" s="253" t="s">
        <v>62</v>
      </c>
      <c r="H237" s="253" t="s">
        <v>63</v>
      </c>
      <c r="I237" s="251">
        <v>180</v>
      </c>
      <c r="J237" s="251">
        <v>0</v>
      </c>
      <c r="K237" s="251">
        <v>6</v>
      </c>
      <c r="L237" s="251">
        <f t="shared" si="52"/>
        <v>30</v>
      </c>
      <c r="M237" s="274">
        <v>45856</v>
      </c>
      <c r="N237" s="274">
        <v>45852</v>
      </c>
      <c r="O237" s="274"/>
      <c r="P237" s="274" t="s">
        <v>49</v>
      </c>
      <c r="Q237" s="274"/>
      <c r="R237" s="274" t="s">
        <v>871</v>
      </c>
      <c r="S237" s="277" t="s">
        <v>50</v>
      </c>
      <c r="T237" s="277">
        <v>45813</v>
      </c>
      <c r="U237" s="277">
        <v>45831</v>
      </c>
      <c r="V237" s="274"/>
      <c r="W237" s="274"/>
      <c r="X237" s="278" t="s">
        <v>1126</v>
      </c>
      <c r="Y237" s="261" t="s">
        <v>205</v>
      </c>
      <c r="Z237" s="281">
        <v>3.5632</v>
      </c>
      <c r="AA237" s="282">
        <f t="shared" si="51"/>
        <v>641.376</v>
      </c>
      <c r="AB237" s="251" t="s">
        <v>1127</v>
      </c>
      <c r="AC237" s="252" t="s">
        <v>71</v>
      </c>
      <c r="AD237" s="251" t="s">
        <v>56</v>
      </c>
      <c r="AE237" s="251">
        <f t="shared" si="54"/>
        <v>180</v>
      </c>
      <c r="AF237" s="251">
        <f t="shared" si="50"/>
        <v>0</v>
      </c>
      <c r="AG237" s="266"/>
      <c r="AH237" s="266"/>
      <c r="AI237" s="253" t="s">
        <v>72</v>
      </c>
      <c r="AJ237" s="251">
        <v>2</v>
      </c>
      <c r="AK237" s="253" t="s">
        <v>73</v>
      </c>
      <c r="AL237" s="251">
        <v>0</v>
      </c>
      <c r="AM237" s="251"/>
      <c r="AN237" s="251">
        <f t="shared" si="45"/>
        <v>180</v>
      </c>
      <c r="AO237" s="290">
        <f t="shared" si="46"/>
        <v>0</v>
      </c>
      <c r="AP237" s="290">
        <f t="shared" si="47"/>
        <v>180</v>
      </c>
      <c r="AQ237" s="290">
        <f t="shared" si="48"/>
        <v>180</v>
      </c>
      <c r="AR237" s="293"/>
      <c r="AS237" s="266"/>
    </row>
    <row r="238" s="215" customFormat="1" ht="39" customHeight="1" spans="1:45">
      <c r="A238" s="254">
        <v>45814</v>
      </c>
      <c r="B238" s="249" t="s">
        <v>118</v>
      </c>
      <c r="C238" s="265" t="s">
        <v>119</v>
      </c>
      <c r="D238" s="256">
        <v>4500169306</v>
      </c>
      <c r="E238" s="257">
        <v>2000007581</v>
      </c>
      <c r="F238" s="267" t="s">
        <v>1128</v>
      </c>
      <c r="G238" s="253" t="s">
        <v>62</v>
      </c>
      <c r="H238" s="253" t="s">
        <v>63</v>
      </c>
      <c r="I238" s="251">
        <v>768</v>
      </c>
      <c r="J238" s="251">
        <v>0</v>
      </c>
      <c r="K238" s="251">
        <v>6</v>
      </c>
      <c r="L238" s="251">
        <f t="shared" si="52"/>
        <v>128</v>
      </c>
      <c r="M238" s="274">
        <v>45859</v>
      </c>
      <c r="N238" s="274">
        <f>M238-4</f>
        <v>45855</v>
      </c>
      <c r="O238" s="274">
        <v>45860</v>
      </c>
      <c r="P238" s="274" t="s">
        <v>49</v>
      </c>
      <c r="Q238" s="274"/>
      <c r="R238" s="274" t="s">
        <v>77</v>
      </c>
      <c r="S238" s="277" t="s">
        <v>50</v>
      </c>
      <c r="T238" s="277">
        <v>45820</v>
      </c>
      <c r="U238" s="277" t="s">
        <v>1129</v>
      </c>
      <c r="V238" s="274"/>
      <c r="W238" s="302" t="s">
        <v>1130</v>
      </c>
      <c r="X238" s="278" t="s">
        <v>1131</v>
      </c>
      <c r="Y238" s="261" t="s">
        <v>978</v>
      </c>
      <c r="Z238" s="281">
        <v>3.346</v>
      </c>
      <c r="AA238" s="282">
        <f t="shared" si="51"/>
        <v>2569.728</v>
      </c>
      <c r="AB238" s="251" t="s">
        <v>1132</v>
      </c>
      <c r="AC238" s="252" t="s">
        <v>71</v>
      </c>
      <c r="AD238" s="251" t="s">
        <v>56</v>
      </c>
      <c r="AE238" s="251">
        <f t="shared" si="54"/>
        <v>768</v>
      </c>
      <c r="AF238" s="251">
        <f t="shared" si="50"/>
        <v>0</v>
      </c>
      <c r="AG238" s="266"/>
      <c r="AH238" s="266"/>
      <c r="AI238" s="253" t="s">
        <v>72</v>
      </c>
      <c r="AJ238" s="251">
        <v>2</v>
      </c>
      <c r="AK238" s="253" t="s">
        <v>73</v>
      </c>
      <c r="AL238" s="251">
        <v>0</v>
      </c>
      <c r="AM238" s="251"/>
      <c r="AN238" s="251">
        <f t="shared" si="45"/>
        <v>768</v>
      </c>
      <c r="AO238" s="290">
        <f t="shared" si="46"/>
        <v>0</v>
      </c>
      <c r="AP238" s="290">
        <f t="shared" si="47"/>
        <v>768</v>
      </c>
      <c r="AQ238" s="290">
        <f t="shared" si="48"/>
        <v>768</v>
      </c>
      <c r="AR238" s="293"/>
      <c r="AS238" s="266"/>
    </row>
    <row r="239" s="215" customFormat="1" ht="39" hidden="1" customHeight="1" spans="1:45">
      <c r="A239" s="254">
        <v>45833</v>
      </c>
      <c r="B239" s="249" t="s">
        <v>838</v>
      </c>
      <c r="C239" s="265" t="s">
        <v>44</v>
      </c>
      <c r="D239" s="256">
        <v>4500171135</v>
      </c>
      <c r="E239" s="257" t="s">
        <v>1133</v>
      </c>
      <c r="F239" s="267" t="s">
        <v>1134</v>
      </c>
      <c r="G239" s="253" t="s">
        <v>46</v>
      </c>
      <c r="H239" s="253" t="s">
        <v>47</v>
      </c>
      <c r="I239" s="251">
        <v>1568</v>
      </c>
      <c r="J239" s="251">
        <v>0</v>
      </c>
      <c r="K239" s="251">
        <v>98</v>
      </c>
      <c r="L239" s="251">
        <f t="shared" si="52"/>
        <v>16</v>
      </c>
      <c r="M239" s="274">
        <v>45861</v>
      </c>
      <c r="N239" s="274">
        <v>45857</v>
      </c>
      <c r="O239" s="274">
        <v>45861</v>
      </c>
      <c r="P239" s="274" t="s">
        <v>49</v>
      </c>
      <c r="Q239" s="274"/>
      <c r="R239" s="274" t="s">
        <v>871</v>
      </c>
      <c r="S239" s="277" t="s">
        <v>50</v>
      </c>
      <c r="T239" s="277" t="s">
        <v>1135</v>
      </c>
      <c r="U239" s="277" t="s">
        <v>1136</v>
      </c>
      <c r="V239" s="274"/>
      <c r="W239" s="302" t="s">
        <v>1137</v>
      </c>
      <c r="X239" s="278" t="s">
        <v>1138</v>
      </c>
      <c r="Y239" s="261" t="s">
        <v>844</v>
      </c>
      <c r="Z239" s="281">
        <v>216.4925</v>
      </c>
      <c r="AA239" s="282">
        <f>Z239*L239</f>
        <v>3463.88</v>
      </c>
      <c r="AB239" s="251" t="s">
        <v>1139</v>
      </c>
      <c r="AC239" s="252" t="s">
        <v>46</v>
      </c>
      <c r="AD239" s="251" t="s">
        <v>56</v>
      </c>
      <c r="AE239" s="251">
        <f t="shared" si="54"/>
        <v>1568</v>
      </c>
      <c r="AF239" s="251">
        <f t="shared" si="50"/>
        <v>0</v>
      </c>
      <c r="AG239" s="266"/>
      <c r="AH239" s="266"/>
      <c r="AI239" s="253" t="s">
        <v>57</v>
      </c>
      <c r="AJ239" s="251">
        <v>0</v>
      </c>
      <c r="AK239" s="253" t="s">
        <v>73</v>
      </c>
      <c r="AL239" s="251">
        <v>0</v>
      </c>
      <c r="AM239" s="251"/>
      <c r="AN239" s="251">
        <f t="shared" si="45"/>
        <v>1568</v>
      </c>
      <c r="AO239" s="290">
        <f t="shared" si="46"/>
        <v>1568</v>
      </c>
      <c r="AP239" s="290" t="b">
        <f t="shared" si="47"/>
        <v>0</v>
      </c>
      <c r="AQ239" s="290">
        <f t="shared" si="48"/>
        <v>1568</v>
      </c>
      <c r="AR239" s="293"/>
      <c r="AS239" s="266"/>
    </row>
    <row r="240" s="215" customFormat="1" ht="39" customHeight="1" spans="1:45">
      <c r="A240" s="254">
        <v>45771</v>
      </c>
      <c r="B240" s="249" t="s">
        <v>1140</v>
      </c>
      <c r="C240" s="265" t="s">
        <v>782</v>
      </c>
      <c r="D240" s="256">
        <v>4500164774</v>
      </c>
      <c r="E240" s="257" t="s">
        <v>1141</v>
      </c>
      <c r="F240" s="267" t="s">
        <v>1142</v>
      </c>
      <c r="G240" s="253" t="s">
        <v>62</v>
      </c>
      <c r="H240" s="253" t="s">
        <v>63</v>
      </c>
      <c r="I240" s="251">
        <v>120</v>
      </c>
      <c r="J240" s="251">
        <v>0</v>
      </c>
      <c r="K240" s="251">
        <v>6</v>
      </c>
      <c r="L240" s="251">
        <f t="shared" si="52"/>
        <v>20</v>
      </c>
      <c r="M240" s="274">
        <v>45859</v>
      </c>
      <c r="N240" s="274">
        <f>M240-4</f>
        <v>45855</v>
      </c>
      <c r="O240" s="274"/>
      <c r="P240" s="274" t="s">
        <v>49</v>
      </c>
      <c r="Q240" s="274"/>
      <c r="R240" s="274" t="s">
        <v>871</v>
      </c>
      <c r="S240" s="277" t="s">
        <v>50</v>
      </c>
      <c r="T240" s="277">
        <v>45821</v>
      </c>
      <c r="U240" s="277">
        <v>45840</v>
      </c>
      <c r="V240" s="274"/>
      <c r="W240" s="302" t="s">
        <v>1143</v>
      </c>
      <c r="X240" s="278" t="s">
        <v>1144</v>
      </c>
      <c r="Y240" s="261" t="s">
        <v>205</v>
      </c>
      <c r="Z240" s="281">
        <v>3.5632</v>
      </c>
      <c r="AA240" s="282">
        <f t="shared" ref="AA240:AA249" si="55">I240*Z240</f>
        <v>427.584</v>
      </c>
      <c r="AB240" s="251" t="s">
        <v>1145</v>
      </c>
      <c r="AC240" s="252" t="s">
        <v>71</v>
      </c>
      <c r="AD240" s="251" t="s">
        <v>56</v>
      </c>
      <c r="AE240" s="251">
        <f t="shared" si="54"/>
        <v>120</v>
      </c>
      <c r="AF240" s="251">
        <f t="shared" si="50"/>
        <v>0</v>
      </c>
      <c r="AG240" s="266"/>
      <c r="AH240" s="266"/>
      <c r="AI240" s="253" t="s">
        <v>72</v>
      </c>
      <c r="AJ240" s="251">
        <v>2</v>
      </c>
      <c r="AK240" s="253" t="s">
        <v>73</v>
      </c>
      <c r="AL240" s="251">
        <v>0</v>
      </c>
      <c r="AM240" s="251"/>
      <c r="AN240" s="251">
        <f t="shared" si="45"/>
        <v>120</v>
      </c>
      <c r="AO240" s="290">
        <f t="shared" si="46"/>
        <v>0</v>
      </c>
      <c r="AP240" s="290">
        <f t="shared" si="47"/>
        <v>120</v>
      </c>
      <c r="AQ240" s="290">
        <f t="shared" si="48"/>
        <v>120</v>
      </c>
      <c r="AR240" s="293"/>
      <c r="AS240" s="266"/>
    </row>
    <row r="241" s="215" customFormat="1" ht="39" customHeight="1" spans="1:45">
      <c r="A241" s="254">
        <v>45807</v>
      </c>
      <c r="B241" s="249" t="s">
        <v>1146</v>
      </c>
      <c r="C241" s="265" t="s">
        <v>44</v>
      </c>
      <c r="D241" s="256">
        <v>4500168600</v>
      </c>
      <c r="E241" s="257" t="s">
        <v>1147</v>
      </c>
      <c r="F241" s="267" t="s">
        <v>1148</v>
      </c>
      <c r="G241" s="253" t="s">
        <v>62</v>
      </c>
      <c r="H241" s="253" t="s">
        <v>63</v>
      </c>
      <c r="I241" s="251">
        <v>198</v>
      </c>
      <c r="J241" s="251">
        <v>0</v>
      </c>
      <c r="K241" s="251">
        <v>6</v>
      </c>
      <c r="L241" s="251">
        <f t="shared" si="52"/>
        <v>33</v>
      </c>
      <c r="M241" s="274">
        <v>45860</v>
      </c>
      <c r="N241" s="274">
        <v>45856</v>
      </c>
      <c r="O241" s="274"/>
      <c r="P241" s="274" t="s">
        <v>49</v>
      </c>
      <c r="Q241" s="274"/>
      <c r="R241" s="274" t="s">
        <v>871</v>
      </c>
      <c r="S241" s="277" t="s">
        <v>77</v>
      </c>
      <c r="T241" s="277">
        <v>45807</v>
      </c>
      <c r="U241" s="277">
        <v>45845</v>
      </c>
      <c r="V241" s="274"/>
      <c r="W241" s="302"/>
      <c r="X241" s="278" t="s">
        <v>1149</v>
      </c>
      <c r="Y241" s="261" t="s">
        <v>679</v>
      </c>
      <c r="Z241" s="281">
        <v>3.3587</v>
      </c>
      <c r="AA241" s="282">
        <f t="shared" si="55"/>
        <v>665.0226</v>
      </c>
      <c r="AB241" s="251" t="s">
        <v>1150</v>
      </c>
      <c r="AC241" s="252" t="s">
        <v>62</v>
      </c>
      <c r="AD241" s="251" t="s">
        <v>56</v>
      </c>
      <c r="AE241" s="251">
        <f t="shared" si="54"/>
        <v>198</v>
      </c>
      <c r="AF241" s="251">
        <f t="shared" si="50"/>
        <v>0</v>
      </c>
      <c r="AG241" s="266"/>
      <c r="AH241" s="266"/>
      <c r="AI241" s="253" t="s">
        <v>57</v>
      </c>
      <c r="AJ241" s="251">
        <v>0</v>
      </c>
      <c r="AK241" s="253" t="s">
        <v>73</v>
      </c>
      <c r="AL241" s="251">
        <v>0</v>
      </c>
      <c r="AM241" s="251"/>
      <c r="AN241" s="251">
        <f t="shared" si="45"/>
        <v>198</v>
      </c>
      <c r="AO241" s="290">
        <f t="shared" si="46"/>
        <v>198</v>
      </c>
      <c r="AP241" s="290" t="b">
        <f t="shared" si="47"/>
        <v>0</v>
      </c>
      <c r="AQ241" s="290">
        <f t="shared" si="48"/>
        <v>198</v>
      </c>
      <c r="AR241" s="293"/>
      <c r="AS241" s="266"/>
    </row>
    <row r="242" s="215" customFormat="1" ht="39" customHeight="1" spans="1:45">
      <c r="A242" s="254">
        <v>45826</v>
      </c>
      <c r="B242" s="249" t="s">
        <v>635</v>
      </c>
      <c r="C242" s="265" t="s">
        <v>182</v>
      </c>
      <c r="D242" s="256">
        <v>4500170480</v>
      </c>
      <c r="E242" s="257">
        <v>84438</v>
      </c>
      <c r="F242" s="267" t="s">
        <v>1151</v>
      </c>
      <c r="G242" s="253" t="s">
        <v>62</v>
      </c>
      <c r="H242" s="253" t="s">
        <v>63</v>
      </c>
      <c r="I242" s="251">
        <v>504</v>
      </c>
      <c r="J242" s="251">
        <v>0</v>
      </c>
      <c r="K242" s="251">
        <v>6</v>
      </c>
      <c r="L242" s="251">
        <f t="shared" si="52"/>
        <v>84</v>
      </c>
      <c r="M242" s="274">
        <v>45862</v>
      </c>
      <c r="N242" s="274">
        <v>45859</v>
      </c>
      <c r="O242" s="274"/>
      <c r="P242" s="274" t="s">
        <v>49</v>
      </c>
      <c r="Q242" s="274"/>
      <c r="R242" s="274" t="s">
        <v>871</v>
      </c>
      <c r="S242" s="277" t="s">
        <v>50</v>
      </c>
      <c r="T242" s="277">
        <v>45826</v>
      </c>
      <c r="U242" s="277" t="s">
        <v>1152</v>
      </c>
      <c r="V242" s="274"/>
      <c r="W242" s="302"/>
      <c r="X242" s="278" t="s">
        <v>1153</v>
      </c>
      <c r="Y242" s="261" t="s">
        <v>454</v>
      </c>
      <c r="Z242" s="281">
        <v>3.5505</v>
      </c>
      <c r="AA242" s="282">
        <f t="shared" si="55"/>
        <v>1789.452</v>
      </c>
      <c r="AB242" s="251" t="s">
        <v>1154</v>
      </c>
      <c r="AC242" s="252" t="s">
        <v>62</v>
      </c>
      <c r="AD242" s="251" t="s">
        <v>56</v>
      </c>
      <c r="AE242" s="251">
        <f t="shared" si="54"/>
        <v>504</v>
      </c>
      <c r="AF242" s="251">
        <f t="shared" si="50"/>
        <v>0</v>
      </c>
      <c r="AG242" s="266"/>
      <c r="AH242" s="266"/>
      <c r="AI242" s="253" t="s">
        <v>57</v>
      </c>
      <c r="AJ242" s="251">
        <v>0</v>
      </c>
      <c r="AK242" s="253" t="s">
        <v>73</v>
      </c>
      <c r="AL242" s="251">
        <v>0</v>
      </c>
      <c r="AM242" s="251"/>
      <c r="AN242" s="251">
        <f t="shared" si="45"/>
        <v>504</v>
      </c>
      <c r="AO242" s="290">
        <f t="shared" si="46"/>
        <v>504</v>
      </c>
      <c r="AP242" s="290" t="b">
        <f t="shared" si="47"/>
        <v>0</v>
      </c>
      <c r="AQ242" s="290">
        <f t="shared" si="48"/>
        <v>504</v>
      </c>
      <c r="AR242" s="293"/>
      <c r="AS242" s="266"/>
    </row>
    <row r="243" s="215" customFormat="1" ht="39" customHeight="1" spans="1:45">
      <c r="A243" s="254">
        <v>45827</v>
      </c>
      <c r="B243" s="249" t="s">
        <v>1155</v>
      </c>
      <c r="C243" s="265" t="s">
        <v>1156</v>
      </c>
      <c r="D243" s="256">
        <v>4500170580</v>
      </c>
      <c r="E243" s="257">
        <v>5000001921</v>
      </c>
      <c r="F243" s="267" t="s">
        <v>1157</v>
      </c>
      <c r="G243" s="253" t="s">
        <v>62</v>
      </c>
      <c r="H243" s="253" t="s">
        <v>63</v>
      </c>
      <c r="I243" s="251">
        <v>600</v>
      </c>
      <c r="J243" s="251">
        <v>0</v>
      </c>
      <c r="K243" s="251">
        <v>6</v>
      </c>
      <c r="L243" s="251">
        <f t="shared" si="52"/>
        <v>100</v>
      </c>
      <c r="M243" s="274">
        <v>45862</v>
      </c>
      <c r="N243" s="274">
        <v>45859</v>
      </c>
      <c r="O243" s="274"/>
      <c r="P243" s="274" t="s">
        <v>49</v>
      </c>
      <c r="Q243" s="274"/>
      <c r="R243" s="274" t="s">
        <v>871</v>
      </c>
      <c r="S243" s="277" t="s">
        <v>50</v>
      </c>
      <c r="T243" s="277">
        <v>45826</v>
      </c>
      <c r="U243" s="277" t="s">
        <v>1152</v>
      </c>
      <c r="V243" s="274"/>
      <c r="W243" s="302"/>
      <c r="X243" s="278" t="s">
        <v>1158</v>
      </c>
      <c r="Y243" s="261" t="s">
        <v>1159</v>
      </c>
      <c r="Z243" s="281">
        <v>3.346</v>
      </c>
      <c r="AA243" s="282">
        <f t="shared" si="55"/>
        <v>2007.6</v>
      </c>
      <c r="AB243" s="251" t="s">
        <v>1160</v>
      </c>
      <c r="AC243" s="252" t="s">
        <v>1161</v>
      </c>
      <c r="AD243" s="251" t="s">
        <v>56</v>
      </c>
      <c r="AE243" s="251">
        <f t="shared" si="54"/>
        <v>600</v>
      </c>
      <c r="AF243" s="251">
        <f t="shared" si="50"/>
        <v>0</v>
      </c>
      <c r="AG243" s="266"/>
      <c r="AH243" s="266"/>
      <c r="AI243" s="253" t="s">
        <v>57</v>
      </c>
      <c r="AJ243" s="251">
        <v>0</v>
      </c>
      <c r="AK243" s="253" t="s">
        <v>1162</v>
      </c>
      <c r="AL243" s="251">
        <v>1</v>
      </c>
      <c r="AM243" s="251"/>
      <c r="AN243" s="251">
        <f t="shared" si="45"/>
        <v>600</v>
      </c>
      <c r="AO243" s="290">
        <f t="shared" si="46"/>
        <v>600</v>
      </c>
      <c r="AP243" s="290" t="b">
        <f t="shared" si="47"/>
        <v>0</v>
      </c>
      <c r="AQ243" s="290">
        <f t="shared" si="48"/>
        <v>0</v>
      </c>
      <c r="AR243" s="293"/>
      <c r="AS243" s="266"/>
    </row>
    <row r="244" s="215" customFormat="1" ht="39" customHeight="1" spans="1:45">
      <c r="A244" s="254">
        <v>45821</v>
      </c>
      <c r="B244" s="249" t="s">
        <v>1163</v>
      </c>
      <c r="C244" s="265" t="s">
        <v>396</v>
      </c>
      <c r="D244" s="256">
        <v>4500169911</v>
      </c>
      <c r="E244" s="257">
        <v>4400491944</v>
      </c>
      <c r="F244" s="267" t="s">
        <v>1164</v>
      </c>
      <c r="G244" s="253" t="s">
        <v>62</v>
      </c>
      <c r="H244" s="253" t="s">
        <v>63</v>
      </c>
      <c r="I244" s="251">
        <v>1002</v>
      </c>
      <c r="J244" s="251">
        <v>0</v>
      </c>
      <c r="K244" s="251">
        <v>6</v>
      </c>
      <c r="L244" s="251">
        <f t="shared" si="52"/>
        <v>167</v>
      </c>
      <c r="M244" s="274">
        <v>45859</v>
      </c>
      <c r="N244" s="274">
        <v>45855</v>
      </c>
      <c r="O244" s="274"/>
      <c r="P244" s="274" t="s">
        <v>49</v>
      </c>
      <c r="Q244" s="274"/>
      <c r="R244" s="274" t="s">
        <v>871</v>
      </c>
      <c r="S244" s="277" t="s">
        <v>50</v>
      </c>
      <c r="T244" s="277">
        <v>45821</v>
      </c>
      <c r="U244" s="277" t="s">
        <v>50</v>
      </c>
      <c r="V244" s="274" t="s">
        <v>1165</v>
      </c>
      <c r="W244" s="302"/>
      <c r="X244" s="278" t="s">
        <v>1166</v>
      </c>
      <c r="Y244" s="261" t="s">
        <v>369</v>
      </c>
      <c r="Z244" s="281">
        <v>3.3573</v>
      </c>
      <c r="AA244" s="282">
        <f t="shared" si="55"/>
        <v>3364.0146</v>
      </c>
      <c r="AB244" s="251" t="s">
        <v>1167</v>
      </c>
      <c r="AC244" s="252" t="s">
        <v>1168</v>
      </c>
      <c r="AD244" s="251" t="s">
        <v>56</v>
      </c>
      <c r="AE244" s="251">
        <f t="shared" si="54"/>
        <v>1002</v>
      </c>
      <c r="AF244" s="251">
        <f t="shared" si="50"/>
        <v>0</v>
      </c>
      <c r="AG244" s="266"/>
      <c r="AH244" s="266"/>
      <c r="AI244" s="253" t="s">
        <v>1169</v>
      </c>
      <c r="AJ244" s="251">
        <v>1</v>
      </c>
      <c r="AK244" s="253" t="s">
        <v>1169</v>
      </c>
      <c r="AL244" s="251">
        <v>1</v>
      </c>
      <c r="AM244" s="251"/>
      <c r="AN244" s="251">
        <f t="shared" si="45"/>
        <v>1002</v>
      </c>
      <c r="AO244" s="290">
        <f t="shared" si="46"/>
        <v>0</v>
      </c>
      <c r="AP244" s="290">
        <f t="shared" si="47"/>
        <v>0</v>
      </c>
      <c r="AQ244" s="290">
        <f t="shared" si="48"/>
        <v>0</v>
      </c>
      <c r="AR244" s="293"/>
      <c r="AS244" s="266"/>
    </row>
    <row r="245" s="215" customFormat="1" ht="39" customHeight="1" spans="1:45">
      <c r="A245" s="254">
        <v>45826</v>
      </c>
      <c r="B245" s="249" t="s">
        <v>1170</v>
      </c>
      <c r="C245" s="265" t="s">
        <v>553</v>
      </c>
      <c r="D245" s="256">
        <v>4500170444</v>
      </c>
      <c r="E245" s="257" t="s">
        <v>1171</v>
      </c>
      <c r="F245" s="267" t="s">
        <v>1172</v>
      </c>
      <c r="G245" s="253" t="s">
        <v>62</v>
      </c>
      <c r="H245" s="253" t="s">
        <v>63</v>
      </c>
      <c r="I245" s="251">
        <v>78</v>
      </c>
      <c r="J245" s="251">
        <v>0</v>
      </c>
      <c r="K245" s="251">
        <v>6</v>
      </c>
      <c r="L245" s="251">
        <f t="shared" si="52"/>
        <v>13</v>
      </c>
      <c r="M245" s="274">
        <v>45859</v>
      </c>
      <c r="N245" s="274">
        <v>45855</v>
      </c>
      <c r="O245" s="274"/>
      <c r="P245" s="274" t="s">
        <v>49</v>
      </c>
      <c r="Q245" s="274"/>
      <c r="R245" s="274" t="s">
        <v>871</v>
      </c>
      <c r="S245" s="277" t="s">
        <v>50</v>
      </c>
      <c r="T245" s="277">
        <v>45832</v>
      </c>
      <c r="U245" s="277" t="s">
        <v>50</v>
      </c>
      <c r="V245" s="274"/>
      <c r="W245" s="302" t="s">
        <v>1173</v>
      </c>
      <c r="X245" s="278" t="s">
        <v>1174</v>
      </c>
      <c r="Y245" s="261" t="s">
        <v>1175</v>
      </c>
      <c r="Z245" s="281">
        <v>3.9973</v>
      </c>
      <c r="AA245" s="282">
        <f t="shared" si="55"/>
        <v>311.7894</v>
      </c>
      <c r="AB245" s="251" t="s">
        <v>1176</v>
      </c>
      <c r="AC245" s="252" t="s">
        <v>71</v>
      </c>
      <c r="AD245" s="251" t="s">
        <v>56</v>
      </c>
      <c r="AE245" s="251">
        <f t="shared" si="54"/>
        <v>78</v>
      </c>
      <c r="AF245" s="251">
        <f t="shared" si="50"/>
        <v>0</v>
      </c>
      <c r="AG245" s="266"/>
      <c r="AH245" s="266"/>
      <c r="AI245" s="253" t="s">
        <v>72</v>
      </c>
      <c r="AJ245" s="251">
        <v>2</v>
      </c>
      <c r="AK245" s="253" t="s">
        <v>73</v>
      </c>
      <c r="AL245" s="251">
        <v>0</v>
      </c>
      <c r="AM245" s="251"/>
      <c r="AN245" s="251">
        <f t="shared" si="45"/>
        <v>78</v>
      </c>
      <c r="AO245" s="290">
        <f t="shared" si="46"/>
        <v>0</v>
      </c>
      <c r="AP245" s="290">
        <f t="shared" si="47"/>
        <v>78</v>
      </c>
      <c r="AQ245" s="290">
        <f t="shared" si="48"/>
        <v>78</v>
      </c>
      <c r="AR245" s="293"/>
      <c r="AS245" s="266"/>
    </row>
    <row r="246" s="215" customFormat="1" ht="39" customHeight="1" spans="1:45">
      <c r="A246" s="254">
        <v>45821</v>
      </c>
      <c r="B246" s="249" t="s">
        <v>1177</v>
      </c>
      <c r="C246" s="265" t="s">
        <v>1178</v>
      </c>
      <c r="D246" s="256">
        <v>4500170062</v>
      </c>
      <c r="E246" s="257">
        <v>2002651048</v>
      </c>
      <c r="F246" s="267" t="s">
        <v>1179</v>
      </c>
      <c r="G246" s="253" t="s">
        <v>62</v>
      </c>
      <c r="H246" s="253" t="s">
        <v>63</v>
      </c>
      <c r="I246" s="251">
        <v>1962</v>
      </c>
      <c r="J246" s="251">
        <v>0</v>
      </c>
      <c r="K246" s="251">
        <v>6</v>
      </c>
      <c r="L246" s="251">
        <f t="shared" si="52"/>
        <v>327</v>
      </c>
      <c r="M246" s="274">
        <v>45861</v>
      </c>
      <c r="N246" s="274">
        <v>45857</v>
      </c>
      <c r="O246" s="274"/>
      <c r="P246" s="274" t="s">
        <v>49</v>
      </c>
      <c r="Q246" s="274"/>
      <c r="R246" s="274" t="s">
        <v>871</v>
      </c>
      <c r="S246" s="277" t="s">
        <v>50</v>
      </c>
      <c r="T246" s="277">
        <v>45828</v>
      </c>
      <c r="U246" s="277">
        <v>45838</v>
      </c>
      <c r="V246" s="274" t="s">
        <v>1180</v>
      </c>
      <c r="W246" s="302" t="s">
        <v>1130</v>
      </c>
      <c r="X246" s="278" t="s">
        <v>1181</v>
      </c>
      <c r="Y246" s="261" t="s">
        <v>978</v>
      </c>
      <c r="Z246" s="281">
        <v>3.5373</v>
      </c>
      <c r="AA246" s="282">
        <f t="shared" si="55"/>
        <v>6940.1826</v>
      </c>
      <c r="AB246" s="251" t="s">
        <v>1182</v>
      </c>
      <c r="AC246" s="252" t="s">
        <v>1183</v>
      </c>
      <c r="AD246" s="251" t="s">
        <v>56</v>
      </c>
      <c r="AE246" s="251">
        <f t="shared" si="54"/>
        <v>1962</v>
      </c>
      <c r="AF246" s="251">
        <f t="shared" si="50"/>
        <v>0</v>
      </c>
      <c r="AG246" s="266"/>
      <c r="AH246" s="266"/>
      <c r="AI246" s="253" t="s">
        <v>72</v>
      </c>
      <c r="AJ246" s="251">
        <v>2</v>
      </c>
      <c r="AK246" s="253" t="s">
        <v>136</v>
      </c>
      <c r="AL246" s="251">
        <v>1</v>
      </c>
      <c r="AM246" s="251"/>
      <c r="AN246" s="251">
        <f t="shared" si="45"/>
        <v>1962</v>
      </c>
      <c r="AO246" s="290">
        <f t="shared" si="46"/>
        <v>0</v>
      </c>
      <c r="AP246" s="290">
        <f t="shared" si="47"/>
        <v>1962</v>
      </c>
      <c r="AQ246" s="290">
        <f t="shared" si="48"/>
        <v>0</v>
      </c>
      <c r="AR246" s="293"/>
      <c r="AS246" s="266"/>
    </row>
    <row r="247" s="215" customFormat="1" ht="39" customHeight="1" spans="1:45">
      <c r="A247" s="254">
        <v>45824</v>
      </c>
      <c r="B247" s="249" t="s">
        <v>74</v>
      </c>
      <c r="C247" s="265" t="s">
        <v>44</v>
      </c>
      <c r="D247" s="256">
        <v>4500170050</v>
      </c>
      <c r="E247" s="257" t="s">
        <v>1184</v>
      </c>
      <c r="F247" s="267" t="s">
        <v>1185</v>
      </c>
      <c r="G247" s="253" t="s">
        <v>62</v>
      </c>
      <c r="H247" s="253" t="s">
        <v>63</v>
      </c>
      <c r="I247" s="251">
        <v>1680</v>
      </c>
      <c r="J247" s="251">
        <v>0</v>
      </c>
      <c r="K247" s="251">
        <v>6</v>
      </c>
      <c r="L247" s="251">
        <f t="shared" si="52"/>
        <v>280</v>
      </c>
      <c r="M247" s="274">
        <v>45862</v>
      </c>
      <c r="N247" s="274">
        <v>45859</v>
      </c>
      <c r="O247" s="274"/>
      <c r="P247" s="274" t="s">
        <v>49</v>
      </c>
      <c r="Q247" s="274"/>
      <c r="R247" s="274" t="s">
        <v>871</v>
      </c>
      <c r="S247" s="277" t="s">
        <v>77</v>
      </c>
      <c r="T247" s="277">
        <v>45831</v>
      </c>
      <c r="U247" s="277">
        <v>45845</v>
      </c>
      <c r="V247" s="274"/>
      <c r="W247" s="302"/>
      <c r="X247" s="278" t="s">
        <v>1186</v>
      </c>
      <c r="Y247" s="261" t="s">
        <v>116</v>
      </c>
      <c r="Z247" s="281">
        <v>1.9997</v>
      </c>
      <c r="AA247" s="282">
        <f t="shared" si="55"/>
        <v>3359.496</v>
      </c>
      <c r="AB247" s="251" t="s">
        <v>1187</v>
      </c>
      <c r="AC247" s="252" t="s">
        <v>62</v>
      </c>
      <c r="AD247" s="251" t="s">
        <v>56</v>
      </c>
      <c r="AE247" s="251">
        <f t="shared" si="54"/>
        <v>1680</v>
      </c>
      <c r="AF247" s="251">
        <f t="shared" si="50"/>
        <v>0</v>
      </c>
      <c r="AG247" s="266"/>
      <c r="AH247" s="266"/>
      <c r="AI247" s="253" t="s">
        <v>57</v>
      </c>
      <c r="AJ247" s="251">
        <v>0</v>
      </c>
      <c r="AK247" s="253" t="s">
        <v>73</v>
      </c>
      <c r="AL247" s="251">
        <v>0</v>
      </c>
      <c r="AM247" s="251"/>
      <c r="AN247" s="251">
        <f t="shared" si="45"/>
        <v>1680</v>
      </c>
      <c r="AO247" s="290">
        <f t="shared" si="46"/>
        <v>1680</v>
      </c>
      <c r="AP247" s="290" t="b">
        <f t="shared" si="47"/>
        <v>0</v>
      </c>
      <c r="AQ247" s="290">
        <f t="shared" si="48"/>
        <v>1680</v>
      </c>
      <c r="AR247" s="293"/>
      <c r="AS247" s="266"/>
    </row>
    <row r="248" s="215" customFormat="1" ht="39" customHeight="1" spans="1:45">
      <c r="A248" s="254">
        <v>45824</v>
      </c>
      <c r="B248" s="249" t="s">
        <v>74</v>
      </c>
      <c r="C248" s="265" t="s">
        <v>44</v>
      </c>
      <c r="D248" s="256">
        <v>4500170051</v>
      </c>
      <c r="E248" s="257" t="s">
        <v>1188</v>
      </c>
      <c r="F248" s="267" t="s">
        <v>1189</v>
      </c>
      <c r="G248" s="253" t="s">
        <v>62</v>
      </c>
      <c r="H248" s="253" t="s">
        <v>63</v>
      </c>
      <c r="I248" s="251">
        <v>1758</v>
      </c>
      <c r="J248" s="251">
        <v>0</v>
      </c>
      <c r="K248" s="251">
        <v>6</v>
      </c>
      <c r="L248" s="251">
        <f t="shared" si="52"/>
        <v>293</v>
      </c>
      <c r="M248" s="274">
        <v>45862</v>
      </c>
      <c r="N248" s="274">
        <v>45859</v>
      </c>
      <c r="O248" s="274"/>
      <c r="P248" s="274" t="s">
        <v>49</v>
      </c>
      <c r="Q248" s="274"/>
      <c r="R248" s="274" t="s">
        <v>871</v>
      </c>
      <c r="S248" s="277" t="s">
        <v>77</v>
      </c>
      <c r="T248" s="277">
        <v>45831</v>
      </c>
      <c r="U248" s="277">
        <v>45845</v>
      </c>
      <c r="V248" s="274"/>
      <c r="W248" s="302"/>
      <c r="X248" s="278" t="s">
        <v>1186</v>
      </c>
      <c r="Y248" s="261" t="s">
        <v>116</v>
      </c>
      <c r="Z248" s="281">
        <v>1.9997</v>
      </c>
      <c r="AA248" s="282">
        <f t="shared" si="55"/>
        <v>3515.4726</v>
      </c>
      <c r="AB248" s="251" t="s">
        <v>1190</v>
      </c>
      <c r="AC248" s="252" t="s">
        <v>62</v>
      </c>
      <c r="AD248" s="251" t="s">
        <v>56</v>
      </c>
      <c r="AE248" s="251">
        <f t="shared" si="54"/>
        <v>1758</v>
      </c>
      <c r="AF248" s="251">
        <f t="shared" si="50"/>
        <v>0</v>
      </c>
      <c r="AG248" s="266"/>
      <c r="AH248" s="266"/>
      <c r="AI248" s="253" t="s">
        <v>57</v>
      </c>
      <c r="AJ248" s="251">
        <v>0</v>
      </c>
      <c r="AK248" s="253" t="s">
        <v>73</v>
      </c>
      <c r="AL248" s="251">
        <v>0</v>
      </c>
      <c r="AM248" s="251"/>
      <c r="AN248" s="251">
        <f t="shared" si="45"/>
        <v>1758</v>
      </c>
      <c r="AO248" s="290">
        <f t="shared" si="46"/>
        <v>1758</v>
      </c>
      <c r="AP248" s="290" t="b">
        <f t="shared" si="47"/>
        <v>0</v>
      </c>
      <c r="AQ248" s="290">
        <f t="shared" si="48"/>
        <v>1758</v>
      </c>
      <c r="AR248" s="293"/>
      <c r="AS248" s="266"/>
    </row>
    <row r="249" s="215" customFormat="1" ht="39" customHeight="1" spans="1:45">
      <c r="A249" s="254">
        <v>45819</v>
      </c>
      <c r="B249" s="249" t="s">
        <v>137</v>
      </c>
      <c r="C249" s="265" t="s">
        <v>138</v>
      </c>
      <c r="D249" s="256">
        <v>4500169708</v>
      </c>
      <c r="E249" s="257" t="s">
        <v>1191</v>
      </c>
      <c r="F249" s="256" t="s">
        <v>1192</v>
      </c>
      <c r="G249" s="253" t="s">
        <v>62</v>
      </c>
      <c r="H249" s="253" t="s">
        <v>63</v>
      </c>
      <c r="I249" s="251">
        <v>12</v>
      </c>
      <c r="J249" s="251">
        <v>0</v>
      </c>
      <c r="K249" s="251">
        <v>6</v>
      </c>
      <c r="L249" s="251">
        <v>2</v>
      </c>
      <c r="M249" s="274">
        <v>45855</v>
      </c>
      <c r="N249" s="274">
        <v>45852</v>
      </c>
      <c r="O249" s="274"/>
      <c r="P249" s="274" t="s">
        <v>49</v>
      </c>
      <c r="Q249" s="274"/>
      <c r="R249" s="274" t="s">
        <v>871</v>
      </c>
      <c r="S249" s="277" t="s">
        <v>77</v>
      </c>
      <c r="T249" s="277">
        <v>45821</v>
      </c>
      <c r="U249" s="277">
        <v>45846</v>
      </c>
      <c r="V249" s="274"/>
      <c r="W249" s="274"/>
      <c r="X249" s="278" t="s">
        <v>1193</v>
      </c>
      <c r="Y249" s="261" t="s">
        <v>1008</v>
      </c>
      <c r="Z249" s="281">
        <v>3.5632</v>
      </c>
      <c r="AA249" s="282">
        <f t="shared" ref="AA249:AA278" si="56">I249*Z249</f>
        <v>42.7584</v>
      </c>
      <c r="AB249" s="251" t="s">
        <v>1194</v>
      </c>
      <c r="AC249" s="252" t="s">
        <v>71</v>
      </c>
      <c r="AD249" s="251" t="s">
        <v>56</v>
      </c>
      <c r="AE249" s="303">
        <f t="shared" si="54"/>
        <v>12</v>
      </c>
      <c r="AF249" s="251">
        <f t="shared" si="50"/>
        <v>0</v>
      </c>
      <c r="AG249" s="266"/>
      <c r="AH249" s="266"/>
      <c r="AI249" s="253" t="s">
        <v>72</v>
      </c>
      <c r="AJ249" s="251">
        <v>2</v>
      </c>
      <c r="AK249" s="253" t="s">
        <v>73</v>
      </c>
      <c r="AL249" s="251">
        <v>0</v>
      </c>
      <c r="AM249" s="251"/>
      <c r="AN249" s="251">
        <f t="shared" si="45"/>
        <v>12</v>
      </c>
      <c r="AO249" s="290">
        <f t="shared" si="46"/>
        <v>0</v>
      </c>
      <c r="AP249" s="290">
        <f t="shared" si="47"/>
        <v>12</v>
      </c>
      <c r="AQ249" s="290">
        <f t="shared" si="48"/>
        <v>12</v>
      </c>
      <c r="AR249" s="293"/>
      <c r="AS249" s="266"/>
    </row>
    <row r="250" s="215" customFormat="1" ht="39" customHeight="1" spans="1:45">
      <c r="A250" s="254">
        <v>45819</v>
      </c>
      <c r="B250" s="249" t="s">
        <v>137</v>
      </c>
      <c r="C250" s="265" t="s">
        <v>138</v>
      </c>
      <c r="D250" s="256">
        <v>4500169708</v>
      </c>
      <c r="E250" s="257" t="s">
        <v>1195</v>
      </c>
      <c r="F250" s="256" t="s">
        <v>1196</v>
      </c>
      <c r="G250" s="253" t="s">
        <v>62</v>
      </c>
      <c r="H250" s="253" t="s">
        <v>63</v>
      </c>
      <c r="I250" s="251">
        <v>12</v>
      </c>
      <c r="J250" s="251">
        <v>0</v>
      </c>
      <c r="K250" s="251">
        <v>6</v>
      </c>
      <c r="L250" s="251">
        <v>2</v>
      </c>
      <c r="M250" s="274">
        <v>45855</v>
      </c>
      <c r="N250" s="274">
        <v>45852</v>
      </c>
      <c r="O250" s="274"/>
      <c r="P250" s="274" t="s">
        <v>49</v>
      </c>
      <c r="Q250" s="274"/>
      <c r="R250" s="274" t="s">
        <v>871</v>
      </c>
      <c r="S250" s="277" t="s">
        <v>77</v>
      </c>
      <c r="T250" s="277">
        <v>45821</v>
      </c>
      <c r="U250" s="277">
        <v>45846</v>
      </c>
      <c r="V250" s="274"/>
      <c r="W250" s="274"/>
      <c r="X250" s="278" t="s">
        <v>1193</v>
      </c>
      <c r="Y250" s="261" t="s">
        <v>1008</v>
      </c>
      <c r="Z250" s="281">
        <v>3.5632</v>
      </c>
      <c r="AA250" s="282">
        <f t="shared" si="56"/>
        <v>42.7584</v>
      </c>
      <c r="AB250" s="251" t="s">
        <v>1194</v>
      </c>
      <c r="AC250" s="252" t="s">
        <v>71</v>
      </c>
      <c r="AD250" s="251" t="s">
        <v>56</v>
      </c>
      <c r="AE250" s="303">
        <f t="shared" si="54"/>
        <v>12</v>
      </c>
      <c r="AF250" s="251">
        <f t="shared" si="50"/>
        <v>0</v>
      </c>
      <c r="AG250" s="266"/>
      <c r="AH250" s="266"/>
      <c r="AI250" s="253" t="s">
        <v>72</v>
      </c>
      <c r="AJ250" s="251">
        <v>2</v>
      </c>
      <c r="AK250" s="253" t="s">
        <v>73</v>
      </c>
      <c r="AL250" s="251">
        <v>0</v>
      </c>
      <c r="AM250" s="251"/>
      <c r="AN250" s="251">
        <f t="shared" si="45"/>
        <v>12</v>
      </c>
      <c r="AO250" s="290">
        <f t="shared" si="46"/>
        <v>0</v>
      </c>
      <c r="AP250" s="290">
        <f t="shared" si="47"/>
        <v>12</v>
      </c>
      <c r="AQ250" s="290">
        <f t="shared" si="48"/>
        <v>12</v>
      </c>
      <c r="AR250" s="293"/>
      <c r="AS250" s="266"/>
    </row>
    <row r="251" s="215" customFormat="1" ht="39" customHeight="1" spans="1:45">
      <c r="A251" s="254">
        <v>45819</v>
      </c>
      <c r="B251" s="249" t="s">
        <v>137</v>
      </c>
      <c r="C251" s="265" t="s">
        <v>138</v>
      </c>
      <c r="D251" s="256">
        <v>4500169708</v>
      </c>
      <c r="E251" s="257" t="s">
        <v>1197</v>
      </c>
      <c r="F251" s="256" t="s">
        <v>1198</v>
      </c>
      <c r="G251" s="253" t="s">
        <v>62</v>
      </c>
      <c r="H251" s="253" t="s">
        <v>63</v>
      </c>
      <c r="I251" s="251">
        <v>12</v>
      </c>
      <c r="J251" s="251">
        <v>0</v>
      </c>
      <c r="K251" s="251">
        <v>6</v>
      </c>
      <c r="L251" s="251">
        <v>2</v>
      </c>
      <c r="M251" s="274">
        <v>45855</v>
      </c>
      <c r="N251" s="274">
        <v>45852</v>
      </c>
      <c r="O251" s="274"/>
      <c r="P251" s="274" t="s">
        <v>49</v>
      </c>
      <c r="Q251" s="274"/>
      <c r="R251" s="274" t="s">
        <v>871</v>
      </c>
      <c r="S251" s="277" t="s">
        <v>77</v>
      </c>
      <c r="T251" s="277">
        <v>45821</v>
      </c>
      <c r="U251" s="277">
        <v>45846</v>
      </c>
      <c r="V251" s="274"/>
      <c r="W251" s="274"/>
      <c r="X251" s="278" t="s">
        <v>1193</v>
      </c>
      <c r="Y251" s="261" t="s">
        <v>1008</v>
      </c>
      <c r="Z251" s="281">
        <v>3.5632</v>
      </c>
      <c r="AA251" s="282">
        <f t="shared" si="56"/>
        <v>42.7584</v>
      </c>
      <c r="AB251" s="251" t="s">
        <v>1194</v>
      </c>
      <c r="AC251" s="252" t="s">
        <v>71</v>
      </c>
      <c r="AD251" s="251" t="s">
        <v>56</v>
      </c>
      <c r="AE251" s="303">
        <f t="shared" si="54"/>
        <v>12</v>
      </c>
      <c r="AF251" s="251">
        <f t="shared" si="50"/>
        <v>0</v>
      </c>
      <c r="AG251" s="266"/>
      <c r="AH251" s="266"/>
      <c r="AI251" s="253" t="s">
        <v>72</v>
      </c>
      <c r="AJ251" s="251">
        <v>2</v>
      </c>
      <c r="AK251" s="253" t="s">
        <v>73</v>
      </c>
      <c r="AL251" s="251">
        <v>0</v>
      </c>
      <c r="AM251" s="251"/>
      <c r="AN251" s="251">
        <f t="shared" si="45"/>
        <v>12</v>
      </c>
      <c r="AO251" s="290">
        <f t="shared" si="46"/>
        <v>0</v>
      </c>
      <c r="AP251" s="290">
        <f t="shared" si="47"/>
        <v>12</v>
      </c>
      <c r="AQ251" s="290">
        <f t="shared" si="48"/>
        <v>12</v>
      </c>
      <c r="AR251" s="293"/>
      <c r="AS251" s="266"/>
    </row>
    <row r="252" s="215" customFormat="1" ht="39" customHeight="1" spans="1:45">
      <c r="A252" s="254">
        <v>45821</v>
      </c>
      <c r="B252" s="249" t="s">
        <v>1199</v>
      </c>
      <c r="C252" s="265" t="s">
        <v>138</v>
      </c>
      <c r="D252" s="256">
        <v>4500169971</v>
      </c>
      <c r="E252" s="257" t="s">
        <v>1200</v>
      </c>
      <c r="F252" s="256" t="s">
        <v>1201</v>
      </c>
      <c r="G252" s="253" t="s">
        <v>62</v>
      </c>
      <c r="H252" s="253" t="s">
        <v>63</v>
      </c>
      <c r="I252" s="251">
        <v>18</v>
      </c>
      <c r="J252" s="251">
        <v>0</v>
      </c>
      <c r="K252" s="251">
        <v>6</v>
      </c>
      <c r="L252" s="251">
        <v>3</v>
      </c>
      <c r="M252" s="274">
        <v>45856</v>
      </c>
      <c r="N252" s="274">
        <v>45852</v>
      </c>
      <c r="O252" s="274"/>
      <c r="P252" s="274" t="s">
        <v>49</v>
      </c>
      <c r="Q252" s="274"/>
      <c r="R252" s="274" t="s">
        <v>871</v>
      </c>
      <c r="S252" s="277" t="s">
        <v>77</v>
      </c>
      <c r="T252" s="277">
        <v>45821</v>
      </c>
      <c r="U252" s="277">
        <v>45846</v>
      </c>
      <c r="V252" s="274"/>
      <c r="W252" s="274"/>
      <c r="X252" s="278" t="s">
        <v>1193</v>
      </c>
      <c r="Y252" s="261" t="s">
        <v>1008</v>
      </c>
      <c r="Z252" s="281">
        <v>3.5632</v>
      </c>
      <c r="AA252" s="282">
        <f t="shared" si="56"/>
        <v>64.1376</v>
      </c>
      <c r="AB252" s="251" t="s">
        <v>1202</v>
      </c>
      <c r="AC252" s="252" t="s">
        <v>71</v>
      </c>
      <c r="AD252" s="251" t="s">
        <v>56</v>
      </c>
      <c r="AE252" s="303">
        <f t="shared" si="54"/>
        <v>18</v>
      </c>
      <c r="AF252" s="251">
        <f t="shared" si="50"/>
        <v>0</v>
      </c>
      <c r="AG252" s="266"/>
      <c r="AH252" s="266"/>
      <c r="AI252" s="253" t="s">
        <v>72</v>
      </c>
      <c r="AJ252" s="251">
        <v>2</v>
      </c>
      <c r="AK252" s="253" t="s">
        <v>73</v>
      </c>
      <c r="AL252" s="251">
        <v>0</v>
      </c>
      <c r="AM252" s="251"/>
      <c r="AN252" s="251">
        <f t="shared" si="45"/>
        <v>18</v>
      </c>
      <c r="AO252" s="290">
        <f t="shared" si="46"/>
        <v>0</v>
      </c>
      <c r="AP252" s="290">
        <f t="shared" si="47"/>
        <v>18</v>
      </c>
      <c r="AQ252" s="290">
        <f t="shared" si="48"/>
        <v>18</v>
      </c>
      <c r="AR252" s="293"/>
      <c r="AS252" s="266"/>
    </row>
    <row r="253" s="215" customFormat="1" ht="39" customHeight="1" spans="1:45">
      <c r="A253" s="254">
        <v>45821</v>
      </c>
      <c r="B253" s="249" t="s">
        <v>1199</v>
      </c>
      <c r="C253" s="265" t="s">
        <v>138</v>
      </c>
      <c r="D253" s="256">
        <v>4500169971</v>
      </c>
      <c r="E253" s="257" t="s">
        <v>1203</v>
      </c>
      <c r="F253" s="256" t="s">
        <v>1204</v>
      </c>
      <c r="G253" s="253" t="s">
        <v>62</v>
      </c>
      <c r="H253" s="253" t="s">
        <v>63</v>
      </c>
      <c r="I253" s="251">
        <v>24</v>
      </c>
      <c r="J253" s="251">
        <v>0</v>
      </c>
      <c r="K253" s="251">
        <v>6</v>
      </c>
      <c r="L253" s="251">
        <v>4</v>
      </c>
      <c r="M253" s="274">
        <v>45856</v>
      </c>
      <c r="N253" s="274">
        <v>45852</v>
      </c>
      <c r="O253" s="274"/>
      <c r="P253" s="274" t="s">
        <v>49</v>
      </c>
      <c r="Q253" s="274"/>
      <c r="R253" s="274" t="s">
        <v>871</v>
      </c>
      <c r="S253" s="277" t="s">
        <v>77</v>
      </c>
      <c r="T253" s="277">
        <v>45821</v>
      </c>
      <c r="U253" s="277">
        <v>45846</v>
      </c>
      <c r="V253" s="274"/>
      <c r="W253" s="274"/>
      <c r="X253" s="278" t="s">
        <v>1193</v>
      </c>
      <c r="Y253" s="261" t="s">
        <v>1008</v>
      </c>
      <c r="Z253" s="281">
        <v>3.5632</v>
      </c>
      <c r="AA253" s="282">
        <f t="shared" si="56"/>
        <v>85.5168</v>
      </c>
      <c r="AB253" s="251" t="s">
        <v>1202</v>
      </c>
      <c r="AC253" s="252" t="s">
        <v>71</v>
      </c>
      <c r="AD253" s="251" t="s">
        <v>56</v>
      </c>
      <c r="AE253" s="303">
        <f t="shared" ref="AE253:AE263" si="57">I253</f>
        <v>24</v>
      </c>
      <c r="AF253" s="251">
        <f t="shared" si="50"/>
        <v>0</v>
      </c>
      <c r="AG253" s="266"/>
      <c r="AH253" s="266"/>
      <c r="AI253" s="253" t="s">
        <v>72</v>
      </c>
      <c r="AJ253" s="251">
        <v>2</v>
      </c>
      <c r="AK253" s="253" t="s">
        <v>73</v>
      </c>
      <c r="AL253" s="251">
        <v>0</v>
      </c>
      <c r="AM253" s="251"/>
      <c r="AN253" s="251">
        <f t="shared" si="45"/>
        <v>24</v>
      </c>
      <c r="AO253" s="290">
        <f t="shared" si="46"/>
        <v>0</v>
      </c>
      <c r="AP253" s="290">
        <f t="shared" si="47"/>
        <v>24</v>
      </c>
      <c r="AQ253" s="290">
        <f t="shared" si="48"/>
        <v>24</v>
      </c>
      <c r="AR253" s="293"/>
      <c r="AS253" s="266"/>
    </row>
    <row r="254" s="215" customFormat="1" ht="39" customHeight="1" spans="1:45">
      <c r="A254" s="254">
        <v>45821</v>
      </c>
      <c r="B254" s="249" t="s">
        <v>1199</v>
      </c>
      <c r="C254" s="265" t="s">
        <v>138</v>
      </c>
      <c r="D254" s="256">
        <v>4500169971</v>
      </c>
      <c r="E254" s="257" t="s">
        <v>1205</v>
      </c>
      <c r="F254" s="256" t="s">
        <v>1206</v>
      </c>
      <c r="G254" s="253" t="s">
        <v>62</v>
      </c>
      <c r="H254" s="253" t="s">
        <v>63</v>
      </c>
      <c r="I254" s="251">
        <v>18</v>
      </c>
      <c r="J254" s="251">
        <v>0</v>
      </c>
      <c r="K254" s="251">
        <v>6</v>
      </c>
      <c r="L254" s="251">
        <v>3</v>
      </c>
      <c r="M254" s="274">
        <v>45856</v>
      </c>
      <c r="N254" s="274">
        <v>45852</v>
      </c>
      <c r="O254" s="274"/>
      <c r="P254" s="274" t="s">
        <v>49</v>
      </c>
      <c r="Q254" s="274"/>
      <c r="R254" s="274" t="s">
        <v>871</v>
      </c>
      <c r="S254" s="277" t="s">
        <v>77</v>
      </c>
      <c r="T254" s="277">
        <v>45821</v>
      </c>
      <c r="U254" s="277">
        <v>45846</v>
      </c>
      <c r="V254" s="274"/>
      <c r="W254" s="274"/>
      <c r="X254" s="278" t="s">
        <v>1193</v>
      </c>
      <c r="Y254" s="261" t="s">
        <v>1008</v>
      </c>
      <c r="Z254" s="281">
        <v>3.5632</v>
      </c>
      <c r="AA254" s="282">
        <f t="shared" si="56"/>
        <v>64.1376</v>
      </c>
      <c r="AB254" s="251" t="s">
        <v>1202</v>
      </c>
      <c r="AC254" s="252" t="s">
        <v>71</v>
      </c>
      <c r="AD254" s="251" t="s">
        <v>56</v>
      </c>
      <c r="AE254" s="303">
        <f t="shared" si="57"/>
        <v>18</v>
      </c>
      <c r="AF254" s="251">
        <f t="shared" si="50"/>
        <v>0</v>
      </c>
      <c r="AG254" s="266"/>
      <c r="AH254" s="266"/>
      <c r="AI254" s="253" t="s">
        <v>72</v>
      </c>
      <c r="AJ254" s="251">
        <v>2</v>
      </c>
      <c r="AK254" s="253" t="s">
        <v>73</v>
      </c>
      <c r="AL254" s="251">
        <v>0</v>
      </c>
      <c r="AM254" s="251"/>
      <c r="AN254" s="251">
        <f t="shared" si="45"/>
        <v>18</v>
      </c>
      <c r="AO254" s="290">
        <f t="shared" si="46"/>
        <v>0</v>
      </c>
      <c r="AP254" s="290">
        <f t="shared" si="47"/>
        <v>18</v>
      </c>
      <c r="AQ254" s="290">
        <f t="shared" si="48"/>
        <v>18</v>
      </c>
      <c r="AR254" s="293"/>
      <c r="AS254" s="266"/>
    </row>
    <row r="255" s="215" customFormat="1" ht="39" customHeight="1" spans="1:45">
      <c r="A255" s="254">
        <v>45821</v>
      </c>
      <c r="B255" s="249" t="s">
        <v>1199</v>
      </c>
      <c r="C255" s="265" t="s">
        <v>138</v>
      </c>
      <c r="D255" s="256">
        <v>4500169971</v>
      </c>
      <c r="E255" s="257" t="s">
        <v>1207</v>
      </c>
      <c r="F255" s="256" t="s">
        <v>1208</v>
      </c>
      <c r="G255" s="253" t="s">
        <v>62</v>
      </c>
      <c r="H255" s="253" t="s">
        <v>63</v>
      </c>
      <c r="I255" s="251">
        <v>36</v>
      </c>
      <c r="J255" s="251">
        <v>0</v>
      </c>
      <c r="K255" s="251">
        <v>6</v>
      </c>
      <c r="L255" s="251">
        <v>6</v>
      </c>
      <c r="M255" s="274">
        <v>45856</v>
      </c>
      <c r="N255" s="274">
        <v>45852</v>
      </c>
      <c r="O255" s="274"/>
      <c r="P255" s="274" t="s">
        <v>49</v>
      </c>
      <c r="Q255" s="274"/>
      <c r="R255" s="274" t="s">
        <v>871</v>
      </c>
      <c r="S255" s="277" t="s">
        <v>77</v>
      </c>
      <c r="T255" s="277">
        <v>45821</v>
      </c>
      <c r="U255" s="277">
        <v>45846</v>
      </c>
      <c r="V255" s="274"/>
      <c r="W255" s="274"/>
      <c r="X255" s="278" t="s">
        <v>1193</v>
      </c>
      <c r="Y255" s="261" t="s">
        <v>1008</v>
      </c>
      <c r="Z255" s="281">
        <v>3.5632</v>
      </c>
      <c r="AA255" s="282">
        <f t="shared" si="56"/>
        <v>128.2752</v>
      </c>
      <c r="AB255" s="251" t="s">
        <v>1202</v>
      </c>
      <c r="AC255" s="252" t="s">
        <v>71</v>
      </c>
      <c r="AD255" s="251" t="s">
        <v>56</v>
      </c>
      <c r="AE255" s="303">
        <f t="shared" si="57"/>
        <v>36</v>
      </c>
      <c r="AF255" s="251">
        <f t="shared" si="50"/>
        <v>0</v>
      </c>
      <c r="AG255" s="266"/>
      <c r="AH255" s="266"/>
      <c r="AI255" s="253" t="s">
        <v>72</v>
      </c>
      <c r="AJ255" s="251">
        <v>2</v>
      </c>
      <c r="AK255" s="253" t="s">
        <v>73</v>
      </c>
      <c r="AL255" s="251">
        <v>0</v>
      </c>
      <c r="AM255" s="251"/>
      <c r="AN255" s="251">
        <f t="shared" si="45"/>
        <v>36</v>
      </c>
      <c r="AO255" s="290">
        <f t="shared" si="46"/>
        <v>0</v>
      </c>
      <c r="AP255" s="290">
        <f t="shared" si="47"/>
        <v>36</v>
      </c>
      <c r="AQ255" s="290">
        <f t="shared" si="48"/>
        <v>36</v>
      </c>
      <c r="AR255" s="293"/>
      <c r="AS255" s="266"/>
    </row>
    <row r="256" s="215" customFormat="1" ht="39" customHeight="1" spans="1:45">
      <c r="A256" s="254">
        <v>45821</v>
      </c>
      <c r="B256" s="249" t="s">
        <v>1199</v>
      </c>
      <c r="C256" s="265" t="s">
        <v>138</v>
      </c>
      <c r="D256" s="256">
        <v>4500169971</v>
      </c>
      <c r="E256" s="257" t="s">
        <v>1209</v>
      </c>
      <c r="F256" s="256" t="s">
        <v>1210</v>
      </c>
      <c r="G256" s="253" t="s">
        <v>62</v>
      </c>
      <c r="H256" s="253" t="s">
        <v>63</v>
      </c>
      <c r="I256" s="251">
        <v>18</v>
      </c>
      <c r="J256" s="251">
        <v>0</v>
      </c>
      <c r="K256" s="251">
        <v>6</v>
      </c>
      <c r="L256" s="251">
        <v>3</v>
      </c>
      <c r="M256" s="274">
        <v>45856</v>
      </c>
      <c r="N256" s="274">
        <v>45852</v>
      </c>
      <c r="O256" s="274"/>
      <c r="P256" s="274" t="s">
        <v>49</v>
      </c>
      <c r="Q256" s="274"/>
      <c r="R256" s="274" t="s">
        <v>871</v>
      </c>
      <c r="S256" s="277" t="s">
        <v>77</v>
      </c>
      <c r="T256" s="277">
        <v>45821</v>
      </c>
      <c r="U256" s="277">
        <v>45846</v>
      </c>
      <c r="V256" s="274"/>
      <c r="W256" s="274"/>
      <c r="X256" s="278" t="s">
        <v>1193</v>
      </c>
      <c r="Y256" s="261" t="s">
        <v>1008</v>
      </c>
      <c r="Z256" s="281">
        <v>3.5632</v>
      </c>
      <c r="AA256" s="282">
        <f t="shared" si="56"/>
        <v>64.1376</v>
      </c>
      <c r="AB256" s="251" t="s">
        <v>1202</v>
      </c>
      <c r="AC256" s="252" t="s">
        <v>71</v>
      </c>
      <c r="AD256" s="251" t="s">
        <v>56</v>
      </c>
      <c r="AE256" s="303">
        <f t="shared" si="57"/>
        <v>18</v>
      </c>
      <c r="AF256" s="251">
        <f t="shared" si="50"/>
        <v>0</v>
      </c>
      <c r="AG256" s="266"/>
      <c r="AH256" s="266"/>
      <c r="AI256" s="253" t="s">
        <v>72</v>
      </c>
      <c r="AJ256" s="251">
        <v>2</v>
      </c>
      <c r="AK256" s="253" t="s">
        <v>73</v>
      </c>
      <c r="AL256" s="251">
        <v>0</v>
      </c>
      <c r="AM256" s="251"/>
      <c r="AN256" s="251">
        <f t="shared" si="45"/>
        <v>18</v>
      </c>
      <c r="AO256" s="290">
        <f t="shared" si="46"/>
        <v>0</v>
      </c>
      <c r="AP256" s="290">
        <f t="shared" si="47"/>
        <v>18</v>
      </c>
      <c r="AQ256" s="290">
        <f t="shared" si="48"/>
        <v>18</v>
      </c>
      <c r="AR256" s="293"/>
      <c r="AS256" s="266"/>
    </row>
    <row r="257" s="215" customFormat="1" ht="39" customHeight="1" spans="1:45">
      <c r="A257" s="254">
        <v>45821</v>
      </c>
      <c r="B257" s="249" t="s">
        <v>1199</v>
      </c>
      <c r="C257" s="265" t="s">
        <v>138</v>
      </c>
      <c r="D257" s="256">
        <v>4500169971</v>
      </c>
      <c r="E257" s="257" t="s">
        <v>1211</v>
      </c>
      <c r="F257" s="256" t="s">
        <v>1212</v>
      </c>
      <c r="G257" s="253" t="s">
        <v>62</v>
      </c>
      <c r="H257" s="253" t="s">
        <v>63</v>
      </c>
      <c r="I257" s="251">
        <v>18</v>
      </c>
      <c r="J257" s="251">
        <v>0</v>
      </c>
      <c r="K257" s="251">
        <v>6</v>
      </c>
      <c r="L257" s="251">
        <v>3</v>
      </c>
      <c r="M257" s="274">
        <v>45856</v>
      </c>
      <c r="N257" s="274">
        <v>45852</v>
      </c>
      <c r="O257" s="274"/>
      <c r="P257" s="274" t="s">
        <v>49</v>
      </c>
      <c r="Q257" s="274"/>
      <c r="R257" s="274" t="s">
        <v>871</v>
      </c>
      <c r="S257" s="277" t="s">
        <v>77</v>
      </c>
      <c r="T257" s="277">
        <v>45821</v>
      </c>
      <c r="U257" s="277">
        <v>45846</v>
      </c>
      <c r="V257" s="274"/>
      <c r="W257" s="274"/>
      <c r="X257" s="278" t="s">
        <v>1193</v>
      </c>
      <c r="Y257" s="261" t="s">
        <v>1008</v>
      </c>
      <c r="Z257" s="281">
        <v>3.5632</v>
      </c>
      <c r="AA257" s="282">
        <f t="shared" si="56"/>
        <v>64.1376</v>
      </c>
      <c r="AB257" s="251" t="s">
        <v>1202</v>
      </c>
      <c r="AC257" s="252" t="s">
        <v>71</v>
      </c>
      <c r="AD257" s="251" t="s">
        <v>56</v>
      </c>
      <c r="AE257" s="303">
        <f t="shared" si="57"/>
        <v>18</v>
      </c>
      <c r="AF257" s="251">
        <f t="shared" si="50"/>
        <v>0</v>
      </c>
      <c r="AG257" s="266"/>
      <c r="AH257" s="266"/>
      <c r="AI257" s="253" t="s">
        <v>72</v>
      </c>
      <c r="AJ257" s="251">
        <v>2</v>
      </c>
      <c r="AK257" s="253" t="s">
        <v>73</v>
      </c>
      <c r="AL257" s="251">
        <v>0</v>
      </c>
      <c r="AM257" s="251"/>
      <c r="AN257" s="251">
        <f t="shared" si="45"/>
        <v>18</v>
      </c>
      <c r="AO257" s="290">
        <f t="shared" si="46"/>
        <v>0</v>
      </c>
      <c r="AP257" s="290">
        <f t="shared" si="47"/>
        <v>18</v>
      </c>
      <c r="AQ257" s="290">
        <f t="shared" si="48"/>
        <v>18</v>
      </c>
      <c r="AR257" s="293"/>
      <c r="AS257" s="266"/>
    </row>
    <row r="258" s="215" customFormat="1" ht="39" customHeight="1" spans="1:45">
      <c r="A258" s="254">
        <v>45821</v>
      </c>
      <c r="B258" s="249" t="s">
        <v>1199</v>
      </c>
      <c r="C258" s="265" t="s">
        <v>138</v>
      </c>
      <c r="D258" s="256">
        <v>4500169971</v>
      </c>
      <c r="E258" s="257" t="s">
        <v>1213</v>
      </c>
      <c r="F258" s="256" t="s">
        <v>1214</v>
      </c>
      <c r="G258" s="253" t="s">
        <v>62</v>
      </c>
      <c r="H258" s="253" t="s">
        <v>63</v>
      </c>
      <c r="I258" s="251">
        <v>18</v>
      </c>
      <c r="J258" s="251">
        <v>0</v>
      </c>
      <c r="K258" s="251">
        <v>6</v>
      </c>
      <c r="L258" s="251">
        <v>3</v>
      </c>
      <c r="M258" s="274">
        <v>45856</v>
      </c>
      <c r="N258" s="274">
        <v>45852</v>
      </c>
      <c r="O258" s="274"/>
      <c r="P258" s="274" t="s">
        <v>49</v>
      </c>
      <c r="Q258" s="274"/>
      <c r="R258" s="274" t="s">
        <v>871</v>
      </c>
      <c r="S258" s="277" t="s">
        <v>77</v>
      </c>
      <c r="T258" s="277">
        <v>45821</v>
      </c>
      <c r="U258" s="277">
        <v>45846</v>
      </c>
      <c r="V258" s="274"/>
      <c r="W258" s="274"/>
      <c r="X258" s="278" t="s">
        <v>1193</v>
      </c>
      <c r="Y258" s="261" t="s">
        <v>1008</v>
      </c>
      <c r="Z258" s="281">
        <v>3.5632</v>
      </c>
      <c r="AA258" s="282">
        <f t="shared" si="56"/>
        <v>64.1376</v>
      </c>
      <c r="AB258" s="251" t="s">
        <v>1202</v>
      </c>
      <c r="AC258" s="252" t="s">
        <v>71</v>
      </c>
      <c r="AD258" s="251" t="s">
        <v>56</v>
      </c>
      <c r="AE258" s="303">
        <f t="shared" si="57"/>
        <v>18</v>
      </c>
      <c r="AF258" s="251">
        <f t="shared" si="50"/>
        <v>0</v>
      </c>
      <c r="AG258" s="266"/>
      <c r="AH258" s="266"/>
      <c r="AI258" s="253" t="s">
        <v>72</v>
      </c>
      <c r="AJ258" s="251">
        <v>2</v>
      </c>
      <c r="AK258" s="253" t="s">
        <v>73</v>
      </c>
      <c r="AL258" s="251">
        <v>0</v>
      </c>
      <c r="AM258" s="251"/>
      <c r="AN258" s="251">
        <f t="shared" ref="AN258:AN321" si="58">I258</f>
        <v>18</v>
      </c>
      <c r="AO258" s="290">
        <f t="shared" ref="AO258:AO321" si="59">IF($AJ258=0,$AN258,IF($AJ258&gt;0,0))</f>
        <v>0</v>
      </c>
      <c r="AP258" s="290">
        <f t="shared" ref="AP258:AP321" si="60">IF($AJ258=2,$AN258,IF($AJ258&gt;0,0))</f>
        <v>18</v>
      </c>
      <c r="AQ258" s="290">
        <f t="shared" ref="AQ258:AQ321" si="61">IF($AL258=0,$AN258,IF($AL258&gt;0,0))</f>
        <v>18</v>
      </c>
      <c r="AR258" s="293"/>
      <c r="AS258" s="266"/>
    </row>
    <row r="259" s="215" customFormat="1" ht="39" customHeight="1" spans="1:45">
      <c r="A259" s="254">
        <v>45821</v>
      </c>
      <c r="B259" s="249" t="s">
        <v>1199</v>
      </c>
      <c r="C259" s="265" t="s">
        <v>138</v>
      </c>
      <c r="D259" s="256">
        <v>4500169971</v>
      </c>
      <c r="E259" s="257" t="s">
        <v>1215</v>
      </c>
      <c r="F259" s="256" t="s">
        <v>1216</v>
      </c>
      <c r="G259" s="253" t="s">
        <v>62</v>
      </c>
      <c r="H259" s="253" t="s">
        <v>63</v>
      </c>
      <c r="I259" s="251">
        <v>12</v>
      </c>
      <c r="J259" s="251">
        <v>0</v>
      </c>
      <c r="K259" s="251">
        <v>6</v>
      </c>
      <c r="L259" s="251">
        <v>2</v>
      </c>
      <c r="M259" s="274">
        <v>45856</v>
      </c>
      <c r="N259" s="274">
        <v>45852</v>
      </c>
      <c r="O259" s="274"/>
      <c r="P259" s="274" t="s">
        <v>49</v>
      </c>
      <c r="Q259" s="274"/>
      <c r="R259" s="274" t="s">
        <v>871</v>
      </c>
      <c r="S259" s="277" t="s">
        <v>77</v>
      </c>
      <c r="T259" s="277">
        <v>45821</v>
      </c>
      <c r="U259" s="277">
        <v>45846</v>
      </c>
      <c r="V259" s="274"/>
      <c r="W259" s="274"/>
      <c r="X259" s="278" t="s">
        <v>1193</v>
      </c>
      <c r="Y259" s="261" t="s">
        <v>1008</v>
      </c>
      <c r="Z259" s="281">
        <v>3.5632</v>
      </c>
      <c r="AA259" s="282">
        <f t="shared" si="56"/>
        <v>42.7584</v>
      </c>
      <c r="AB259" s="251" t="s">
        <v>1202</v>
      </c>
      <c r="AC259" s="252" t="s">
        <v>71</v>
      </c>
      <c r="AD259" s="251" t="s">
        <v>56</v>
      </c>
      <c r="AE259" s="303">
        <f t="shared" si="57"/>
        <v>12</v>
      </c>
      <c r="AF259" s="251">
        <f t="shared" si="50"/>
        <v>0</v>
      </c>
      <c r="AG259" s="266"/>
      <c r="AH259" s="266"/>
      <c r="AI259" s="253" t="s">
        <v>72</v>
      </c>
      <c r="AJ259" s="251">
        <v>2</v>
      </c>
      <c r="AK259" s="253" t="s">
        <v>73</v>
      </c>
      <c r="AL259" s="251">
        <v>0</v>
      </c>
      <c r="AM259" s="251"/>
      <c r="AN259" s="251">
        <f t="shared" si="58"/>
        <v>12</v>
      </c>
      <c r="AO259" s="290">
        <f t="shared" si="59"/>
        <v>0</v>
      </c>
      <c r="AP259" s="290">
        <f t="shared" si="60"/>
        <v>12</v>
      </c>
      <c r="AQ259" s="290">
        <f t="shared" si="61"/>
        <v>12</v>
      </c>
      <c r="AR259" s="293"/>
      <c r="AS259" s="266"/>
    </row>
    <row r="260" s="215" customFormat="1" ht="39" customHeight="1" spans="1:45">
      <c r="A260" s="254">
        <v>45821</v>
      </c>
      <c r="B260" s="249" t="s">
        <v>1199</v>
      </c>
      <c r="C260" s="265" t="s">
        <v>138</v>
      </c>
      <c r="D260" s="256">
        <v>4500169971</v>
      </c>
      <c r="E260" s="257" t="s">
        <v>1217</v>
      </c>
      <c r="F260" s="256" t="s">
        <v>1218</v>
      </c>
      <c r="G260" s="253" t="s">
        <v>62</v>
      </c>
      <c r="H260" s="253" t="s">
        <v>63</v>
      </c>
      <c r="I260" s="251">
        <v>12</v>
      </c>
      <c r="J260" s="251">
        <v>0</v>
      </c>
      <c r="K260" s="251">
        <v>6</v>
      </c>
      <c r="L260" s="251">
        <v>2</v>
      </c>
      <c r="M260" s="274">
        <v>45856</v>
      </c>
      <c r="N260" s="274">
        <v>45852</v>
      </c>
      <c r="O260" s="274"/>
      <c r="P260" s="274" t="s">
        <v>49</v>
      </c>
      <c r="Q260" s="274"/>
      <c r="R260" s="274" t="s">
        <v>871</v>
      </c>
      <c r="S260" s="277" t="s">
        <v>77</v>
      </c>
      <c r="T260" s="277">
        <v>45821</v>
      </c>
      <c r="U260" s="277">
        <v>45846</v>
      </c>
      <c r="V260" s="274"/>
      <c r="W260" s="274"/>
      <c r="X260" s="278" t="s">
        <v>1193</v>
      </c>
      <c r="Y260" s="261" t="s">
        <v>1008</v>
      </c>
      <c r="Z260" s="281">
        <v>3.5632</v>
      </c>
      <c r="AA260" s="282">
        <f t="shared" si="56"/>
        <v>42.7584</v>
      </c>
      <c r="AB260" s="251" t="s">
        <v>1202</v>
      </c>
      <c r="AC260" s="252" t="s">
        <v>71</v>
      </c>
      <c r="AD260" s="251" t="s">
        <v>56</v>
      </c>
      <c r="AE260" s="303">
        <f t="shared" si="57"/>
        <v>12</v>
      </c>
      <c r="AF260" s="251">
        <f t="shared" si="50"/>
        <v>0</v>
      </c>
      <c r="AG260" s="266"/>
      <c r="AH260" s="266"/>
      <c r="AI260" s="253" t="s">
        <v>72</v>
      </c>
      <c r="AJ260" s="251">
        <v>2</v>
      </c>
      <c r="AK260" s="253" t="s">
        <v>73</v>
      </c>
      <c r="AL260" s="251">
        <v>0</v>
      </c>
      <c r="AM260" s="251"/>
      <c r="AN260" s="251">
        <f t="shared" si="58"/>
        <v>12</v>
      </c>
      <c r="AO260" s="290">
        <f t="shared" si="59"/>
        <v>0</v>
      </c>
      <c r="AP260" s="290">
        <f t="shared" si="60"/>
        <v>12</v>
      </c>
      <c r="AQ260" s="290">
        <f t="shared" si="61"/>
        <v>12</v>
      </c>
      <c r="AR260" s="293"/>
      <c r="AS260" s="266"/>
    </row>
    <row r="261" s="215" customFormat="1" ht="39" customHeight="1" spans="1:45">
      <c r="A261" s="254">
        <v>45821</v>
      </c>
      <c r="B261" s="249" t="s">
        <v>1199</v>
      </c>
      <c r="C261" s="265" t="s">
        <v>138</v>
      </c>
      <c r="D261" s="256">
        <v>4500169971</v>
      </c>
      <c r="E261" s="257" t="s">
        <v>1219</v>
      </c>
      <c r="F261" s="256" t="s">
        <v>1220</v>
      </c>
      <c r="G261" s="253" t="s">
        <v>62</v>
      </c>
      <c r="H261" s="253" t="s">
        <v>63</v>
      </c>
      <c r="I261" s="251">
        <v>24</v>
      </c>
      <c r="J261" s="251">
        <v>0</v>
      </c>
      <c r="K261" s="251">
        <v>6</v>
      </c>
      <c r="L261" s="251">
        <v>4</v>
      </c>
      <c r="M261" s="274">
        <v>45856</v>
      </c>
      <c r="N261" s="274">
        <v>45852</v>
      </c>
      <c r="O261" s="274"/>
      <c r="P261" s="274" t="s">
        <v>49</v>
      </c>
      <c r="Q261" s="274"/>
      <c r="R261" s="274" t="s">
        <v>871</v>
      </c>
      <c r="S261" s="277" t="s">
        <v>77</v>
      </c>
      <c r="T261" s="277">
        <v>45821</v>
      </c>
      <c r="U261" s="277">
        <v>45846</v>
      </c>
      <c r="V261" s="274"/>
      <c r="W261" s="274"/>
      <c r="X261" s="278" t="s">
        <v>1193</v>
      </c>
      <c r="Y261" s="261" t="s">
        <v>1008</v>
      </c>
      <c r="Z261" s="281">
        <v>3.5632</v>
      </c>
      <c r="AA261" s="282">
        <f t="shared" si="56"/>
        <v>85.5168</v>
      </c>
      <c r="AB261" s="251" t="s">
        <v>1202</v>
      </c>
      <c r="AC261" s="252" t="s">
        <v>71</v>
      </c>
      <c r="AD261" s="251" t="s">
        <v>56</v>
      </c>
      <c r="AE261" s="303">
        <f t="shared" si="57"/>
        <v>24</v>
      </c>
      <c r="AF261" s="251">
        <f t="shared" si="50"/>
        <v>0</v>
      </c>
      <c r="AG261" s="266"/>
      <c r="AH261" s="266"/>
      <c r="AI261" s="253" t="s">
        <v>72</v>
      </c>
      <c r="AJ261" s="251">
        <v>2</v>
      </c>
      <c r="AK261" s="253" t="s">
        <v>73</v>
      </c>
      <c r="AL261" s="251">
        <v>0</v>
      </c>
      <c r="AM261" s="251"/>
      <c r="AN261" s="251">
        <f t="shared" si="58"/>
        <v>24</v>
      </c>
      <c r="AO261" s="290">
        <f t="shared" si="59"/>
        <v>0</v>
      </c>
      <c r="AP261" s="290">
        <f t="shared" si="60"/>
        <v>24</v>
      </c>
      <c r="AQ261" s="290">
        <f t="shared" si="61"/>
        <v>24</v>
      </c>
      <c r="AR261" s="293"/>
      <c r="AS261" s="266"/>
    </row>
    <row r="262" s="215" customFormat="1" ht="39" customHeight="1" spans="1:45">
      <c r="A262" s="254">
        <v>45821</v>
      </c>
      <c r="B262" s="249" t="s">
        <v>1199</v>
      </c>
      <c r="C262" s="265" t="s">
        <v>138</v>
      </c>
      <c r="D262" s="256">
        <v>4500169971</v>
      </c>
      <c r="E262" s="257" t="s">
        <v>1221</v>
      </c>
      <c r="F262" s="256" t="s">
        <v>1222</v>
      </c>
      <c r="G262" s="253" t="s">
        <v>62</v>
      </c>
      <c r="H262" s="253" t="s">
        <v>63</v>
      </c>
      <c r="I262" s="251">
        <v>18</v>
      </c>
      <c r="J262" s="251">
        <v>0</v>
      </c>
      <c r="K262" s="251">
        <v>6</v>
      </c>
      <c r="L262" s="251">
        <v>3</v>
      </c>
      <c r="M262" s="274">
        <v>45856</v>
      </c>
      <c r="N262" s="274">
        <v>45852</v>
      </c>
      <c r="O262" s="274"/>
      <c r="P262" s="274" t="s">
        <v>49</v>
      </c>
      <c r="Q262" s="274"/>
      <c r="R262" s="274" t="s">
        <v>871</v>
      </c>
      <c r="S262" s="277" t="s">
        <v>77</v>
      </c>
      <c r="T262" s="277">
        <v>45821</v>
      </c>
      <c r="U262" s="277">
        <v>45846</v>
      </c>
      <c r="V262" s="274"/>
      <c r="W262" s="274"/>
      <c r="X262" s="278" t="s">
        <v>1193</v>
      </c>
      <c r="Y262" s="261" t="s">
        <v>1008</v>
      </c>
      <c r="Z262" s="281">
        <v>3.5632</v>
      </c>
      <c r="AA262" s="282">
        <f t="shared" si="56"/>
        <v>64.1376</v>
      </c>
      <c r="AB262" s="251" t="s">
        <v>1202</v>
      </c>
      <c r="AC262" s="252" t="s">
        <v>71</v>
      </c>
      <c r="AD262" s="251" t="s">
        <v>56</v>
      </c>
      <c r="AE262" s="303">
        <f t="shared" si="57"/>
        <v>18</v>
      </c>
      <c r="AF262" s="251">
        <f>AE262-I262</f>
        <v>0</v>
      </c>
      <c r="AG262" s="266"/>
      <c r="AH262" s="266"/>
      <c r="AI262" s="253" t="s">
        <v>72</v>
      </c>
      <c r="AJ262" s="251">
        <v>2</v>
      </c>
      <c r="AK262" s="253" t="s">
        <v>73</v>
      </c>
      <c r="AL262" s="251">
        <v>0</v>
      </c>
      <c r="AM262" s="251"/>
      <c r="AN262" s="251">
        <f t="shared" si="58"/>
        <v>18</v>
      </c>
      <c r="AO262" s="290">
        <f t="shared" si="59"/>
        <v>0</v>
      </c>
      <c r="AP262" s="290">
        <f t="shared" si="60"/>
        <v>18</v>
      </c>
      <c r="AQ262" s="290">
        <f t="shared" si="61"/>
        <v>18</v>
      </c>
      <c r="AR262" s="293"/>
      <c r="AS262" s="266"/>
    </row>
    <row r="263" s="215" customFormat="1" ht="39" customHeight="1" spans="1:45">
      <c r="A263" s="254">
        <v>45821</v>
      </c>
      <c r="B263" s="249" t="s">
        <v>1199</v>
      </c>
      <c r="C263" s="265" t="s">
        <v>138</v>
      </c>
      <c r="D263" s="256">
        <v>4500169971</v>
      </c>
      <c r="E263" s="257" t="s">
        <v>1223</v>
      </c>
      <c r="F263" s="256" t="s">
        <v>1224</v>
      </c>
      <c r="G263" s="253" t="s">
        <v>62</v>
      </c>
      <c r="H263" s="253" t="s">
        <v>63</v>
      </c>
      <c r="I263" s="251">
        <v>12</v>
      </c>
      <c r="J263" s="251">
        <v>0</v>
      </c>
      <c r="K263" s="251">
        <v>6</v>
      </c>
      <c r="L263" s="251">
        <v>2</v>
      </c>
      <c r="M263" s="274">
        <v>45856</v>
      </c>
      <c r="N263" s="274">
        <v>45852</v>
      </c>
      <c r="O263" s="274"/>
      <c r="P263" s="274" t="s">
        <v>49</v>
      </c>
      <c r="Q263" s="274"/>
      <c r="R263" s="274" t="s">
        <v>871</v>
      </c>
      <c r="S263" s="277" t="s">
        <v>77</v>
      </c>
      <c r="T263" s="277">
        <v>45821</v>
      </c>
      <c r="U263" s="277">
        <v>45846</v>
      </c>
      <c r="V263" s="274"/>
      <c r="W263" s="274"/>
      <c r="X263" s="278" t="s">
        <v>1193</v>
      </c>
      <c r="Y263" s="261" t="s">
        <v>1008</v>
      </c>
      <c r="Z263" s="281">
        <v>3.5632</v>
      </c>
      <c r="AA263" s="282">
        <f t="shared" si="56"/>
        <v>42.7584</v>
      </c>
      <c r="AB263" s="251" t="s">
        <v>1202</v>
      </c>
      <c r="AC263" s="252" t="s">
        <v>71</v>
      </c>
      <c r="AD263" s="251" t="s">
        <v>56</v>
      </c>
      <c r="AE263" s="303">
        <f t="shared" si="57"/>
        <v>12</v>
      </c>
      <c r="AF263" s="251">
        <f>AE263-I263</f>
        <v>0</v>
      </c>
      <c r="AG263" s="266"/>
      <c r="AH263" s="266"/>
      <c r="AI263" s="253" t="s">
        <v>72</v>
      </c>
      <c r="AJ263" s="251">
        <v>2</v>
      </c>
      <c r="AK263" s="253" t="s">
        <v>73</v>
      </c>
      <c r="AL263" s="251">
        <v>0</v>
      </c>
      <c r="AM263" s="251"/>
      <c r="AN263" s="251">
        <f t="shared" si="58"/>
        <v>12</v>
      </c>
      <c r="AO263" s="290">
        <f t="shared" si="59"/>
        <v>0</v>
      </c>
      <c r="AP263" s="290">
        <f t="shared" si="60"/>
        <v>12</v>
      </c>
      <c r="AQ263" s="290">
        <f t="shared" si="61"/>
        <v>12</v>
      </c>
      <c r="AR263" s="293"/>
      <c r="AS263" s="266"/>
    </row>
    <row r="264" s="215" customFormat="1" ht="39" customHeight="1" spans="1:45">
      <c r="A264" s="254">
        <v>45824</v>
      </c>
      <c r="B264" s="249" t="s">
        <v>1199</v>
      </c>
      <c r="C264" s="265" t="s">
        <v>138</v>
      </c>
      <c r="D264" s="256">
        <v>4500170146</v>
      </c>
      <c r="E264" s="257" t="s">
        <v>1225</v>
      </c>
      <c r="F264" s="267" t="s">
        <v>1226</v>
      </c>
      <c r="G264" s="253" t="s">
        <v>62</v>
      </c>
      <c r="H264" s="253" t="s">
        <v>63</v>
      </c>
      <c r="I264" s="251">
        <v>18</v>
      </c>
      <c r="J264" s="251">
        <v>0</v>
      </c>
      <c r="K264" s="251">
        <v>6</v>
      </c>
      <c r="L264" s="251">
        <f t="shared" ref="L264:L291" si="62">I264/K264</f>
        <v>3</v>
      </c>
      <c r="M264" s="274">
        <v>45859</v>
      </c>
      <c r="N264" s="274">
        <v>45855</v>
      </c>
      <c r="O264" s="274"/>
      <c r="P264" s="274" t="s">
        <v>49</v>
      </c>
      <c r="Q264" s="274"/>
      <c r="R264" s="274" t="s">
        <v>871</v>
      </c>
      <c r="S264" s="277" t="s">
        <v>77</v>
      </c>
      <c r="T264" s="277">
        <v>45821</v>
      </c>
      <c r="U264" s="277">
        <v>45846</v>
      </c>
      <c r="V264" s="274"/>
      <c r="W264" s="302"/>
      <c r="X264" s="278" t="s">
        <v>1193</v>
      </c>
      <c r="Y264" s="261" t="s">
        <v>1008</v>
      </c>
      <c r="Z264" s="281">
        <v>3.5632</v>
      </c>
      <c r="AA264" s="282">
        <f t="shared" si="56"/>
        <v>64.1376</v>
      </c>
      <c r="AB264" s="251" t="s">
        <v>1227</v>
      </c>
      <c r="AC264" s="252" t="s">
        <v>71</v>
      </c>
      <c r="AD264" s="251" t="s">
        <v>56</v>
      </c>
      <c r="AE264" s="251">
        <f t="shared" ref="AE264:AE296" si="63">I264</f>
        <v>18</v>
      </c>
      <c r="AF264" s="251">
        <f>AE264-I264</f>
        <v>0</v>
      </c>
      <c r="AG264" s="266"/>
      <c r="AH264" s="266"/>
      <c r="AI264" s="253" t="s">
        <v>72</v>
      </c>
      <c r="AJ264" s="251">
        <v>2</v>
      </c>
      <c r="AK264" s="253" t="s">
        <v>73</v>
      </c>
      <c r="AL264" s="251">
        <v>0</v>
      </c>
      <c r="AM264" s="251"/>
      <c r="AN264" s="251">
        <f t="shared" si="58"/>
        <v>18</v>
      </c>
      <c r="AO264" s="290">
        <f t="shared" si="59"/>
        <v>0</v>
      </c>
      <c r="AP264" s="290">
        <f t="shared" si="60"/>
        <v>18</v>
      </c>
      <c r="AQ264" s="290">
        <f t="shared" si="61"/>
        <v>18</v>
      </c>
      <c r="AR264" s="293"/>
      <c r="AS264" s="266"/>
    </row>
    <row r="265" s="215" customFormat="1" ht="39" customHeight="1" spans="1:45">
      <c r="A265" s="254">
        <v>45824</v>
      </c>
      <c r="B265" s="249" t="s">
        <v>1199</v>
      </c>
      <c r="C265" s="265" t="s">
        <v>138</v>
      </c>
      <c r="D265" s="256">
        <v>4500170146</v>
      </c>
      <c r="E265" s="257" t="s">
        <v>1228</v>
      </c>
      <c r="F265" s="267" t="s">
        <v>1229</v>
      </c>
      <c r="G265" s="253" t="s">
        <v>62</v>
      </c>
      <c r="H265" s="253" t="s">
        <v>63</v>
      </c>
      <c r="I265" s="251">
        <v>36</v>
      </c>
      <c r="J265" s="251">
        <v>0</v>
      </c>
      <c r="K265" s="251">
        <v>6</v>
      </c>
      <c r="L265" s="251">
        <f t="shared" si="62"/>
        <v>6</v>
      </c>
      <c r="M265" s="274">
        <v>45859</v>
      </c>
      <c r="N265" s="274">
        <v>45855</v>
      </c>
      <c r="O265" s="274"/>
      <c r="P265" s="274" t="s">
        <v>49</v>
      </c>
      <c r="Q265" s="274"/>
      <c r="R265" s="274" t="s">
        <v>871</v>
      </c>
      <c r="S265" s="277" t="s">
        <v>77</v>
      </c>
      <c r="T265" s="277">
        <v>45821</v>
      </c>
      <c r="U265" s="277">
        <v>45846</v>
      </c>
      <c r="V265" s="274"/>
      <c r="W265" s="302"/>
      <c r="X265" s="278" t="s">
        <v>1193</v>
      </c>
      <c r="Y265" s="261" t="s">
        <v>1008</v>
      </c>
      <c r="Z265" s="281">
        <v>3.5632</v>
      </c>
      <c r="AA265" s="282">
        <f t="shared" si="56"/>
        <v>128.2752</v>
      </c>
      <c r="AB265" s="251" t="s">
        <v>1227</v>
      </c>
      <c r="AC265" s="252" t="s">
        <v>71</v>
      </c>
      <c r="AD265" s="251" t="s">
        <v>56</v>
      </c>
      <c r="AE265" s="251">
        <f t="shared" si="63"/>
        <v>36</v>
      </c>
      <c r="AF265" s="251">
        <f t="shared" ref="AF265:AF286" si="64">AE265-I265</f>
        <v>0</v>
      </c>
      <c r="AG265" s="266"/>
      <c r="AH265" s="266"/>
      <c r="AI265" s="253" t="s">
        <v>72</v>
      </c>
      <c r="AJ265" s="251">
        <v>2</v>
      </c>
      <c r="AK265" s="253" t="s">
        <v>73</v>
      </c>
      <c r="AL265" s="251">
        <v>0</v>
      </c>
      <c r="AM265" s="251"/>
      <c r="AN265" s="251">
        <f t="shared" si="58"/>
        <v>36</v>
      </c>
      <c r="AO265" s="290">
        <f t="shared" si="59"/>
        <v>0</v>
      </c>
      <c r="AP265" s="290">
        <f t="shared" si="60"/>
        <v>36</v>
      </c>
      <c r="AQ265" s="290">
        <f t="shared" si="61"/>
        <v>36</v>
      </c>
      <c r="AR265" s="293"/>
      <c r="AS265" s="266"/>
    </row>
    <row r="266" s="215" customFormat="1" ht="39" customHeight="1" spans="1:45">
      <c r="A266" s="254">
        <v>45824</v>
      </c>
      <c r="B266" s="249" t="s">
        <v>1199</v>
      </c>
      <c r="C266" s="265" t="s">
        <v>138</v>
      </c>
      <c r="D266" s="256">
        <v>4500170146</v>
      </c>
      <c r="E266" s="257" t="s">
        <v>1230</v>
      </c>
      <c r="F266" s="267" t="s">
        <v>1231</v>
      </c>
      <c r="G266" s="253" t="s">
        <v>62</v>
      </c>
      <c r="H266" s="253" t="s">
        <v>63</v>
      </c>
      <c r="I266" s="251">
        <v>48</v>
      </c>
      <c r="J266" s="251">
        <v>0</v>
      </c>
      <c r="K266" s="251">
        <v>6</v>
      </c>
      <c r="L266" s="251">
        <f t="shared" si="62"/>
        <v>8</v>
      </c>
      <c r="M266" s="274">
        <v>45859</v>
      </c>
      <c r="N266" s="274">
        <v>45855</v>
      </c>
      <c r="O266" s="274"/>
      <c r="P266" s="274" t="s">
        <v>49</v>
      </c>
      <c r="Q266" s="274"/>
      <c r="R266" s="274" t="s">
        <v>871</v>
      </c>
      <c r="S266" s="277" t="s">
        <v>77</v>
      </c>
      <c r="T266" s="277">
        <v>45821</v>
      </c>
      <c r="U266" s="277">
        <v>45846</v>
      </c>
      <c r="V266" s="274"/>
      <c r="W266" s="302"/>
      <c r="X266" s="278" t="s">
        <v>1193</v>
      </c>
      <c r="Y266" s="261" t="s">
        <v>1008</v>
      </c>
      <c r="Z266" s="281">
        <v>3.5632</v>
      </c>
      <c r="AA266" s="282">
        <f t="shared" si="56"/>
        <v>171.0336</v>
      </c>
      <c r="AB266" s="251" t="s">
        <v>1227</v>
      </c>
      <c r="AC266" s="252" t="s">
        <v>71</v>
      </c>
      <c r="AD266" s="251" t="s">
        <v>56</v>
      </c>
      <c r="AE266" s="251">
        <f t="shared" si="63"/>
        <v>48</v>
      </c>
      <c r="AF266" s="251">
        <f t="shared" si="64"/>
        <v>0</v>
      </c>
      <c r="AG266" s="266"/>
      <c r="AH266" s="266"/>
      <c r="AI266" s="253" t="s">
        <v>72</v>
      </c>
      <c r="AJ266" s="251">
        <v>2</v>
      </c>
      <c r="AK266" s="253" t="s">
        <v>73</v>
      </c>
      <c r="AL266" s="251">
        <v>0</v>
      </c>
      <c r="AM266" s="251"/>
      <c r="AN266" s="251">
        <f t="shared" si="58"/>
        <v>48</v>
      </c>
      <c r="AO266" s="290">
        <f t="shared" si="59"/>
        <v>0</v>
      </c>
      <c r="AP266" s="290">
        <f t="shared" si="60"/>
        <v>48</v>
      </c>
      <c r="AQ266" s="290">
        <f t="shared" si="61"/>
        <v>48</v>
      </c>
      <c r="AR266" s="293"/>
      <c r="AS266" s="266"/>
    </row>
    <row r="267" s="215" customFormat="1" ht="39" customHeight="1" spans="1:45">
      <c r="A267" s="254">
        <v>45824</v>
      </c>
      <c r="B267" s="249" t="s">
        <v>1199</v>
      </c>
      <c r="C267" s="265" t="s">
        <v>138</v>
      </c>
      <c r="D267" s="256">
        <v>4500170146</v>
      </c>
      <c r="E267" s="257" t="s">
        <v>1232</v>
      </c>
      <c r="F267" s="267" t="s">
        <v>1233</v>
      </c>
      <c r="G267" s="253" t="s">
        <v>62</v>
      </c>
      <c r="H267" s="253" t="s">
        <v>63</v>
      </c>
      <c r="I267" s="251">
        <v>30</v>
      </c>
      <c r="J267" s="251">
        <v>0</v>
      </c>
      <c r="K267" s="251">
        <v>6</v>
      </c>
      <c r="L267" s="251">
        <f t="shared" si="62"/>
        <v>5</v>
      </c>
      <c r="M267" s="274">
        <v>45859</v>
      </c>
      <c r="N267" s="274">
        <v>45855</v>
      </c>
      <c r="O267" s="274"/>
      <c r="P267" s="274" t="s">
        <v>49</v>
      </c>
      <c r="Q267" s="274"/>
      <c r="R267" s="274" t="s">
        <v>871</v>
      </c>
      <c r="S267" s="277" t="s">
        <v>77</v>
      </c>
      <c r="T267" s="277">
        <v>45821</v>
      </c>
      <c r="U267" s="277">
        <v>45846</v>
      </c>
      <c r="V267" s="274"/>
      <c r="W267" s="302"/>
      <c r="X267" s="278" t="s">
        <v>1193</v>
      </c>
      <c r="Y267" s="261" t="s">
        <v>1008</v>
      </c>
      <c r="Z267" s="281">
        <v>3.5632</v>
      </c>
      <c r="AA267" s="282">
        <f t="shared" si="56"/>
        <v>106.896</v>
      </c>
      <c r="AB267" s="251" t="s">
        <v>1227</v>
      </c>
      <c r="AC267" s="252" t="s">
        <v>71</v>
      </c>
      <c r="AD267" s="251" t="s">
        <v>56</v>
      </c>
      <c r="AE267" s="251">
        <f t="shared" si="63"/>
        <v>30</v>
      </c>
      <c r="AF267" s="251">
        <f t="shared" si="64"/>
        <v>0</v>
      </c>
      <c r="AG267" s="266"/>
      <c r="AH267" s="266"/>
      <c r="AI267" s="253" t="s">
        <v>72</v>
      </c>
      <c r="AJ267" s="251">
        <v>2</v>
      </c>
      <c r="AK267" s="253" t="s">
        <v>73</v>
      </c>
      <c r="AL267" s="251">
        <v>0</v>
      </c>
      <c r="AM267" s="251"/>
      <c r="AN267" s="251">
        <f t="shared" si="58"/>
        <v>30</v>
      </c>
      <c r="AO267" s="290">
        <f t="shared" si="59"/>
        <v>0</v>
      </c>
      <c r="AP267" s="290">
        <f t="shared" si="60"/>
        <v>30</v>
      </c>
      <c r="AQ267" s="290">
        <f t="shared" si="61"/>
        <v>30</v>
      </c>
      <c r="AR267" s="293"/>
      <c r="AS267" s="266"/>
    </row>
    <row r="268" s="215" customFormat="1" ht="39" customHeight="1" spans="1:45">
      <c r="A268" s="254">
        <v>45824</v>
      </c>
      <c r="B268" s="249" t="s">
        <v>1199</v>
      </c>
      <c r="C268" s="265" t="s">
        <v>138</v>
      </c>
      <c r="D268" s="256">
        <v>4500170146</v>
      </c>
      <c r="E268" s="257" t="s">
        <v>1234</v>
      </c>
      <c r="F268" s="267" t="s">
        <v>1235</v>
      </c>
      <c r="G268" s="253" t="s">
        <v>62</v>
      </c>
      <c r="H268" s="253" t="s">
        <v>63</v>
      </c>
      <c r="I268" s="251">
        <v>30</v>
      </c>
      <c r="J268" s="251">
        <v>0</v>
      </c>
      <c r="K268" s="251">
        <v>6</v>
      </c>
      <c r="L268" s="251">
        <f t="shared" si="62"/>
        <v>5</v>
      </c>
      <c r="M268" s="274">
        <v>45859</v>
      </c>
      <c r="N268" s="274">
        <v>45855</v>
      </c>
      <c r="O268" s="274"/>
      <c r="P268" s="274" t="s">
        <v>49</v>
      </c>
      <c r="Q268" s="274"/>
      <c r="R268" s="274" t="s">
        <v>871</v>
      </c>
      <c r="S268" s="277" t="s">
        <v>77</v>
      </c>
      <c r="T268" s="277">
        <v>45821</v>
      </c>
      <c r="U268" s="277">
        <v>45846</v>
      </c>
      <c r="V268" s="274"/>
      <c r="W268" s="302"/>
      <c r="X268" s="278" t="s">
        <v>1193</v>
      </c>
      <c r="Y268" s="261" t="s">
        <v>1008</v>
      </c>
      <c r="Z268" s="281">
        <v>3.5632</v>
      </c>
      <c r="AA268" s="282">
        <f t="shared" si="56"/>
        <v>106.896</v>
      </c>
      <c r="AB268" s="251" t="s">
        <v>1227</v>
      </c>
      <c r="AC268" s="252" t="s">
        <v>71</v>
      </c>
      <c r="AD268" s="251" t="s">
        <v>56</v>
      </c>
      <c r="AE268" s="251">
        <f t="shared" si="63"/>
        <v>30</v>
      </c>
      <c r="AF268" s="251">
        <f t="shared" si="64"/>
        <v>0</v>
      </c>
      <c r="AG268" s="266"/>
      <c r="AH268" s="266"/>
      <c r="AI268" s="253" t="s">
        <v>72</v>
      </c>
      <c r="AJ268" s="251">
        <v>2</v>
      </c>
      <c r="AK268" s="253" t="s">
        <v>73</v>
      </c>
      <c r="AL268" s="251">
        <v>0</v>
      </c>
      <c r="AM268" s="251"/>
      <c r="AN268" s="251">
        <f t="shared" si="58"/>
        <v>30</v>
      </c>
      <c r="AO268" s="290">
        <f t="shared" si="59"/>
        <v>0</v>
      </c>
      <c r="AP268" s="290">
        <f t="shared" si="60"/>
        <v>30</v>
      </c>
      <c r="AQ268" s="290">
        <f t="shared" si="61"/>
        <v>30</v>
      </c>
      <c r="AR268" s="293"/>
      <c r="AS268" s="266"/>
    </row>
    <row r="269" s="215" customFormat="1" ht="39" customHeight="1" spans="1:45">
      <c r="A269" s="254">
        <v>45824</v>
      </c>
      <c r="B269" s="249" t="s">
        <v>1199</v>
      </c>
      <c r="C269" s="265" t="s">
        <v>138</v>
      </c>
      <c r="D269" s="256">
        <v>4500170146</v>
      </c>
      <c r="E269" s="257" t="s">
        <v>1236</v>
      </c>
      <c r="F269" s="267" t="s">
        <v>1237</v>
      </c>
      <c r="G269" s="253" t="s">
        <v>62</v>
      </c>
      <c r="H269" s="253" t="s">
        <v>63</v>
      </c>
      <c r="I269" s="251">
        <v>24</v>
      </c>
      <c r="J269" s="251">
        <v>0</v>
      </c>
      <c r="K269" s="251">
        <v>6</v>
      </c>
      <c r="L269" s="251">
        <f t="shared" si="62"/>
        <v>4</v>
      </c>
      <c r="M269" s="274">
        <v>45859</v>
      </c>
      <c r="N269" s="274">
        <v>45855</v>
      </c>
      <c r="O269" s="274"/>
      <c r="P269" s="274" t="s">
        <v>49</v>
      </c>
      <c r="Q269" s="274"/>
      <c r="R269" s="274" t="s">
        <v>871</v>
      </c>
      <c r="S269" s="277" t="s">
        <v>77</v>
      </c>
      <c r="T269" s="277">
        <v>45821</v>
      </c>
      <c r="U269" s="277">
        <v>45846</v>
      </c>
      <c r="V269" s="274"/>
      <c r="W269" s="302"/>
      <c r="X269" s="278" t="s">
        <v>1193</v>
      </c>
      <c r="Y269" s="261" t="s">
        <v>1008</v>
      </c>
      <c r="Z269" s="281">
        <v>3.5632</v>
      </c>
      <c r="AA269" s="282">
        <f t="shared" si="56"/>
        <v>85.5168</v>
      </c>
      <c r="AB269" s="251" t="s">
        <v>1227</v>
      </c>
      <c r="AC269" s="252" t="s">
        <v>71</v>
      </c>
      <c r="AD269" s="251" t="s">
        <v>56</v>
      </c>
      <c r="AE269" s="251">
        <f t="shared" si="63"/>
        <v>24</v>
      </c>
      <c r="AF269" s="251">
        <f t="shared" si="64"/>
        <v>0</v>
      </c>
      <c r="AG269" s="266"/>
      <c r="AH269" s="266"/>
      <c r="AI269" s="253" t="s">
        <v>72</v>
      </c>
      <c r="AJ269" s="251">
        <v>2</v>
      </c>
      <c r="AK269" s="253" t="s">
        <v>73</v>
      </c>
      <c r="AL269" s="251">
        <v>0</v>
      </c>
      <c r="AM269" s="251"/>
      <c r="AN269" s="251">
        <f t="shared" si="58"/>
        <v>24</v>
      </c>
      <c r="AO269" s="290">
        <f t="shared" si="59"/>
        <v>0</v>
      </c>
      <c r="AP269" s="290">
        <f t="shared" si="60"/>
        <v>24</v>
      </c>
      <c r="AQ269" s="290">
        <f t="shared" si="61"/>
        <v>24</v>
      </c>
      <c r="AR269" s="293"/>
      <c r="AS269" s="266"/>
    </row>
    <row r="270" s="215" customFormat="1" ht="39" customHeight="1" spans="1:45">
      <c r="A270" s="254">
        <v>45824</v>
      </c>
      <c r="B270" s="249" t="s">
        <v>1199</v>
      </c>
      <c r="C270" s="265" t="s">
        <v>138</v>
      </c>
      <c r="D270" s="256">
        <v>4500170146</v>
      </c>
      <c r="E270" s="257" t="s">
        <v>1238</v>
      </c>
      <c r="F270" s="267" t="s">
        <v>1239</v>
      </c>
      <c r="G270" s="253" t="s">
        <v>62</v>
      </c>
      <c r="H270" s="253" t="s">
        <v>63</v>
      </c>
      <c r="I270" s="251">
        <v>30</v>
      </c>
      <c r="J270" s="251">
        <v>0</v>
      </c>
      <c r="K270" s="251">
        <v>6</v>
      </c>
      <c r="L270" s="251">
        <f t="shared" si="62"/>
        <v>5</v>
      </c>
      <c r="M270" s="274">
        <v>45859</v>
      </c>
      <c r="N270" s="274">
        <v>45855</v>
      </c>
      <c r="O270" s="274"/>
      <c r="P270" s="274" t="s">
        <v>49</v>
      </c>
      <c r="Q270" s="274"/>
      <c r="R270" s="274" t="s">
        <v>871</v>
      </c>
      <c r="S270" s="277" t="s">
        <v>77</v>
      </c>
      <c r="T270" s="277">
        <v>45821</v>
      </c>
      <c r="U270" s="277">
        <v>45846</v>
      </c>
      <c r="V270" s="274"/>
      <c r="W270" s="302"/>
      <c r="X270" s="278" t="s">
        <v>1193</v>
      </c>
      <c r="Y270" s="261" t="s">
        <v>1008</v>
      </c>
      <c r="Z270" s="281">
        <v>3.5632</v>
      </c>
      <c r="AA270" s="282">
        <f t="shared" si="56"/>
        <v>106.896</v>
      </c>
      <c r="AB270" s="251" t="s">
        <v>1227</v>
      </c>
      <c r="AC270" s="252" t="s">
        <v>71</v>
      </c>
      <c r="AD270" s="251" t="s">
        <v>56</v>
      </c>
      <c r="AE270" s="251">
        <f t="shared" si="63"/>
        <v>30</v>
      </c>
      <c r="AF270" s="251">
        <f t="shared" si="64"/>
        <v>0</v>
      </c>
      <c r="AG270" s="266"/>
      <c r="AH270" s="266"/>
      <c r="AI270" s="253" t="s">
        <v>72</v>
      </c>
      <c r="AJ270" s="251">
        <v>2</v>
      </c>
      <c r="AK270" s="253" t="s">
        <v>73</v>
      </c>
      <c r="AL270" s="251">
        <v>0</v>
      </c>
      <c r="AM270" s="251"/>
      <c r="AN270" s="251">
        <f t="shared" si="58"/>
        <v>30</v>
      </c>
      <c r="AO270" s="290">
        <f t="shared" si="59"/>
        <v>0</v>
      </c>
      <c r="AP270" s="290">
        <f t="shared" si="60"/>
        <v>30</v>
      </c>
      <c r="AQ270" s="290">
        <f t="shared" si="61"/>
        <v>30</v>
      </c>
      <c r="AR270" s="293"/>
      <c r="AS270" s="266"/>
    </row>
    <row r="271" s="215" customFormat="1" ht="39" customHeight="1" spans="1:45">
      <c r="A271" s="254">
        <v>45824</v>
      </c>
      <c r="B271" s="249" t="s">
        <v>1199</v>
      </c>
      <c r="C271" s="265" t="s">
        <v>138</v>
      </c>
      <c r="D271" s="256">
        <v>4500170146</v>
      </c>
      <c r="E271" s="257" t="s">
        <v>1240</v>
      </c>
      <c r="F271" s="267" t="s">
        <v>1241</v>
      </c>
      <c r="G271" s="253" t="s">
        <v>62</v>
      </c>
      <c r="H271" s="253" t="s">
        <v>63</v>
      </c>
      <c r="I271" s="251">
        <v>12</v>
      </c>
      <c r="J271" s="251">
        <v>0</v>
      </c>
      <c r="K271" s="251">
        <v>6</v>
      </c>
      <c r="L271" s="251">
        <f t="shared" si="62"/>
        <v>2</v>
      </c>
      <c r="M271" s="274">
        <v>45859</v>
      </c>
      <c r="N271" s="274">
        <v>45855</v>
      </c>
      <c r="O271" s="274"/>
      <c r="P271" s="274" t="s">
        <v>49</v>
      </c>
      <c r="Q271" s="274"/>
      <c r="R271" s="274" t="s">
        <v>871</v>
      </c>
      <c r="S271" s="277" t="s">
        <v>77</v>
      </c>
      <c r="T271" s="277">
        <v>45821</v>
      </c>
      <c r="U271" s="277">
        <v>45846</v>
      </c>
      <c r="V271" s="274"/>
      <c r="W271" s="302"/>
      <c r="X271" s="278" t="s">
        <v>1193</v>
      </c>
      <c r="Y271" s="261" t="s">
        <v>1008</v>
      </c>
      <c r="Z271" s="281">
        <v>3.5632</v>
      </c>
      <c r="AA271" s="282">
        <f t="shared" si="56"/>
        <v>42.7584</v>
      </c>
      <c r="AB271" s="251" t="s">
        <v>1227</v>
      </c>
      <c r="AC271" s="252" t="s">
        <v>71</v>
      </c>
      <c r="AD271" s="251" t="s">
        <v>56</v>
      </c>
      <c r="AE271" s="251">
        <f t="shared" si="63"/>
        <v>12</v>
      </c>
      <c r="AF271" s="251">
        <f t="shared" si="64"/>
        <v>0</v>
      </c>
      <c r="AG271" s="266"/>
      <c r="AH271" s="266"/>
      <c r="AI271" s="253" t="s">
        <v>72</v>
      </c>
      <c r="AJ271" s="251">
        <v>2</v>
      </c>
      <c r="AK271" s="253" t="s">
        <v>73</v>
      </c>
      <c r="AL271" s="251">
        <v>0</v>
      </c>
      <c r="AM271" s="251"/>
      <c r="AN271" s="251">
        <f t="shared" si="58"/>
        <v>12</v>
      </c>
      <c r="AO271" s="290">
        <f t="shared" si="59"/>
        <v>0</v>
      </c>
      <c r="AP271" s="290">
        <f t="shared" si="60"/>
        <v>12</v>
      </c>
      <c r="AQ271" s="290">
        <f t="shared" si="61"/>
        <v>12</v>
      </c>
      <c r="AR271" s="293"/>
      <c r="AS271" s="266"/>
    </row>
    <row r="272" s="215" customFormat="1" ht="39" customHeight="1" spans="1:45">
      <c r="A272" s="254">
        <v>45813</v>
      </c>
      <c r="B272" s="249" t="s">
        <v>245</v>
      </c>
      <c r="C272" s="265" t="s">
        <v>104</v>
      </c>
      <c r="D272" s="256">
        <v>4500169077</v>
      </c>
      <c r="E272" s="257">
        <v>9</v>
      </c>
      <c r="F272" s="267" t="s">
        <v>1242</v>
      </c>
      <c r="G272" s="253" t="s">
        <v>62</v>
      </c>
      <c r="H272" s="253" t="s">
        <v>63</v>
      </c>
      <c r="I272" s="251">
        <v>738</v>
      </c>
      <c r="J272" s="251">
        <v>0</v>
      </c>
      <c r="K272" s="251">
        <v>6</v>
      </c>
      <c r="L272" s="251">
        <f t="shared" si="62"/>
        <v>123</v>
      </c>
      <c r="M272" s="274">
        <v>45862</v>
      </c>
      <c r="N272" s="274">
        <v>45859</v>
      </c>
      <c r="O272" s="274"/>
      <c r="P272" s="274" t="s">
        <v>49</v>
      </c>
      <c r="Q272" s="274"/>
      <c r="R272" s="274" t="s">
        <v>871</v>
      </c>
      <c r="S272" s="277" t="s">
        <v>77</v>
      </c>
      <c r="T272" s="277" t="s">
        <v>375</v>
      </c>
      <c r="U272" s="277">
        <v>45839</v>
      </c>
      <c r="V272" s="274"/>
      <c r="W272" s="302"/>
      <c r="X272" s="278" t="s">
        <v>1243</v>
      </c>
      <c r="Y272" s="261" t="s">
        <v>252</v>
      </c>
      <c r="Z272" s="281">
        <v>3.3587</v>
      </c>
      <c r="AA272" s="282">
        <f t="shared" si="56"/>
        <v>2478.7206</v>
      </c>
      <c r="AB272" s="251" t="s">
        <v>1244</v>
      </c>
      <c r="AC272" s="252" t="s">
        <v>71</v>
      </c>
      <c r="AD272" s="251" t="s">
        <v>56</v>
      </c>
      <c r="AE272" s="251">
        <f t="shared" si="63"/>
        <v>738</v>
      </c>
      <c r="AF272" s="251">
        <f t="shared" si="64"/>
        <v>0</v>
      </c>
      <c r="AG272" s="266"/>
      <c r="AH272" s="266"/>
      <c r="AI272" s="253" t="s">
        <v>72</v>
      </c>
      <c r="AJ272" s="251">
        <v>2</v>
      </c>
      <c r="AK272" s="253" t="s">
        <v>73</v>
      </c>
      <c r="AL272" s="251">
        <v>0</v>
      </c>
      <c r="AM272" s="251"/>
      <c r="AN272" s="251">
        <f t="shared" si="58"/>
        <v>738</v>
      </c>
      <c r="AO272" s="290">
        <f t="shared" si="59"/>
        <v>0</v>
      </c>
      <c r="AP272" s="290">
        <f t="shared" si="60"/>
        <v>738</v>
      </c>
      <c r="AQ272" s="290">
        <f t="shared" si="61"/>
        <v>738</v>
      </c>
      <c r="AR272" s="293"/>
      <c r="AS272" s="266"/>
    </row>
    <row r="273" s="215" customFormat="1" ht="39" customHeight="1" spans="1:45">
      <c r="A273" s="254">
        <v>45813</v>
      </c>
      <c r="B273" s="249" t="s">
        <v>245</v>
      </c>
      <c r="C273" s="265" t="s">
        <v>104</v>
      </c>
      <c r="D273" s="256">
        <v>4500169077</v>
      </c>
      <c r="E273" s="257" t="s">
        <v>1245</v>
      </c>
      <c r="F273" s="267" t="s">
        <v>1246</v>
      </c>
      <c r="G273" s="253" t="s">
        <v>62</v>
      </c>
      <c r="H273" s="253" t="s">
        <v>63</v>
      </c>
      <c r="I273" s="251">
        <v>768</v>
      </c>
      <c r="J273" s="251">
        <v>0</v>
      </c>
      <c r="K273" s="251">
        <v>6</v>
      </c>
      <c r="L273" s="251">
        <f t="shared" si="62"/>
        <v>128</v>
      </c>
      <c r="M273" s="274">
        <v>45862</v>
      </c>
      <c r="N273" s="274">
        <v>45859</v>
      </c>
      <c r="O273" s="274"/>
      <c r="P273" s="274" t="s">
        <v>49</v>
      </c>
      <c r="Q273" s="274"/>
      <c r="R273" s="274" t="s">
        <v>871</v>
      </c>
      <c r="S273" s="277" t="s">
        <v>77</v>
      </c>
      <c r="T273" s="277" t="s">
        <v>375</v>
      </c>
      <c r="U273" s="277">
        <v>45839</v>
      </c>
      <c r="V273" s="274"/>
      <c r="W273" s="302"/>
      <c r="X273" s="278" t="s">
        <v>1243</v>
      </c>
      <c r="Y273" s="261" t="s">
        <v>252</v>
      </c>
      <c r="Z273" s="281">
        <v>3.3587</v>
      </c>
      <c r="AA273" s="282">
        <f t="shared" si="56"/>
        <v>2579.4816</v>
      </c>
      <c r="AB273" s="251" t="s">
        <v>1244</v>
      </c>
      <c r="AC273" s="252" t="s">
        <v>71</v>
      </c>
      <c r="AD273" s="251" t="s">
        <v>56</v>
      </c>
      <c r="AE273" s="251">
        <f t="shared" si="63"/>
        <v>768</v>
      </c>
      <c r="AF273" s="251">
        <f t="shared" si="64"/>
        <v>0</v>
      </c>
      <c r="AG273" s="266"/>
      <c r="AH273" s="266"/>
      <c r="AI273" s="253" t="s">
        <v>72</v>
      </c>
      <c r="AJ273" s="251">
        <v>2</v>
      </c>
      <c r="AK273" s="253" t="s">
        <v>73</v>
      </c>
      <c r="AL273" s="251">
        <v>0</v>
      </c>
      <c r="AM273" s="251"/>
      <c r="AN273" s="251">
        <f t="shared" si="58"/>
        <v>768</v>
      </c>
      <c r="AO273" s="290">
        <f t="shared" si="59"/>
        <v>0</v>
      </c>
      <c r="AP273" s="290">
        <f t="shared" si="60"/>
        <v>768</v>
      </c>
      <c r="AQ273" s="290">
        <f t="shared" si="61"/>
        <v>768</v>
      </c>
      <c r="AR273" s="293"/>
      <c r="AS273" s="266"/>
    </row>
    <row r="274" s="215" customFormat="1" ht="39" customHeight="1" spans="1:45">
      <c r="A274" s="254">
        <v>45808</v>
      </c>
      <c r="B274" s="249" t="s">
        <v>565</v>
      </c>
      <c r="C274" s="265" t="s">
        <v>214</v>
      </c>
      <c r="D274" s="256">
        <v>4500164246</v>
      </c>
      <c r="E274" s="257" t="s">
        <v>1247</v>
      </c>
      <c r="F274" s="267" t="s">
        <v>1248</v>
      </c>
      <c r="G274" s="253" t="s">
        <v>62</v>
      </c>
      <c r="H274" s="253" t="s">
        <v>63</v>
      </c>
      <c r="I274" s="251">
        <v>1008</v>
      </c>
      <c r="J274" s="251">
        <v>0</v>
      </c>
      <c r="K274" s="251">
        <v>6</v>
      </c>
      <c r="L274" s="251">
        <f t="shared" si="62"/>
        <v>168</v>
      </c>
      <c r="M274" s="274">
        <v>45863</v>
      </c>
      <c r="N274" s="274">
        <v>45859</v>
      </c>
      <c r="O274" s="274"/>
      <c r="P274" s="274" t="s">
        <v>49</v>
      </c>
      <c r="Q274" s="274"/>
      <c r="R274" s="274" t="s">
        <v>871</v>
      </c>
      <c r="S274" s="277" t="s">
        <v>50</v>
      </c>
      <c r="T274" s="277">
        <v>45808</v>
      </c>
      <c r="U274" s="277">
        <v>45835</v>
      </c>
      <c r="V274" s="274"/>
      <c r="W274" s="274"/>
      <c r="X274" s="278" t="s">
        <v>1249</v>
      </c>
      <c r="Y274" s="261" t="s">
        <v>904</v>
      </c>
      <c r="Z274" s="281">
        <v>3.3328</v>
      </c>
      <c r="AA274" s="282">
        <f t="shared" si="56"/>
        <v>3359.4624</v>
      </c>
      <c r="AB274" s="251" t="s">
        <v>1250</v>
      </c>
      <c r="AC274" s="252" t="s">
        <v>62</v>
      </c>
      <c r="AD274" s="251" t="s">
        <v>56</v>
      </c>
      <c r="AE274" s="251">
        <f t="shared" si="63"/>
        <v>1008</v>
      </c>
      <c r="AF274" s="251">
        <f t="shared" si="64"/>
        <v>0</v>
      </c>
      <c r="AG274" s="266"/>
      <c r="AH274" s="266"/>
      <c r="AI274" s="253" t="s">
        <v>57</v>
      </c>
      <c r="AJ274" s="251">
        <v>0</v>
      </c>
      <c r="AK274" s="253" t="s">
        <v>73</v>
      </c>
      <c r="AL274" s="251">
        <v>0</v>
      </c>
      <c r="AM274" s="251"/>
      <c r="AN274" s="251">
        <f t="shared" si="58"/>
        <v>1008</v>
      </c>
      <c r="AO274" s="290">
        <f t="shared" si="59"/>
        <v>1008</v>
      </c>
      <c r="AP274" s="290" t="b">
        <f t="shared" si="60"/>
        <v>0</v>
      </c>
      <c r="AQ274" s="290">
        <f t="shared" si="61"/>
        <v>1008</v>
      </c>
      <c r="AR274" s="293"/>
      <c r="AS274" s="266"/>
    </row>
    <row r="275" s="215" customFormat="1" ht="39" customHeight="1" spans="1:45">
      <c r="A275" s="254">
        <v>45834</v>
      </c>
      <c r="B275" s="249" t="s">
        <v>1251</v>
      </c>
      <c r="C275" s="265" t="s">
        <v>44</v>
      </c>
      <c r="D275" s="256">
        <v>4500171334</v>
      </c>
      <c r="E275" s="257">
        <v>383753310</v>
      </c>
      <c r="F275" s="256" t="s">
        <v>1252</v>
      </c>
      <c r="G275" s="253" t="s">
        <v>62</v>
      </c>
      <c r="H275" s="253" t="s">
        <v>63</v>
      </c>
      <c r="I275" s="251">
        <v>2400</v>
      </c>
      <c r="J275" s="251">
        <v>0</v>
      </c>
      <c r="K275" s="251">
        <v>6</v>
      </c>
      <c r="L275" s="251">
        <f t="shared" si="62"/>
        <v>400</v>
      </c>
      <c r="M275" s="274">
        <v>45868</v>
      </c>
      <c r="N275" s="274">
        <v>45864</v>
      </c>
      <c r="O275" s="274"/>
      <c r="P275" s="274" t="s">
        <v>49</v>
      </c>
      <c r="Q275" s="274"/>
      <c r="R275" s="274" t="s">
        <v>871</v>
      </c>
      <c r="S275" s="277" t="s">
        <v>77</v>
      </c>
      <c r="T275" s="277">
        <v>45841</v>
      </c>
      <c r="U275" s="277" t="s">
        <v>1253</v>
      </c>
      <c r="V275" s="274"/>
      <c r="W275" s="274"/>
      <c r="X275" s="278" t="s">
        <v>1254</v>
      </c>
      <c r="Y275" s="261" t="s">
        <v>1255</v>
      </c>
      <c r="Z275" s="281">
        <v>1.9997</v>
      </c>
      <c r="AA275" s="282">
        <f t="shared" si="56"/>
        <v>4799.28</v>
      </c>
      <c r="AB275" s="251" t="s">
        <v>1256</v>
      </c>
      <c r="AC275" s="252" t="s">
        <v>62</v>
      </c>
      <c r="AD275" s="251" t="s">
        <v>56</v>
      </c>
      <c r="AE275" s="251">
        <f t="shared" si="63"/>
        <v>2400</v>
      </c>
      <c r="AF275" s="251">
        <f t="shared" si="64"/>
        <v>0</v>
      </c>
      <c r="AG275" s="266"/>
      <c r="AH275" s="266"/>
      <c r="AI275" s="253" t="s">
        <v>57</v>
      </c>
      <c r="AJ275" s="251">
        <v>0</v>
      </c>
      <c r="AK275" s="253" t="s">
        <v>73</v>
      </c>
      <c r="AL275" s="251">
        <v>0</v>
      </c>
      <c r="AM275" s="251"/>
      <c r="AN275" s="251">
        <f t="shared" si="58"/>
        <v>2400</v>
      </c>
      <c r="AO275" s="290">
        <f t="shared" si="59"/>
        <v>2400</v>
      </c>
      <c r="AP275" s="290" t="b">
        <f t="shared" si="60"/>
        <v>0</v>
      </c>
      <c r="AQ275" s="290">
        <f t="shared" si="61"/>
        <v>2400</v>
      </c>
      <c r="AR275" s="293"/>
      <c r="AS275" s="266"/>
    </row>
    <row r="276" s="215" customFormat="1" ht="39" hidden="1" customHeight="1" spans="1:45">
      <c r="A276" s="254">
        <v>45834</v>
      </c>
      <c r="B276" s="249" t="s">
        <v>838</v>
      </c>
      <c r="C276" s="265" t="s">
        <v>44</v>
      </c>
      <c r="D276" s="256">
        <v>4500171100</v>
      </c>
      <c r="E276" s="257" t="s">
        <v>1257</v>
      </c>
      <c r="F276" s="256" t="s">
        <v>1258</v>
      </c>
      <c r="G276" s="253" t="s">
        <v>46</v>
      </c>
      <c r="H276" s="253" t="s">
        <v>47</v>
      </c>
      <c r="I276" s="251">
        <v>588</v>
      </c>
      <c r="J276" s="251">
        <v>0</v>
      </c>
      <c r="K276" s="251">
        <v>98</v>
      </c>
      <c r="L276" s="251">
        <f t="shared" si="62"/>
        <v>6</v>
      </c>
      <c r="M276" s="274">
        <v>45869</v>
      </c>
      <c r="N276" s="274">
        <v>45866</v>
      </c>
      <c r="O276" s="274" t="s">
        <v>1259</v>
      </c>
      <c r="P276" s="274" t="s">
        <v>49</v>
      </c>
      <c r="Q276" s="274"/>
      <c r="R276" s="274" t="s">
        <v>871</v>
      </c>
      <c r="S276" s="277" t="s">
        <v>50</v>
      </c>
      <c r="T276" s="277" t="s">
        <v>1260</v>
      </c>
      <c r="U276" s="277" t="s">
        <v>1136</v>
      </c>
      <c r="V276" s="274"/>
      <c r="W276" s="274"/>
      <c r="X276" s="278" t="s">
        <v>1261</v>
      </c>
      <c r="Y276" s="261" t="s">
        <v>844</v>
      </c>
      <c r="Z276" s="281">
        <v>217.2683</v>
      </c>
      <c r="AA276" s="282">
        <f>Z276*L276</f>
        <v>1303.6098</v>
      </c>
      <c r="AB276" s="251" t="s">
        <v>1262</v>
      </c>
      <c r="AC276" s="252" t="s">
        <v>46</v>
      </c>
      <c r="AD276" s="251" t="s">
        <v>56</v>
      </c>
      <c r="AE276" s="251">
        <f t="shared" si="63"/>
        <v>588</v>
      </c>
      <c r="AF276" s="251">
        <f t="shared" si="64"/>
        <v>0</v>
      </c>
      <c r="AG276" s="266"/>
      <c r="AH276" s="266"/>
      <c r="AI276" s="253" t="s">
        <v>57</v>
      </c>
      <c r="AJ276" s="251">
        <v>0</v>
      </c>
      <c r="AK276" s="253" t="s">
        <v>73</v>
      </c>
      <c r="AL276" s="251">
        <v>0</v>
      </c>
      <c r="AM276" s="251"/>
      <c r="AN276" s="251">
        <f t="shared" si="58"/>
        <v>588</v>
      </c>
      <c r="AO276" s="290">
        <f t="shared" si="59"/>
        <v>588</v>
      </c>
      <c r="AP276" s="290" t="b">
        <f t="shared" si="60"/>
        <v>0</v>
      </c>
      <c r="AQ276" s="290">
        <f t="shared" si="61"/>
        <v>588</v>
      </c>
      <c r="AR276" s="293"/>
      <c r="AS276" s="266"/>
    </row>
    <row r="277" s="215" customFormat="1" ht="39" hidden="1" customHeight="1" spans="1:45">
      <c r="A277" s="254">
        <v>45834</v>
      </c>
      <c r="B277" s="249" t="s">
        <v>838</v>
      </c>
      <c r="C277" s="265" t="s">
        <v>44</v>
      </c>
      <c r="D277" s="256">
        <v>4500171100</v>
      </c>
      <c r="E277" s="257" t="s">
        <v>1263</v>
      </c>
      <c r="F277" s="256" t="s">
        <v>1264</v>
      </c>
      <c r="G277" s="253" t="s">
        <v>46</v>
      </c>
      <c r="H277" s="253" t="s">
        <v>47</v>
      </c>
      <c r="I277" s="251">
        <v>1470</v>
      </c>
      <c r="J277" s="251">
        <v>0</v>
      </c>
      <c r="K277" s="251">
        <v>98</v>
      </c>
      <c r="L277" s="251">
        <f t="shared" si="62"/>
        <v>15</v>
      </c>
      <c r="M277" s="274">
        <v>45869</v>
      </c>
      <c r="N277" s="274">
        <v>45866</v>
      </c>
      <c r="O277" s="274" t="s">
        <v>1259</v>
      </c>
      <c r="P277" s="274" t="s">
        <v>49</v>
      </c>
      <c r="Q277" s="274"/>
      <c r="R277" s="274" t="s">
        <v>871</v>
      </c>
      <c r="S277" s="277" t="s">
        <v>50</v>
      </c>
      <c r="T277" s="277" t="s">
        <v>1260</v>
      </c>
      <c r="U277" s="277" t="s">
        <v>1136</v>
      </c>
      <c r="V277" s="274"/>
      <c r="W277" s="274"/>
      <c r="X277" s="278" t="s">
        <v>1261</v>
      </c>
      <c r="Y277" s="261" t="s">
        <v>844</v>
      </c>
      <c r="Z277" s="281">
        <v>216.4927</v>
      </c>
      <c r="AA277" s="282">
        <f>Z277*L277</f>
        <v>3247.3905</v>
      </c>
      <c r="AB277" s="251" t="s">
        <v>1265</v>
      </c>
      <c r="AC277" s="252" t="s">
        <v>46</v>
      </c>
      <c r="AD277" s="251" t="s">
        <v>56</v>
      </c>
      <c r="AE277" s="251">
        <f t="shared" si="63"/>
        <v>1470</v>
      </c>
      <c r="AF277" s="251">
        <f t="shared" si="64"/>
        <v>0</v>
      </c>
      <c r="AG277" s="266"/>
      <c r="AH277" s="266"/>
      <c r="AI277" s="253" t="s">
        <v>57</v>
      </c>
      <c r="AJ277" s="251">
        <v>0</v>
      </c>
      <c r="AK277" s="253" t="s">
        <v>73</v>
      </c>
      <c r="AL277" s="251">
        <v>0</v>
      </c>
      <c r="AM277" s="251"/>
      <c r="AN277" s="251">
        <f t="shared" si="58"/>
        <v>1470</v>
      </c>
      <c r="AO277" s="290">
        <f t="shared" si="59"/>
        <v>1470</v>
      </c>
      <c r="AP277" s="290" t="b">
        <f t="shared" si="60"/>
        <v>0</v>
      </c>
      <c r="AQ277" s="290">
        <f t="shared" si="61"/>
        <v>1470</v>
      </c>
      <c r="AR277" s="293"/>
      <c r="AS277" s="266"/>
    </row>
    <row r="278" s="215" customFormat="1" ht="39" hidden="1" customHeight="1" spans="1:45">
      <c r="A278" s="254">
        <v>45834</v>
      </c>
      <c r="B278" s="249" t="s">
        <v>838</v>
      </c>
      <c r="C278" s="265" t="s">
        <v>44</v>
      </c>
      <c r="D278" s="256">
        <v>4500171100</v>
      </c>
      <c r="E278" s="257" t="s">
        <v>1266</v>
      </c>
      <c r="F278" s="256" t="s">
        <v>1267</v>
      </c>
      <c r="G278" s="253" t="s">
        <v>46</v>
      </c>
      <c r="H278" s="253" t="s">
        <v>47</v>
      </c>
      <c r="I278" s="251">
        <v>588</v>
      </c>
      <c r="J278" s="251">
        <v>0</v>
      </c>
      <c r="K278" s="251">
        <v>98</v>
      </c>
      <c r="L278" s="251">
        <f t="shared" si="62"/>
        <v>6</v>
      </c>
      <c r="M278" s="274">
        <v>45869</v>
      </c>
      <c r="N278" s="274">
        <v>45866</v>
      </c>
      <c r="O278" s="274" t="s">
        <v>1259</v>
      </c>
      <c r="P278" s="274" t="s">
        <v>49</v>
      </c>
      <c r="Q278" s="274"/>
      <c r="R278" s="274" t="s">
        <v>871</v>
      </c>
      <c r="S278" s="277" t="s">
        <v>50</v>
      </c>
      <c r="T278" s="277" t="s">
        <v>1260</v>
      </c>
      <c r="U278" s="277" t="s">
        <v>1136</v>
      </c>
      <c r="V278" s="274"/>
      <c r="W278" s="274"/>
      <c r="X278" s="278" t="s">
        <v>1261</v>
      </c>
      <c r="Y278" s="261" t="s">
        <v>844</v>
      </c>
      <c r="Z278" s="281">
        <v>217.2683</v>
      </c>
      <c r="AA278" s="282">
        <f>Z278*L278</f>
        <v>1303.6098</v>
      </c>
      <c r="AB278" s="251" t="s">
        <v>1268</v>
      </c>
      <c r="AC278" s="252" t="s">
        <v>46</v>
      </c>
      <c r="AD278" s="251" t="s">
        <v>56</v>
      </c>
      <c r="AE278" s="251">
        <f t="shared" si="63"/>
        <v>588</v>
      </c>
      <c r="AF278" s="251">
        <f t="shared" si="64"/>
        <v>0</v>
      </c>
      <c r="AG278" s="266"/>
      <c r="AH278" s="266"/>
      <c r="AI278" s="253" t="s">
        <v>57</v>
      </c>
      <c r="AJ278" s="251">
        <v>0</v>
      </c>
      <c r="AK278" s="253" t="s">
        <v>73</v>
      </c>
      <c r="AL278" s="251">
        <v>0</v>
      </c>
      <c r="AM278" s="251"/>
      <c r="AN278" s="251">
        <f t="shared" si="58"/>
        <v>588</v>
      </c>
      <c r="AO278" s="290">
        <f t="shared" si="59"/>
        <v>588</v>
      </c>
      <c r="AP278" s="290" t="b">
        <f t="shared" si="60"/>
        <v>0</v>
      </c>
      <c r="AQ278" s="290">
        <f t="shared" si="61"/>
        <v>588</v>
      </c>
      <c r="AR278" s="293"/>
      <c r="AS278" s="266"/>
    </row>
    <row r="279" s="215" customFormat="1" ht="39" customHeight="1" spans="1:45">
      <c r="A279" s="254">
        <v>45828</v>
      </c>
      <c r="B279" s="249" t="s">
        <v>1269</v>
      </c>
      <c r="C279" s="265" t="s">
        <v>764</v>
      </c>
      <c r="D279" s="256">
        <v>4500170860</v>
      </c>
      <c r="E279" s="257" t="s">
        <v>1270</v>
      </c>
      <c r="F279" s="256" t="s">
        <v>1271</v>
      </c>
      <c r="G279" s="253" t="s">
        <v>62</v>
      </c>
      <c r="H279" s="253" t="s">
        <v>63</v>
      </c>
      <c r="I279" s="251">
        <v>600</v>
      </c>
      <c r="J279" s="251">
        <v>0</v>
      </c>
      <c r="K279" s="251">
        <v>6</v>
      </c>
      <c r="L279" s="251">
        <f t="shared" si="62"/>
        <v>100</v>
      </c>
      <c r="M279" s="274">
        <v>45873</v>
      </c>
      <c r="N279" s="274">
        <f>M279-4</f>
        <v>45869</v>
      </c>
      <c r="O279" s="274"/>
      <c r="P279" s="274" t="s">
        <v>49</v>
      </c>
      <c r="Q279" s="274"/>
      <c r="R279" s="274" t="s">
        <v>871</v>
      </c>
      <c r="S279" s="277" t="s">
        <v>50</v>
      </c>
      <c r="T279" s="277">
        <v>45832</v>
      </c>
      <c r="U279" s="277" t="s">
        <v>1272</v>
      </c>
      <c r="V279" s="274"/>
      <c r="W279" s="274"/>
      <c r="X279" s="278" t="s">
        <v>1273</v>
      </c>
      <c r="Y279" s="261" t="s">
        <v>454</v>
      </c>
      <c r="Z279" s="281">
        <v>3.346</v>
      </c>
      <c r="AA279" s="282">
        <f t="shared" ref="AA279:AA295" si="65">I279*Z279</f>
        <v>2007.6</v>
      </c>
      <c r="AB279" s="251" t="s">
        <v>1274</v>
      </c>
      <c r="AC279" s="252" t="s">
        <v>62</v>
      </c>
      <c r="AD279" s="251" t="s">
        <v>56</v>
      </c>
      <c r="AE279" s="251">
        <f t="shared" si="63"/>
        <v>600</v>
      </c>
      <c r="AF279" s="251">
        <f t="shared" si="64"/>
        <v>0</v>
      </c>
      <c r="AG279" s="266"/>
      <c r="AH279" s="266"/>
      <c r="AI279" s="253" t="s">
        <v>57</v>
      </c>
      <c r="AJ279" s="251">
        <v>0</v>
      </c>
      <c r="AK279" s="253" t="s">
        <v>73</v>
      </c>
      <c r="AL279" s="251">
        <v>0</v>
      </c>
      <c r="AM279" s="251"/>
      <c r="AN279" s="251">
        <f t="shared" si="58"/>
        <v>600</v>
      </c>
      <c r="AO279" s="290">
        <f t="shared" si="59"/>
        <v>600</v>
      </c>
      <c r="AP279" s="290" t="b">
        <f t="shared" si="60"/>
        <v>0</v>
      </c>
      <c r="AQ279" s="290">
        <f t="shared" si="61"/>
        <v>600</v>
      </c>
      <c r="AR279" s="293"/>
      <c r="AS279" s="266"/>
    </row>
    <row r="280" s="215" customFormat="1" ht="39" customHeight="1" spans="1:45">
      <c r="A280" s="254">
        <v>45836</v>
      </c>
      <c r="B280" s="249" t="s">
        <v>385</v>
      </c>
      <c r="C280" s="265" t="s">
        <v>44</v>
      </c>
      <c r="D280" s="256">
        <v>4500171730</v>
      </c>
      <c r="E280" s="257">
        <v>60236506</v>
      </c>
      <c r="F280" s="256" t="s">
        <v>1275</v>
      </c>
      <c r="G280" s="253" t="s">
        <v>62</v>
      </c>
      <c r="H280" s="253" t="s">
        <v>63</v>
      </c>
      <c r="I280" s="251">
        <v>1500</v>
      </c>
      <c r="J280" s="251">
        <v>0</v>
      </c>
      <c r="K280" s="251">
        <v>6</v>
      </c>
      <c r="L280" s="251">
        <f t="shared" si="62"/>
        <v>250</v>
      </c>
      <c r="M280" s="274">
        <v>45873</v>
      </c>
      <c r="N280" s="274">
        <v>45869</v>
      </c>
      <c r="O280" s="274"/>
      <c r="P280" s="274" t="s">
        <v>49</v>
      </c>
      <c r="Q280" s="274"/>
      <c r="R280" s="274" t="s">
        <v>871</v>
      </c>
      <c r="S280" s="277" t="s">
        <v>50</v>
      </c>
      <c r="T280" s="277">
        <v>45846</v>
      </c>
      <c r="U280" s="277">
        <v>45859</v>
      </c>
      <c r="V280" s="274"/>
      <c r="W280" s="274"/>
      <c r="X280" s="278" t="s">
        <v>1276</v>
      </c>
      <c r="Y280" s="261" t="s">
        <v>1277</v>
      </c>
      <c r="Z280" s="281">
        <v>1.9997</v>
      </c>
      <c r="AA280" s="282">
        <f t="shared" si="65"/>
        <v>2999.55</v>
      </c>
      <c r="AB280" s="290" t="s">
        <v>1278</v>
      </c>
      <c r="AC280" s="252" t="s">
        <v>62</v>
      </c>
      <c r="AD280" s="251" t="s">
        <v>56</v>
      </c>
      <c r="AE280" s="251">
        <f t="shared" si="63"/>
        <v>1500</v>
      </c>
      <c r="AF280" s="251"/>
      <c r="AG280" s="266"/>
      <c r="AH280" s="266"/>
      <c r="AI280" s="253" t="s">
        <v>57</v>
      </c>
      <c r="AJ280" s="251">
        <v>0</v>
      </c>
      <c r="AK280" s="253" t="s">
        <v>73</v>
      </c>
      <c r="AL280" s="251">
        <v>0</v>
      </c>
      <c r="AM280" s="251"/>
      <c r="AN280" s="251">
        <f t="shared" si="58"/>
        <v>1500</v>
      </c>
      <c r="AO280" s="290">
        <f t="shared" si="59"/>
        <v>1500</v>
      </c>
      <c r="AP280" s="290" t="b">
        <f t="shared" si="60"/>
        <v>0</v>
      </c>
      <c r="AQ280" s="290">
        <f t="shared" si="61"/>
        <v>1500</v>
      </c>
      <c r="AR280" s="293"/>
      <c r="AS280" s="266"/>
    </row>
    <row r="281" s="215" customFormat="1" ht="39" customHeight="1" spans="1:45">
      <c r="A281" s="254">
        <v>45836</v>
      </c>
      <c r="B281" s="249" t="s">
        <v>1279</v>
      </c>
      <c r="C281" s="265" t="s">
        <v>44</v>
      </c>
      <c r="D281" s="256">
        <v>4500171824</v>
      </c>
      <c r="E281" s="257">
        <v>70073004</v>
      </c>
      <c r="F281" s="256" t="s">
        <v>1280</v>
      </c>
      <c r="G281" s="253" t="s">
        <v>62</v>
      </c>
      <c r="H281" s="253" t="s">
        <v>63</v>
      </c>
      <c r="I281" s="251">
        <v>402</v>
      </c>
      <c r="J281" s="251">
        <v>0</v>
      </c>
      <c r="K281" s="251">
        <v>6</v>
      </c>
      <c r="L281" s="251">
        <f t="shared" si="62"/>
        <v>67</v>
      </c>
      <c r="M281" s="274">
        <v>45870</v>
      </c>
      <c r="N281" s="274">
        <f>M281-4</f>
        <v>45866</v>
      </c>
      <c r="O281" s="274"/>
      <c r="P281" s="274" t="s">
        <v>49</v>
      </c>
      <c r="Q281" s="274"/>
      <c r="R281" s="274" t="s">
        <v>871</v>
      </c>
      <c r="S281" s="277" t="s">
        <v>50</v>
      </c>
      <c r="T281" s="277">
        <v>45846</v>
      </c>
      <c r="U281" s="277">
        <v>45852</v>
      </c>
      <c r="V281" s="274"/>
      <c r="W281" s="274"/>
      <c r="X281" s="278" t="s">
        <v>1276</v>
      </c>
      <c r="Y281" s="261" t="s">
        <v>1277</v>
      </c>
      <c r="Z281" s="281">
        <v>2.0152</v>
      </c>
      <c r="AA281" s="282">
        <f t="shared" si="65"/>
        <v>810.1104</v>
      </c>
      <c r="AB281" s="251" t="s">
        <v>1281</v>
      </c>
      <c r="AC281" s="252" t="s">
        <v>62</v>
      </c>
      <c r="AD281" s="251" t="s">
        <v>56</v>
      </c>
      <c r="AE281" s="251">
        <f t="shared" si="63"/>
        <v>402</v>
      </c>
      <c r="AF281" s="251"/>
      <c r="AG281" s="266"/>
      <c r="AH281" s="266"/>
      <c r="AI281" s="253" t="s">
        <v>57</v>
      </c>
      <c r="AJ281" s="251">
        <v>0</v>
      </c>
      <c r="AK281" s="253" t="s">
        <v>73</v>
      </c>
      <c r="AL281" s="251">
        <v>0</v>
      </c>
      <c r="AM281" s="251"/>
      <c r="AN281" s="251">
        <f t="shared" si="58"/>
        <v>402</v>
      </c>
      <c r="AO281" s="290">
        <f t="shared" si="59"/>
        <v>402</v>
      </c>
      <c r="AP281" s="290" t="b">
        <f t="shared" si="60"/>
        <v>0</v>
      </c>
      <c r="AQ281" s="290">
        <f t="shared" si="61"/>
        <v>402</v>
      </c>
      <c r="AR281" s="293"/>
      <c r="AS281" s="266"/>
    </row>
    <row r="282" s="215" customFormat="1" ht="39" customHeight="1" spans="1:45">
      <c r="A282" s="254">
        <v>45827</v>
      </c>
      <c r="B282" s="249" t="s">
        <v>846</v>
      </c>
      <c r="C282" s="265" t="s">
        <v>138</v>
      </c>
      <c r="D282" s="256">
        <v>4500170561</v>
      </c>
      <c r="E282" s="257">
        <v>3501527847</v>
      </c>
      <c r="F282" s="267" t="s">
        <v>1282</v>
      </c>
      <c r="G282" s="253" t="s">
        <v>62</v>
      </c>
      <c r="H282" s="253" t="s">
        <v>63</v>
      </c>
      <c r="I282" s="251">
        <v>606</v>
      </c>
      <c r="J282" s="251">
        <v>0</v>
      </c>
      <c r="K282" s="251">
        <v>6</v>
      </c>
      <c r="L282" s="251">
        <f t="shared" si="62"/>
        <v>101</v>
      </c>
      <c r="M282" s="274">
        <v>45874</v>
      </c>
      <c r="N282" s="274">
        <v>45870</v>
      </c>
      <c r="O282" s="274">
        <v>45876</v>
      </c>
      <c r="P282" s="274" t="s">
        <v>49</v>
      </c>
      <c r="Q282" s="274"/>
      <c r="R282" s="274"/>
      <c r="S282" s="277" t="s">
        <v>50</v>
      </c>
      <c r="T282" s="277">
        <v>45840</v>
      </c>
      <c r="U282" s="277">
        <v>45840</v>
      </c>
      <c r="V282" s="274"/>
      <c r="W282" s="302"/>
      <c r="X282" s="278" t="s">
        <v>1283</v>
      </c>
      <c r="Y282" s="261" t="s">
        <v>850</v>
      </c>
      <c r="Z282" s="281">
        <v>3.5505</v>
      </c>
      <c r="AA282" s="282">
        <f t="shared" si="65"/>
        <v>2151.603</v>
      </c>
      <c r="AB282" s="251" t="s">
        <v>1284</v>
      </c>
      <c r="AC282" s="252" t="s">
        <v>71</v>
      </c>
      <c r="AD282" s="251" t="s">
        <v>56</v>
      </c>
      <c r="AE282" s="251">
        <f t="shared" si="63"/>
        <v>606</v>
      </c>
      <c r="AF282" s="251">
        <f>AE282-I282</f>
        <v>0</v>
      </c>
      <c r="AG282" s="266"/>
      <c r="AH282" s="266"/>
      <c r="AI282" s="253" t="s">
        <v>72</v>
      </c>
      <c r="AJ282" s="251">
        <v>2</v>
      </c>
      <c r="AK282" s="253" t="s">
        <v>73</v>
      </c>
      <c r="AL282" s="251">
        <v>0</v>
      </c>
      <c r="AM282" s="251"/>
      <c r="AN282" s="251">
        <f t="shared" si="58"/>
        <v>606</v>
      </c>
      <c r="AO282" s="290">
        <f t="shared" si="59"/>
        <v>0</v>
      </c>
      <c r="AP282" s="290">
        <f t="shared" si="60"/>
        <v>606</v>
      </c>
      <c r="AQ282" s="290">
        <f t="shared" si="61"/>
        <v>606</v>
      </c>
      <c r="AR282" s="293"/>
      <c r="AS282" s="266"/>
    </row>
    <row r="283" s="215" customFormat="1" ht="39" customHeight="1" spans="1:45">
      <c r="A283" s="254">
        <v>45840</v>
      </c>
      <c r="B283" s="249" t="s">
        <v>385</v>
      </c>
      <c r="C283" s="265" t="s">
        <v>44</v>
      </c>
      <c r="D283" s="256">
        <v>4500172379</v>
      </c>
      <c r="E283" s="257">
        <v>60236612</v>
      </c>
      <c r="F283" s="256" t="s">
        <v>1285</v>
      </c>
      <c r="G283" s="253" t="s">
        <v>62</v>
      </c>
      <c r="H283" s="253" t="s">
        <v>63</v>
      </c>
      <c r="I283" s="251">
        <v>1200</v>
      </c>
      <c r="J283" s="251">
        <v>0</v>
      </c>
      <c r="K283" s="251">
        <v>6</v>
      </c>
      <c r="L283" s="251">
        <f t="shared" si="62"/>
        <v>200</v>
      </c>
      <c r="M283" s="274">
        <v>45877</v>
      </c>
      <c r="N283" s="274">
        <v>45873</v>
      </c>
      <c r="O283" s="274"/>
      <c r="P283" s="274" t="s">
        <v>49</v>
      </c>
      <c r="Q283" s="274"/>
      <c r="R283" s="274" t="s">
        <v>871</v>
      </c>
      <c r="S283" s="277" t="s">
        <v>50</v>
      </c>
      <c r="T283" s="277">
        <v>45846</v>
      </c>
      <c r="U283" s="277">
        <v>45852</v>
      </c>
      <c r="V283" s="274"/>
      <c r="W283" s="274"/>
      <c r="X283" s="278" t="s">
        <v>1276</v>
      </c>
      <c r="Y283" s="261" t="s">
        <v>1277</v>
      </c>
      <c r="Z283" s="281">
        <v>2.1224</v>
      </c>
      <c r="AA283" s="282">
        <f t="shared" si="65"/>
        <v>2546.88</v>
      </c>
      <c r="AB283" s="251" t="s">
        <v>1286</v>
      </c>
      <c r="AC283" s="252" t="s">
        <v>62</v>
      </c>
      <c r="AD283" s="251" t="s">
        <v>56</v>
      </c>
      <c r="AE283" s="251">
        <f t="shared" si="63"/>
        <v>1200</v>
      </c>
      <c r="AF283" s="251"/>
      <c r="AG283" s="266"/>
      <c r="AH283" s="266"/>
      <c r="AI283" s="253" t="s">
        <v>57</v>
      </c>
      <c r="AJ283" s="251">
        <v>0</v>
      </c>
      <c r="AK283" s="253" t="s">
        <v>73</v>
      </c>
      <c r="AL283" s="251">
        <v>0</v>
      </c>
      <c r="AM283" s="251"/>
      <c r="AN283" s="251">
        <f t="shared" si="58"/>
        <v>1200</v>
      </c>
      <c r="AO283" s="290">
        <f t="shared" si="59"/>
        <v>1200</v>
      </c>
      <c r="AP283" s="290" t="b">
        <f t="shared" si="60"/>
        <v>0</v>
      </c>
      <c r="AQ283" s="290">
        <f t="shared" si="61"/>
        <v>1200</v>
      </c>
      <c r="AR283" s="293"/>
      <c r="AS283" s="266"/>
    </row>
    <row r="284" s="215" customFormat="1" ht="39" customHeight="1" spans="1:45">
      <c r="A284" s="254">
        <v>45841</v>
      </c>
      <c r="B284" s="249" t="s">
        <v>1163</v>
      </c>
      <c r="C284" s="265" t="s">
        <v>396</v>
      </c>
      <c r="D284" s="256">
        <v>4500172673</v>
      </c>
      <c r="E284" s="257" t="s">
        <v>1287</v>
      </c>
      <c r="F284" s="256" t="s">
        <v>1288</v>
      </c>
      <c r="G284" s="253" t="s">
        <v>62</v>
      </c>
      <c r="H284" s="253" t="s">
        <v>63</v>
      </c>
      <c r="I284" s="251">
        <v>1104</v>
      </c>
      <c r="J284" s="251">
        <v>0</v>
      </c>
      <c r="K284" s="251">
        <v>6</v>
      </c>
      <c r="L284" s="251">
        <f t="shared" si="62"/>
        <v>184</v>
      </c>
      <c r="M284" s="274">
        <v>45878</v>
      </c>
      <c r="N284" s="274">
        <v>45874</v>
      </c>
      <c r="O284" s="274"/>
      <c r="P284" s="274" t="s">
        <v>49</v>
      </c>
      <c r="Q284" s="274"/>
      <c r="R284" s="274" t="s">
        <v>871</v>
      </c>
      <c r="S284" s="277" t="s">
        <v>50</v>
      </c>
      <c r="T284" s="277">
        <v>45842</v>
      </c>
      <c r="U284" s="277" t="s">
        <v>1289</v>
      </c>
      <c r="V284" s="274" t="s">
        <v>1290</v>
      </c>
      <c r="W284" s="302"/>
      <c r="X284" s="278" t="s">
        <v>1291</v>
      </c>
      <c r="Y284" s="261" t="s">
        <v>1292</v>
      </c>
      <c r="Z284" s="281">
        <v>3.3328</v>
      </c>
      <c r="AA284" s="282">
        <f t="shared" si="65"/>
        <v>3679.4112</v>
      </c>
      <c r="AB284" s="251" t="s">
        <v>1293</v>
      </c>
      <c r="AC284" s="252" t="s">
        <v>1168</v>
      </c>
      <c r="AD284" s="251" t="s">
        <v>56</v>
      </c>
      <c r="AE284" s="251">
        <f t="shared" si="63"/>
        <v>1104</v>
      </c>
      <c r="AF284" s="251"/>
      <c r="AG284" s="266"/>
      <c r="AH284" s="266"/>
      <c r="AI284" s="253" t="s">
        <v>1169</v>
      </c>
      <c r="AJ284" s="251">
        <v>1</v>
      </c>
      <c r="AK284" s="253" t="s">
        <v>136</v>
      </c>
      <c r="AL284" s="251">
        <v>1</v>
      </c>
      <c r="AM284" s="251"/>
      <c r="AN284" s="251">
        <f t="shared" si="58"/>
        <v>1104</v>
      </c>
      <c r="AO284" s="290">
        <f t="shared" si="59"/>
        <v>0</v>
      </c>
      <c r="AP284" s="290">
        <f t="shared" si="60"/>
        <v>0</v>
      </c>
      <c r="AQ284" s="290">
        <f t="shared" si="61"/>
        <v>0</v>
      </c>
      <c r="AR284" s="293"/>
      <c r="AS284" s="266"/>
    </row>
    <row r="285" s="215" customFormat="1" ht="39" customHeight="1" spans="1:45">
      <c r="A285" s="254">
        <v>45796</v>
      </c>
      <c r="B285" s="249" t="s">
        <v>1294</v>
      </c>
      <c r="C285" s="265" t="s">
        <v>764</v>
      </c>
      <c r="D285" s="256">
        <v>4500165940</v>
      </c>
      <c r="E285" s="257">
        <v>4752530092</v>
      </c>
      <c r="F285" s="267" t="s">
        <v>1295</v>
      </c>
      <c r="G285" s="253" t="s">
        <v>62</v>
      </c>
      <c r="H285" s="253" t="s">
        <v>63</v>
      </c>
      <c r="I285" s="251">
        <v>300</v>
      </c>
      <c r="J285" s="251">
        <v>0</v>
      </c>
      <c r="K285" s="251">
        <v>6</v>
      </c>
      <c r="L285" s="251">
        <f t="shared" si="62"/>
        <v>50</v>
      </c>
      <c r="M285" s="274">
        <v>45880</v>
      </c>
      <c r="N285" s="274">
        <v>45876</v>
      </c>
      <c r="O285" s="274"/>
      <c r="P285" s="274" t="s">
        <v>49</v>
      </c>
      <c r="Q285" s="274"/>
      <c r="R285" s="274" t="s">
        <v>871</v>
      </c>
      <c r="S285" s="277" t="s">
        <v>50</v>
      </c>
      <c r="T285" s="277">
        <v>45796</v>
      </c>
      <c r="U285" s="277" t="s">
        <v>50</v>
      </c>
      <c r="V285" s="274"/>
      <c r="W285" s="302"/>
      <c r="X285" s="278" t="s">
        <v>1296</v>
      </c>
      <c r="Y285" s="261" t="s">
        <v>454</v>
      </c>
      <c r="Z285" s="281">
        <v>3.3587</v>
      </c>
      <c r="AA285" s="282">
        <f t="shared" si="65"/>
        <v>1007.61</v>
      </c>
      <c r="AB285" s="251" t="s">
        <v>1297</v>
      </c>
      <c r="AC285" s="252" t="s">
        <v>62</v>
      </c>
      <c r="AD285" s="251" t="s">
        <v>56</v>
      </c>
      <c r="AE285" s="251">
        <f t="shared" si="63"/>
        <v>300</v>
      </c>
      <c r="AF285" s="251">
        <f>AE285-I285</f>
        <v>0</v>
      </c>
      <c r="AG285" s="266"/>
      <c r="AH285" s="266"/>
      <c r="AI285" s="253" t="s">
        <v>57</v>
      </c>
      <c r="AJ285" s="251">
        <v>0</v>
      </c>
      <c r="AK285" s="253" t="s">
        <v>73</v>
      </c>
      <c r="AL285" s="251">
        <v>0</v>
      </c>
      <c r="AM285" s="251"/>
      <c r="AN285" s="251">
        <f t="shared" si="58"/>
        <v>300</v>
      </c>
      <c r="AO285" s="290">
        <f t="shared" si="59"/>
        <v>300</v>
      </c>
      <c r="AP285" s="290" t="b">
        <f t="shared" si="60"/>
        <v>0</v>
      </c>
      <c r="AQ285" s="290">
        <f t="shared" si="61"/>
        <v>300</v>
      </c>
      <c r="AR285" s="293"/>
      <c r="AS285" s="266"/>
    </row>
    <row r="286" s="215" customFormat="1" ht="39" customHeight="1" spans="1:45">
      <c r="A286" s="254">
        <v>45846</v>
      </c>
      <c r="B286" s="249" t="s">
        <v>1298</v>
      </c>
      <c r="C286" s="265" t="s">
        <v>182</v>
      </c>
      <c r="D286" s="256">
        <v>4500173092</v>
      </c>
      <c r="E286" s="257" t="s">
        <v>1299</v>
      </c>
      <c r="F286" s="256" t="s">
        <v>1300</v>
      </c>
      <c r="G286" s="253" t="s">
        <v>62</v>
      </c>
      <c r="H286" s="253" t="s">
        <v>63</v>
      </c>
      <c r="I286" s="251">
        <v>90</v>
      </c>
      <c r="J286" s="251">
        <v>0</v>
      </c>
      <c r="K286" s="251">
        <v>6</v>
      </c>
      <c r="L286" s="251">
        <f t="shared" si="62"/>
        <v>15</v>
      </c>
      <c r="M286" s="274">
        <v>45884</v>
      </c>
      <c r="N286" s="274">
        <v>45880</v>
      </c>
      <c r="O286" s="274"/>
      <c r="P286" s="274" t="s">
        <v>49</v>
      </c>
      <c r="Q286" s="274"/>
      <c r="R286" s="274" t="s">
        <v>871</v>
      </c>
      <c r="S286" s="277" t="s">
        <v>50</v>
      </c>
      <c r="T286" s="277">
        <v>45846</v>
      </c>
      <c r="U286" s="277">
        <v>45846</v>
      </c>
      <c r="V286" s="274"/>
      <c r="W286" s="302"/>
      <c r="X286" s="278" t="s">
        <v>1301</v>
      </c>
      <c r="Y286" s="261" t="s">
        <v>807</v>
      </c>
      <c r="Z286" s="305">
        <v>3.346</v>
      </c>
      <c r="AA286" s="282">
        <f t="shared" si="65"/>
        <v>301.14</v>
      </c>
      <c r="AB286" s="251" t="s">
        <v>1302</v>
      </c>
      <c r="AC286" s="252" t="s">
        <v>62</v>
      </c>
      <c r="AD286" s="251" t="s">
        <v>56</v>
      </c>
      <c r="AE286" s="251">
        <f t="shared" si="63"/>
        <v>90</v>
      </c>
      <c r="AF286" s="251"/>
      <c r="AG286" s="266"/>
      <c r="AH286" s="266"/>
      <c r="AI286" s="253" t="s">
        <v>57</v>
      </c>
      <c r="AJ286" s="251">
        <v>0</v>
      </c>
      <c r="AK286" s="253" t="s">
        <v>73</v>
      </c>
      <c r="AL286" s="251">
        <v>0</v>
      </c>
      <c r="AM286" s="251"/>
      <c r="AN286" s="251">
        <f t="shared" si="58"/>
        <v>90</v>
      </c>
      <c r="AO286" s="290">
        <f t="shared" si="59"/>
        <v>90</v>
      </c>
      <c r="AP286" s="290" t="b">
        <f t="shared" si="60"/>
        <v>0</v>
      </c>
      <c r="AQ286" s="290">
        <f t="shared" si="61"/>
        <v>90</v>
      </c>
      <c r="AR286" s="293"/>
      <c r="AS286" s="266"/>
    </row>
    <row r="287" s="215" customFormat="1" ht="39" customHeight="1" spans="1:45">
      <c r="A287" s="254">
        <v>45846</v>
      </c>
      <c r="B287" s="249" t="s">
        <v>1298</v>
      </c>
      <c r="C287" s="265" t="s">
        <v>182</v>
      </c>
      <c r="D287" s="256">
        <v>4500173087</v>
      </c>
      <c r="E287" s="257" t="s">
        <v>1303</v>
      </c>
      <c r="F287" s="256" t="s">
        <v>1304</v>
      </c>
      <c r="G287" s="253" t="s">
        <v>62</v>
      </c>
      <c r="H287" s="253" t="s">
        <v>63</v>
      </c>
      <c r="I287" s="251">
        <v>174</v>
      </c>
      <c r="J287" s="251">
        <v>0</v>
      </c>
      <c r="K287" s="251">
        <v>6</v>
      </c>
      <c r="L287" s="251">
        <f t="shared" si="62"/>
        <v>29</v>
      </c>
      <c r="M287" s="274">
        <v>45884</v>
      </c>
      <c r="N287" s="274">
        <v>45880</v>
      </c>
      <c r="O287" s="274"/>
      <c r="P287" s="274" t="s">
        <v>49</v>
      </c>
      <c r="Q287" s="274"/>
      <c r="R287" s="274" t="s">
        <v>871</v>
      </c>
      <c r="S287" s="277" t="s">
        <v>50</v>
      </c>
      <c r="T287" s="277">
        <v>45846</v>
      </c>
      <c r="U287" s="277">
        <v>45846</v>
      </c>
      <c r="V287" s="274"/>
      <c r="W287" s="302"/>
      <c r="X287" s="278" t="s">
        <v>1305</v>
      </c>
      <c r="Y287" s="261" t="s">
        <v>807</v>
      </c>
      <c r="Z287" s="305">
        <v>3.346</v>
      </c>
      <c r="AA287" s="282">
        <f t="shared" si="65"/>
        <v>582.204</v>
      </c>
      <c r="AB287" s="251" t="s">
        <v>1306</v>
      </c>
      <c r="AC287" s="252" t="s">
        <v>62</v>
      </c>
      <c r="AD287" s="251" t="s">
        <v>56</v>
      </c>
      <c r="AE287" s="251">
        <f t="shared" si="63"/>
        <v>174</v>
      </c>
      <c r="AF287" s="251"/>
      <c r="AG287" s="266"/>
      <c r="AH287" s="266"/>
      <c r="AI287" s="253" t="s">
        <v>57</v>
      </c>
      <c r="AJ287" s="251">
        <v>0</v>
      </c>
      <c r="AK287" s="253" t="s">
        <v>73</v>
      </c>
      <c r="AL287" s="251">
        <v>0</v>
      </c>
      <c r="AM287" s="251"/>
      <c r="AN287" s="251">
        <f t="shared" si="58"/>
        <v>174</v>
      </c>
      <c r="AO287" s="290">
        <f t="shared" si="59"/>
        <v>174</v>
      </c>
      <c r="AP287" s="290" t="b">
        <f t="shared" si="60"/>
        <v>0</v>
      </c>
      <c r="AQ287" s="290">
        <f t="shared" si="61"/>
        <v>174</v>
      </c>
      <c r="AR287" s="293"/>
      <c r="AS287" s="266"/>
    </row>
    <row r="288" s="215" customFormat="1" ht="39" customHeight="1" spans="1:45">
      <c r="A288" s="254">
        <v>45846</v>
      </c>
      <c r="B288" s="249" t="s">
        <v>1298</v>
      </c>
      <c r="C288" s="265" t="s">
        <v>182</v>
      </c>
      <c r="D288" s="256">
        <v>4500173094</v>
      </c>
      <c r="E288" s="257" t="s">
        <v>1307</v>
      </c>
      <c r="F288" s="256" t="s">
        <v>1308</v>
      </c>
      <c r="G288" s="253" t="s">
        <v>62</v>
      </c>
      <c r="H288" s="253" t="s">
        <v>63</v>
      </c>
      <c r="I288" s="251">
        <v>36</v>
      </c>
      <c r="J288" s="251">
        <v>0</v>
      </c>
      <c r="K288" s="251">
        <v>6</v>
      </c>
      <c r="L288" s="251">
        <f t="shared" si="62"/>
        <v>6</v>
      </c>
      <c r="M288" s="274">
        <v>45884</v>
      </c>
      <c r="N288" s="274">
        <v>45880</v>
      </c>
      <c r="O288" s="274"/>
      <c r="P288" s="274" t="s">
        <v>49</v>
      </c>
      <c r="Q288" s="274"/>
      <c r="R288" s="274" t="s">
        <v>871</v>
      </c>
      <c r="S288" s="277" t="s">
        <v>50</v>
      </c>
      <c r="T288" s="277">
        <v>45846</v>
      </c>
      <c r="U288" s="277">
        <v>45846</v>
      </c>
      <c r="V288" s="274"/>
      <c r="W288" s="302"/>
      <c r="X288" s="278" t="s">
        <v>1309</v>
      </c>
      <c r="Y288" s="261" t="s">
        <v>807</v>
      </c>
      <c r="Z288" s="305">
        <v>3.346</v>
      </c>
      <c r="AA288" s="282">
        <f t="shared" si="65"/>
        <v>120.456</v>
      </c>
      <c r="AB288" s="251" t="s">
        <v>1310</v>
      </c>
      <c r="AC288" s="252" t="s">
        <v>62</v>
      </c>
      <c r="AD288" s="251" t="s">
        <v>56</v>
      </c>
      <c r="AE288" s="251">
        <f t="shared" si="63"/>
        <v>36</v>
      </c>
      <c r="AF288" s="251"/>
      <c r="AG288" s="266"/>
      <c r="AH288" s="266"/>
      <c r="AI288" s="253" t="s">
        <v>57</v>
      </c>
      <c r="AJ288" s="251">
        <v>0</v>
      </c>
      <c r="AK288" s="253" t="s">
        <v>73</v>
      </c>
      <c r="AL288" s="251">
        <v>0</v>
      </c>
      <c r="AM288" s="251"/>
      <c r="AN288" s="251">
        <f t="shared" si="58"/>
        <v>36</v>
      </c>
      <c r="AO288" s="290">
        <f t="shared" si="59"/>
        <v>36</v>
      </c>
      <c r="AP288" s="290" t="b">
        <f t="shared" si="60"/>
        <v>0</v>
      </c>
      <c r="AQ288" s="290">
        <f t="shared" si="61"/>
        <v>36</v>
      </c>
      <c r="AR288" s="293"/>
      <c r="AS288" s="266"/>
    </row>
    <row r="289" s="215" customFormat="1" ht="39" customHeight="1" spans="1:45">
      <c r="A289" s="254">
        <v>45846</v>
      </c>
      <c r="B289" s="249" t="s">
        <v>1298</v>
      </c>
      <c r="C289" s="265" t="s">
        <v>182</v>
      </c>
      <c r="D289" s="256">
        <v>4500173090</v>
      </c>
      <c r="E289" s="257" t="s">
        <v>1311</v>
      </c>
      <c r="F289" s="256" t="s">
        <v>1312</v>
      </c>
      <c r="G289" s="253" t="s">
        <v>62</v>
      </c>
      <c r="H289" s="253" t="s">
        <v>63</v>
      </c>
      <c r="I289" s="251">
        <v>36</v>
      </c>
      <c r="J289" s="251">
        <v>0</v>
      </c>
      <c r="K289" s="251">
        <v>6</v>
      </c>
      <c r="L289" s="251">
        <f t="shared" si="62"/>
        <v>6</v>
      </c>
      <c r="M289" s="274">
        <v>45884</v>
      </c>
      <c r="N289" s="274">
        <v>45880</v>
      </c>
      <c r="O289" s="274"/>
      <c r="P289" s="274" t="s">
        <v>49</v>
      </c>
      <c r="Q289" s="274"/>
      <c r="R289" s="274" t="s">
        <v>871</v>
      </c>
      <c r="S289" s="277" t="s">
        <v>50</v>
      </c>
      <c r="T289" s="277">
        <v>45846</v>
      </c>
      <c r="U289" s="277">
        <v>45846</v>
      </c>
      <c r="V289" s="274"/>
      <c r="W289" s="302"/>
      <c r="X289" s="278" t="s">
        <v>1313</v>
      </c>
      <c r="Y289" s="261" t="s">
        <v>807</v>
      </c>
      <c r="Z289" s="305">
        <v>3.346</v>
      </c>
      <c r="AA289" s="282">
        <f t="shared" si="65"/>
        <v>120.456</v>
      </c>
      <c r="AB289" s="251" t="s">
        <v>1314</v>
      </c>
      <c r="AC289" s="252" t="s">
        <v>62</v>
      </c>
      <c r="AD289" s="251" t="s">
        <v>56</v>
      </c>
      <c r="AE289" s="251">
        <f t="shared" si="63"/>
        <v>36</v>
      </c>
      <c r="AF289" s="251"/>
      <c r="AG289" s="266"/>
      <c r="AH289" s="266"/>
      <c r="AI289" s="253" t="s">
        <v>57</v>
      </c>
      <c r="AJ289" s="251">
        <v>0</v>
      </c>
      <c r="AK289" s="253" t="s">
        <v>73</v>
      </c>
      <c r="AL289" s="251">
        <v>0</v>
      </c>
      <c r="AM289" s="251"/>
      <c r="AN289" s="251">
        <f t="shared" si="58"/>
        <v>36</v>
      </c>
      <c r="AO289" s="290">
        <f t="shared" si="59"/>
        <v>36</v>
      </c>
      <c r="AP289" s="290" t="b">
        <f t="shared" si="60"/>
        <v>0</v>
      </c>
      <c r="AQ289" s="290">
        <f t="shared" si="61"/>
        <v>36</v>
      </c>
      <c r="AR289" s="293"/>
      <c r="AS289" s="266"/>
    </row>
    <row r="290" s="215" customFormat="1" ht="39" customHeight="1" spans="1:45">
      <c r="A290" s="254">
        <v>45771</v>
      </c>
      <c r="B290" s="249" t="s">
        <v>1315</v>
      </c>
      <c r="C290" s="265" t="s">
        <v>787</v>
      </c>
      <c r="D290" s="256">
        <v>4500159848</v>
      </c>
      <c r="E290" s="257" t="s">
        <v>1316</v>
      </c>
      <c r="F290" s="267" t="s">
        <v>1317</v>
      </c>
      <c r="G290" s="253" t="s">
        <v>62</v>
      </c>
      <c r="H290" s="253" t="s">
        <v>63</v>
      </c>
      <c r="I290" s="251">
        <v>60</v>
      </c>
      <c r="J290" s="251">
        <v>0</v>
      </c>
      <c r="K290" s="251">
        <v>6</v>
      </c>
      <c r="L290" s="251">
        <f t="shared" si="62"/>
        <v>10</v>
      </c>
      <c r="M290" s="274">
        <v>45859</v>
      </c>
      <c r="N290" s="274">
        <f>M290-4</f>
        <v>45855</v>
      </c>
      <c r="O290" s="274"/>
      <c r="P290" s="274" t="s">
        <v>49</v>
      </c>
      <c r="Q290" s="274"/>
      <c r="R290" s="274" t="s">
        <v>871</v>
      </c>
      <c r="S290" s="277" t="s">
        <v>50</v>
      </c>
      <c r="T290" s="277">
        <v>45821</v>
      </c>
      <c r="U290" s="277">
        <v>45840</v>
      </c>
      <c r="V290" s="274"/>
      <c r="W290" s="302" t="s">
        <v>1143</v>
      </c>
      <c r="X290" s="278" t="s">
        <v>1318</v>
      </c>
      <c r="Y290" s="261" t="s">
        <v>205</v>
      </c>
      <c r="Z290" s="305">
        <v>3.346</v>
      </c>
      <c r="AA290" s="282">
        <f t="shared" si="65"/>
        <v>200.76</v>
      </c>
      <c r="AB290" s="306" t="s">
        <v>1319</v>
      </c>
      <c r="AC290" s="252" t="s">
        <v>71</v>
      </c>
      <c r="AD290" s="251" t="s">
        <v>56</v>
      </c>
      <c r="AE290" s="251">
        <f t="shared" si="63"/>
        <v>60</v>
      </c>
      <c r="AF290" s="251">
        <f>AE290-I290</f>
        <v>0</v>
      </c>
      <c r="AG290" s="266"/>
      <c r="AH290" s="266"/>
      <c r="AI290" s="253" t="s">
        <v>72</v>
      </c>
      <c r="AJ290" s="251">
        <v>2</v>
      </c>
      <c r="AK290" s="253" t="s">
        <v>73</v>
      </c>
      <c r="AL290" s="251">
        <v>0</v>
      </c>
      <c r="AM290" s="251"/>
      <c r="AN290" s="251">
        <f t="shared" si="58"/>
        <v>60</v>
      </c>
      <c r="AO290" s="290">
        <f t="shared" si="59"/>
        <v>0</v>
      </c>
      <c r="AP290" s="290">
        <f t="shared" si="60"/>
        <v>60</v>
      </c>
      <c r="AQ290" s="290">
        <f t="shared" si="61"/>
        <v>60</v>
      </c>
      <c r="AR290" s="293"/>
      <c r="AS290" s="266"/>
    </row>
    <row r="291" s="215" customFormat="1" ht="39" customHeight="1" spans="1:45">
      <c r="A291" s="254">
        <v>45821</v>
      </c>
      <c r="B291" s="249" t="s">
        <v>1320</v>
      </c>
      <c r="C291" s="265" t="s">
        <v>214</v>
      </c>
      <c r="D291" s="256">
        <v>4500169913</v>
      </c>
      <c r="E291" s="257" t="s">
        <v>1321</v>
      </c>
      <c r="F291" s="267" t="s">
        <v>1322</v>
      </c>
      <c r="G291" s="253" t="s">
        <v>62</v>
      </c>
      <c r="H291" s="253" t="s">
        <v>63</v>
      </c>
      <c r="I291" s="251">
        <v>6504</v>
      </c>
      <c r="J291" s="251">
        <v>0</v>
      </c>
      <c r="K291" s="251">
        <v>6</v>
      </c>
      <c r="L291" s="251">
        <f t="shared" si="62"/>
        <v>1084</v>
      </c>
      <c r="M291" s="274">
        <v>45882</v>
      </c>
      <c r="N291" s="274">
        <v>45878</v>
      </c>
      <c r="O291" s="274"/>
      <c r="P291" s="274" t="s">
        <v>49</v>
      </c>
      <c r="Q291" s="274"/>
      <c r="R291" s="274" t="s">
        <v>871</v>
      </c>
      <c r="S291" s="277" t="s">
        <v>50</v>
      </c>
      <c r="T291" s="277">
        <v>45821</v>
      </c>
      <c r="U291" s="277" t="s">
        <v>50</v>
      </c>
      <c r="V291" s="274" t="s">
        <v>1290</v>
      </c>
      <c r="W291" s="302"/>
      <c r="X291" s="278" t="s">
        <v>1323</v>
      </c>
      <c r="Y291" s="261" t="s">
        <v>369</v>
      </c>
      <c r="Z291" s="305">
        <v>3.346</v>
      </c>
      <c r="AA291" s="282">
        <f t="shared" si="65"/>
        <v>21762.384</v>
      </c>
      <c r="AB291" s="251" t="s">
        <v>1324</v>
      </c>
      <c r="AC291" s="252" t="s">
        <v>1168</v>
      </c>
      <c r="AD291" s="251" t="s">
        <v>56</v>
      </c>
      <c r="AE291" s="251">
        <f t="shared" si="63"/>
        <v>6504</v>
      </c>
      <c r="AF291" s="251">
        <f>AE291-I291</f>
        <v>0</v>
      </c>
      <c r="AG291" s="266"/>
      <c r="AH291" s="266"/>
      <c r="AI291" s="253" t="s">
        <v>1169</v>
      </c>
      <c r="AJ291" s="251">
        <v>1</v>
      </c>
      <c r="AK291" s="253" t="s">
        <v>1169</v>
      </c>
      <c r="AL291" s="251">
        <v>1</v>
      </c>
      <c r="AM291" s="251"/>
      <c r="AN291" s="251">
        <f t="shared" si="58"/>
        <v>6504</v>
      </c>
      <c r="AO291" s="290">
        <f t="shared" si="59"/>
        <v>0</v>
      </c>
      <c r="AP291" s="290">
        <f t="shared" si="60"/>
        <v>0</v>
      </c>
      <c r="AQ291" s="290">
        <f t="shared" si="61"/>
        <v>0</v>
      </c>
      <c r="AR291" s="293"/>
      <c r="AS291" s="266"/>
    </row>
    <row r="292" s="215" customFormat="1" ht="39" customHeight="1" spans="1:45">
      <c r="A292" s="254">
        <v>45834</v>
      </c>
      <c r="B292" s="249" t="s">
        <v>1325</v>
      </c>
      <c r="C292" s="265" t="s">
        <v>1326</v>
      </c>
      <c r="D292" s="256">
        <v>4500171286</v>
      </c>
      <c r="E292" s="257"/>
      <c r="F292" s="256" t="s">
        <v>1327</v>
      </c>
      <c r="G292" s="253" t="s">
        <v>62</v>
      </c>
      <c r="H292" s="253" t="s">
        <v>63</v>
      </c>
      <c r="I292" s="251">
        <v>120</v>
      </c>
      <c r="J292" s="251">
        <v>0</v>
      </c>
      <c r="K292" s="251">
        <v>6</v>
      </c>
      <c r="L292" s="251">
        <f t="shared" ref="L292:L328" si="66">I292/K292</f>
        <v>20</v>
      </c>
      <c r="M292" s="274">
        <v>45870</v>
      </c>
      <c r="N292" s="274" t="s">
        <v>1328</v>
      </c>
      <c r="O292" s="274"/>
      <c r="P292" s="274" t="s">
        <v>49</v>
      </c>
      <c r="Q292" s="274"/>
      <c r="R292" s="274" t="s">
        <v>871</v>
      </c>
      <c r="S292" s="277" t="s">
        <v>50</v>
      </c>
      <c r="T292" s="277">
        <v>45845</v>
      </c>
      <c r="U292" s="277" t="s">
        <v>1329</v>
      </c>
      <c r="V292" s="274"/>
      <c r="W292" s="274"/>
      <c r="X292" s="278" t="s">
        <v>1330</v>
      </c>
      <c r="Y292" s="261" t="s">
        <v>1331</v>
      </c>
      <c r="Z292" s="305">
        <v>3.346</v>
      </c>
      <c r="AA292" s="282">
        <f t="shared" ref="AA292:AA302" si="67">I292*Z292</f>
        <v>401.52</v>
      </c>
      <c r="AB292" s="307" t="s">
        <v>1332</v>
      </c>
      <c r="AC292" s="252" t="s">
        <v>71</v>
      </c>
      <c r="AD292" s="251" t="s">
        <v>56</v>
      </c>
      <c r="AE292" s="251">
        <f t="shared" si="63"/>
        <v>120</v>
      </c>
      <c r="AF292" s="251">
        <f>AE292-I292</f>
        <v>0</v>
      </c>
      <c r="AG292" s="266"/>
      <c r="AH292" s="266"/>
      <c r="AI292" s="253" t="s">
        <v>72</v>
      </c>
      <c r="AJ292" s="251">
        <v>2</v>
      </c>
      <c r="AK292" s="253" t="s">
        <v>73</v>
      </c>
      <c r="AL292" s="251">
        <v>0</v>
      </c>
      <c r="AM292" s="251"/>
      <c r="AN292" s="251">
        <f t="shared" si="58"/>
        <v>120</v>
      </c>
      <c r="AO292" s="290">
        <f t="shared" si="59"/>
        <v>0</v>
      </c>
      <c r="AP292" s="290">
        <f t="shared" si="60"/>
        <v>120</v>
      </c>
      <c r="AQ292" s="290">
        <f t="shared" si="61"/>
        <v>120</v>
      </c>
      <c r="AR292" s="293"/>
      <c r="AS292" s="266"/>
    </row>
    <row r="293" s="215" customFormat="1" ht="39" customHeight="1" spans="1:45">
      <c r="A293" s="254">
        <v>45833</v>
      </c>
      <c r="B293" s="249" t="s">
        <v>1333</v>
      </c>
      <c r="C293" s="265" t="s">
        <v>104</v>
      </c>
      <c r="D293" s="256">
        <v>4500171176</v>
      </c>
      <c r="E293" s="257" t="s">
        <v>1334</v>
      </c>
      <c r="F293" s="267" t="s">
        <v>1335</v>
      </c>
      <c r="G293" s="253" t="s">
        <v>62</v>
      </c>
      <c r="H293" s="253" t="s">
        <v>63</v>
      </c>
      <c r="I293" s="251">
        <v>996</v>
      </c>
      <c r="J293" s="251">
        <v>0</v>
      </c>
      <c r="K293" s="251">
        <v>6</v>
      </c>
      <c r="L293" s="251">
        <f t="shared" si="66"/>
        <v>166</v>
      </c>
      <c r="M293" s="274">
        <v>45876</v>
      </c>
      <c r="N293" s="274">
        <v>45873</v>
      </c>
      <c r="O293" s="274"/>
      <c r="P293" s="274" t="s">
        <v>49</v>
      </c>
      <c r="Q293" s="274"/>
      <c r="R293" s="274" t="s">
        <v>871</v>
      </c>
      <c r="S293" s="277" t="s">
        <v>77</v>
      </c>
      <c r="T293" s="277" t="s">
        <v>375</v>
      </c>
      <c r="U293" s="277">
        <v>45854</v>
      </c>
      <c r="V293" s="274"/>
      <c r="W293" s="274"/>
      <c r="X293" s="278" t="s">
        <v>1336</v>
      </c>
      <c r="Y293" s="261" t="s">
        <v>252</v>
      </c>
      <c r="Z293" s="305">
        <v>3.346</v>
      </c>
      <c r="AA293" s="282">
        <f t="shared" si="67"/>
        <v>3332.616</v>
      </c>
      <c r="AB293" s="251" t="s">
        <v>1337</v>
      </c>
      <c r="AC293" s="252" t="s">
        <v>71</v>
      </c>
      <c r="AD293" s="251" t="s">
        <v>56</v>
      </c>
      <c r="AE293" s="251">
        <f t="shared" si="63"/>
        <v>996</v>
      </c>
      <c r="AF293" s="251">
        <f>AE293-I293</f>
        <v>0</v>
      </c>
      <c r="AG293" s="266"/>
      <c r="AH293" s="266"/>
      <c r="AI293" s="253" t="s">
        <v>72</v>
      </c>
      <c r="AJ293" s="251">
        <v>2</v>
      </c>
      <c r="AK293" s="253" t="s">
        <v>73</v>
      </c>
      <c r="AL293" s="251">
        <v>0</v>
      </c>
      <c r="AM293" s="251"/>
      <c r="AN293" s="251">
        <f t="shared" si="58"/>
        <v>996</v>
      </c>
      <c r="AO293" s="290">
        <f t="shared" si="59"/>
        <v>0</v>
      </c>
      <c r="AP293" s="290">
        <f t="shared" si="60"/>
        <v>996</v>
      </c>
      <c r="AQ293" s="290">
        <f t="shared" si="61"/>
        <v>996</v>
      </c>
      <c r="AR293" s="293"/>
      <c r="AS293" s="266"/>
    </row>
    <row r="294" s="215" customFormat="1" ht="39" customHeight="1" spans="1:45">
      <c r="A294" s="254">
        <v>45796</v>
      </c>
      <c r="B294" s="249" t="s">
        <v>1338</v>
      </c>
      <c r="C294" s="265" t="s">
        <v>1339</v>
      </c>
      <c r="D294" s="256">
        <v>4500166157</v>
      </c>
      <c r="E294" s="257"/>
      <c r="F294" s="267" t="s">
        <v>1340</v>
      </c>
      <c r="G294" s="253" t="s">
        <v>62</v>
      </c>
      <c r="H294" s="253" t="s">
        <v>63</v>
      </c>
      <c r="I294" s="251">
        <v>504</v>
      </c>
      <c r="J294" s="251">
        <v>0</v>
      </c>
      <c r="K294" s="251">
        <v>6</v>
      </c>
      <c r="L294" s="251">
        <f t="shared" si="66"/>
        <v>84</v>
      </c>
      <c r="M294" s="274">
        <v>45880</v>
      </c>
      <c r="N294" s="274">
        <v>45876</v>
      </c>
      <c r="O294" s="274"/>
      <c r="P294" s="274" t="s">
        <v>49</v>
      </c>
      <c r="Q294" s="274"/>
      <c r="R294" s="274" t="s">
        <v>871</v>
      </c>
      <c r="S294" s="277" t="s">
        <v>50</v>
      </c>
      <c r="T294" s="277">
        <v>45840</v>
      </c>
      <c r="U294" s="277">
        <v>45849</v>
      </c>
      <c r="V294" s="274"/>
      <c r="W294" s="302"/>
      <c r="X294" s="278" t="s">
        <v>1341</v>
      </c>
      <c r="Y294" s="261" t="s">
        <v>205</v>
      </c>
      <c r="Z294" s="305">
        <v>3.346</v>
      </c>
      <c r="AA294" s="282">
        <f t="shared" si="67"/>
        <v>1686.384</v>
      </c>
      <c r="AB294" s="306" t="s">
        <v>1342</v>
      </c>
      <c r="AC294" s="252" t="s">
        <v>71</v>
      </c>
      <c r="AD294" s="251" t="s">
        <v>56</v>
      </c>
      <c r="AE294" s="251">
        <f t="shared" si="63"/>
        <v>504</v>
      </c>
      <c r="AF294" s="251">
        <f>AE294-I294</f>
        <v>0</v>
      </c>
      <c r="AG294" s="266"/>
      <c r="AH294" s="266"/>
      <c r="AI294" s="253" t="s">
        <v>72</v>
      </c>
      <c r="AJ294" s="251">
        <v>2</v>
      </c>
      <c r="AK294" s="253" t="s">
        <v>73</v>
      </c>
      <c r="AL294" s="251">
        <v>0</v>
      </c>
      <c r="AM294" s="251"/>
      <c r="AN294" s="251">
        <f t="shared" si="58"/>
        <v>504</v>
      </c>
      <c r="AO294" s="290">
        <f t="shared" si="59"/>
        <v>0</v>
      </c>
      <c r="AP294" s="290">
        <f t="shared" si="60"/>
        <v>504</v>
      </c>
      <c r="AQ294" s="290">
        <f t="shared" si="61"/>
        <v>504</v>
      </c>
      <c r="AR294" s="293"/>
      <c r="AS294" s="266"/>
    </row>
    <row r="295" s="215" customFormat="1" ht="39" customHeight="1" spans="1:45">
      <c r="A295" s="254">
        <v>45842</v>
      </c>
      <c r="B295" s="249" t="s">
        <v>74</v>
      </c>
      <c r="C295" s="265" t="s">
        <v>44</v>
      </c>
      <c r="D295" s="256">
        <v>4500172696</v>
      </c>
      <c r="E295" s="257" t="s">
        <v>1343</v>
      </c>
      <c r="F295" s="256" t="s">
        <v>1344</v>
      </c>
      <c r="G295" s="253" t="s">
        <v>62</v>
      </c>
      <c r="H295" s="253" t="s">
        <v>63</v>
      </c>
      <c r="I295" s="251">
        <v>1500</v>
      </c>
      <c r="J295" s="251">
        <v>0</v>
      </c>
      <c r="K295" s="251">
        <v>6</v>
      </c>
      <c r="L295" s="251">
        <f t="shared" si="66"/>
        <v>250</v>
      </c>
      <c r="M295" s="274">
        <v>45880</v>
      </c>
      <c r="N295" s="274">
        <v>45876</v>
      </c>
      <c r="O295" s="274"/>
      <c r="P295" s="274" t="s">
        <v>49</v>
      </c>
      <c r="Q295" s="274"/>
      <c r="R295" s="274" t="s">
        <v>871</v>
      </c>
      <c r="S295" s="277" t="s">
        <v>77</v>
      </c>
      <c r="T295" s="277">
        <v>45847</v>
      </c>
      <c r="U295" s="277">
        <v>45860</v>
      </c>
      <c r="V295" s="274"/>
      <c r="W295" s="274"/>
      <c r="X295" s="278" t="s">
        <v>1345</v>
      </c>
      <c r="Y295" s="261" t="s">
        <v>116</v>
      </c>
      <c r="Z295" s="305">
        <v>3.346</v>
      </c>
      <c r="AA295" s="282">
        <f t="shared" si="67"/>
        <v>5019</v>
      </c>
      <c r="AB295" s="251" t="s">
        <v>1346</v>
      </c>
      <c r="AC295" s="252" t="s">
        <v>62</v>
      </c>
      <c r="AD295" s="251" t="s">
        <v>56</v>
      </c>
      <c r="AE295" s="251">
        <f t="shared" si="63"/>
        <v>1500</v>
      </c>
      <c r="AF295" s="251"/>
      <c r="AG295" s="266"/>
      <c r="AH295" s="266"/>
      <c r="AI295" s="253" t="s">
        <v>57</v>
      </c>
      <c r="AJ295" s="251">
        <v>0</v>
      </c>
      <c r="AK295" s="253" t="s">
        <v>73</v>
      </c>
      <c r="AL295" s="251">
        <v>0</v>
      </c>
      <c r="AM295" s="251"/>
      <c r="AN295" s="251">
        <f t="shared" si="58"/>
        <v>1500</v>
      </c>
      <c r="AO295" s="290">
        <f t="shared" si="59"/>
        <v>1500</v>
      </c>
      <c r="AP295" s="290" t="b">
        <f t="shared" si="60"/>
        <v>0</v>
      </c>
      <c r="AQ295" s="290">
        <f t="shared" si="61"/>
        <v>1500</v>
      </c>
      <c r="AR295" s="293"/>
      <c r="AS295" s="266"/>
    </row>
    <row r="296" s="215" customFormat="1" ht="39" customHeight="1" spans="1:45">
      <c r="A296" s="254">
        <v>45846</v>
      </c>
      <c r="B296" s="249" t="s">
        <v>574</v>
      </c>
      <c r="C296" s="265" t="s">
        <v>575</v>
      </c>
      <c r="D296" s="256">
        <v>4500173053</v>
      </c>
      <c r="E296" s="257" t="s">
        <v>1347</v>
      </c>
      <c r="F296" s="256" t="s">
        <v>1348</v>
      </c>
      <c r="G296" s="253" t="s">
        <v>62</v>
      </c>
      <c r="H296" s="253" t="s">
        <v>63</v>
      </c>
      <c r="I296" s="251">
        <v>504</v>
      </c>
      <c r="J296" s="251">
        <v>0</v>
      </c>
      <c r="K296" s="251">
        <v>6</v>
      </c>
      <c r="L296" s="251">
        <f t="shared" si="66"/>
        <v>84</v>
      </c>
      <c r="M296" s="274">
        <v>45882</v>
      </c>
      <c r="N296" s="274">
        <f>M296-4</f>
        <v>45878</v>
      </c>
      <c r="O296" s="274"/>
      <c r="P296" s="274" t="s">
        <v>49</v>
      </c>
      <c r="Q296" s="274"/>
      <c r="R296" s="274" t="s">
        <v>871</v>
      </c>
      <c r="S296" s="277" t="s">
        <v>50</v>
      </c>
      <c r="T296" s="277">
        <v>45846</v>
      </c>
      <c r="U296" s="277" t="s">
        <v>1349</v>
      </c>
      <c r="V296" s="274"/>
      <c r="W296" s="302"/>
      <c r="X296" s="278" t="s">
        <v>1350</v>
      </c>
      <c r="Y296" s="261" t="s">
        <v>580</v>
      </c>
      <c r="Z296" s="305">
        <v>3.346</v>
      </c>
      <c r="AA296" s="282">
        <f t="shared" si="67"/>
        <v>1686.384</v>
      </c>
      <c r="AB296" s="251" t="s">
        <v>1351</v>
      </c>
      <c r="AC296" s="252" t="s">
        <v>62</v>
      </c>
      <c r="AD296" s="251" t="s">
        <v>56</v>
      </c>
      <c r="AE296" s="251">
        <f t="shared" si="63"/>
        <v>504</v>
      </c>
      <c r="AF296" s="251"/>
      <c r="AG296" s="266"/>
      <c r="AH296" s="266"/>
      <c r="AI296" s="253" t="s">
        <v>57</v>
      </c>
      <c r="AJ296" s="251">
        <v>0</v>
      </c>
      <c r="AK296" s="253" t="s">
        <v>73</v>
      </c>
      <c r="AL296" s="251">
        <v>0</v>
      </c>
      <c r="AM296" s="251"/>
      <c r="AN296" s="251">
        <f t="shared" si="58"/>
        <v>504</v>
      </c>
      <c r="AO296" s="290">
        <f t="shared" si="59"/>
        <v>504</v>
      </c>
      <c r="AP296" s="290" t="b">
        <f t="shared" si="60"/>
        <v>0</v>
      </c>
      <c r="AQ296" s="290">
        <f t="shared" si="61"/>
        <v>504</v>
      </c>
      <c r="AR296" s="293"/>
      <c r="AS296" s="266"/>
    </row>
    <row r="297" s="215" customFormat="1" ht="39" customHeight="1" spans="1:45">
      <c r="A297" s="254">
        <v>45803</v>
      </c>
      <c r="B297" s="249" t="s">
        <v>207</v>
      </c>
      <c r="C297" s="265" t="s">
        <v>119</v>
      </c>
      <c r="D297" s="256">
        <v>4500168041</v>
      </c>
      <c r="E297" s="257">
        <v>4400487107</v>
      </c>
      <c r="F297" s="256" t="s">
        <v>1352</v>
      </c>
      <c r="G297" s="253" t="s">
        <v>62</v>
      </c>
      <c r="H297" s="253" t="s">
        <v>63</v>
      </c>
      <c r="I297" s="251">
        <v>1002</v>
      </c>
      <c r="J297" s="251">
        <v>0</v>
      </c>
      <c r="K297" s="251">
        <v>6</v>
      </c>
      <c r="L297" s="251">
        <f t="shared" si="66"/>
        <v>167</v>
      </c>
      <c r="M297" s="274">
        <v>45888</v>
      </c>
      <c r="N297" s="274">
        <v>45884</v>
      </c>
      <c r="O297" s="274"/>
      <c r="P297" s="274" t="s">
        <v>49</v>
      </c>
      <c r="Q297" s="274"/>
      <c r="R297" s="274" t="s">
        <v>871</v>
      </c>
      <c r="S297" s="277" t="s">
        <v>871</v>
      </c>
      <c r="T297" s="277">
        <v>45803</v>
      </c>
      <c r="U297" s="277" t="s">
        <v>1353</v>
      </c>
      <c r="V297" s="274"/>
      <c r="W297" s="302"/>
      <c r="X297" s="278" t="s">
        <v>1354</v>
      </c>
      <c r="Y297" s="261" t="s">
        <v>1020</v>
      </c>
      <c r="Z297" s="305">
        <v>3.346</v>
      </c>
      <c r="AA297" s="282">
        <f t="shared" si="67"/>
        <v>3352.692</v>
      </c>
      <c r="AB297" s="251" t="s">
        <v>1355</v>
      </c>
      <c r="AC297" s="252" t="s">
        <v>71</v>
      </c>
      <c r="AD297" s="251" t="s">
        <v>56</v>
      </c>
      <c r="AE297" s="251">
        <v>3</v>
      </c>
      <c r="AF297" s="251">
        <f>AE297-I297</f>
        <v>-999</v>
      </c>
      <c r="AG297" s="266"/>
      <c r="AH297" s="266"/>
      <c r="AI297" s="253" t="s">
        <v>72</v>
      </c>
      <c r="AJ297" s="251">
        <v>2</v>
      </c>
      <c r="AK297" s="253" t="s">
        <v>73</v>
      </c>
      <c r="AL297" s="251">
        <v>0</v>
      </c>
      <c r="AM297" s="251"/>
      <c r="AN297" s="251">
        <f t="shared" si="58"/>
        <v>1002</v>
      </c>
      <c r="AO297" s="290">
        <f t="shared" si="59"/>
        <v>0</v>
      </c>
      <c r="AP297" s="290">
        <f t="shared" si="60"/>
        <v>1002</v>
      </c>
      <c r="AQ297" s="290">
        <f t="shared" si="61"/>
        <v>1002</v>
      </c>
      <c r="AR297" s="293"/>
      <c r="AS297" s="266"/>
    </row>
    <row r="298" s="215" customFormat="1" ht="39" customHeight="1" spans="1:45">
      <c r="A298" s="254">
        <v>45835</v>
      </c>
      <c r="B298" s="249" t="s">
        <v>1356</v>
      </c>
      <c r="C298" s="265" t="s">
        <v>1357</v>
      </c>
      <c r="D298" s="256">
        <v>4500171409</v>
      </c>
      <c r="E298" s="257" t="s">
        <v>1358</v>
      </c>
      <c r="F298" s="256" t="s">
        <v>1359</v>
      </c>
      <c r="G298" s="253" t="s">
        <v>62</v>
      </c>
      <c r="H298" s="253" t="s">
        <v>63</v>
      </c>
      <c r="I298" s="251">
        <v>2004</v>
      </c>
      <c r="J298" s="251">
        <v>0</v>
      </c>
      <c r="K298" s="251">
        <v>6</v>
      </c>
      <c r="L298" s="251">
        <f t="shared" si="66"/>
        <v>334</v>
      </c>
      <c r="M298" s="274">
        <v>45889</v>
      </c>
      <c r="N298" s="274">
        <v>45885</v>
      </c>
      <c r="O298" s="274"/>
      <c r="P298" s="274" t="s">
        <v>49</v>
      </c>
      <c r="Q298" s="274"/>
      <c r="R298" s="274" t="s">
        <v>871</v>
      </c>
      <c r="S298" s="277" t="s">
        <v>50</v>
      </c>
      <c r="T298" s="277">
        <v>45835</v>
      </c>
      <c r="U298" s="277" t="s">
        <v>50</v>
      </c>
      <c r="V298" s="274"/>
      <c r="W298" s="302"/>
      <c r="X298" s="278" t="s">
        <v>1360</v>
      </c>
      <c r="Y298" s="261" t="s">
        <v>1361</v>
      </c>
      <c r="Z298" s="305">
        <v>3.346</v>
      </c>
      <c r="AA298" s="282">
        <f t="shared" si="67"/>
        <v>6705.384</v>
      </c>
      <c r="AB298" s="251" t="s">
        <v>1362</v>
      </c>
      <c r="AC298" s="252" t="s">
        <v>62</v>
      </c>
      <c r="AD298" s="251" t="s">
        <v>56</v>
      </c>
      <c r="AE298" s="251">
        <f>I298</f>
        <v>2004</v>
      </c>
      <c r="AF298" s="251">
        <f>AE298-I298</f>
        <v>0</v>
      </c>
      <c r="AG298" s="266"/>
      <c r="AH298" s="266"/>
      <c r="AI298" s="253" t="s">
        <v>57</v>
      </c>
      <c r="AJ298" s="251">
        <v>0</v>
      </c>
      <c r="AK298" s="253" t="s">
        <v>73</v>
      </c>
      <c r="AL298" s="251">
        <v>0</v>
      </c>
      <c r="AM298" s="251"/>
      <c r="AN298" s="251">
        <f t="shared" si="58"/>
        <v>2004</v>
      </c>
      <c r="AO298" s="290">
        <f t="shared" si="59"/>
        <v>2004</v>
      </c>
      <c r="AP298" s="290" t="b">
        <f t="shared" si="60"/>
        <v>0</v>
      </c>
      <c r="AQ298" s="290">
        <f t="shared" si="61"/>
        <v>2004</v>
      </c>
      <c r="AR298" s="293"/>
      <c r="AS298" s="266"/>
    </row>
    <row r="299" s="215" customFormat="1" ht="39" customHeight="1" spans="1:45">
      <c r="A299" s="254">
        <v>45841</v>
      </c>
      <c r="B299" s="249" t="s">
        <v>635</v>
      </c>
      <c r="C299" s="265" t="s">
        <v>182</v>
      </c>
      <c r="D299" s="256">
        <v>4500172669</v>
      </c>
      <c r="E299" s="257">
        <v>84443</v>
      </c>
      <c r="F299" s="256" t="s">
        <v>1363</v>
      </c>
      <c r="G299" s="253" t="s">
        <v>62</v>
      </c>
      <c r="H299" s="253" t="s">
        <v>63</v>
      </c>
      <c r="I299" s="251">
        <v>504</v>
      </c>
      <c r="J299" s="251">
        <v>0</v>
      </c>
      <c r="K299" s="251">
        <v>6</v>
      </c>
      <c r="L299" s="251">
        <f t="shared" si="66"/>
        <v>84</v>
      </c>
      <c r="M299" s="274">
        <v>45890</v>
      </c>
      <c r="N299" s="274">
        <v>45887</v>
      </c>
      <c r="O299" s="274"/>
      <c r="P299" s="274" t="s">
        <v>49</v>
      </c>
      <c r="Q299" s="274"/>
      <c r="R299" s="274" t="s">
        <v>871</v>
      </c>
      <c r="S299" s="277" t="s">
        <v>50</v>
      </c>
      <c r="T299" s="277">
        <v>45842</v>
      </c>
      <c r="U299" s="277">
        <v>45860</v>
      </c>
      <c r="V299" s="274"/>
      <c r="W299" s="302"/>
      <c r="X299" s="278" t="s">
        <v>1364</v>
      </c>
      <c r="Y299" s="261" t="s">
        <v>454</v>
      </c>
      <c r="Z299" s="305">
        <v>3.346</v>
      </c>
      <c r="AA299" s="282">
        <f t="shared" si="67"/>
        <v>1686.384</v>
      </c>
      <c r="AB299" s="251" t="s">
        <v>1365</v>
      </c>
      <c r="AC299" s="252" t="s">
        <v>62</v>
      </c>
      <c r="AD299" s="251" t="s">
        <v>56</v>
      </c>
      <c r="AE299" s="251">
        <f>I299</f>
        <v>504</v>
      </c>
      <c r="AF299" s="251"/>
      <c r="AG299" s="266"/>
      <c r="AH299" s="266"/>
      <c r="AI299" s="253" t="s">
        <v>57</v>
      </c>
      <c r="AJ299" s="251">
        <v>0</v>
      </c>
      <c r="AK299" s="253" t="s">
        <v>73</v>
      </c>
      <c r="AL299" s="251">
        <v>0</v>
      </c>
      <c r="AM299" s="251"/>
      <c r="AN299" s="251">
        <f t="shared" si="58"/>
        <v>504</v>
      </c>
      <c r="AO299" s="290">
        <f t="shared" si="59"/>
        <v>504</v>
      </c>
      <c r="AP299" s="290" t="b">
        <f t="shared" si="60"/>
        <v>0</v>
      </c>
      <c r="AQ299" s="290">
        <f t="shared" si="61"/>
        <v>504</v>
      </c>
      <c r="AR299" s="293"/>
      <c r="AS299" s="266"/>
    </row>
    <row r="300" s="215" customFormat="1" ht="39" customHeight="1" spans="1:45">
      <c r="A300" s="254">
        <v>45855</v>
      </c>
      <c r="B300" s="249" t="s">
        <v>1366</v>
      </c>
      <c r="C300" s="265" t="s">
        <v>1367</v>
      </c>
      <c r="D300" s="256">
        <v>4500174183</v>
      </c>
      <c r="E300" s="257" t="s">
        <v>1368</v>
      </c>
      <c r="F300" s="256" t="s">
        <v>1369</v>
      </c>
      <c r="G300" s="253" t="s">
        <v>62</v>
      </c>
      <c r="H300" s="253" t="s">
        <v>63</v>
      </c>
      <c r="I300" s="251">
        <v>2400</v>
      </c>
      <c r="J300" s="251">
        <v>0</v>
      </c>
      <c r="K300" s="251">
        <v>6</v>
      </c>
      <c r="L300" s="251">
        <f t="shared" si="66"/>
        <v>400</v>
      </c>
      <c r="M300" s="274">
        <v>45891</v>
      </c>
      <c r="N300" s="274">
        <v>45887</v>
      </c>
      <c r="O300" s="274"/>
      <c r="P300" s="274" t="s">
        <v>49</v>
      </c>
      <c r="Q300" s="274"/>
      <c r="R300" s="274" t="s">
        <v>56</v>
      </c>
      <c r="S300" s="277" t="s">
        <v>50</v>
      </c>
      <c r="T300" s="277">
        <v>45856</v>
      </c>
      <c r="U300" s="277">
        <v>45862</v>
      </c>
      <c r="V300" s="274"/>
      <c r="W300" s="302"/>
      <c r="X300" s="278" t="s">
        <v>1370</v>
      </c>
      <c r="Y300" s="261" t="s">
        <v>1366</v>
      </c>
      <c r="Z300" s="305">
        <v>3.346</v>
      </c>
      <c r="AA300" s="282">
        <f t="shared" si="67"/>
        <v>8030.4</v>
      </c>
      <c r="AB300" s="251" t="s">
        <v>1371</v>
      </c>
      <c r="AC300" s="252" t="s">
        <v>71</v>
      </c>
      <c r="AD300" s="251" t="s">
        <v>56</v>
      </c>
      <c r="AE300" s="251">
        <f>I300</f>
        <v>2400</v>
      </c>
      <c r="AF300" s="251"/>
      <c r="AG300" s="266"/>
      <c r="AH300" s="266"/>
      <c r="AI300" s="253" t="s">
        <v>72</v>
      </c>
      <c r="AJ300" s="251">
        <v>2</v>
      </c>
      <c r="AK300" s="253" t="s">
        <v>73</v>
      </c>
      <c r="AL300" s="251">
        <v>0</v>
      </c>
      <c r="AM300" s="251"/>
      <c r="AN300" s="251">
        <f t="shared" si="58"/>
        <v>2400</v>
      </c>
      <c r="AO300" s="290">
        <f t="shared" si="59"/>
        <v>0</v>
      </c>
      <c r="AP300" s="290">
        <f t="shared" si="60"/>
        <v>2400</v>
      </c>
      <c r="AQ300" s="290">
        <f t="shared" si="61"/>
        <v>2400</v>
      </c>
      <c r="AR300" s="293"/>
      <c r="AS300" s="266"/>
    </row>
    <row r="301" s="215" customFormat="1" ht="39" customHeight="1" spans="1:45">
      <c r="A301" s="254">
        <v>45836</v>
      </c>
      <c r="B301" s="249" t="s">
        <v>1279</v>
      </c>
      <c r="C301" s="265" t="s">
        <v>44</v>
      </c>
      <c r="D301" s="256">
        <v>4500171837</v>
      </c>
      <c r="E301" s="257">
        <v>70073022</v>
      </c>
      <c r="F301" s="256" t="s">
        <v>1372</v>
      </c>
      <c r="G301" s="253" t="s">
        <v>62</v>
      </c>
      <c r="H301" s="253" t="s">
        <v>63</v>
      </c>
      <c r="I301" s="251">
        <v>402</v>
      </c>
      <c r="J301" s="251">
        <v>0</v>
      </c>
      <c r="K301" s="251">
        <v>6</v>
      </c>
      <c r="L301" s="251">
        <f t="shared" si="66"/>
        <v>67</v>
      </c>
      <c r="M301" s="274">
        <v>45891</v>
      </c>
      <c r="N301" s="274">
        <f>M301-4</f>
        <v>45887</v>
      </c>
      <c r="O301" s="274"/>
      <c r="P301" s="274" t="s">
        <v>49</v>
      </c>
      <c r="Q301" s="274"/>
      <c r="R301" s="274" t="s">
        <v>871</v>
      </c>
      <c r="S301" s="277" t="s">
        <v>50</v>
      </c>
      <c r="T301" s="277">
        <v>45860</v>
      </c>
      <c r="U301" s="277">
        <v>45870</v>
      </c>
      <c r="V301" s="274"/>
      <c r="W301" s="302"/>
      <c r="X301" s="278" t="s">
        <v>1276</v>
      </c>
      <c r="Y301" s="261" t="s">
        <v>1277</v>
      </c>
      <c r="Z301" s="305">
        <v>3.346</v>
      </c>
      <c r="AA301" s="282">
        <f t="shared" si="67"/>
        <v>1345.092</v>
      </c>
      <c r="AB301" s="251" t="s">
        <v>1373</v>
      </c>
      <c r="AC301" s="252" t="s">
        <v>62</v>
      </c>
      <c r="AD301" s="251" t="s">
        <v>56</v>
      </c>
      <c r="AE301" s="251">
        <v>402</v>
      </c>
      <c r="AF301" s="251"/>
      <c r="AG301" s="266"/>
      <c r="AH301" s="266"/>
      <c r="AI301" s="253" t="s">
        <v>57</v>
      </c>
      <c r="AJ301" s="251">
        <v>0</v>
      </c>
      <c r="AK301" s="253" t="s">
        <v>73</v>
      </c>
      <c r="AL301" s="251">
        <v>0</v>
      </c>
      <c r="AM301" s="251"/>
      <c r="AN301" s="251">
        <f t="shared" si="58"/>
        <v>402</v>
      </c>
      <c r="AO301" s="290">
        <f t="shared" si="59"/>
        <v>402</v>
      </c>
      <c r="AP301" s="290" t="b">
        <f t="shared" si="60"/>
        <v>0</v>
      </c>
      <c r="AQ301" s="290">
        <f t="shared" si="61"/>
        <v>402</v>
      </c>
      <c r="AR301" s="293"/>
      <c r="AS301" s="266"/>
    </row>
    <row r="302" s="215" customFormat="1" ht="37" customHeight="1" spans="1:45">
      <c r="A302" s="254">
        <v>45853</v>
      </c>
      <c r="B302" s="249" t="s">
        <v>1374</v>
      </c>
      <c r="C302" s="265" t="s">
        <v>764</v>
      </c>
      <c r="D302" s="256">
        <v>4500173241</v>
      </c>
      <c r="E302" s="257" t="s">
        <v>1375</v>
      </c>
      <c r="F302" s="256" t="s">
        <v>1376</v>
      </c>
      <c r="G302" s="253" t="s">
        <v>62</v>
      </c>
      <c r="H302" s="253" t="s">
        <v>63</v>
      </c>
      <c r="I302" s="251">
        <v>174</v>
      </c>
      <c r="J302" s="251">
        <v>0</v>
      </c>
      <c r="K302" s="251">
        <v>6</v>
      </c>
      <c r="L302" s="251">
        <f t="shared" si="66"/>
        <v>29</v>
      </c>
      <c r="M302" s="274">
        <v>45894</v>
      </c>
      <c r="N302" s="274">
        <v>45890</v>
      </c>
      <c r="O302" s="274"/>
      <c r="P302" s="274" t="s">
        <v>49</v>
      </c>
      <c r="Q302" s="274"/>
      <c r="R302" s="274" t="s">
        <v>871</v>
      </c>
      <c r="S302" s="277" t="s">
        <v>50</v>
      </c>
      <c r="T302" s="277">
        <v>45853</v>
      </c>
      <c r="U302" s="277" t="s">
        <v>50</v>
      </c>
      <c r="V302" s="274"/>
      <c r="W302" s="302"/>
      <c r="X302" s="278" t="s">
        <v>1377</v>
      </c>
      <c r="Y302" s="261" t="s">
        <v>1361</v>
      </c>
      <c r="Z302" s="305">
        <v>3.346</v>
      </c>
      <c r="AA302" s="282">
        <f t="shared" si="67"/>
        <v>582.204</v>
      </c>
      <c r="AB302" s="251" t="s">
        <v>1378</v>
      </c>
      <c r="AC302" s="252" t="s">
        <v>62</v>
      </c>
      <c r="AD302" s="251" t="s">
        <v>56</v>
      </c>
      <c r="AE302" s="251">
        <v>174</v>
      </c>
      <c r="AF302" s="251"/>
      <c r="AG302" s="266"/>
      <c r="AH302" s="266"/>
      <c r="AI302" s="253" t="s">
        <v>57</v>
      </c>
      <c r="AJ302" s="251">
        <v>0</v>
      </c>
      <c r="AK302" s="253" t="s">
        <v>73</v>
      </c>
      <c r="AL302" s="251">
        <v>0</v>
      </c>
      <c r="AM302" s="251"/>
      <c r="AN302" s="251">
        <f t="shared" si="58"/>
        <v>174</v>
      </c>
      <c r="AO302" s="290">
        <f t="shared" si="59"/>
        <v>174</v>
      </c>
      <c r="AP302" s="290" t="b">
        <f t="shared" si="60"/>
        <v>0</v>
      </c>
      <c r="AQ302" s="290">
        <f t="shared" si="61"/>
        <v>174</v>
      </c>
      <c r="AR302" s="293"/>
      <c r="AS302" s="266"/>
    </row>
    <row r="303" s="215" customFormat="1" ht="39" customHeight="1" spans="1:45">
      <c r="A303" s="254">
        <v>45856</v>
      </c>
      <c r="B303" s="249" t="s">
        <v>156</v>
      </c>
      <c r="C303" s="265" t="s">
        <v>157</v>
      </c>
      <c r="D303" s="256">
        <v>4500173295</v>
      </c>
      <c r="E303" s="267" t="s">
        <v>158</v>
      </c>
      <c r="F303" s="256" t="s">
        <v>1379</v>
      </c>
      <c r="G303" s="253" t="s">
        <v>62</v>
      </c>
      <c r="H303" s="253" t="s">
        <v>63</v>
      </c>
      <c r="I303" s="251">
        <v>1194</v>
      </c>
      <c r="J303" s="251">
        <v>0</v>
      </c>
      <c r="K303" s="251">
        <v>6</v>
      </c>
      <c r="L303" s="251">
        <f t="shared" si="66"/>
        <v>199</v>
      </c>
      <c r="M303" s="274">
        <v>45887</v>
      </c>
      <c r="N303" s="274">
        <v>45883</v>
      </c>
      <c r="O303" s="274"/>
      <c r="P303" s="274" t="s">
        <v>49</v>
      </c>
      <c r="Q303" s="274"/>
      <c r="R303" s="274" t="s">
        <v>871</v>
      </c>
      <c r="S303" s="277" t="s">
        <v>50</v>
      </c>
      <c r="T303" s="277">
        <v>45863</v>
      </c>
      <c r="U303" s="277">
        <v>45873</v>
      </c>
      <c r="V303" s="274"/>
      <c r="W303" s="302" t="s">
        <v>1380</v>
      </c>
      <c r="X303" s="278" t="s">
        <v>1381</v>
      </c>
      <c r="Y303" s="261" t="s">
        <v>884</v>
      </c>
      <c r="Z303" s="305">
        <v>3.346</v>
      </c>
      <c r="AA303" s="282">
        <f t="shared" ref="AA303:AA315" si="68">I303*Z303</f>
        <v>3995.124</v>
      </c>
      <c r="AB303" s="251" t="s">
        <v>1382</v>
      </c>
      <c r="AC303" s="252" t="s">
        <v>62</v>
      </c>
      <c r="AD303" s="251" t="s">
        <v>56</v>
      </c>
      <c r="AE303" s="251">
        <f>I303</f>
        <v>1194</v>
      </c>
      <c r="AF303" s="251"/>
      <c r="AG303" s="266"/>
      <c r="AH303" s="266"/>
      <c r="AI303" s="253" t="s">
        <v>57</v>
      </c>
      <c r="AJ303" s="251">
        <v>0</v>
      </c>
      <c r="AK303" s="253" t="s">
        <v>73</v>
      </c>
      <c r="AL303" s="251">
        <v>0</v>
      </c>
      <c r="AM303" s="251"/>
      <c r="AN303" s="251">
        <f t="shared" si="58"/>
        <v>1194</v>
      </c>
      <c r="AO303" s="251">
        <f t="shared" si="59"/>
        <v>1194</v>
      </c>
      <c r="AP303" s="251" t="b">
        <f t="shared" si="60"/>
        <v>0</v>
      </c>
      <c r="AQ303" s="251">
        <f t="shared" si="61"/>
        <v>1194</v>
      </c>
      <c r="AR303" s="293"/>
      <c r="AS303" s="266"/>
    </row>
    <row r="304" s="215" customFormat="1" ht="39" customHeight="1" spans="1:45">
      <c r="A304" s="254">
        <v>45856</v>
      </c>
      <c r="B304" s="249" t="s">
        <v>156</v>
      </c>
      <c r="C304" s="265" t="s">
        <v>157</v>
      </c>
      <c r="D304" s="256">
        <v>4500173295</v>
      </c>
      <c r="E304" s="267" t="s">
        <v>163</v>
      </c>
      <c r="F304" s="256" t="s">
        <v>1383</v>
      </c>
      <c r="G304" s="253" t="s">
        <v>62</v>
      </c>
      <c r="H304" s="253" t="s">
        <v>63</v>
      </c>
      <c r="I304" s="251">
        <v>438</v>
      </c>
      <c r="J304" s="251">
        <v>0</v>
      </c>
      <c r="K304" s="251">
        <v>6</v>
      </c>
      <c r="L304" s="251">
        <f t="shared" si="66"/>
        <v>73</v>
      </c>
      <c r="M304" s="274">
        <v>45887</v>
      </c>
      <c r="N304" s="274">
        <v>45883</v>
      </c>
      <c r="O304" s="274"/>
      <c r="P304" s="274" t="s">
        <v>49</v>
      </c>
      <c r="Q304" s="274"/>
      <c r="R304" s="274" t="s">
        <v>871</v>
      </c>
      <c r="S304" s="277" t="s">
        <v>50</v>
      </c>
      <c r="T304" s="277">
        <v>45860</v>
      </c>
      <c r="U304" s="277">
        <v>45873</v>
      </c>
      <c r="V304" s="274"/>
      <c r="W304" s="302" t="s">
        <v>1380</v>
      </c>
      <c r="X304" s="278" t="s">
        <v>1381</v>
      </c>
      <c r="Y304" s="261" t="s">
        <v>884</v>
      </c>
      <c r="Z304" s="305">
        <v>3.346</v>
      </c>
      <c r="AA304" s="282">
        <f t="shared" si="68"/>
        <v>1465.548</v>
      </c>
      <c r="AB304" s="251" t="s">
        <v>1384</v>
      </c>
      <c r="AC304" s="252" t="s">
        <v>62</v>
      </c>
      <c r="AD304" s="251" t="s">
        <v>56</v>
      </c>
      <c r="AE304" s="251">
        <f>I304</f>
        <v>438</v>
      </c>
      <c r="AF304" s="251"/>
      <c r="AG304" s="266"/>
      <c r="AH304" s="266"/>
      <c r="AI304" s="253" t="s">
        <v>57</v>
      </c>
      <c r="AJ304" s="251">
        <v>0</v>
      </c>
      <c r="AK304" s="253" t="s">
        <v>73</v>
      </c>
      <c r="AL304" s="251">
        <v>0</v>
      </c>
      <c r="AM304" s="251"/>
      <c r="AN304" s="251">
        <f t="shared" si="58"/>
        <v>438</v>
      </c>
      <c r="AO304" s="251">
        <f t="shared" si="59"/>
        <v>438</v>
      </c>
      <c r="AP304" s="251" t="b">
        <f t="shared" si="60"/>
        <v>0</v>
      </c>
      <c r="AQ304" s="251">
        <f t="shared" si="61"/>
        <v>438</v>
      </c>
      <c r="AR304" s="293"/>
      <c r="AS304" s="266"/>
    </row>
    <row r="305" s="215" customFormat="1" ht="39" customHeight="1" spans="1:45">
      <c r="A305" s="254">
        <v>45849</v>
      </c>
      <c r="B305" s="249" t="s">
        <v>245</v>
      </c>
      <c r="C305" s="265" t="s">
        <v>119</v>
      </c>
      <c r="D305" s="256">
        <v>4500173446</v>
      </c>
      <c r="E305" s="257" t="s">
        <v>1385</v>
      </c>
      <c r="F305" s="256" t="s">
        <v>1386</v>
      </c>
      <c r="G305" s="253" t="s">
        <v>62</v>
      </c>
      <c r="H305" s="253" t="s">
        <v>63</v>
      </c>
      <c r="I305" s="251">
        <v>582</v>
      </c>
      <c r="J305" s="251">
        <v>0</v>
      </c>
      <c r="K305" s="251">
        <v>6</v>
      </c>
      <c r="L305" s="251">
        <f t="shared" si="66"/>
        <v>97</v>
      </c>
      <c r="M305" s="274">
        <v>45888</v>
      </c>
      <c r="N305" s="274">
        <v>45884</v>
      </c>
      <c r="O305" s="274"/>
      <c r="P305" s="274" t="s">
        <v>49</v>
      </c>
      <c r="Q305" s="274"/>
      <c r="R305" s="274" t="s">
        <v>871</v>
      </c>
      <c r="S305" s="277" t="s">
        <v>77</v>
      </c>
      <c r="T305" s="277" t="s">
        <v>375</v>
      </c>
      <c r="U305" s="277">
        <v>45867</v>
      </c>
      <c r="V305" s="274"/>
      <c r="W305" s="302"/>
      <c r="X305" s="278" t="s">
        <v>1387</v>
      </c>
      <c r="Y305" s="261" t="s">
        <v>252</v>
      </c>
      <c r="Z305" s="305">
        <v>3.346</v>
      </c>
      <c r="AA305" s="282">
        <f t="shared" si="68"/>
        <v>1947.372</v>
      </c>
      <c r="AB305" s="251" t="s">
        <v>1388</v>
      </c>
      <c r="AC305" s="252" t="s">
        <v>71</v>
      </c>
      <c r="AD305" s="251" t="s">
        <v>56</v>
      </c>
      <c r="AE305" s="251">
        <f>I305</f>
        <v>582</v>
      </c>
      <c r="AF305" s="251"/>
      <c r="AG305" s="266"/>
      <c r="AH305" s="266"/>
      <c r="AI305" s="253" t="s">
        <v>72</v>
      </c>
      <c r="AJ305" s="251">
        <v>2</v>
      </c>
      <c r="AK305" s="253" t="s">
        <v>73</v>
      </c>
      <c r="AL305" s="251">
        <v>0</v>
      </c>
      <c r="AM305" s="251"/>
      <c r="AN305" s="251">
        <f t="shared" si="58"/>
        <v>582</v>
      </c>
      <c r="AO305" s="251">
        <f t="shared" si="59"/>
        <v>0</v>
      </c>
      <c r="AP305" s="251">
        <f t="shared" si="60"/>
        <v>582</v>
      </c>
      <c r="AQ305" s="251">
        <f t="shared" si="61"/>
        <v>582</v>
      </c>
      <c r="AR305" s="293"/>
      <c r="AS305" s="266"/>
    </row>
    <row r="306" s="215" customFormat="1" ht="39" customHeight="1" spans="1:45">
      <c r="A306" s="254">
        <v>45849</v>
      </c>
      <c r="B306" s="249" t="s">
        <v>385</v>
      </c>
      <c r="C306" s="265" t="s">
        <v>44</v>
      </c>
      <c r="D306" s="256">
        <v>4500173613</v>
      </c>
      <c r="E306" s="257">
        <v>60242372</v>
      </c>
      <c r="F306" s="256" t="s">
        <v>1389</v>
      </c>
      <c r="G306" s="253" t="s">
        <v>62</v>
      </c>
      <c r="H306" s="253" t="s">
        <v>63</v>
      </c>
      <c r="I306" s="251">
        <v>1500</v>
      </c>
      <c r="J306" s="251">
        <v>0</v>
      </c>
      <c r="K306" s="251">
        <v>6</v>
      </c>
      <c r="L306" s="251">
        <f t="shared" si="66"/>
        <v>250</v>
      </c>
      <c r="M306" s="274">
        <v>45889</v>
      </c>
      <c r="N306" s="274">
        <v>45885</v>
      </c>
      <c r="O306" s="274"/>
      <c r="P306" s="274" t="s">
        <v>49</v>
      </c>
      <c r="Q306" s="274"/>
      <c r="R306" s="274" t="s">
        <v>871</v>
      </c>
      <c r="S306" s="277" t="s">
        <v>50</v>
      </c>
      <c r="T306" s="277">
        <v>45860</v>
      </c>
      <c r="U306" s="277">
        <v>45877</v>
      </c>
      <c r="V306" s="274"/>
      <c r="W306" s="302"/>
      <c r="X306" s="278" t="s">
        <v>1276</v>
      </c>
      <c r="Y306" s="261" t="s">
        <v>1277</v>
      </c>
      <c r="Z306" s="305">
        <v>3.346</v>
      </c>
      <c r="AA306" s="282">
        <f t="shared" si="68"/>
        <v>5019</v>
      </c>
      <c r="AB306" s="251" t="s">
        <v>1390</v>
      </c>
      <c r="AC306" s="252" t="s">
        <v>62</v>
      </c>
      <c r="AD306" s="251" t="s">
        <v>56</v>
      </c>
      <c r="AE306" s="251">
        <v>1500</v>
      </c>
      <c r="AF306" s="251"/>
      <c r="AG306" s="266"/>
      <c r="AH306" s="266"/>
      <c r="AI306" s="253" t="s">
        <v>57</v>
      </c>
      <c r="AJ306" s="251">
        <v>0</v>
      </c>
      <c r="AK306" s="253" t="s">
        <v>73</v>
      </c>
      <c r="AL306" s="251">
        <v>0</v>
      </c>
      <c r="AM306" s="251"/>
      <c r="AN306" s="251">
        <f t="shared" si="58"/>
        <v>1500</v>
      </c>
      <c r="AO306" s="251">
        <f t="shared" si="59"/>
        <v>1500</v>
      </c>
      <c r="AP306" s="251" t="b">
        <f t="shared" si="60"/>
        <v>0</v>
      </c>
      <c r="AQ306" s="251">
        <f t="shared" si="61"/>
        <v>1500</v>
      </c>
      <c r="AR306" s="293"/>
      <c r="AS306" s="266"/>
    </row>
    <row r="307" s="215" customFormat="1" ht="39" customHeight="1" spans="1:45">
      <c r="A307" s="254">
        <v>45859</v>
      </c>
      <c r="B307" s="249" t="s">
        <v>1391</v>
      </c>
      <c r="C307" s="265" t="s">
        <v>104</v>
      </c>
      <c r="D307" s="256">
        <v>4500174453</v>
      </c>
      <c r="E307" s="257">
        <v>4400496983</v>
      </c>
      <c r="F307" s="256" t="s">
        <v>1392</v>
      </c>
      <c r="G307" s="253" t="s">
        <v>62</v>
      </c>
      <c r="H307" s="253" t="s">
        <v>63</v>
      </c>
      <c r="I307" s="251">
        <v>540</v>
      </c>
      <c r="J307" s="251">
        <v>0</v>
      </c>
      <c r="K307" s="251">
        <v>6</v>
      </c>
      <c r="L307" s="251">
        <f t="shared" si="66"/>
        <v>90</v>
      </c>
      <c r="M307" s="274">
        <v>45890</v>
      </c>
      <c r="N307" s="274">
        <v>45887</v>
      </c>
      <c r="O307" s="274"/>
      <c r="P307" s="274" t="s">
        <v>49</v>
      </c>
      <c r="Q307" s="274"/>
      <c r="R307" s="274" t="s">
        <v>871</v>
      </c>
      <c r="S307" s="277" t="s">
        <v>50</v>
      </c>
      <c r="T307" s="277">
        <v>45861</v>
      </c>
      <c r="U307" s="277" t="s">
        <v>1393</v>
      </c>
      <c r="V307" s="274"/>
      <c r="W307" s="302"/>
      <c r="X307" s="278" t="s">
        <v>1394</v>
      </c>
      <c r="Y307" s="261" t="s">
        <v>1292</v>
      </c>
      <c r="Z307" s="305">
        <v>3.346</v>
      </c>
      <c r="AA307" s="282">
        <f t="shared" si="68"/>
        <v>1806.84</v>
      </c>
      <c r="AB307" s="251" t="s">
        <v>1395</v>
      </c>
      <c r="AC307" s="252" t="s">
        <v>71</v>
      </c>
      <c r="AD307" s="251" t="s">
        <v>56</v>
      </c>
      <c r="AE307" s="251">
        <v>540</v>
      </c>
      <c r="AF307" s="251"/>
      <c r="AG307" s="266"/>
      <c r="AH307" s="266"/>
      <c r="AI307" s="253" t="s">
        <v>72</v>
      </c>
      <c r="AJ307" s="251">
        <v>2</v>
      </c>
      <c r="AK307" s="253" t="s">
        <v>73</v>
      </c>
      <c r="AL307" s="251">
        <v>0</v>
      </c>
      <c r="AM307" s="251"/>
      <c r="AN307" s="251">
        <f t="shared" si="58"/>
        <v>540</v>
      </c>
      <c r="AO307" s="251">
        <f t="shared" si="59"/>
        <v>0</v>
      </c>
      <c r="AP307" s="251">
        <f t="shared" si="60"/>
        <v>540</v>
      </c>
      <c r="AQ307" s="251">
        <f t="shared" si="61"/>
        <v>540</v>
      </c>
      <c r="AR307" s="293"/>
      <c r="AS307" s="266"/>
    </row>
    <row r="308" s="215" customFormat="1" ht="39" customHeight="1" spans="1:45">
      <c r="A308" s="254">
        <v>45859</v>
      </c>
      <c r="B308" s="249" t="s">
        <v>1391</v>
      </c>
      <c r="C308" s="265" t="s">
        <v>104</v>
      </c>
      <c r="D308" s="256">
        <v>4500174459</v>
      </c>
      <c r="E308" s="257">
        <v>4400496982</v>
      </c>
      <c r="F308" s="256" t="s">
        <v>1396</v>
      </c>
      <c r="G308" s="253" t="s">
        <v>62</v>
      </c>
      <c r="H308" s="253" t="s">
        <v>63</v>
      </c>
      <c r="I308" s="251">
        <v>660</v>
      </c>
      <c r="J308" s="251">
        <v>0</v>
      </c>
      <c r="K308" s="251">
        <v>6</v>
      </c>
      <c r="L308" s="251">
        <f t="shared" si="66"/>
        <v>110</v>
      </c>
      <c r="M308" s="274">
        <v>45890</v>
      </c>
      <c r="N308" s="274">
        <v>45887</v>
      </c>
      <c r="O308" s="274"/>
      <c r="P308" s="274" t="s">
        <v>49</v>
      </c>
      <c r="Q308" s="274"/>
      <c r="R308" s="274" t="s">
        <v>871</v>
      </c>
      <c r="S308" s="277" t="s">
        <v>50</v>
      </c>
      <c r="T308" s="277">
        <v>45861</v>
      </c>
      <c r="U308" s="277" t="s">
        <v>1393</v>
      </c>
      <c r="V308" s="274"/>
      <c r="W308" s="302"/>
      <c r="X308" s="278" t="s">
        <v>1397</v>
      </c>
      <c r="Y308" s="261" t="s">
        <v>1292</v>
      </c>
      <c r="Z308" s="305">
        <v>3.346</v>
      </c>
      <c r="AA308" s="282">
        <f t="shared" si="68"/>
        <v>2208.36</v>
      </c>
      <c r="AB308" s="251" t="s">
        <v>1398</v>
      </c>
      <c r="AC308" s="252" t="s">
        <v>71</v>
      </c>
      <c r="AD308" s="251" t="s">
        <v>56</v>
      </c>
      <c r="AE308" s="251">
        <v>660</v>
      </c>
      <c r="AF308" s="251"/>
      <c r="AG308" s="266"/>
      <c r="AH308" s="266"/>
      <c r="AI308" s="253" t="s">
        <v>72</v>
      </c>
      <c r="AJ308" s="251">
        <v>2</v>
      </c>
      <c r="AK308" s="253" t="s">
        <v>73</v>
      </c>
      <c r="AL308" s="251">
        <v>0</v>
      </c>
      <c r="AM308" s="251"/>
      <c r="AN308" s="251">
        <f t="shared" si="58"/>
        <v>660</v>
      </c>
      <c r="AO308" s="251">
        <f t="shared" si="59"/>
        <v>0</v>
      </c>
      <c r="AP308" s="251">
        <f t="shared" si="60"/>
        <v>660</v>
      </c>
      <c r="AQ308" s="251">
        <f t="shared" si="61"/>
        <v>660</v>
      </c>
      <c r="AR308" s="293"/>
      <c r="AS308" s="266"/>
    </row>
    <row r="309" s="215" customFormat="1" ht="39" customHeight="1" spans="1:45">
      <c r="A309" s="254">
        <v>45849</v>
      </c>
      <c r="B309" s="249" t="s">
        <v>74</v>
      </c>
      <c r="C309" s="265" t="s">
        <v>44</v>
      </c>
      <c r="D309" s="256">
        <v>4500173544</v>
      </c>
      <c r="E309" s="257" t="s">
        <v>1399</v>
      </c>
      <c r="F309" s="256" t="s">
        <v>1400</v>
      </c>
      <c r="G309" s="253" t="s">
        <v>62</v>
      </c>
      <c r="H309" s="253" t="s">
        <v>63</v>
      </c>
      <c r="I309" s="251">
        <v>2100</v>
      </c>
      <c r="J309" s="251">
        <v>0</v>
      </c>
      <c r="K309" s="251">
        <v>6</v>
      </c>
      <c r="L309" s="251">
        <f t="shared" si="66"/>
        <v>350</v>
      </c>
      <c r="M309" s="274">
        <v>45891</v>
      </c>
      <c r="N309" s="274">
        <v>45887</v>
      </c>
      <c r="O309" s="274"/>
      <c r="P309" s="274" t="s">
        <v>49</v>
      </c>
      <c r="Q309" s="274"/>
      <c r="R309" s="274" t="s">
        <v>871</v>
      </c>
      <c r="S309" s="277" t="s">
        <v>77</v>
      </c>
      <c r="T309" s="277">
        <v>45863</v>
      </c>
      <c r="U309" s="277">
        <v>45873</v>
      </c>
      <c r="V309" s="274"/>
      <c r="W309" s="302"/>
      <c r="X309" s="278" t="s">
        <v>1345</v>
      </c>
      <c r="Y309" s="261" t="s">
        <v>1401</v>
      </c>
      <c r="Z309" s="305">
        <v>3.346</v>
      </c>
      <c r="AA309" s="282">
        <f t="shared" si="68"/>
        <v>7026.6</v>
      </c>
      <c r="AB309" s="251" t="s">
        <v>1402</v>
      </c>
      <c r="AC309" s="252" t="s">
        <v>62</v>
      </c>
      <c r="AD309" s="251" t="s">
        <v>56</v>
      </c>
      <c r="AE309" s="251">
        <f>I309</f>
        <v>2100</v>
      </c>
      <c r="AF309" s="251"/>
      <c r="AG309" s="266"/>
      <c r="AH309" s="266"/>
      <c r="AI309" s="253" t="s">
        <v>57</v>
      </c>
      <c r="AJ309" s="251">
        <v>0</v>
      </c>
      <c r="AK309" s="253" t="s">
        <v>73</v>
      </c>
      <c r="AL309" s="251">
        <v>0</v>
      </c>
      <c r="AM309" s="251"/>
      <c r="AN309" s="251">
        <f t="shared" si="58"/>
        <v>2100</v>
      </c>
      <c r="AO309" s="251">
        <f t="shared" si="59"/>
        <v>2100</v>
      </c>
      <c r="AP309" s="251" t="b">
        <f t="shared" si="60"/>
        <v>0</v>
      </c>
      <c r="AQ309" s="251">
        <f t="shared" si="61"/>
        <v>2100</v>
      </c>
      <c r="AR309" s="293"/>
      <c r="AS309" s="266"/>
    </row>
    <row r="310" s="215" customFormat="1" ht="39" customHeight="1" spans="1:45">
      <c r="A310" s="254">
        <v>45831</v>
      </c>
      <c r="B310" s="249" t="s">
        <v>118</v>
      </c>
      <c r="C310" s="265" t="s">
        <v>119</v>
      </c>
      <c r="D310" s="256">
        <v>4500170965</v>
      </c>
      <c r="E310" s="257">
        <v>2000007584</v>
      </c>
      <c r="F310" s="256" t="s">
        <v>1403</v>
      </c>
      <c r="G310" s="253" t="s">
        <v>62</v>
      </c>
      <c r="H310" s="253" t="s">
        <v>63</v>
      </c>
      <c r="I310" s="251">
        <v>768</v>
      </c>
      <c r="J310" s="251">
        <v>0</v>
      </c>
      <c r="K310" s="251">
        <v>6</v>
      </c>
      <c r="L310" s="251">
        <f t="shared" si="66"/>
        <v>128</v>
      </c>
      <c r="M310" s="274">
        <v>45891</v>
      </c>
      <c r="N310" s="274">
        <f>M310-4</f>
        <v>45887</v>
      </c>
      <c r="O310" s="274"/>
      <c r="P310" s="274" t="s">
        <v>49</v>
      </c>
      <c r="Q310" s="274"/>
      <c r="R310" s="274" t="s">
        <v>56</v>
      </c>
      <c r="S310" s="277" t="s">
        <v>50</v>
      </c>
      <c r="T310" s="277">
        <v>45853</v>
      </c>
      <c r="U310" s="277" t="s">
        <v>1404</v>
      </c>
      <c r="V310" s="274"/>
      <c r="W310" s="302" t="s">
        <v>1405</v>
      </c>
      <c r="X310" s="278" t="s">
        <v>1406</v>
      </c>
      <c r="Y310" s="261" t="s">
        <v>978</v>
      </c>
      <c r="Z310" s="305">
        <v>3.346</v>
      </c>
      <c r="AA310" s="282">
        <f t="shared" si="68"/>
        <v>2569.728</v>
      </c>
      <c r="AB310" s="251" t="s">
        <v>1407</v>
      </c>
      <c r="AC310" s="252" t="s">
        <v>71</v>
      </c>
      <c r="AD310" s="251" t="s">
        <v>56</v>
      </c>
      <c r="AE310" s="251">
        <f>I310</f>
        <v>768</v>
      </c>
      <c r="AF310" s="251">
        <f>AE310-I310</f>
        <v>0</v>
      </c>
      <c r="AG310" s="266"/>
      <c r="AH310" s="266"/>
      <c r="AI310" s="253" t="s">
        <v>72</v>
      </c>
      <c r="AJ310" s="251">
        <v>2</v>
      </c>
      <c r="AK310" s="253" t="s">
        <v>73</v>
      </c>
      <c r="AL310" s="251">
        <v>0</v>
      </c>
      <c r="AM310" s="251"/>
      <c r="AN310" s="251">
        <f t="shared" si="58"/>
        <v>768</v>
      </c>
      <c r="AO310" s="251">
        <f t="shared" si="59"/>
        <v>0</v>
      </c>
      <c r="AP310" s="251">
        <f t="shared" si="60"/>
        <v>768</v>
      </c>
      <c r="AQ310" s="251">
        <f t="shared" si="61"/>
        <v>768</v>
      </c>
      <c r="AR310" s="293"/>
      <c r="AS310" s="266"/>
    </row>
    <row r="311" s="215" customFormat="1" ht="39" customHeight="1" spans="1:45">
      <c r="A311" s="254">
        <v>45848</v>
      </c>
      <c r="B311" s="249" t="s">
        <v>1298</v>
      </c>
      <c r="C311" s="265" t="s">
        <v>182</v>
      </c>
      <c r="D311" s="256">
        <v>4500173377</v>
      </c>
      <c r="E311" s="257" t="s">
        <v>1408</v>
      </c>
      <c r="F311" s="256" t="s">
        <v>1409</v>
      </c>
      <c r="G311" s="253" t="s">
        <v>62</v>
      </c>
      <c r="H311" s="253" t="s">
        <v>63</v>
      </c>
      <c r="I311" s="251">
        <v>72</v>
      </c>
      <c r="J311" s="251">
        <v>0</v>
      </c>
      <c r="K311" s="251">
        <v>6</v>
      </c>
      <c r="L311" s="251">
        <f t="shared" si="66"/>
        <v>12</v>
      </c>
      <c r="M311" s="274">
        <v>45891</v>
      </c>
      <c r="N311" s="274">
        <v>45887</v>
      </c>
      <c r="O311" s="274"/>
      <c r="P311" s="274" t="s">
        <v>49</v>
      </c>
      <c r="Q311" s="274"/>
      <c r="R311" s="274" t="s">
        <v>871</v>
      </c>
      <c r="S311" s="277" t="s">
        <v>50</v>
      </c>
      <c r="T311" s="277">
        <v>45848</v>
      </c>
      <c r="U311" s="277">
        <v>45846</v>
      </c>
      <c r="V311" s="274"/>
      <c r="W311" s="302"/>
      <c r="X311" s="278" t="s">
        <v>1410</v>
      </c>
      <c r="Y311" s="261" t="s">
        <v>807</v>
      </c>
      <c r="Z311" s="305">
        <v>3.346</v>
      </c>
      <c r="AA311" s="282">
        <f t="shared" si="68"/>
        <v>240.912</v>
      </c>
      <c r="AB311" s="251" t="s">
        <v>1411</v>
      </c>
      <c r="AC311" s="252" t="s">
        <v>62</v>
      </c>
      <c r="AD311" s="251" t="s">
        <v>56</v>
      </c>
      <c r="AE311" s="251">
        <f>I311</f>
        <v>72</v>
      </c>
      <c r="AF311" s="251"/>
      <c r="AG311" s="266"/>
      <c r="AH311" s="266"/>
      <c r="AI311" s="253" t="s">
        <v>57</v>
      </c>
      <c r="AJ311" s="251">
        <v>0</v>
      </c>
      <c r="AK311" s="253" t="s">
        <v>73</v>
      </c>
      <c r="AL311" s="251">
        <v>0</v>
      </c>
      <c r="AM311" s="251"/>
      <c r="AN311" s="251">
        <f t="shared" si="58"/>
        <v>72</v>
      </c>
      <c r="AO311" s="251">
        <f t="shared" si="59"/>
        <v>72</v>
      </c>
      <c r="AP311" s="251" t="b">
        <f t="shared" si="60"/>
        <v>0</v>
      </c>
      <c r="AQ311" s="251">
        <f t="shared" si="61"/>
        <v>72</v>
      </c>
      <c r="AR311" s="293"/>
      <c r="AS311" s="266"/>
    </row>
    <row r="312" s="215" customFormat="1" ht="39" customHeight="1" spans="1:45">
      <c r="A312" s="254">
        <v>45848</v>
      </c>
      <c r="B312" s="249" t="s">
        <v>1298</v>
      </c>
      <c r="C312" s="265" t="s">
        <v>182</v>
      </c>
      <c r="D312" s="256">
        <v>4500173375</v>
      </c>
      <c r="E312" s="257" t="s">
        <v>1412</v>
      </c>
      <c r="F312" s="256" t="s">
        <v>1413</v>
      </c>
      <c r="G312" s="253" t="s">
        <v>62</v>
      </c>
      <c r="H312" s="253" t="s">
        <v>63</v>
      </c>
      <c r="I312" s="251">
        <v>174</v>
      </c>
      <c r="J312" s="251">
        <v>0</v>
      </c>
      <c r="K312" s="251">
        <v>6</v>
      </c>
      <c r="L312" s="251">
        <f t="shared" si="66"/>
        <v>29</v>
      </c>
      <c r="M312" s="274">
        <v>45891</v>
      </c>
      <c r="N312" s="274">
        <v>45887</v>
      </c>
      <c r="O312" s="274"/>
      <c r="P312" s="274" t="s">
        <v>49</v>
      </c>
      <c r="Q312" s="274"/>
      <c r="R312" s="274" t="s">
        <v>871</v>
      </c>
      <c r="S312" s="277" t="s">
        <v>50</v>
      </c>
      <c r="T312" s="277">
        <v>45848</v>
      </c>
      <c r="U312" s="277">
        <v>45846</v>
      </c>
      <c r="V312" s="274"/>
      <c r="W312" s="302"/>
      <c r="X312" s="278" t="s">
        <v>1410</v>
      </c>
      <c r="Y312" s="261" t="s">
        <v>807</v>
      </c>
      <c r="Z312" s="305">
        <v>3.346</v>
      </c>
      <c r="AA312" s="282">
        <f t="shared" si="68"/>
        <v>582.204</v>
      </c>
      <c r="AB312" s="308" t="s">
        <v>1414</v>
      </c>
      <c r="AC312" s="252" t="s">
        <v>62</v>
      </c>
      <c r="AD312" s="251" t="s">
        <v>56</v>
      </c>
      <c r="AE312" s="251">
        <f>I312</f>
        <v>174</v>
      </c>
      <c r="AF312" s="251"/>
      <c r="AG312" s="266"/>
      <c r="AH312" s="266"/>
      <c r="AI312" s="253" t="s">
        <v>57</v>
      </c>
      <c r="AJ312" s="251">
        <v>0</v>
      </c>
      <c r="AK312" s="253" t="s">
        <v>73</v>
      </c>
      <c r="AL312" s="251">
        <v>0</v>
      </c>
      <c r="AM312" s="251"/>
      <c r="AN312" s="251">
        <f t="shared" si="58"/>
        <v>174</v>
      </c>
      <c r="AO312" s="251">
        <f t="shared" si="59"/>
        <v>174</v>
      </c>
      <c r="AP312" s="251" t="b">
        <f t="shared" si="60"/>
        <v>0</v>
      </c>
      <c r="AQ312" s="251">
        <f t="shared" si="61"/>
        <v>174</v>
      </c>
      <c r="AR312" s="293"/>
      <c r="AS312" s="266"/>
    </row>
    <row r="313" s="215" customFormat="1" ht="39" customHeight="1" spans="1:45">
      <c r="A313" s="254">
        <v>45848</v>
      </c>
      <c r="B313" s="249" t="s">
        <v>1298</v>
      </c>
      <c r="C313" s="265" t="s">
        <v>182</v>
      </c>
      <c r="D313" s="256">
        <v>4500173373</v>
      </c>
      <c r="E313" s="257" t="s">
        <v>1415</v>
      </c>
      <c r="F313" s="256" t="s">
        <v>1416</v>
      </c>
      <c r="G313" s="253" t="s">
        <v>62</v>
      </c>
      <c r="H313" s="253" t="s">
        <v>63</v>
      </c>
      <c r="I313" s="251">
        <v>354</v>
      </c>
      <c r="J313" s="251">
        <v>0</v>
      </c>
      <c r="K313" s="251">
        <v>6</v>
      </c>
      <c r="L313" s="251">
        <f t="shared" si="66"/>
        <v>59</v>
      </c>
      <c r="M313" s="274">
        <v>45891</v>
      </c>
      <c r="N313" s="274">
        <v>45887</v>
      </c>
      <c r="O313" s="274"/>
      <c r="P313" s="274" t="s">
        <v>49</v>
      </c>
      <c r="Q313" s="274"/>
      <c r="R313" s="274" t="s">
        <v>871</v>
      </c>
      <c r="S313" s="277" t="s">
        <v>50</v>
      </c>
      <c r="T313" s="277">
        <v>45848</v>
      </c>
      <c r="U313" s="277">
        <v>45846</v>
      </c>
      <c r="V313" s="274"/>
      <c r="W313" s="302"/>
      <c r="X313" s="278" t="s">
        <v>1410</v>
      </c>
      <c r="Y313" s="261" t="s">
        <v>807</v>
      </c>
      <c r="Z313" s="305">
        <v>3.346</v>
      </c>
      <c r="AA313" s="282">
        <f t="shared" si="68"/>
        <v>1184.484</v>
      </c>
      <c r="AB313" s="308" t="s">
        <v>1417</v>
      </c>
      <c r="AC313" s="252" t="s">
        <v>62</v>
      </c>
      <c r="AD313" s="251" t="s">
        <v>56</v>
      </c>
      <c r="AE313" s="251">
        <f>I313</f>
        <v>354</v>
      </c>
      <c r="AF313" s="251"/>
      <c r="AG313" s="266"/>
      <c r="AH313" s="266"/>
      <c r="AI313" s="253" t="s">
        <v>57</v>
      </c>
      <c r="AJ313" s="251">
        <v>0</v>
      </c>
      <c r="AK313" s="253" t="s">
        <v>73</v>
      </c>
      <c r="AL313" s="251">
        <v>0</v>
      </c>
      <c r="AM313" s="251"/>
      <c r="AN313" s="251">
        <f t="shared" si="58"/>
        <v>354</v>
      </c>
      <c r="AO313" s="251">
        <f t="shared" si="59"/>
        <v>354</v>
      </c>
      <c r="AP313" s="251" t="b">
        <f t="shared" si="60"/>
        <v>0</v>
      </c>
      <c r="AQ313" s="251">
        <f t="shared" si="61"/>
        <v>354</v>
      </c>
      <c r="AR313" s="293"/>
      <c r="AS313" s="266"/>
    </row>
    <row r="314" s="215" customFormat="1" ht="39" customHeight="1" spans="1:45">
      <c r="A314" s="254">
        <v>45849</v>
      </c>
      <c r="B314" s="249" t="s">
        <v>1418</v>
      </c>
      <c r="C314" s="265" t="s">
        <v>214</v>
      </c>
      <c r="D314" s="256">
        <v>4500173502</v>
      </c>
      <c r="E314" s="257" t="s">
        <v>1419</v>
      </c>
      <c r="F314" s="256" t="s">
        <v>1420</v>
      </c>
      <c r="G314" s="253" t="s">
        <v>62</v>
      </c>
      <c r="H314" s="253" t="s">
        <v>63</v>
      </c>
      <c r="I314" s="251">
        <v>504</v>
      </c>
      <c r="J314" s="251">
        <v>0</v>
      </c>
      <c r="K314" s="251">
        <v>6</v>
      </c>
      <c r="L314" s="251">
        <f t="shared" si="66"/>
        <v>84</v>
      </c>
      <c r="M314" s="274">
        <v>45894</v>
      </c>
      <c r="N314" s="274">
        <v>45890</v>
      </c>
      <c r="O314" s="274"/>
      <c r="P314" s="274" t="s">
        <v>49</v>
      </c>
      <c r="Q314" s="274"/>
      <c r="R314" s="274" t="s">
        <v>871</v>
      </c>
      <c r="S314" s="277" t="s">
        <v>50</v>
      </c>
      <c r="T314" s="277">
        <v>45862</v>
      </c>
      <c r="U314" s="277" t="s">
        <v>50</v>
      </c>
      <c r="V314" s="274"/>
      <c r="W314" s="302"/>
      <c r="X314" s="278" t="s">
        <v>1421</v>
      </c>
      <c r="Y314" s="261" t="s">
        <v>369</v>
      </c>
      <c r="Z314" s="305">
        <v>3.346</v>
      </c>
      <c r="AA314" s="282">
        <f t="shared" si="68"/>
        <v>1686.384</v>
      </c>
      <c r="AB314" s="251" t="s">
        <v>1422</v>
      </c>
      <c r="AC314" s="252" t="s">
        <v>62</v>
      </c>
      <c r="AD314" s="251" t="s">
        <v>56</v>
      </c>
      <c r="AE314" s="251">
        <v>504</v>
      </c>
      <c r="AF314" s="251"/>
      <c r="AG314" s="266"/>
      <c r="AH314" s="266"/>
      <c r="AI314" s="253" t="s">
        <v>57</v>
      </c>
      <c r="AJ314" s="251">
        <v>0</v>
      </c>
      <c r="AK314" s="253" t="s">
        <v>73</v>
      </c>
      <c r="AL314" s="251">
        <v>0</v>
      </c>
      <c r="AM314" s="251"/>
      <c r="AN314" s="251">
        <f t="shared" si="58"/>
        <v>504</v>
      </c>
      <c r="AO314" s="251">
        <f t="shared" si="59"/>
        <v>504</v>
      </c>
      <c r="AP314" s="251" t="b">
        <f t="shared" si="60"/>
        <v>0</v>
      </c>
      <c r="AQ314" s="251">
        <f t="shared" si="61"/>
        <v>504</v>
      </c>
      <c r="AR314" s="293"/>
      <c r="AS314" s="266"/>
    </row>
    <row r="315" s="215" customFormat="1" ht="39" customHeight="1" spans="1:45">
      <c r="A315" s="254">
        <v>45856</v>
      </c>
      <c r="B315" s="249" t="s">
        <v>74</v>
      </c>
      <c r="C315" s="265" t="s">
        <v>44</v>
      </c>
      <c r="D315" s="256">
        <v>4500174355</v>
      </c>
      <c r="E315" s="257" t="s">
        <v>1423</v>
      </c>
      <c r="F315" s="267" t="s">
        <v>1424</v>
      </c>
      <c r="G315" s="253" t="s">
        <v>62</v>
      </c>
      <c r="H315" s="253" t="s">
        <v>63</v>
      </c>
      <c r="I315" s="251">
        <v>2916</v>
      </c>
      <c r="J315" s="251">
        <v>0</v>
      </c>
      <c r="K315" s="251">
        <v>6</v>
      </c>
      <c r="L315" s="251">
        <f t="shared" si="66"/>
        <v>486</v>
      </c>
      <c r="M315" s="274">
        <v>45896</v>
      </c>
      <c r="N315" s="274">
        <v>45892</v>
      </c>
      <c r="O315" s="274"/>
      <c r="P315" s="274" t="s">
        <v>49</v>
      </c>
      <c r="Q315" s="274"/>
      <c r="R315" s="274" t="s">
        <v>871</v>
      </c>
      <c r="S315" s="277" t="s">
        <v>77</v>
      </c>
      <c r="T315" s="277">
        <v>45863</v>
      </c>
      <c r="U315" s="277">
        <v>45873</v>
      </c>
      <c r="V315" s="274"/>
      <c r="W315" s="274"/>
      <c r="X315" s="278" t="s">
        <v>1345</v>
      </c>
      <c r="Y315" s="261" t="s">
        <v>116</v>
      </c>
      <c r="Z315" s="305">
        <v>3.346</v>
      </c>
      <c r="AA315" s="282">
        <f t="shared" si="68"/>
        <v>9756.936</v>
      </c>
      <c r="AB315" s="251" t="s">
        <v>1425</v>
      </c>
      <c r="AC315" s="252" t="s">
        <v>62</v>
      </c>
      <c r="AD315" s="251" t="s">
        <v>56</v>
      </c>
      <c r="AE315" s="251">
        <v>2916</v>
      </c>
      <c r="AF315" s="251"/>
      <c r="AG315" s="266"/>
      <c r="AH315" s="266"/>
      <c r="AI315" s="253" t="s">
        <v>57</v>
      </c>
      <c r="AJ315" s="251">
        <v>0</v>
      </c>
      <c r="AK315" s="253" t="s">
        <v>73</v>
      </c>
      <c r="AL315" s="251">
        <v>0</v>
      </c>
      <c r="AM315" s="251"/>
      <c r="AN315" s="251">
        <f t="shared" si="58"/>
        <v>2916</v>
      </c>
      <c r="AO315" s="251">
        <f t="shared" si="59"/>
        <v>2916</v>
      </c>
      <c r="AP315" s="251" t="b">
        <f t="shared" si="60"/>
        <v>0</v>
      </c>
      <c r="AQ315" s="251">
        <f t="shared" si="61"/>
        <v>2916</v>
      </c>
      <c r="AR315" s="293"/>
      <c r="AS315" s="266"/>
    </row>
    <row r="316" s="215" customFormat="1" ht="39" hidden="1" customHeight="1" spans="1:45">
      <c r="A316" s="254">
        <v>45838</v>
      </c>
      <c r="B316" s="249" t="s">
        <v>838</v>
      </c>
      <c r="C316" s="265" t="s">
        <v>44</v>
      </c>
      <c r="D316" s="256">
        <v>4500171957</v>
      </c>
      <c r="E316" s="257" t="s">
        <v>1426</v>
      </c>
      <c r="F316" s="256" t="s">
        <v>1427</v>
      </c>
      <c r="G316" s="253" t="s">
        <v>46</v>
      </c>
      <c r="H316" s="253" t="s">
        <v>47</v>
      </c>
      <c r="I316" s="251">
        <v>1078</v>
      </c>
      <c r="J316" s="251">
        <v>0</v>
      </c>
      <c r="K316" s="251">
        <v>98</v>
      </c>
      <c r="L316" s="251">
        <f t="shared" si="66"/>
        <v>11</v>
      </c>
      <c r="M316" s="274">
        <v>45897</v>
      </c>
      <c r="N316" s="274">
        <v>45894</v>
      </c>
      <c r="O316" s="274" t="s">
        <v>1428</v>
      </c>
      <c r="P316" s="274" t="s">
        <v>49</v>
      </c>
      <c r="Q316" s="274">
        <v>45913</v>
      </c>
      <c r="R316" s="274" t="s">
        <v>871</v>
      </c>
      <c r="S316" s="277" t="s">
        <v>50</v>
      </c>
      <c r="T316" s="277" t="s">
        <v>1135</v>
      </c>
      <c r="U316" s="277" t="s">
        <v>1136</v>
      </c>
      <c r="V316" s="274"/>
      <c r="W316" s="274"/>
      <c r="X316" s="278" t="s">
        <v>1429</v>
      </c>
      <c r="Y316" s="261" t="s">
        <v>844</v>
      </c>
      <c r="Z316" s="281">
        <v>217.2688</v>
      </c>
      <c r="AA316" s="282">
        <f>Z316*L316</f>
        <v>2389.9568</v>
      </c>
      <c r="AB316" s="251" t="s">
        <v>1430</v>
      </c>
      <c r="AC316" s="252" t="s">
        <v>46</v>
      </c>
      <c r="AD316" s="251" t="s">
        <v>56</v>
      </c>
      <c r="AE316" s="251">
        <v>1078</v>
      </c>
      <c r="AF316" s="251"/>
      <c r="AG316" s="266"/>
      <c r="AH316" s="266"/>
      <c r="AI316" s="253" t="s">
        <v>57</v>
      </c>
      <c r="AJ316" s="251">
        <v>0</v>
      </c>
      <c r="AK316" s="253" t="s">
        <v>73</v>
      </c>
      <c r="AL316" s="251">
        <v>0</v>
      </c>
      <c r="AM316" s="251"/>
      <c r="AN316" s="251">
        <f t="shared" si="58"/>
        <v>1078</v>
      </c>
      <c r="AO316" s="251">
        <f t="shared" si="59"/>
        <v>1078</v>
      </c>
      <c r="AP316" s="251" t="b">
        <f t="shared" si="60"/>
        <v>0</v>
      </c>
      <c r="AQ316" s="251">
        <f t="shared" si="61"/>
        <v>1078</v>
      </c>
      <c r="AR316" s="293"/>
      <c r="AS316" s="266"/>
    </row>
    <row r="317" s="215" customFormat="1" ht="39" hidden="1" customHeight="1" spans="1:45">
      <c r="A317" s="254">
        <v>45838</v>
      </c>
      <c r="B317" s="249" t="s">
        <v>838</v>
      </c>
      <c r="C317" s="265" t="s">
        <v>44</v>
      </c>
      <c r="D317" s="256">
        <v>4500171957</v>
      </c>
      <c r="E317" s="257" t="s">
        <v>1431</v>
      </c>
      <c r="F317" s="256" t="s">
        <v>1432</v>
      </c>
      <c r="G317" s="253" t="s">
        <v>46</v>
      </c>
      <c r="H317" s="253" t="s">
        <v>47</v>
      </c>
      <c r="I317" s="251">
        <v>588</v>
      </c>
      <c r="J317" s="251">
        <v>0</v>
      </c>
      <c r="K317" s="251">
        <v>98</v>
      </c>
      <c r="L317" s="251">
        <f t="shared" si="66"/>
        <v>6</v>
      </c>
      <c r="M317" s="274">
        <v>45897</v>
      </c>
      <c r="N317" s="274">
        <v>45894</v>
      </c>
      <c r="O317" s="274" t="s">
        <v>1428</v>
      </c>
      <c r="P317" s="274" t="s">
        <v>49</v>
      </c>
      <c r="Q317" s="274">
        <v>45913</v>
      </c>
      <c r="R317" s="274" t="s">
        <v>871</v>
      </c>
      <c r="S317" s="277" t="s">
        <v>50</v>
      </c>
      <c r="T317" s="277" t="s">
        <v>1135</v>
      </c>
      <c r="U317" s="277" t="s">
        <v>1136</v>
      </c>
      <c r="V317" s="274"/>
      <c r="W317" s="274"/>
      <c r="X317" s="278" t="s">
        <v>1429</v>
      </c>
      <c r="Y317" s="261" t="s">
        <v>844</v>
      </c>
      <c r="Z317" s="281">
        <v>217.2688</v>
      </c>
      <c r="AA317" s="282">
        <f>Z317*L317</f>
        <v>1303.6128</v>
      </c>
      <c r="AB317" s="251" t="s">
        <v>1433</v>
      </c>
      <c r="AC317" s="252" t="s">
        <v>46</v>
      </c>
      <c r="AD317" s="251" t="s">
        <v>56</v>
      </c>
      <c r="AE317" s="251">
        <v>588</v>
      </c>
      <c r="AF317" s="251"/>
      <c r="AG317" s="266"/>
      <c r="AH317" s="266"/>
      <c r="AI317" s="253" t="s">
        <v>57</v>
      </c>
      <c r="AJ317" s="251">
        <v>0</v>
      </c>
      <c r="AK317" s="253" t="s">
        <v>73</v>
      </c>
      <c r="AL317" s="251">
        <v>0</v>
      </c>
      <c r="AM317" s="251"/>
      <c r="AN317" s="251">
        <f t="shared" si="58"/>
        <v>588</v>
      </c>
      <c r="AO317" s="251">
        <f t="shared" si="59"/>
        <v>588</v>
      </c>
      <c r="AP317" s="251" t="b">
        <f t="shared" si="60"/>
        <v>0</v>
      </c>
      <c r="AQ317" s="251">
        <f t="shared" si="61"/>
        <v>588</v>
      </c>
      <c r="AR317" s="293"/>
      <c r="AS317" s="266"/>
    </row>
    <row r="318" s="215" customFormat="1" ht="39" hidden="1" customHeight="1" spans="1:45">
      <c r="A318" s="254">
        <v>45838</v>
      </c>
      <c r="B318" s="249" t="s">
        <v>838</v>
      </c>
      <c r="C318" s="265" t="s">
        <v>44</v>
      </c>
      <c r="D318" s="256">
        <v>4500171957</v>
      </c>
      <c r="E318" s="257" t="s">
        <v>1434</v>
      </c>
      <c r="F318" s="256" t="s">
        <v>1435</v>
      </c>
      <c r="G318" s="253" t="s">
        <v>46</v>
      </c>
      <c r="H318" s="253" t="s">
        <v>47</v>
      </c>
      <c r="I318" s="251">
        <v>784</v>
      </c>
      <c r="J318" s="251">
        <v>0</v>
      </c>
      <c r="K318" s="251">
        <v>98</v>
      </c>
      <c r="L318" s="251">
        <f t="shared" si="66"/>
        <v>8</v>
      </c>
      <c r="M318" s="274">
        <v>45897</v>
      </c>
      <c r="N318" s="274">
        <v>45894</v>
      </c>
      <c r="O318" s="274" t="s">
        <v>1428</v>
      </c>
      <c r="P318" s="274" t="s">
        <v>49</v>
      </c>
      <c r="Q318" s="274">
        <v>45913</v>
      </c>
      <c r="R318" s="274" t="s">
        <v>871</v>
      </c>
      <c r="S318" s="277" t="s">
        <v>50</v>
      </c>
      <c r="T318" s="277" t="s">
        <v>1135</v>
      </c>
      <c r="U318" s="277" t="s">
        <v>1136</v>
      </c>
      <c r="V318" s="274"/>
      <c r="W318" s="274"/>
      <c r="X318" s="278" t="s">
        <v>1429</v>
      </c>
      <c r="Y318" s="261" t="s">
        <v>844</v>
      </c>
      <c r="Z318" s="281">
        <v>217.2688</v>
      </c>
      <c r="AA318" s="282">
        <f>Z318*L318</f>
        <v>1738.1504</v>
      </c>
      <c r="AB318" s="251" t="s">
        <v>1436</v>
      </c>
      <c r="AC318" s="252" t="s">
        <v>46</v>
      </c>
      <c r="AD318" s="251" t="s">
        <v>56</v>
      </c>
      <c r="AE318" s="251">
        <f>I318</f>
        <v>784</v>
      </c>
      <c r="AF318" s="251"/>
      <c r="AG318" s="266"/>
      <c r="AH318" s="266"/>
      <c r="AI318" s="253" t="s">
        <v>57</v>
      </c>
      <c r="AJ318" s="251">
        <v>0</v>
      </c>
      <c r="AK318" s="253" t="s">
        <v>73</v>
      </c>
      <c r="AL318" s="251">
        <v>0</v>
      </c>
      <c r="AM318" s="251"/>
      <c r="AN318" s="251">
        <f t="shared" si="58"/>
        <v>784</v>
      </c>
      <c r="AO318" s="251">
        <f t="shared" si="59"/>
        <v>784</v>
      </c>
      <c r="AP318" s="251" t="b">
        <f t="shared" si="60"/>
        <v>0</v>
      </c>
      <c r="AQ318" s="251">
        <f t="shared" si="61"/>
        <v>784</v>
      </c>
      <c r="AR318" s="293"/>
      <c r="AS318" s="266"/>
    </row>
    <row r="319" s="215" customFormat="1" ht="39" hidden="1" customHeight="1" spans="1:45">
      <c r="A319" s="254">
        <v>45838</v>
      </c>
      <c r="B319" s="249" t="s">
        <v>838</v>
      </c>
      <c r="C319" s="265" t="s">
        <v>44</v>
      </c>
      <c r="D319" s="256">
        <v>4500171957</v>
      </c>
      <c r="E319" s="257" t="s">
        <v>1437</v>
      </c>
      <c r="F319" s="256" t="s">
        <v>1438</v>
      </c>
      <c r="G319" s="253" t="s">
        <v>46</v>
      </c>
      <c r="H319" s="253" t="s">
        <v>47</v>
      </c>
      <c r="I319" s="251">
        <v>588</v>
      </c>
      <c r="J319" s="251">
        <v>0</v>
      </c>
      <c r="K319" s="251">
        <v>98</v>
      </c>
      <c r="L319" s="251">
        <f t="shared" si="66"/>
        <v>6</v>
      </c>
      <c r="M319" s="274">
        <v>45897</v>
      </c>
      <c r="N319" s="274">
        <v>45894</v>
      </c>
      <c r="O319" s="274" t="s">
        <v>1428</v>
      </c>
      <c r="P319" s="274" t="s">
        <v>49</v>
      </c>
      <c r="Q319" s="274">
        <v>45913</v>
      </c>
      <c r="R319" s="274" t="s">
        <v>871</v>
      </c>
      <c r="S319" s="277" t="s">
        <v>50</v>
      </c>
      <c r="T319" s="277" t="s">
        <v>1135</v>
      </c>
      <c r="U319" s="277" t="s">
        <v>1136</v>
      </c>
      <c r="V319" s="274"/>
      <c r="W319" s="274"/>
      <c r="X319" s="278" t="s">
        <v>1429</v>
      </c>
      <c r="Y319" s="261" t="s">
        <v>844</v>
      </c>
      <c r="Z319" s="281">
        <v>217.2688</v>
      </c>
      <c r="AA319" s="282">
        <f>Z319*L319</f>
        <v>1303.6128</v>
      </c>
      <c r="AB319" s="251" t="s">
        <v>1439</v>
      </c>
      <c r="AC319" s="252" t="s">
        <v>46</v>
      </c>
      <c r="AD319" s="251" t="s">
        <v>56</v>
      </c>
      <c r="AE319" s="251">
        <v>588</v>
      </c>
      <c r="AF319" s="251"/>
      <c r="AG319" s="266"/>
      <c r="AH319" s="266"/>
      <c r="AI319" s="253" t="s">
        <v>57</v>
      </c>
      <c r="AJ319" s="251">
        <v>0</v>
      </c>
      <c r="AK319" s="253" t="s">
        <v>73</v>
      </c>
      <c r="AL319" s="251">
        <v>0</v>
      </c>
      <c r="AM319" s="251"/>
      <c r="AN319" s="251">
        <f t="shared" si="58"/>
        <v>588</v>
      </c>
      <c r="AO319" s="251">
        <f t="shared" si="59"/>
        <v>588</v>
      </c>
      <c r="AP319" s="251" t="b">
        <f t="shared" si="60"/>
        <v>0</v>
      </c>
      <c r="AQ319" s="251">
        <f t="shared" si="61"/>
        <v>588</v>
      </c>
      <c r="AR319" s="293"/>
      <c r="AS319" s="266"/>
    </row>
    <row r="320" s="215" customFormat="1" ht="39" hidden="1" customHeight="1" spans="1:45">
      <c r="A320" s="254">
        <v>45838</v>
      </c>
      <c r="B320" s="249" t="s">
        <v>838</v>
      </c>
      <c r="C320" s="265" t="s">
        <v>44</v>
      </c>
      <c r="D320" s="256">
        <v>4500171957</v>
      </c>
      <c r="E320" s="257" t="s">
        <v>1440</v>
      </c>
      <c r="F320" s="256" t="s">
        <v>1441</v>
      </c>
      <c r="G320" s="253" t="s">
        <v>46</v>
      </c>
      <c r="H320" s="253" t="s">
        <v>47</v>
      </c>
      <c r="I320" s="251">
        <v>1176</v>
      </c>
      <c r="J320" s="251">
        <v>0</v>
      </c>
      <c r="K320" s="251">
        <v>98</v>
      </c>
      <c r="L320" s="251">
        <f t="shared" si="66"/>
        <v>12</v>
      </c>
      <c r="M320" s="274">
        <v>45897</v>
      </c>
      <c r="N320" s="274">
        <v>45894</v>
      </c>
      <c r="O320" s="274" t="s">
        <v>1428</v>
      </c>
      <c r="P320" s="274" t="s">
        <v>49</v>
      </c>
      <c r="Q320" s="274">
        <v>45913</v>
      </c>
      <c r="R320" s="274" t="s">
        <v>871</v>
      </c>
      <c r="S320" s="277" t="s">
        <v>50</v>
      </c>
      <c r="T320" s="277" t="s">
        <v>1135</v>
      </c>
      <c r="U320" s="277" t="s">
        <v>1136</v>
      </c>
      <c r="V320" s="274"/>
      <c r="W320" s="274"/>
      <c r="X320" s="278" t="s">
        <v>1429</v>
      </c>
      <c r="Y320" s="261" t="s">
        <v>844</v>
      </c>
      <c r="Z320" s="281">
        <v>217.2688</v>
      </c>
      <c r="AA320" s="282">
        <f>Z320*L320</f>
        <v>2607.2256</v>
      </c>
      <c r="AB320" s="251" t="s">
        <v>1442</v>
      </c>
      <c r="AC320" s="252" t="s">
        <v>46</v>
      </c>
      <c r="AD320" s="251" t="s">
        <v>56</v>
      </c>
      <c r="AE320" s="251">
        <f>I320</f>
        <v>1176</v>
      </c>
      <c r="AF320" s="251"/>
      <c r="AG320" s="266"/>
      <c r="AH320" s="266"/>
      <c r="AI320" s="253" t="s">
        <v>57</v>
      </c>
      <c r="AJ320" s="251">
        <v>0</v>
      </c>
      <c r="AK320" s="253" t="s">
        <v>73</v>
      </c>
      <c r="AL320" s="251">
        <v>0</v>
      </c>
      <c r="AM320" s="251"/>
      <c r="AN320" s="251">
        <f t="shared" ref="AN320:AN383" si="69">I320</f>
        <v>1176</v>
      </c>
      <c r="AO320" s="251">
        <f t="shared" ref="AO320:AO328" si="70">IF($AJ320=0,$AN320,IF($AJ320&gt;0,0))</f>
        <v>1176</v>
      </c>
      <c r="AP320" s="251" t="b">
        <f t="shared" ref="AP320:AP328" si="71">IF($AJ320=2,$AN320,IF($AJ320&gt;0,0))</f>
        <v>0</v>
      </c>
      <c r="AQ320" s="251">
        <f t="shared" ref="AQ320:AQ328" si="72">IF($AL320=0,$AN320,IF($AL320&gt;0,0))</f>
        <v>1176</v>
      </c>
      <c r="AR320" s="293"/>
      <c r="AS320" s="266"/>
    </row>
    <row r="321" s="215" customFormat="1" ht="39" hidden="1" customHeight="1" spans="1:45">
      <c r="A321" s="254">
        <v>45838</v>
      </c>
      <c r="B321" s="249" t="s">
        <v>838</v>
      </c>
      <c r="C321" s="265" t="s">
        <v>44</v>
      </c>
      <c r="D321" s="256">
        <v>4500171957</v>
      </c>
      <c r="E321" s="257" t="s">
        <v>1443</v>
      </c>
      <c r="F321" s="256" t="s">
        <v>1444</v>
      </c>
      <c r="G321" s="253" t="s">
        <v>46</v>
      </c>
      <c r="H321" s="253" t="s">
        <v>47</v>
      </c>
      <c r="I321" s="251">
        <v>1666</v>
      </c>
      <c r="J321" s="251">
        <v>0</v>
      </c>
      <c r="K321" s="251">
        <v>98</v>
      </c>
      <c r="L321" s="251">
        <f t="shared" si="66"/>
        <v>17</v>
      </c>
      <c r="M321" s="274">
        <v>45897</v>
      </c>
      <c r="N321" s="274">
        <v>45894</v>
      </c>
      <c r="O321" s="274" t="s">
        <v>1428</v>
      </c>
      <c r="P321" s="274" t="s">
        <v>49</v>
      </c>
      <c r="Q321" s="274">
        <v>45913</v>
      </c>
      <c r="R321" s="274" t="s">
        <v>871</v>
      </c>
      <c r="S321" s="277" t="s">
        <v>50</v>
      </c>
      <c r="T321" s="277" t="s">
        <v>1135</v>
      </c>
      <c r="U321" s="277" t="s">
        <v>1136</v>
      </c>
      <c r="V321" s="274"/>
      <c r="W321" s="274"/>
      <c r="X321" s="278" t="s">
        <v>1429</v>
      </c>
      <c r="Y321" s="261" t="s">
        <v>844</v>
      </c>
      <c r="Z321" s="281">
        <v>217.2688</v>
      </c>
      <c r="AA321" s="282">
        <f t="shared" ref="AA321:AA327" si="73">Z321*L321</f>
        <v>3693.5696</v>
      </c>
      <c r="AB321" s="251" t="s">
        <v>1445</v>
      </c>
      <c r="AC321" s="252" t="s">
        <v>46</v>
      </c>
      <c r="AD321" s="251" t="s">
        <v>56</v>
      </c>
      <c r="AE321" s="251">
        <f>I321</f>
        <v>1666</v>
      </c>
      <c r="AF321" s="251"/>
      <c r="AG321" s="266"/>
      <c r="AH321" s="266"/>
      <c r="AI321" s="253" t="s">
        <v>57</v>
      </c>
      <c r="AJ321" s="251">
        <v>0</v>
      </c>
      <c r="AK321" s="253" t="s">
        <v>73</v>
      </c>
      <c r="AL321" s="251">
        <v>0</v>
      </c>
      <c r="AM321" s="251"/>
      <c r="AN321" s="251">
        <f t="shared" si="69"/>
        <v>1666</v>
      </c>
      <c r="AO321" s="251">
        <f t="shared" si="70"/>
        <v>1666</v>
      </c>
      <c r="AP321" s="251" t="b">
        <f t="shared" si="71"/>
        <v>0</v>
      </c>
      <c r="AQ321" s="251">
        <f t="shared" si="72"/>
        <v>1666</v>
      </c>
      <c r="AR321" s="293"/>
      <c r="AS321" s="266"/>
    </row>
    <row r="322" s="215" customFormat="1" ht="39" hidden="1" customHeight="1" spans="1:45">
      <c r="A322" s="254">
        <v>45856</v>
      </c>
      <c r="B322" s="249" t="s">
        <v>838</v>
      </c>
      <c r="C322" s="265" t="s">
        <v>44</v>
      </c>
      <c r="D322" s="256">
        <v>4500173826</v>
      </c>
      <c r="E322" s="257" t="s">
        <v>1446</v>
      </c>
      <c r="F322" s="267" t="s">
        <v>1447</v>
      </c>
      <c r="G322" s="253" t="s">
        <v>46</v>
      </c>
      <c r="H322" s="253" t="s">
        <v>47</v>
      </c>
      <c r="I322" s="251">
        <v>392</v>
      </c>
      <c r="J322" s="251">
        <v>0</v>
      </c>
      <c r="K322" s="251">
        <v>98</v>
      </c>
      <c r="L322" s="251">
        <f t="shared" si="66"/>
        <v>4</v>
      </c>
      <c r="M322" s="274">
        <v>45897</v>
      </c>
      <c r="N322" s="274">
        <v>45893</v>
      </c>
      <c r="O322" s="274"/>
      <c r="P322" s="274" t="s">
        <v>49</v>
      </c>
      <c r="Q322" s="274">
        <v>45910</v>
      </c>
      <c r="R322" s="274" t="s">
        <v>871</v>
      </c>
      <c r="S322" s="277" t="s">
        <v>50</v>
      </c>
      <c r="T322" s="277" t="s">
        <v>1135</v>
      </c>
      <c r="U322" s="277">
        <v>45866</v>
      </c>
      <c r="V322" s="274"/>
      <c r="W322" s="274" t="s">
        <v>1137</v>
      </c>
      <c r="X322" s="278" t="s">
        <v>1448</v>
      </c>
      <c r="Y322" s="261" t="s">
        <v>844</v>
      </c>
      <c r="Z322" s="281">
        <v>217.2688</v>
      </c>
      <c r="AA322" s="282">
        <f t="shared" si="73"/>
        <v>869.0752</v>
      </c>
      <c r="AB322" s="253" t="s">
        <v>1449</v>
      </c>
      <c r="AC322" s="252" t="s">
        <v>46</v>
      </c>
      <c r="AD322" s="251" t="s">
        <v>56</v>
      </c>
      <c r="AE322" s="251">
        <v>392</v>
      </c>
      <c r="AF322" s="251"/>
      <c r="AG322" s="266"/>
      <c r="AH322" s="266"/>
      <c r="AI322" s="253" t="s">
        <v>57</v>
      </c>
      <c r="AJ322" s="251">
        <v>0</v>
      </c>
      <c r="AK322" s="253" t="s">
        <v>73</v>
      </c>
      <c r="AL322" s="251">
        <v>0</v>
      </c>
      <c r="AM322" s="251"/>
      <c r="AN322" s="251">
        <f t="shared" si="69"/>
        <v>392</v>
      </c>
      <c r="AO322" s="251">
        <f t="shared" si="70"/>
        <v>392</v>
      </c>
      <c r="AP322" s="251" t="b">
        <f t="shared" si="71"/>
        <v>0</v>
      </c>
      <c r="AQ322" s="251">
        <f t="shared" si="72"/>
        <v>392</v>
      </c>
      <c r="AR322" s="293"/>
      <c r="AS322" s="266"/>
    </row>
    <row r="323" s="215" customFormat="1" ht="39" hidden="1" customHeight="1" spans="1:45">
      <c r="A323" s="254">
        <v>45856</v>
      </c>
      <c r="B323" s="249" t="s">
        <v>838</v>
      </c>
      <c r="C323" s="265" t="s">
        <v>44</v>
      </c>
      <c r="D323" s="256">
        <v>4500173826</v>
      </c>
      <c r="E323" s="257" t="s">
        <v>1450</v>
      </c>
      <c r="F323" s="267" t="s">
        <v>1451</v>
      </c>
      <c r="G323" s="253" t="s">
        <v>46</v>
      </c>
      <c r="H323" s="253" t="s">
        <v>47</v>
      </c>
      <c r="I323" s="251">
        <v>392</v>
      </c>
      <c r="J323" s="251">
        <v>0</v>
      </c>
      <c r="K323" s="251">
        <v>98</v>
      </c>
      <c r="L323" s="251">
        <f t="shared" si="66"/>
        <v>4</v>
      </c>
      <c r="M323" s="274">
        <v>45897</v>
      </c>
      <c r="N323" s="274">
        <v>45893</v>
      </c>
      <c r="O323" s="274"/>
      <c r="P323" s="274" t="s">
        <v>49</v>
      </c>
      <c r="Q323" s="274">
        <v>45910</v>
      </c>
      <c r="R323" s="274" t="s">
        <v>871</v>
      </c>
      <c r="S323" s="277" t="s">
        <v>50</v>
      </c>
      <c r="T323" s="277" t="s">
        <v>1135</v>
      </c>
      <c r="U323" s="277">
        <v>45866</v>
      </c>
      <c r="V323" s="274"/>
      <c r="W323" s="274" t="s">
        <v>1137</v>
      </c>
      <c r="X323" s="278" t="s">
        <v>1448</v>
      </c>
      <c r="Y323" s="261" t="s">
        <v>844</v>
      </c>
      <c r="Z323" s="281">
        <v>217.2688</v>
      </c>
      <c r="AA323" s="282">
        <f t="shared" si="73"/>
        <v>869.0752</v>
      </c>
      <c r="AB323" s="251" t="s">
        <v>1452</v>
      </c>
      <c r="AC323" s="252" t="s">
        <v>46</v>
      </c>
      <c r="AD323" s="251" t="s">
        <v>56</v>
      </c>
      <c r="AE323" s="251">
        <v>392</v>
      </c>
      <c r="AF323" s="251"/>
      <c r="AG323" s="266"/>
      <c r="AH323" s="266"/>
      <c r="AI323" s="253" t="s">
        <v>57</v>
      </c>
      <c r="AJ323" s="251">
        <v>0</v>
      </c>
      <c r="AK323" s="253" t="s">
        <v>73</v>
      </c>
      <c r="AL323" s="251">
        <v>0</v>
      </c>
      <c r="AM323" s="251"/>
      <c r="AN323" s="251">
        <f t="shared" si="69"/>
        <v>392</v>
      </c>
      <c r="AO323" s="251">
        <f t="shared" si="70"/>
        <v>392</v>
      </c>
      <c r="AP323" s="251" t="b">
        <f t="shared" si="71"/>
        <v>0</v>
      </c>
      <c r="AQ323" s="251">
        <f t="shared" si="72"/>
        <v>392</v>
      </c>
      <c r="AR323" s="293"/>
      <c r="AS323" s="266"/>
    </row>
    <row r="324" s="215" customFormat="1" ht="39" hidden="1" customHeight="1" spans="1:45">
      <c r="A324" s="254">
        <v>45856</v>
      </c>
      <c r="B324" s="249" t="s">
        <v>838</v>
      </c>
      <c r="C324" s="265" t="s">
        <v>44</v>
      </c>
      <c r="D324" s="256">
        <v>4500173826</v>
      </c>
      <c r="E324" s="257" t="s">
        <v>1453</v>
      </c>
      <c r="F324" s="267" t="s">
        <v>1454</v>
      </c>
      <c r="G324" s="253" t="s">
        <v>46</v>
      </c>
      <c r="H324" s="253" t="s">
        <v>47</v>
      </c>
      <c r="I324" s="251">
        <v>1078</v>
      </c>
      <c r="J324" s="251">
        <v>0</v>
      </c>
      <c r="K324" s="251">
        <v>98</v>
      </c>
      <c r="L324" s="251">
        <f t="shared" si="66"/>
        <v>11</v>
      </c>
      <c r="M324" s="274">
        <v>45897</v>
      </c>
      <c r="N324" s="274">
        <v>45893</v>
      </c>
      <c r="O324" s="274"/>
      <c r="P324" s="274" t="s">
        <v>49</v>
      </c>
      <c r="Q324" s="274">
        <v>45910</v>
      </c>
      <c r="R324" s="274" t="s">
        <v>871</v>
      </c>
      <c r="S324" s="277" t="s">
        <v>50</v>
      </c>
      <c r="T324" s="277" t="s">
        <v>1135</v>
      </c>
      <c r="U324" s="277">
        <v>45866</v>
      </c>
      <c r="V324" s="274"/>
      <c r="W324" s="274" t="s">
        <v>1137</v>
      </c>
      <c r="X324" s="278" t="s">
        <v>1448</v>
      </c>
      <c r="Y324" s="261" t="s">
        <v>844</v>
      </c>
      <c r="Z324" s="281">
        <v>217.2688</v>
      </c>
      <c r="AA324" s="282">
        <f t="shared" si="73"/>
        <v>2389.9568</v>
      </c>
      <c r="AB324" s="251" t="s">
        <v>1455</v>
      </c>
      <c r="AC324" s="252" t="s">
        <v>46</v>
      </c>
      <c r="AD324" s="251" t="s">
        <v>56</v>
      </c>
      <c r="AE324" s="251">
        <v>1078</v>
      </c>
      <c r="AF324" s="251"/>
      <c r="AG324" s="266"/>
      <c r="AH324" s="266"/>
      <c r="AI324" s="253" t="s">
        <v>57</v>
      </c>
      <c r="AJ324" s="251">
        <v>0</v>
      </c>
      <c r="AK324" s="253" t="s">
        <v>73</v>
      </c>
      <c r="AL324" s="251">
        <v>0</v>
      </c>
      <c r="AM324" s="251"/>
      <c r="AN324" s="251">
        <f t="shared" si="69"/>
        <v>1078</v>
      </c>
      <c r="AO324" s="251">
        <f t="shared" si="70"/>
        <v>1078</v>
      </c>
      <c r="AP324" s="251" t="b">
        <f t="shared" si="71"/>
        <v>0</v>
      </c>
      <c r="AQ324" s="251">
        <f t="shared" si="72"/>
        <v>1078</v>
      </c>
      <c r="AR324" s="293"/>
      <c r="AS324" s="266"/>
    </row>
    <row r="325" s="215" customFormat="1" ht="39" hidden="1" customHeight="1" spans="1:45">
      <c r="A325" s="254">
        <v>45856</v>
      </c>
      <c r="B325" s="249" t="s">
        <v>838</v>
      </c>
      <c r="C325" s="265" t="s">
        <v>44</v>
      </c>
      <c r="D325" s="256">
        <v>4500173826</v>
      </c>
      <c r="E325" s="257" t="s">
        <v>1456</v>
      </c>
      <c r="F325" s="267" t="s">
        <v>1457</v>
      </c>
      <c r="G325" s="253" t="s">
        <v>46</v>
      </c>
      <c r="H325" s="253" t="s">
        <v>47</v>
      </c>
      <c r="I325" s="251">
        <v>392</v>
      </c>
      <c r="J325" s="251">
        <v>0</v>
      </c>
      <c r="K325" s="251">
        <v>98</v>
      </c>
      <c r="L325" s="251">
        <f t="shared" si="66"/>
        <v>4</v>
      </c>
      <c r="M325" s="274">
        <v>45897</v>
      </c>
      <c r="N325" s="274">
        <v>45893</v>
      </c>
      <c r="O325" s="274"/>
      <c r="P325" s="274" t="s">
        <v>49</v>
      </c>
      <c r="Q325" s="274">
        <v>45910</v>
      </c>
      <c r="R325" s="274" t="s">
        <v>871</v>
      </c>
      <c r="S325" s="277" t="s">
        <v>50</v>
      </c>
      <c r="T325" s="277" t="s">
        <v>1135</v>
      </c>
      <c r="U325" s="277">
        <v>45866</v>
      </c>
      <c r="V325" s="274"/>
      <c r="W325" s="274" t="s">
        <v>1137</v>
      </c>
      <c r="X325" s="278" t="s">
        <v>1448</v>
      </c>
      <c r="Y325" s="261" t="s">
        <v>844</v>
      </c>
      <c r="Z325" s="281">
        <v>217.2688</v>
      </c>
      <c r="AA325" s="282">
        <f t="shared" si="73"/>
        <v>869.0752</v>
      </c>
      <c r="AB325" s="251" t="s">
        <v>1458</v>
      </c>
      <c r="AC325" s="252" t="s">
        <v>46</v>
      </c>
      <c r="AD325" s="251" t="s">
        <v>56</v>
      </c>
      <c r="AE325" s="251">
        <v>392</v>
      </c>
      <c r="AF325" s="251"/>
      <c r="AG325" s="266"/>
      <c r="AH325" s="266"/>
      <c r="AI325" s="253" t="s">
        <v>57</v>
      </c>
      <c r="AJ325" s="251">
        <v>0</v>
      </c>
      <c r="AK325" s="253" t="s">
        <v>73</v>
      </c>
      <c r="AL325" s="251">
        <v>0</v>
      </c>
      <c r="AM325" s="251"/>
      <c r="AN325" s="251">
        <f t="shared" si="69"/>
        <v>392</v>
      </c>
      <c r="AO325" s="251">
        <f t="shared" si="70"/>
        <v>392</v>
      </c>
      <c r="AP325" s="251" t="b">
        <f t="shared" si="71"/>
        <v>0</v>
      </c>
      <c r="AQ325" s="251">
        <f t="shared" si="72"/>
        <v>392</v>
      </c>
      <c r="AR325" s="293"/>
      <c r="AS325" s="266"/>
    </row>
    <row r="326" s="215" customFormat="1" ht="39" hidden="1" customHeight="1" spans="1:45">
      <c r="A326" s="254">
        <v>45856</v>
      </c>
      <c r="B326" s="249" t="s">
        <v>838</v>
      </c>
      <c r="C326" s="265" t="s">
        <v>44</v>
      </c>
      <c r="D326" s="256">
        <v>4500173826</v>
      </c>
      <c r="E326" s="257" t="s">
        <v>1459</v>
      </c>
      <c r="F326" s="267" t="s">
        <v>1460</v>
      </c>
      <c r="G326" s="253" t="s">
        <v>46</v>
      </c>
      <c r="H326" s="253" t="s">
        <v>47</v>
      </c>
      <c r="I326" s="251">
        <v>490</v>
      </c>
      <c r="J326" s="251">
        <v>0</v>
      </c>
      <c r="K326" s="251">
        <v>98</v>
      </c>
      <c r="L326" s="251">
        <f t="shared" si="66"/>
        <v>5</v>
      </c>
      <c r="M326" s="274">
        <v>45897</v>
      </c>
      <c r="N326" s="274">
        <v>45893</v>
      </c>
      <c r="O326" s="274"/>
      <c r="P326" s="274" t="s">
        <v>49</v>
      </c>
      <c r="Q326" s="274">
        <v>45910</v>
      </c>
      <c r="R326" s="274" t="s">
        <v>871</v>
      </c>
      <c r="S326" s="277" t="s">
        <v>50</v>
      </c>
      <c r="T326" s="277" t="s">
        <v>1135</v>
      </c>
      <c r="U326" s="277">
        <v>45866</v>
      </c>
      <c r="V326" s="274"/>
      <c r="W326" s="274" t="s">
        <v>1137</v>
      </c>
      <c r="X326" s="278" t="s">
        <v>1448</v>
      </c>
      <c r="Y326" s="261" t="s">
        <v>844</v>
      </c>
      <c r="Z326" s="281">
        <v>217.2688</v>
      </c>
      <c r="AA326" s="282">
        <f t="shared" si="73"/>
        <v>1086.344</v>
      </c>
      <c r="AB326" s="251" t="s">
        <v>1461</v>
      </c>
      <c r="AC326" s="252" t="s">
        <v>46</v>
      </c>
      <c r="AD326" s="251" t="s">
        <v>56</v>
      </c>
      <c r="AE326" s="251">
        <v>490</v>
      </c>
      <c r="AF326" s="251"/>
      <c r="AG326" s="266"/>
      <c r="AH326" s="266"/>
      <c r="AI326" s="253" t="s">
        <v>57</v>
      </c>
      <c r="AJ326" s="251">
        <v>0</v>
      </c>
      <c r="AK326" s="253" t="s">
        <v>73</v>
      </c>
      <c r="AL326" s="251">
        <v>0</v>
      </c>
      <c r="AM326" s="251"/>
      <c r="AN326" s="251">
        <f t="shared" si="69"/>
        <v>490</v>
      </c>
      <c r="AO326" s="251">
        <f t="shared" si="70"/>
        <v>490</v>
      </c>
      <c r="AP326" s="251" t="b">
        <f t="shared" si="71"/>
        <v>0</v>
      </c>
      <c r="AQ326" s="251">
        <f t="shared" si="72"/>
        <v>490</v>
      </c>
      <c r="AR326" s="293"/>
      <c r="AS326" s="266"/>
    </row>
    <row r="327" s="215" customFormat="1" ht="39" hidden="1" customHeight="1" spans="1:45">
      <c r="A327" s="254">
        <v>45813</v>
      </c>
      <c r="B327" s="249" t="s">
        <v>1462</v>
      </c>
      <c r="C327" s="265" t="s">
        <v>44</v>
      </c>
      <c r="D327" s="256">
        <v>4500169119</v>
      </c>
      <c r="E327" s="257"/>
      <c r="F327" s="267" t="s">
        <v>1463</v>
      </c>
      <c r="G327" s="253" t="s">
        <v>1464</v>
      </c>
      <c r="H327" s="253" t="s">
        <v>1465</v>
      </c>
      <c r="I327" s="251">
        <v>12082</v>
      </c>
      <c r="J327" s="251">
        <v>0</v>
      </c>
      <c r="K327" s="251">
        <v>1</v>
      </c>
      <c r="L327" s="251">
        <f t="shared" si="66"/>
        <v>12082</v>
      </c>
      <c r="M327" s="274">
        <v>45896</v>
      </c>
      <c r="N327" s="274">
        <v>45892</v>
      </c>
      <c r="O327" s="274"/>
      <c r="P327" s="274" t="s">
        <v>1466</v>
      </c>
      <c r="Q327" s="274"/>
      <c r="R327" s="274" t="s">
        <v>56</v>
      </c>
      <c r="S327" s="277" t="s">
        <v>50</v>
      </c>
      <c r="T327" s="277">
        <v>45814</v>
      </c>
      <c r="U327" s="277" t="s">
        <v>50</v>
      </c>
      <c r="V327" s="274"/>
      <c r="W327" s="274"/>
      <c r="X327" s="278" t="s">
        <v>1467</v>
      </c>
      <c r="Y327" s="261" t="s">
        <v>1048</v>
      </c>
      <c r="Z327" s="281">
        <v>4.9699</v>
      </c>
      <c r="AA327" s="282">
        <f t="shared" si="73"/>
        <v>60046.3318</v>
      </c>
      <c r="AB327" s="251" t="s">
        <v>1468</v>
      </c>
      <c r="AC327" s="252" t="s">
        <v>62</v>
      </c>
      <c r="AD327" s="251" t="s">
        <v>56</v>
      </c>
      <c r="AE327" s="251">
        <v>12082</v>
      </c>
      <c r="AF327" s="251">
        <f>AE327-I327</f>
        <v>0</v>
      </c>
      <c r="AG327" s="266"/>
      <c r="AH327" s="266"/>
      <c r="AI327" s="253" t="s">
        <v>57</v>
      </c>
      <c r="AJ327" s="251">
        <v>0</v>
      </c>
      <c r="AK327" s="253" t="s">
        <v>73</v>
      </c>
      <c r="AL327" s="251">
        <v>0</v>
      </c>
      <c r="AM327" s="251"/>
      <c r="AN327" s="251">
        <f t="shared" si="69"/>
        <v>12082</v>
      </c>
      <c r="AO327" s="251">
        <f t="shared" si="70"/>
        <v>12082</v>
      </c>
      <c r="AP327" s="251" t="b">
        <f t="shared" si="71"/>
        <v>0</v>
      </c>
      <c r="AQ327" s="251">
        <f t="shared" si="72"/>
        <v>12082</v>
      </c>
      <c r="AR327" s="293"/>
      <c r="AS327" s="266"/>
    </row>
    <row r="328" s="215" customFormat="1" ht="39" customHeight="1" spans="1:45">
      <c r="A328" s="254">
        <v>45834</v>
      </c>
      <c r="B328" s="249" t="s">
        <v>207</v>
      </c>
      <c r="C328" s="265" t="s">
        <v>119</v>
      </c>
      <c r="D328" s="256">
        <v>4500171366</v>
      </c>
      <c r="E328" s="257">
        <v>4400494918</v>
      </c>
      <c r="F328" s="267" t="s">
        <v>1469</v>
      </c>
      <c r="G328" s="253" t="s">
        <v>62</v>
      </c>
      <c r="H328" s="253" t="s">
        <v>63</v>
      </c>
      <c r="I328" s="251">
        <v>252</v>
      </c>
      <c r="J328" s="251">
        <v>0</v>
      </c>
      <c r="K328" s="251">
        <v>6</v>
      </c>
      <c r="L328" s="251">
        <f t="shared" si="66"/>
        <v>42</v>
      </c>
      <c r="M328" s="274">
        <v>45898</v>
      </c>
      <c r="N328" s="274">
        <v>45894</v>
      </c>
      <c r="O328" s="274"/>
      <c r="P328" s="274" t="s">
        <v>49</v>
      </c>
      <c r="Q328" s="274" t="s">
        <v>1470</v>
      </c>
      <c r="R328" s="274" t="s">
        <v>871</v>
      </c>
      <c r="S328" s="277" t="s">
        <v>50</v>
      </c>
      <c r="T328" s="277">
        <v>45834</v>
      </c>
      <c r="U328" s="277" t="s">
        <v>1471</v>
      </c>
      <c r="V328" s="274"/>
      <c r="W328" s="274"/>
      <c r="X328" s="278" t="s">
        <v>1472</v>
      </c>
      <c r="Y328" s="261" t="s">
        <v>1020</v>
      </c>
      <c r="Z328" s="281">
        <v>3.346</v>
      </c>
      <c r="AA328" s="282">
        <f>I328*Z328</f>
        <v>843.192</v>
      </c>
      <c r="AB328" s="251" t="s">
        <v>1473</v>
      </c>
      <c r="AC328" s="252" t="s">
        <v>71</v>
      </c>
      <c r="AD328" s="251" t="s">
        <v>56</v>
      </c>
      <c r="AE328" s="251">
        <v>252</v>
      </c>
      <c r="AF328" s="251">
        <f>AE328-I328</f>
        <v>0</v>
      </c>
      <c r="AG328" s="266"/>
      <c r="AH328" s="266"/>
      <c r="AI328" s="253" t="s">
        <v>72</v>
      </c>
      <c r="AJ328" s="251">
        <v>2</v>
      </c>
      <c r="AK328" s="253" t="s">
        <v>73</v>
      </c>
      <c r="AL328" s="251">
        <v>0</v>
      </c>
      <c r="AM328" s="251"/>
      <c r="AN328" s="251">
        <f t="shared" si="69"/>
        <v>252</v>
      </c>
      <c r="AO328" s="251">
        <f t="shared" si="70"/>
        <v>0</v>
      </c>
      <c r="AP328" s="251">
        <f t="shared" si="71"/>
        <v>252</v>
      </c>
      <c r="AQ328" s="251">
        <f t="shared" si="72"/>
        <v>252</v>
      </c>
      <c r="AR328" s="293"/>
      <c r="AS328" s="266"/>
    </row>
    <row r="329" s="215" customFormat="1" ht="39" customHeight="1" spans="1:45">
      <c r="A329" s="254">
        <v>45845</v>
      </c>
      <c r="B329" s="249" t="s">
        <v>431</v>
      </c>
      <c r="C329" s="265" t="s">
        <v>432</v>
      </c>
      <c r="D329" s="256">
        <v>4500172982</v>
      </c>
      <c r="E329" s="257"/>
      <c r="F329" s="267" t="s">
        <v>1474</v>
      </c>
      <c r="G329" s="253" t="s">
        <v>62</v>
      </c>
      <c r="H329" s="253" t="s">
        <v>63</v>
      </c>
      <c r="I329" s="251">
        <v>120</v>
      </c>
      <c r="J329" s="251">
        <v>0</v>
      </c>
      <c r="K329" s="251">
        <v>6</v>
      </c>
      <c r="L329" s="251">
        <f t="shared" ref="L329:L392" si="74">I329/K329</f>
        <v>20</v>
      </c>
      <c r="M329" s="274">
        <v>45901</v>
      </c>
      <c r="N329" s="274">
        <f>M329-4</f>
        <v>45897</v>
      </c>
      <c r="O329" s="274"/>
      <c r="P329" s="274" t="s">
        <v>1466</v>
      </c>
      <c r="Q329" s="274"/>
      <c r="R329" s="274" t="s">
        <v>871</v>
      </c>
      <c r="S329" s="277" t="s">
        <v>50</v>
      </c>
      <c r="T329" s="277">
        <v>45859</v>
      </c>
      <c r="U329" s="277" t="s">
        <v>435</v>
      </c>
      <c r="V329" s="274"/>
      <c r="W329" s="274"/>
      <c r="X329" s="278" t="s">
        <v>1475</v>
      </c>
      <c r="Y329" s="261" t="s">
        <v>205</v>
      </c>
      <c r="Z329" s="281">
        <v>3.346</v>
      </c>
      <c r="AA329" s="282">
        <f>I329*Z329</f>
        <v>401.52</v>
      </c>
      <c r="AB329" s="306" t="s">
        <v>1476</v>
      </c>
      <c r="AC329" s="252" t="s">
        <v>71</v>
      </c>
      <c r="AD329" s="251" t="s">
        <v>56</v>
      </c>
      <c r="AE329" s="251">
        <v>120</v>
      </c>
      <c r="AF329" s="251"/>
      <c r="AG329" s="266"/>
      <c r="AH329" s="266"/>
      <c r="AI329" s="253" t="s">
        <v>72</v>
      </c>
      <c r="AJ329" s="251">
        <v>2</v>
      </c>
      <c r="AK329" s="253" t="s">
        <v>73</v>
      </c>
      <c r="AL329" s="251">
        <v>0</v>
      </c>
      <c r="AM329" s="251"/>
      <c r="AN329" s="251">
        <f t="shared" si="69"/>
        <v>120</v>
      </c>
      <c r="AO329" s="251">
        <f t="shared" ref="AO329:AO362" si="75">IF($AJ329=0,$AN329,IF($AJ329&gt;0,0))</f>
        <v>0</v>
      </c>
      <c r="AP329" s="251">
        <f t="shared" ref="AP329:AP362" si="76">IF($AJ329=2,$AN329,IF($AJ329&gt;0,0))</f>
        <v>120</v>
      </c>
      <c r="AQ329" s="251">
        <f t="shared" ref="AQ329:AQ362" si="77">IF($AL329=0,$AN329,IF($AL329&gt;0,0))</f>
        <v>120</v>
      </c>
      <c r="AR329" s="293"/>
      <c r="AS329" s="266"/>
    </row>
    <row r="330" s="215" customFormat="1" ht="39" customHeight="1" spans="1:45">
      <c r="A330" s="254">
        <v>45866</v>
      </c>
      <c r="B330" s="249" t="s">
        <v>74</v>
      </c>
      <c r="C330" s="265" t="s">
        <v>44</v>
      </c>
      <c r="D330" s="256">
        <v>4500175282</v>
      </c>
      <c r="E330" s="257" t="s">
        <v>1477</v>
      </c>
      <c r="F330" s="267" t="s">
        <v>1478</v>
      </c>
      <c r="G330" s="253" t="s">
        <v>62</v>
      </c>
      <c r="H330" s="253" t="s">
        <v>63</v>
      </c>
      <c r="I330" s="251">
        <v>2502</v>
      </c>
      <c r="J330" s="251">
        <v>0</v>
      </c>
      <c r="K330" s="251">
        <v>6</v>
      </c>
      <c r="L330" s="251">
        <f t="shared" si="74"/>
        <v>417</v>
      </c>
      <c r="M330" s="274">
        <v>45901</v>
      </c>
      <c r="N330" s="274">
        <f>M330-4</f>
        <v>45897</v>
      </c>
      <c r="O330" s="274"/>
      <c r="P330" s="274" t="s">
        <v>49</v>
      </c>
      <c r="Q330" s="274"/>
      <c r="R330" s="274" t="s">
        <v>871</v>
      </c>
      <c r="S330" s="277" t="s">
        <v>77</v>
      </c>
      <c r="T330" s="277">
        <v>45869</v>
      </c>
      <c r="U330" s="277">
        <v>45880</v>
      </c>
      <c r="V330" s="274"/>
      <c r="W330" s="274"/>
      <c r="X330" s="278" t="s">
        <v>1479</v>
      </c>
      <c r="Y330" s="261" t="s">
        <v>116</v>
      </c>
      <c r="Z330" s="281">
        <v>3.346</v>
      </c>
      <c r="AA330" s="282">
        <f>I330*Z330</f>
        <v>8371.692</v>
      </c>
      <c r="AB330" s="251" t="s">
        <v>1480</v>
      </c>
      <c r="AC330" s="252" t="s">
        <v>62</v>
      </c>
      <c r="AD330" s="251" t="s">
        <v>56</v>
      </c>
      <c r="AE330" s="251">
        <v>2502</v>
      </c>
      <c r="AF330" s="251"/>
      <c r="AG330" s="266"/>
      <c r="AH330" s="266"/>
      <c r="AI330" s="253" t="s">
        <v>57</v>
      </c>
      <c r="AJ330" s="251">
        <v>0</v>
      </c>
      <c r="AK330" s="253" t="s">
        <v>73</v>
      </c>
      <c r="AL330" s="251">
        <v>0</v>
      </c>
      <c r="AM330" s="251"/>
      <c r="AN330" s="251">
        <f t="shared" si="69"/>
        <v>2502</v>
      </c>
      <c r="AO330" s="251">
        <f t="shared" si="75"/>
        <v>2502</v>
      </c>
      <c r="AP330" s="251" t="b">
        <f t="shared" si="76"/>
        <v>0</v>
      </c>
      <c r="AQ330" s="251">
        <f t="shared" si="77"/>
        <v>2502</v>
      </c>
      <c r="AR330" s="293"/>
      <c r="AS330" s="266"/>
    </row>
    <row r="331" s="215" customFormat="1" ht="39" customHeight="1" spans="1:45">
      <c r="A331" s="254">
        <v>45859</v>
      </c>
      <c r="B331" s="249" t="s">
        <v>1320</v>
      </c>
      <c r="C331" s="265" t="s">
        <v>214</v>
      </c>
      <c r="D331" s="256">
        <v>4500174478</v>
      </c>
      <c r="E331" s="257">
        <v>4400494430</v>
      </c>
      <c r="F331" s="267" t="s">
        <v>1481</v>
      </c>
      <c r="G331" s="253" t="s">
        <v>62</v>
      </c>
      <c r="H331" s="253" t="s">
        <v>63</v>
      </c>
      <c r="I331" s="251">
        <v>2100</v>
      </c>
      <c r="J331" s="251">
        <v>0</v>
      </c>
      <c r="K331" s="251">
        <v>6</v>
      </c>
      <c r="L331" s="251">
        <f t="shared" si="74"/>
        <v>350</v>
      </c>
      <c r="M331" s="274">
        <v>45903</v>
      </c>
      <c r="N331" s="274">
        <f>M331-4</f>
        <v>45899</v>
      </c>
      <c r="O331" s="274"/>
      <c r="P331" s="274" t="s">
        <v>49</v>
      </c>
      <c r="Q331" s="274" t="s">
        <v>1482</v>
      </c>
      <c r="R331" s="274" t="s">
        <v>871</v>
      </c>
      <c r="S331" s="277" t="s">
        <v>50</v>
      </c>
      <c r="T331" s="277">
        <v>45861</v>
      </c>
      <c r="U331" s="277" t="s">
        <v>50</v>
      </c>
      <c r="V331" s="274" t="s">
        <v>1483</v>
      </c>
      <c r="W331" s="274"/>
      <c r="X331" s="278" t="s">
        <v>1484</v>
      </c>
      <c r="Y331" s="261" t="s">
        <v>1292</v>
      </c>
      <c r="Z331" s="281">
        <v>3.346</v>
      </c>
      <c r="AA331" s="282">
        <f>I331*Z331</f>
        <v>7026.6</v>
      </c>
      <c r="AB331" s="251" t="s">
        <v>1485</v>
      </c>
      <c r="AC331" s="252" t="s">
        <v>1168</v>
      </c>
      <c r="AD331" s="251" t="s">
        <v>56</v>
      </c>
      <c r="AE331" s="251">
        <v>2100</v>
      </c>
      <c r="AF331" s="251"/>
      <c r="AG331" s="266"/>
      <c r="AH331" s="266"/>
      <c r="AI331" s="253" t="s">
        <v>1486</v>
      </c>
      <c r="AJ331" s="251">
        <v>1</v>
      </c>
      <c r="AK331" s="253" t="s">
        <v>136</v>
      </c>
      <c r="AL331" s="251">
        <v>1</v>
      </c>
      <c r="AM331" s="251"/>
      <c r="AN331" s="251">
        <f t="shared" si="69"/>
        <v>2100</v>
      </c>
      <c r="AO331" s="251">
        <f t="shared" si="75"/>
        <v>0</v>
      </c>
      <c r="AP331" s="251">
        <f t="shared" si="76"/>
        <v>0</v>
      </c>
      <c r="AQ331" s="251">
        <f t="shared" si="77"/>
        <v>0</v>
      </c>
      <c r="AR331" s="293"/>
      <c r="AS331" s="266"/>
    </row>
    <row r="332" s="215" customFormat="1" ht="39" customHeight="1" spans="1:45">
      <c r="A332" s="254">
        <v>45859</v>
      </c>
      <c r="B332" s="249" t="s">
        <v>1320</v>
      </c>
      <c r="C332" s="265" t="s">
        <v>214</v>
      </c>
      <c r="D332" s="256">
        <v>4500174379</v>
      </c>
      <c r="E332" s="257">
        <v>4400494432</v>
      </c>
      <c r="F332" s="267" t="s">
        <v>1487</v>
      </c>
      <c r="G332" s="253" t="s">
        <v>62</v>
      </c>
      <c r="H332" s="253" t="s">
        <v>63</v>
      </c>
      <c r="I332" s="251">
        <v>2100</v>
      </c>
      <c r="J332" s="251">
        <v>0</v>
      </c>
      <c r="K332" s="251">
        <v>6</v>
      </c>
      <c r="L332" s="251">
        <f t="shared" si="74"/>
        <v>350</v>
      </c>
      <c r="M332" s="274">
        <v>45903</v>
      </c>
      <c r="N332" s="274">
        <f>M332-4</f>
        <v>45899</v>
      </c>
      <c r="O332" s="274"/>
      <c r="P332" s="274" t="s">
        <v>49</v>
      </c>
      <c r="Q332" s="274" t="s">
        <v>1488</v>
      </c>
      <c r="R332" s="274" t="s">
        <v>871</v>
      </c>
      <c r="S332" s="277" t="s">
        <v>50</v>
      </c>
      <c r="T332" s="277">
        <v>45861</v>
      </c>
      <c r="U332" s="277" t="s">
        <v>50</v>
      </c>
      <c r="V332" s="274" t="s">
        <v>1483</v>
      </c>
      <c r="W332" s="274" t="s">
        <v>1489</v>
      </c>
      <c r="X332" s="278" t="s">
        <v>1490</v>
      </c>
      <c r="Y332" s="261" t="s">
        <v>1292</v>
      </c>
      <c r="Z332" s="281">
        <v>3.346</v>
      </c>
      <c r="AA332" s="282">
        <f>I332*Z332</f>
        <v>7026.6</v>
      </c>
      <c r="AB332" s="251" t="s">
        <v>1489</v>
      </c>
      <c r="AC332" s="252" t="s">
        <v>1168</v>
      </c>
      <c r="AD332" s="251" t="s">
        <v>56</v>
      </c>
      <c r="AE332" s="251">
        <v>2100</v>
      </c>
      <c r="AF332" s="251">
        <f>AE332-I332</f>
        <v>0</v>
      </c>
      <c r="AG332" s="266"/>
      <c r="AH332" s="266"/>
      <c r="AI332" s="253" t="s">
        <v>1486</v>
      </c>
      <c r="AJ332" s="251">
        <v>1</v>
      </c>
      <c r="AK332" s="253" t="s">
        <v>136</v>
      </c>
      <c r="AL332" s="251">
        <v>1</v>
      </c>
      <c r="AM332" s="251"/>
      <c r="AN332" s="251">
        <f t="shared" si="69"/>
        <v>2100</v>
      </c>
      <c r="AO332" s="251">
        <f t="shared" si="75"/>
        <v>0</v>
      </c>
      <c r="AP332" s="251">
        <f t="shared" si="76"/>
        <v>0</v>
      </c>
      <c r="AQ332" s="251">
        <f t="shared" si="77"/>
        <v>0</v>
      </c>
      <c r="AR332" s="293"/>
      <c r="AS332" s="266"/>
    </row>
    <row r="333" s="215" customFormat="1" ht="39" customHeight="1" spans="1:45">
      <c r="A333" s="254">
        <v>45818</v>
      </c>
      <c r="B333" s="249" t="s">
        <v>1491</v>
      </c>
      <c r="C333" s="265" t="s">
        <v>432</v>
      </c>
      <c r="D333" s="256">
        <v>4500169604</v>
      </c>
      <c r="E333" s="257"/>
      <c r="F333" s="267" t="s">
        <v>1492</v>
      </c>
      <c r="G333" s="253" t="s">
        <v>62</v>
      </c>
      <c r="H333" s="253" t="s">
        <v>63</v>
      </c>
      <c r="I333" s="251">
        <v>120</v>
      </c>
      <c r="J333" s="251">
        <v>0</v>
      </c>
      <c r="K333" s="251">
        <v>6</v>
      </c>
      <c r="L333" s="251">
        <f t="shared" si="74"/>
        <v>20</v>
      </c>
      <c r="M333" s="274">
        <v>45863</v>
      </c>
      <c r="N333" s="274">
        <v>45859</v>
      </c>
      <c r="O333" s="274"/>
      <c r="P333" s="274" t="s">
        <v>49</v>
      </c>
      <c r="Q333" s="274"/>
      <c r="R333" s="274" t="s">
        <v>871</v>
      </c>
      <c r="S333" s="277" t="s">
        <v>50</v>
      </c>
      <c r="T333" s="277">
        <v>45832</v>
      </c>
      <c r="U333" s="277">
        <v>45832</v>
      </c>
      <c r="V333" s="274"/>
      <c r="W333" s="274"/>
      <c r="X333" s="278" t="s">
        <v>1493</v>
      </c>
      <c r="Y333" s="261" t="s">
        <v>205</v>
      </c>
      <c r="Z333" s="281">
        <v>3.346</v>
      </c>
      <c r="AA333" s="282">
        <f t="shared" ref="AA333:AA345" si="78">I333*Z333</f>
        <v>401.52</v>
      </c>
      <c r="AB333" s="251" t="s">
        <v>1494</v>
      </c>
      <c r="AC333" s="252" t="s">
        <v>71</v>
      </c>
      <c r="AD333" s="251" t="s">
        <v>56</v>
      </c>
      <c r="AE333" s="251">
        <f>I333</f>
        <v>120</v>
      </c>
      <c r="AF333" s="251">
        <f>AE333-I333</f>
        <v>0</v>
      </c>
      <c r="AG333" s="266"/>
      <c r="AH333" s="266"/>
      <c r="AI333" s="253" t="s">
        <v>72</v>
      </c>
      <c r="AJ333" s="251">
        <v>2</v>
      </c>
      <c r="AK333" s="253" t="s">
        <v>73</v>
      </c>
      <c r="AL333" s="251">
        <v>0</v>
      </c>
      <c r="AM333" s="251"/>
      <c r="AN333" s="251">
        <f t="shared" si="69"/>
        <v>120</v>
      </c>
      <c r="AO333" s="251">
        <f t="shared" si="75"/>
        <v>0</v>
      </c>
      <c r="AP333" s="251">
        <f t="shared" si="76"/>
        <v>120</v>
      </c>
      <c r="AQ333" s="251">
        <f t="shared" si="77"/>
        <v>120</v>
      </c>
      <c r="AR333" s="293"/>
      <c r="AS333" s="266"/>
    </row>
    <row r="334" s="215" customFormat="1" ht="39" customHeight="1" spans="1:45">
      <c r="A334" s="254">
        <v>45820</v>
      </c>
      <c r="B334" s="249" t="s">
        <v>431</v>
      </c>
      <c r="C334" s="265" t="s">
        <v>432</v>
      </c>
      <c r="D334" s="256">
        <v>4500169751</v>
      </c>
      <c r="E334" s="257"/>
      <c r="F334" s="267" t="s">
        <v>1495</v>
      </c>
      <c r="G334" s="253" t="s">
        <v>62</v>
      </c>
      <c r="H334" s="253" t="s">
        <v>63</v>
      </c>
      <c r="I334" s="251">
        <v>120</v>
      </c>
      <c r="J334" s="251">
        <v>0</v>
      </c>
      <c r="K334" s="251">
        <v>6</v>
      </c>
      <c r="L334" s="251">
        <f t="shared" si="74"/>
        <v>20</v>
      </c>
      <c r="M334" s="274">
        <v>45863</v>
      </c>
      <c r="N334" s="274">
        <v>45859</v>
      </c>
      <c r="O334" s="274"/>
      <c r="P334" s="274" t="s">
        <v>49</v>
      </c>
      <c r="Q334" s="274"/>
      <c r="R334" s="274" t="s">
        <v>871</v>
      </c>
      <c r="S334" s="277" t="s">
        <v>50</v>
      </c>
      <c r="T334" s="277">
        <v>45827</v>
      </c>
      <c r="U334" s="277" t="s">
        <v>1496</v>
      </c>
      <c r="V334" s="274"/>
      <c r="W334" s="274"/>
      <c r="X334" s="278" t="s">
        <v>1497</v>
      </c>
      <c r="Y334" s="261" t="s">
        <v>205</v>
      </c>
      <c r="Z334" s="281">
        <v>3.346</v>
      </c>
      <c r="AA334" s="282">
        <f t="shared" si="78"/>
        <v>401.52</v>
      </c>
      <c r="AB334" s="309" t="s">
        <v>1498</v>
      </c>
      <c r="AC334" s="252" t="s">
        <v>71</v>
      </c>
      <c r="AD334" s="251" t="s">
        <v>56</v>
      </c>
      <c r="AE334" s="251">
        <f t="shared" ref="AE334:AE351" si="79">I334</f>
        <v>120</v>
      </c>
      <c r="AF334" s="251">
        <f t="shared" ref="AF334:AF351" si="80">AE334-I334</f>
        <v>0</v>
      </c>
      <c r="AG334" s="266"/>
      <c r="AH334" s="266"/>
      <c r="AI334" s="253" t="s">
        <v>72</v>
      </c>
      <c r="AJ334" s="251">
        <v>2</v>
      </c>
      <c r="AK334" s="253" t="s">
        <v>73</v>
      </c>
      <c r="AL334" s="251">
        <v>0</v>
      </c>
      <c r="AM334" s="251"/>
      <c r="AN334" s="251">
        <f t="shared" si="69"/>
        <v>120</v>
      </c>
      <c r="AO334" s="251">
        <f t="shared" si="75"/>
        <v>0</v>
      </c>
      <c r="AP334" s="251">
        <f t="shared" si="76"/>
        <v>120</v>
      </c>
      <c r="AQ334" s="251">
        <f t="shared" si="77"/>
        <v>120</v>
      </c>
      <c r="AR334" s="293"/>
      <c r="AS334" s="266"/>
    </row>
    <row r="335" s="215" customFormat="1" ht="39" customHeight="1" spans="1:45">
      <c r="A335" s="254">
        <v>45839</v>
      </c>
      <c r="B335" s="249" t="s">
        <v>200</v>
      </c>
      <c r="C335" s="265" t="s">
        <v>201</v>
      </c>
      <c r="D335" s="256">
        <v>4500171253</v>
      </c>
      <c r="E335" s="257"/>
      <c r="F335" s="267" t="s">
        <v>1499</v>
      </c>
      <c r="G335" s="253" t="s">
        <v>62</v>
      </c>
      <c r="H335" s="253" t="s">
        <v>63</v>
      </c>
      <c r="I335" s="251">
        <v>1314</v>
      </c>
      <c r="J335" s="251">
        <v>0</v>
      </c>
      <c r="K335" s="251">
        <v>6</v>
      </c>
      <c r="L335" s="251">
        <f t="shared" si="74"/>
        <v>219</v>
      </c>
      <c r="M335" s="274">
        <v>45874</v>
      </c>
      <c r="N335" s="274">
        <v>45870</v>
      </c>
      <c r="O335" s="274"/>
      <c r="P335" s="274" t="s">
        <v>49</v>
      </c>
      <c r="Q335" s="274"/>
      <c r="R335" s="274" t="s">
        <v>871</v>
      </c>
      <c r="S335" s="277" t="s">
        <v>50</v>
      </c>
      <c r="T335" s="277">
        <v>45849</v>
      </c>
      <c r="U335" s="277">
        <v>45853</v>
      </c>
      <c r="V335" s="274"/>
      <c r="W335" s="274"/>
      <c r="X335" s="278" t="s">
        <v>1500</v>
      </c>
      <c r="Y335" s="261" t="s">
        <v>205</v>
      </c>
      <c r="Z335" s="281">
        <v>3.346</v>
      </c>
      <c r="AA335" s="282">
        <f t="shared" si="78"/>
        <v>4396.644</v>
      </c>
      <c r="AB335" s="306" t="s">
        <v>1501</v>
      </c>
      <c r="AC335" s="252" t="s">
        <v>71</v>
      </c>
      <c r="AD335" s="251" t="s">
        <v>56</v>
      </c>
      <c r="AE335" s="251">
        <f t="shared" si="79"/>
        <v>1314</v>
      </c>
      <c r="AF335" s="251">
        <f t="shared" si="80"/>
        <v>0</v>
      </c>
      <c r="AG335" s="266"/>
      <c r="AH335" s="266"/>
      <c r="AI335" s="253" t="s">
        <v>72</v>
      </c>
      <c r="AJ335" s="251">
        <v>2</v>
      </c>
      <c r="AK335" s="253" t="s">
        <v>73</v>
      </c>
      <c r="AL335" s="251">
        <v>0</v>
      </c>
      <c r="AM335" s="251"/>
      <c r="AN335" s="251">
        <f t="shared" si="69"/>
        <v>1314</v>
      </c>
      <c r="AO335" s="251">
        <f t="shared" si="75"/>
        <v>0</v>
      </c>
      <c r="AP335" s="251">
        <f t="shared" si="76"/>
        <v>1314</v>
      </c>
      <c r="AQ335" s="251">
        <f t="shared" si="77"/>
        <v>1314</v>
      </c>
      <c r="AR335" s="293"/>
      <c r="AS335" s="266"/>
    </row>
    <row r="336" s="215" customFormat="1" ht="39" customHeight="1" spans="1:45">
      <c r="A336" s="254">
        <v>45820</v>
      </c>
      <c r="B336" s="249" t="s">
        <v>245</v>
      </c>
      <c r="C336" s="265" t="s">
        <v>214</v>
      </c>
      <c r="D336" s="256">
        <v>4500169785</v>
      </c>
      <c r="E336" s="257" t="s">
        <v>1502</v>
      </c>
      <c r="F336" s="267" t="s">
        <v>1503</v>
      </c>
      <c r="G336" s="253" t="s">
        <v>62</v>
      </c>
      <c r="H336" s="253" t="s">
        <v>63</v>
      </c>
      <c r="I336" s="251">
        <v>534</v>
      </c>
      <c r="J336" s="251">
        <v>0</v>
      </c>
      <c r="K336" s="251">
        <v>6</v>
      </c>
      <c r="L336" s="251">
        <f t="shared" si="74"/>
        <v>89</v>
      </c>
      <c r="M336" s="274">
        <v>45876</v>
      </c>
      <c r="N336" s="274">
        <v>45873</v>
      </c>
      <c r="O336" s="274"/>
      <c r="P336" s="274" t="s">
        <v>49</v>
      </c>
      <c r="Q336" s="274"/>
      <c r="R336" s="274" t="s">
        <v>871</v>
      </c>
      <c r="S336" s="277" t="s">
        <v>77</v>
      </c>
      <c r="T336" s="277" t="s">
        <v>375</v>
      </c>
      <c r="U336" s="277">
        <v>45854</v>
      </c>
      <c r="V336" s="274"/>
      <c r="W336" s="274"/>
      <c r="X336" s="278" t="s">
        <v>1504</v>
      </c>
      <c r="Y336" s="261" t="s">
        <v>252</v>
      </c>
      <c r="Z336" s="281">
        <v>3.346</v>
      </c>
      <c r="AA336" s="282">
        <f t="shared" si="78"/>
        <v>1786.764</v>
      </c>
      <c r="AB336" s="251" t="s">
        <v>1505</v>
      </c>
      <c r="AC336" s="252" t="s">
        <v>71</v>
      </c>
      <c r="AD336" s="251" t="s">
        <v>56</v>
      </c>
      <c r="AE336" s="251">
        <f t="shared" si="79"/>
        <v>534</v>
      </c>
      <c r="AF336" s="251">
        <f t="shared" si="80"/>
        <v>0</v>
      </c>
      <c r="AG336" s="266"/>
      <c r="AH336" s="266"/>
      <c r="AI336" s="253" t="s">
        <v>72</v>
      </c>
      <c r="AJ336" s="251">
        <v>2</v>
      </c>
      <c r="AK336" s="253" t="s">
        <v>73</v>
      </c>
      <c r="AL336" s="251">
        <v>0</v>
      </c>
      <c r="AM336" s="251"/>
      <c r="AN336" s="251">
        <f t="shared" si="69"/>
        <v>534</v>
      </c>
      <c r="AO336" s="251">
        <f t="shared" si="75"/>
        <v>0</v>
      </c>
      <c r="AP336" s="251">
        <f t="shared" si="76"/>
        <v>534</v>
      </c>
      <c r="AQ336" s="251">
        <f t="shared" si="77"/>
        <v>534</v>
      </c>
      <c r="AR336" s="293"/>
      <c r="AS336" s="266"/>
    </row>
    <row r="337" s="215" customFormat="1" ht="39" customHeight="1" spans="1:45">
      <c r="A337" s="254">
        <v>45835</v>
      </c>
      <c r="B337" s="249" t="s">
        <v>74</v>
      </c>
      <c r="C337" s="265" t="s">
        <v>44</v>
      </c>
      <c r="D337" s="256">
        <v>4500171552</v>
      </c>
      <c r="E337" s="257" t="s">
        <v>1506</v>
      </c>
      <c r="F337" s="267" t="s">
        <v>1507</v>
      </c>
      <c r="G337" s="253" t="s">
        <v>62</v>
      </c>
      <c r="H337" s="253" t="s">
        <v>63</v>
      </c>
      <c r="I337" s="251">
        <v>2346</v>
      </c>
      <c r="J337" s="251">
        <v>0</v>
      </c>
      <c r="K337" s="251">
        <v>6</v>
      </c>
      <c r="L337" s="251">
        <f t="shared" si="74"/>
        <v>391</v>
      </c>
      <c r="M337" s="274">
        <v>45876</v>
      </c>
      <c r="N337" s="274">
        <v>45873</v>
      </c>
      <c r="O337" s="274"/>
      <c r="P337" s="274" t="s">
        <v>49</v>
      </c>
      <c r="Q337" s="274"/>
      <c r="R337" s="274" t="s">
        <v>871</v>
      </c>
      <c r="S337" s="277" t="s">
        <v>77</v>
      </c>
      <c r="T337" s="277">
        <v>45841</v>
      </c>
      <c r="U337" s="277">
        <v>45860</v>
      </c>
      <c r="V337" s="274"/>
      <c r="W337" s="274"/>
      <c r="X337" s="278" t="s">
        <v>1508</v>
      </c>
      <c r="Y337" s="261" t="s">
        <v>116</v>
      </c>
      <c r="Z337" s="281">
        <v>3.346</v>
      </c>
      <c r="AA337" s="282">
        <f t="shared" si="78"/>
        <v>7849.716</v>
      </c>
      <c r="AB337" s="251" t="s">
        <v>1509</v>
      </c>
      <c r="AC337" s="252" t="s">
        <v>62</v>
      </c>
      <c r="AD337" s="251" t="s">
        <v>56</v>
      </c>
      <c r="AE337" s="251">
        <f t="shared" si="79"/>
        <v>2346</v>
      </c>
      <c r="AF337" s="251">
        <f t="shared" si="80"/>
        <v>0</v>
      </c>
      <c r="AG337" s="266"/>
      <c r="AH337" s="266"/>
      <c r="AI337" s="253" t="s">
        <v>57</v>
      </c>
      <c r="AJ337" s="251">
        <v>0</v>
      </c>
      <c r="AK337" s="253" t="s">
        <v>73</v>
      </c>
      <c r="AL337" s="251">
        <v>0</v>
      </c>
      <c r="AM337" s="251"/>
      <c r="AN337" s="251">
        <f t="shared" si="69"/>
        <v>2346</v>
      </c>
      <c r="AO337" s="251">
        <f t="shared" si="75"/>
        <v>2346</v>
      </c>
      <c r="AP337" s="251" t="b">
        <f t="shared" si="76"/>
        <v>0</v>
      </c>
      <c r="AQ337" s="251">
        <f t="shared" si="77"/>
        <v>2346</v>
      </c>
      <c r="AR337" s="293"/>
      <c r="AS337" s="266"/>
    </row>
    <row r="338" s="215" customFormat="1" ht="39" customHeight="1" spans="1:45">
      <c r="A338" s="254">
        <v>45833</v>
      </c>
      <c r="B338" s="249" t="s">
        <v>181</v>
      </c>
      <c r="C338" s="265" t="s">
        <v>182</v>
      </c>
      <c r="D338" s="256">
        <v>4500171263</v>
      </c>
      <c r="E338" s="257">
        <v>2460434</v>
      </c>
      <c r="F338" s="267" t="s">
        <v>1510</v>
      </c>
      <c r="G338" s="253" t="s">
        <v>62</v>
      </c>
      <c r="H338" s="253" t="s">
        <v>63</v>
      </c>
      <c r="I338" s="251">
        <v>1500</v>
      </c>
      <c r="J338" s="251">
        <v>0</v>
      </c>
      <c r="K338" s="251">
        <v>6</v>
      </c>
      <c r="L338" s="251">
        <f t="shared" si="74"/>
        <v>250</v>
      </c>
      <c r="M338" s="274">
        <v>45880</v>
      </c>
      <c r="N338" s="274">
        <v>45876</v>
      </c>
      <c r="O338" s="274"/>
      <c r="P338" s="274" t="s">
        <v>49</v>
      </c>
      <c r="Q338" s="274"/>
      <c r="R338" s="274" t="s">
        <v>871</v>
      </c>
      <c r="S338" s="277" t="s">
        <v>77</v>
      </c>
      <c r="T338" s="277">
        <v>45833</v>
      </c>
      <c r="U338" s="277">
        <v>45868</v>
      </c>
      <c r="V338" s="274"/>
      <c r="W338" s="274"/>
      <c r="X338" s="278" t="s">
        <v>1511</v>
      </c>
      <c r="Y338" s="261" t="s">
        <v>807</v>
      </c>
      <c r="Z338" s="281">
        <v>3.346</v>
      </c>
      <c r="AA338" s="282">
        <f t="shared" si="78"/>
        <v>5019</v>
      </c>
      <c r="AB338" s="251" t="s">
        <v>1512</v>
      </c>
      <c r="AC338" s="252" t="s">
        <v>62</v>
      </c>
      <c r="AD338" s="251" t="s">
        <v>56</v>
      </c>
      <c r="AE338" s="251">
        <f t="shared" si="79"/>
        <v>1500</v>
      </c>
      <c r="AF338" s="251">
        <f t="shared" si="80"/>
        <v>0</v>
      </c>
      <c r="AG338" s="266"/>
      <c r="AH338" s="266"/>
      <c r="AI338" s="253" t="s">
        <v>57</v>
      </c>
      <c r="AJ338" s="251">
        <v>0</v>
      </c>
      <c r="AK338" s="253" t="s">
        <v>73</v>
      </c>
      <c r="AL338" s="251">
        <v>0</v>
      </c>
      <c r="AM338" s="251"/>
      <c r="AN338" s="251">
        <f t="shared" si="69"/>
        <v>1500</v>
      </c>
      <c r="AO338" s="251">
        <f t="shared" si="75"/>
        <v>1500</v>
      </c>
      <c r="AP338" s="251" t="b">
        <f t="shared" si="76"/>
        <v>0</v>
      </c>
      <c r="AQ338" s="251">
        <f t="shared" si="77"/>
        <v>1500</v>
      </c>
      <c r="AR338" s="293"/>
      <c r="AS338" s="266"/>
    </row>
    <row r="339" s="215" customFormat="1" ht="39" customHeight="1" spans="1:45">
      <c r="A339" s="254">
        <v>45842</v>
      </c>
      <c r="B339" s="249" t="s">
        <v>655</v>
      </c>
      <c r="C339" s="265" t="s">
        <v>182</v>
      </c>
      <c r="D339" s="256">
        <v>4500172597</v>
      </c>
      <c r="E339" s="257">
        <v>20959657</v>
      </c>
      <c r="F339" s="267" t="s">
        <v>1513</v>
      </c>
      <c r="G339" s="253" t="s">
        <v>62</v>
      </c>
      <c r="H339" s="253" t="s">
        <v>63</v>
      </c>
      <c r="I339" s="251">
        <v>1398</v>
      </c>
      <c r="J339" s="251">
        <v>0</v>
      </c>
      <c r="K339" s="251">
        <v>6</v>
      </c>
      <c r="L339" s="251">
        <f t="shared" si="74"/>
        <v>233</v>
      </c>
      <c r="M339" s="274">
        <v>45880</v>
      </c>
      <c r="N339" s="274">
        <v>45876</v>
      </c>
      <c r="O339" s="274"/>
      <c r="P339" s="274" t="s">
        <v>49</v>
      </c>
      <c r="Q339" s="274"/>
      <c r="R339" s="274" t="s">
        <v>871</v>
      </c>
      <c r="S339" s="277" t="s">
        <v>77</v>
      </c>
      <c r="T339" s="277">
        <v>45849</v>
      </c>
      <c r="U339" s="277">
        <v>45859</v>
      </c>
      <c r="V339" s="274"/>
      <c r="W339" s="274"/>
      <c r="X339" s="278" t="s">
        <v>816</v>
      </c>
      <c r="Y339" s="261" t="s">
        <v>556</v>
      </c>
      <c r="Z339" s="281">
        <v>3.346</v>
      </c>
      <c r="AA339" s="282">
        <f t="shared" si="78"/>
        <v>4677.708</v>
      </c>
      <c r="AB339" s="251" t="s">
        <v>1514</v>
      </c>
      <c r="AC339" s="252" t="s">
        <v>62</v>
      </c>
      <c r="AD339" s="251" t="s">
        <v>56</v>
      </c>
      <c r="AE339" s="251">
        <f t="shared" si="79"/>
        <v>1398</v>
      </c>
      <c r="AF339" s="251">
        <f t="shared" si="80"/>
        <v>0</v>
      </c>
      <c r="AG339" s="266"/>
      <c r="AH339" s="266"/>
      <c r="AI339" s="253" t="s">
        <v>57</v>
      </c>
      <c r="AJ339" s="251">
        <v>0</v>
      </c>
      <c r="AK339" s="253" t="s">
        <v>73</v>
      </c>
      <c r="AL339" s="251">
        <v>0</v>
      </c>
      <c r="AM339" s="251"/>
      <c r="AN339" s="251">
        <f t="shared" si="69"/>
        <v>1398</v>
      </c>
      <c r="AO339" s="251">
        <f t="shared" si="75"/>
        <v>1398</v>
      </c>
      <c r="AP339" s="251" t="b">
        <f t="shared" si="76"/>
        <v>0</v>
      </c>
      <c r="AQ339" s="251">
        <f t="shared" si="77"/>
        <v>1398</v>
      </c>
      <c r="AR339" s="293"/>
      <c r="AS339" s="266"/>
    </row>
    <row r="340" s="215" customFormat="1" ht="39" customHeight="1" spans="1:45">
      <c r="A340" s="254">
        <v>45842</v>
      </c>
      <c r="B340" s="249" t="s">
        <v>552</v>
      </c>
      <c r="C340" s="265" t="s">
        <v>553</v>
      </c>
      <c r="D340" s="256">
        <v>4500172600</v>
      </c>
      <c r="E340" s="257">
        <v>20959658</v>
      </c>
      <c r="F340" s="267" t="s">
        <v>1515</v>
      </c>
      <c r="G340" s="253" t="s">
        <v>62</v>
      </c>
      <c r="H340" s="253" t="s">
        <v>63</v>
      </c>
      <c r="I340" s="251">
        <v>102</v>
      </c>
      <c r="J340" s="251">
        <v>0</v>
      </c>
      <c r="K340" s="251">
        <v>6</v>
      </c>
      <c r="L340" s="251">
        <f t="shared" si="74"/>
        <v>17</v>
      </c>
      <c r="M340" s="274">
        <v>45880</v>
      </c>
      <c r="N340" s="274">
        <v>45876</v>
      </c>
      <c r="O340" s="274"/>
      <c r="P340" s="274" t="s">
        <v>49</v>
      </c>
      <c r="Q340" s="274"/>
      <c r="R340" s="274" t="s">
        <v>871</v>
      </c>
      <c r="S340" s="277" t="s">
        <v>77</v>
      </c>
      <c r="T340" s="277">
        <v>45849</v>
      </c>
      <c r="U340" s="277">
        <v>45859</v>
      </c>
      <c r="V340" s="274"/>
      <c r="W340" s="274"/>
      <c r="X340" s="278" t="s">
        <v>819</v>
      </c>
      <c r="Y340" s="261" t="s">
        <v>556</v>
      </c>
      <c r="Z340" s="281">
        <v>3.346</v>
      </c>
      <c r="AA340" s="282">
        <f t="shared" si="78"/>
        <v>341.292</v>
      </c>
      <c r="AB340" s="251" t="s">
        <v>1516</v>
      </c>
      <c r="AC340" s="252" t="s">
        <v>62</v>
      </c>
      <c r="AD340" s="251" t="s">
        <v>56</v>
      </c>
      <c r="AE340" s="251">
        <f t="shared" si="79"/>
        <v>102</v>
      </c>
      <c r="AF340" s="251">
        <f t="shared" si="80"/>
        <v>0</v>
      </c>
      <c r="AG340" s="266"/>
      <c r="AH340" s="266"/>
      <c r="AI340" s="253" t="s">
        <v>57</v>
      </c>
      <c r="AJ340" s="251">
        <v>0</v>
      </c>
      <c r="AK340" s="253" t="s">
        <v>73</v>
      </c>
      <c r="AL340" s="251">
        <v>0</v>
      </c>
      <c r="AM340" s="251"/>
      <c r="AN340" s="251">
        <f t="shared" si="69"/>
        <v>102</v>
      </c>
      <c r="AO340" s="251">
        <f t="shared" si="75"/>
        <v>102</v>
      </c>
      <c r="AP340" s="251" t="b">
        <f t="shared" si="76"/>
        <v>0</v>
      </c>
      <c r="AQ340" s="251">
        <f t="shared" si="77"/>
        <v>102</v>
      </c>
      <c r="AR340" s="293"/>
      <c r="AS340" s="266"/>
    </row>
    <row r="341" s="215" customFormat="1" ht="39" hidden="1" customHeight="1" spans="1:45">
      <c r="A341" s="254">
        <v>45832</v>
      </c>
      <c r="B341" s="249" t="s">
        <v>1043</v>
      </c>
      <c r="C341" s="265" t="s">
        <v>44</v>
      </c>
      <c r="D341" s="256">
        <v>4500169184</v>
      </c>
      <c r="E341" s="257" t="s">
        <v>1517</v>
      </c>
      <c r="F341" s="267" t="s">
        <v>1518</v>
      </c>
      <c r="G341" s="253" t="s">
        <v>148</v>
      </c>
      <c r="H341" s="253" t="s">
        <v>63</v>
      </c>
      <c r="I341" s="251">
        <v>554</v>
      </c>
      <c r="J341" s="251">
        <v>0</v>
      </c>
      <c r="K341" s="251">
        <v>2</v>
      </c>
      <c r="L341" s="251">
        <f t="shared" si="74"/>
        <v>277</v>
      </c>
      <c r="M341" s="274">
        <v>45881</v>
      </c>
      <c r="N341" s="274">
        <f>M341-4</f>
        <v>45877</v>
      </c>
      <c r="O341" s="274" t="s">
        <v>1519</v>
      </c>
      <c r="P341" s="274" t="s">
        <v>49</v>
      </c>
      <c r="Q341" s="274"/>
      <c r="R341" s="274" t="s">
        <v>56</v>
      </c>
      <c r="S341" s="277" t="s">
        <v>50</v>
      </c>
      <c r="T341" s="277">
        <v>45832</v>
      </c>
      <c r="U341" s="277" t="s">
        <v>50</v>
      </c>
      <c r="V341" s="274"/>
      <c r="W341" s="274"/>
      <c r="X341" s="278" t="s">
        <v>1520</v>
      </c>
      <c r="Y341" s="261" t="s">
        <v>1521</v>
      </c>
      <c r="Z341" s="281">
        <v>3.3328</v>
      </c>
      <c r="AA341" s="282">
        <f t="shared" si="78"/>
        <v>1846.3712</v>
      </c>
      <c r="AB341" s="251" t="s">
        <v>1522</v>
      </c>
      <c r="AC341" s="252" t="s">
        <v>148</v>
      </c>
      <c r="AD341" s="251" t="s">
        <v>56</v>
      </c>
      <c r="AE341" s="251">
        <f t="shared" si="79"/>
        <v>554</v>
      </c>
      <c r="AF341" s="251">
        <f t="shared" si="80"/>
        <v>0</v>
      </c>
      <c r="AG341" s="266"/>
      <c r="AH341" s="266"/>
      <c r="AI341" s="253" t="s">
        <v>57</v>
      </c>
      <c r="AJ341" s="251">
        <v>0</v>
      </c>
      <c r="AK341" s="253" t="s">
        <v>73</v>
      </c>
      <c r="AL341" s="251">
        <v>0</v>
      </c>
      <c r="AM341" s="251"/>
      <c r="AN341" s="251">
        <f t="shared" si="69"/>
        <v>554</v>
      </c>
      <c r="AO341" s="251">
        <f t="shared" si="75"/>
        <v>554</v>
      </c>
      <c r="AP341" s="251" t="b">
        <f t="shared" si="76"/>
        <v>0</v>
      </c>
      <c r="AQ341" s="251">
        <f t="shared" si="77"/>
        <v>554</v>
      </c>
      <c r="AR341" s="293"/>
      <c r="AS341" s="266"/>
    </row>
    <row r="342" s="215" customFormat="1" ht="39" customHeight="1" spans="1:45">
      <c r="A342" s="254">
        <v>45841</v>
      </c>
      <c r="B342" s="249" t="s">
        <v>1523</v>
      </c>
      <c r="C342" s="265" t="s">
        <v>1524</v>
      </c>
      <c r="D342" s="256">
        <v>4500172603</v>
      </c>
      <c r="E342" s="257" t="s">
        <v>1525</v>
      </c>
      <c r="F342" s="267" t="s">
        <v>1526</v>
      </c>
      <c r="G342" s="253" t="s">
        <v>62</v>
      </c>
      <c r="H342" s="253" t="s">
        <v>63</v>
      </c>
      <c r="I342" s="251">
        <v>414</v>
      </c>
      <c r="J342" s="251">
        <v>0</v>
      </c>
      <c r="K342" s="251">
        <v>6</v>
      </c>
      <c r="L342" s="251">
        <f t="shared" si="74"/>
        <v>69</v>
      </c>
      <c r="M342" s="274">
        <v>45881</v>
      </c>
      <c r="N342" s="274">
        <f>M342-4</f>
        <v>45877</v>
      </c>
      <c r="O342" s="274"/>
      <c r="P342" s="274" t="s">
        <v>49</v>
      </c>
      <c r="Q342" s="274"/>
      <c r="R342" s="274" t="s">
        <v>56</v>
      </c>
      <c r="S342" s="277" t="s">
        <v>50</v>
      </c>
      <c r="T342" s="277">
        <v>45847</v>
      </c>
      <c r="U342" s="277" t="s">
        <v>1527</v>
      </c>
      <c r="V342" s="274"/>
      <c r="W342" s="274"/>
      <c r="X342" s="278" t="s">
        <v>1528</v>
      </c>
      <c r="Y342" s="261" t="s">
        <v>580</v>
      </c>
      <c r="Z342" s="281">
        <v>3.346</v>
      </c>
      <c r="AA342" s="282">
        <f t="shared" si="78"/>
        <v>1385.244</v>
      </c>
      <c r="AB342" s="251" t="s">
        <v>1529</v>
      </c>
      <c r="AC342" s="252" t="s">
        <v>62</v>
      </c>
      <c r="AD342" s="251" t="s">
        <v>56</v>
      </c>
      <c r="AE342" s="251">
        <f t="shared" si="79"/>
        <v>414</v>
      </c>
      <c r="AF342" s="251">
        <f t="shared" si="80"/>
        <v>0</v>
      </c>
      <c r="AG342" s="266"/>
      <c r="AH342" s="266"/>
      <c r="AI342" s="253" t="s">
        <v>57</v>
      </c>
      <c r="AJ342" s="251">
        <v>0</v>
      </c>
      <c r="AK342" s="253" t="s">
        <v>73</v>
      </c>
      <c r="AL342" s="251">
        <v>0</v>
      </c>
      <c r="AM342" s="251"/>
      <c r="AN342" s="251">
        <f t="shared" si="69"/>
        <v>414</v>
      </c>
      <c r="AO342" s="251">
        <f t="shared" si="75"/>
        <v>414</v>
      </c>
      <c r="AP342" s="251" t="b">
        <f t="shared" si="76"/>
        <v>0</v>
      </c>
      <c r="AQ342" s="251">
        <f t="shared" si="77"/>
        <v>414</v>
      </c>
      <c r="AR342" s="293"/>
      <c r="AS342" s="266"/>
    </row>
    <row r="343" s="215" customFormat="1" ht="39" customHeight="1" spans="1:45">
      <c r="A343" s="254">
        <v>45841</v>
      </c>
      <c r="B343" s="249" t="s">
        <v>1530</v>
      </c>
      <c r="C343" s="265" t="s">
        <v>44</v>
      </c>
      <c r="D343" s="256">
        <v>4500171299</v>
      </c>
      <c r="E343" s="257" t="s">
        <v>1531</v>
      </c>
      <c r="F343" s="267" t="s">
        <v>1532</v>
      </c>
      <c r="G343" s="253" t="s">
        <v>62</v>
      </c>
      <c r="H343" s="253" t="s">
        <v>63</v>
      </c>
      <c r="I343" s="251">
        <v>2400</v>
      </c>
      <c r="J343" s="251">
        <v>0</v>
      </c>
      <c r="K343" s="251">
        <v>6</v>
      </c>
      <c r="L343" s="251">
        <f t="shared" si="74"/>
        <v>400</v>
      </c>
      <c r="M343" s="274">
        <v>45882</v>
      </c>
      <c r="N343" s="274">
        <f>M343-4</f>
        <v>45878</v>
      </c>
      <c r="O343" s="274"/>
      <c r="P343" s="274" t="s">
        <v>49</v>
      </c>
      <c r="Q343" s="274"/>
      <c r="R343" s="274" t="s">
        <v>871</v>
      </c>
      <c r="S343" s="277" t="s">
        <v>77</v>
      </c>
      <c r="T343" s="277">
        <v>45841</v>
      </c>
      <c r="U343" s="277">
        <v>45841</v>
      </c>
      <c r="V343" s="274"/>
      <c r="W343" s="274"/>
      <c r="X343" s="278" t="s">
        <v>1533</v>
      </c>
      <c r="Y343" s="261" t="s">
        <v>1534</v>
      </c>
      <c r="Z343" s="281">
        <v>3.346</v>
      </c>
      <c r="AA343" s="282">
        <f t="shared" si="78"/>
        <v>8030.4</v>
      </c>
      <c r="AB343" s="251" t="s">
        <v>1535</v>
      </c>
      <c r="AC343" s="252" t="s">
        <v>62</v>
      </c>
      <c r="AD343" s="251" t="s">
        <v>56</v>
      </c>
      <c r="AE343" s="251">
        <f t="shared" si="79"/>
        <v>2400</v>
      </c>
      <c r="AF343" s="251">
        <f t="shared" si="80"/>
        <v>0</v>
      </c>
      <c r="AG343" s="266"/>
      <c r="AH343" s="266"/>
      <c r="AI343" s="253" t="s">
        <v>57</v>
      </c>
      <c r="AJ343" s="251">
        <v>0</v>
      </c>
      <c r="AK343" s="253" t="s">
        <v>73</v>
      </c>
      <c r="AL343" s="251">
        <v>0</v>
      </c>
      <c r="AM343" s="251"/>
      <c r="AN343" s="251">
        <f t="shared" si="69"/>
        <v>2400</v>
      </c>
      <c r="AO343" s="251">
        <f t="shared" si="75"/>
        <v>2400</v>
      </c>
      <c r="AP343" s="251" t="b">
        <f t="shared" si="76"/>
        <v>0</v>
      </c>
      <c r="AQ343" s="251">
        <f t="shared" si="77"/>
        <v>2400</v>
      </c>
      <c r="AR343" s="293"/>
      <c r="AS343" s="266"/>
    </row>
    <row r="344" s="215" customFormat="1" ht="39" hidden="1" customHeight="1" spans="1:45">
      <c r="A344" s="254">
        <v>45838</v>
      </c>
      <c r="B344" s="249" t="s">
        <v>838</v>
      </c>
      <c r="C344" s="265" t="s">
        <v>44</v>
      </c>
      <c r="D344" s="256">
        <v>4500171947</v>
      </c>
      <c r="E344" s="257" t="s">
        <v>1536</v>
      </c>
      <c r="F344" s="267" t="s">
        <v>1537</v>
      </c>
      <c r="G344" s="253" t="s">
        <v>46</v>
      </c>
      <c r="H344" s="253" t="s">
        <v>47</v>
      </c>
      <c r="I344" s="251">
        <v>784</v>
      </c>
      <c r="J344" s="251">
        <v>0</v>
      </c>
      <c r="K344" s="251">
        <v>98</v>
      </c>
      <c r="L344" s="251">
        <f t="shared" si="74"/>
        <v>8</v>
      </c>
      <c r="M344" s="274">
        <v>45883</v>
      </c>
      <c r="N344" s="274">
        <v>45880</v>
      </c>
      <c r="O344" s="274" t="s">
        <v>1538</v>
      </c>
      <c r="P344" s="274" t="s">
        <v>49</v>
      </c>
      <c r="Q344" s="274"/>
      <c r="R344" s="274" t="s">
        <v>871</v>
      </c>
      <c r="S344" s="277" t="s">
        <v>50</v>
      </c>
      <c r="T344" s="277" t="s">
        <v>1135</v>
      </c>
      <c r="U344" s="277" t="s">
        <v>1136</v>
      </c>
      <c r="V344" s="274"/>
      <c r="W344" s="274"/>
      <c r="X344" s="278" t="s">
        <v>1261</v>
      </c>
      <c r="Y344" s="261" t="s">
        <v>844</v>
      </c>
      <c r="Z344" s="281">
        <v>217.2688</v>
      </c>
      <c r="AA344" s="282">
        <f>Z344*L344</f>
        <v>1738.1504</v>
      </c>
      <c r="AB344" s="251" t="s">
        <v>1539</v>
      </c>
      <c r="AC344" s="252" t="s">
        <v>46</v>
      </c>
      <c r="AD344" s="251" t="s">
        <v>56</v>
      </c>
      <c r="AE344" s="251">
        <f t="shared" si="79"/>
        <v>784</v>
      </c>
      <c r="AF344" s="251">
        <f t="shared" si="80"/>
        <v>0</v>
      </c>
      <c r="AG344" s="266"/>
      <c r="AH344" s="266"/>
      <c r="AI344" s="253" t="s">
        <v>57</v>
      </c>
      <c r="AJ344" s="251">
        <v>0</v>
      </c>
      <c r="AK344" s="253" t="s">
        <v>73</v>
      </c>
      <c r="AL344" s="251">
        <v>0</v>
      </c>
      <c r="AM344" s="251"/>
      <c r="AN344" s="251">
        <f t="shared" si="69"/>
        <v>784</v>
      </c>
      <c r="AO344" s="251">
        <f t="shared" si="75"/>
        <v>784</v>
      </c>
      <c r="AP344" s="251" t="b">
        <f t="shared" si="76"/>
        <v>0</v>
      </c>
      <c r="AQ344" s="251">
        <f t="shared" si="77"/>
        <v>784</v>
      </c>
      <c r="AR344" s="293"/>
      <c r="AS344" s="266"/>
    </row>
    <row r="345" s="215" customFormat="1" ht="39" hidden="1" customHeight="1" spans="1:45">
      <c r="A345" s="254">
        <v>45838</v>
      </c>
      <c r="B345" s="249" t="s">
        <v>838</v>
      </c>
      <c r="C345" s="265" t="s">
        <v>44</v>
      </c>
      <c r="D345" s="256">
        <v>4500171947</v>
      </c>
      <c r="E345" s="257" t="s">
        <v>1540</v>
      </c>
      <c r="F345" s="267" t="s">
        <v>1541</v>
      </c>
      <c r="G345" s="253" t="s">
        <v>46</v>
      </c>
      <c r="H345" s="253" t="s">
        <v>47</v>
      </c>
      <c r="I345" s="251">
        <v>588</v>
      </c>
      <c r="J345" s="251">
        <v>0</v>
      </c>
      <c r="K345" s="251">
        <v>98</v>
      </c>
      <c r="L345" s="251">
        <f t="shared" si="74"/>
        <v>6</v>
      </c>
      <c r="M345" s="274">
        <v>45883</v>
      </c>
      <c r="N345" s="274">
        <v>45880</v>
      </c>
      <c r="O345" s="274" t="s">
        <v>1538</v>
      </c>
      <c r="P345" s="274" t="s">
        <v>49</v>
      </c>
      <c r="Q345" s="274"/>
      <c r="R345" s="274" t="s">
        <v>871</v>
      </c>
      <c r="S345" s="277" t="s">
        <v>50</v>
      </c>
      <c r="T345" s="277" t="s">
        <v>1135</v>
      </c>
      <c r="U345" s="277" t="s">
        <v>1136</v>
      </c>
      <c r="V345" s="274"/>
      <c r="W345" s="274"/>
      <c r="X345" s="278" t="s">
        <v>1261</v>
      </c>
      <c r="Y345" s="261" t="s">
        <v>844</v>
      </c>
      <c r="Z345" s="281">
        <v>217.2688</v>
      </c>
      <c r="AA345" s="282">
        <f>Z345*L345</f>
        <v>1303.6128</v>
      </c>
      <c r="AB345" s="251" t="s">
        <v>1542</v>
      </c>
      <c r="AC345" s="252" t="s">
        <v>46</v>
      </c>
      <c r="AD345" s="251" t="s">
        <v>56</v>
      </c>
      <c r="AE345" s="251">
        <f t="shared" si="79"/>
        <v>588</v>
      </c>
      <c r="AF345" s="251">
        <f t="shared" si="80"/>
        <v>0</v>
      </c>
      <c r="AG345" s="266"/>
      <c r="AH345" s="266"/>
      <c r="AI345" s="253" t="s">
        <v>57</v>
      </c>
      <c r="AJ345" s="251">
        <v>0</v>
      </c>
      <c r="AK345" s="253" t="s">
        <v>73</v>
      </c>
      <c r="AL345" s="251">
        <v>0</v>
      </c>
      <c r="AM345" s="251"/>
      <c r="AN345" s="251">
        <f t="shared" si="69"/>
        <v>588</v>
      </c>
      <c r="AO345" s="251">
        <f t="shared" si="75"/>
        <v>588</v>
      </c>
      <c r="AP345" s="251" t="b">
        <f t="shared" si="76"/>
        <v>0</v>
      </c>
      <c r="AQ345" s="251">
        <f t="shared" si="77"/>
        <v>588</v>
      </c>
      <c r="AR345" s="293"/>
      <c r="AS345" s="266"/>
    </row>
    <row r="346" s="215" customFormat="1" ht="39" hidden="1" customHeight="1" spans="1:45">
      <c r="A346" s="254">
        <v>45838</v>
      </c>
      <c r="B346" s="249" t="s">
        <v>838</v>
      </c>
      <c r="C346" s="265" t="s">
        <v>44</v>
      </c>
      <c r="D346" s="256">
        <v>4500171947</v>
      </c>
      <c r="E346" s="257" t="s">
        <v>1543</v>
      </c>
      <c r="F346" s="267" t="s">
        <v>1544</v>
      </c>
      <c r="G346" s="253" t="s">
        <v>46</v>
      </c>
      <c r="H346" s="253" t="s">
        <v>47</v>
      </c>
      <c r="I346" s="251">
        <v>588</v>
      </c>
      <c r="J346" s="251">
        <v>0</v>
      </c>
      <c r="K346" s="251">
        <v>98</v>
      </c>
      <c r="L346" s="251">
        <f t="shared" si="74"/>
        <v>6</v>
      </c>
      <c r="M346" s="274">
        <v>45883</v>
      </c>
      <c r="N346" s="274">
        <v>45880</v>
      </c>
      <c r="O346" s="274" t="s">
        <v>1538</v>
      </c>
      <c r="P346" s="274" t="s">
        <v>49</v>
      </c>
      <c r="Q346" s="274"/>
      <c r="R346" s="274" t="s">
        <v>871</v>
      </c>
      <c r="S346" s="277" t="s">
        <v>50</v>
      </c>
      <c r="T346" s="277" t="s">
        <v>1135</v>
      </c>
      <c r="U346" s="277" t="s">
        <v>1136</v>
      </c>
      <c r="V346" s="274"/>
      <c r="W346" s="274"/>
      <c r="X346" s="278" t="s">
        <v>1261</v>
      </c>
      <c r="Y346" s="261" t="s">
        <v>844</v>
      </c>
      <c r="Z346" s="281">
        <v>217.2688</v>
      </c>
      <c r="AA346" s="282">
        <f>Z346*L346</f>
        <v>1303.6128</v>
      </c>
      <c r="AB346" s="251" t="s">
        <v>1545</v>
      </c>
      <c r="AC346" s="252" t="s">
        <v>46</v>
      </c>
      <c r="AD346" s="251" t="s">
        <v>56</v>
      </c>
      <c r="AE346" s="251">
        <f t="shared" si="79"/>
        <v>588</v>
      </c>
      <c r="AF346" s="251">
        <f t="shared" si="80"/>
        <v>0</v>
      </c>
      <c r="AG346" s="266"/>
      <c r="AH346" s="266"/>
      <c r="AI346" s="253" t="s">
        <v>57</v>
      </c>
      <c r="AJ346" s="251">
        <v>0</v>
      </c>
      <c r="AK346" s="253" t="s">
        <v>73</v>
      </c>
      <c r="AL346" s="251">
        <v>0</v>
      </c>
      <c r="AM346" s="251"/>
      <c r="AN346" s="251">
        <f t="shared" si="69"/>
        <v>588</v>
      </c>
      <c r="AO346" s="251">
        <f t="shared" si="75"/>
        <v>588</v>
      </c>
      <c r="AP346" s="251" t="b">
        <f t="shared" si="76"/>
        <v>0</v>
      </c>
      <c r="AQ346" s="251">
        <f t="shared" si="77"/>
        <v>588</v>
      </c>
      <c r="AR346" s="293"/>
      <c r="AS346" s="266"/>
    </row>
    <row r="347" s="215" customFormat="1" ht="39" customHeight="1" spans="1:45">
      <c r="A347" s="254">
        <v>45785</v>
      </c>
      <c r="B347" s="249" t="s">
        <v>1016</v>
      </c>
      <c r="C347" s="265" t="s">
        <v>104</v>
      </c>
      <c r="D347" s="256">
        <v>4500165779</v>
      </c>
      <c r="E347" s="257">
        <v>4400482769</v>
      </c>
      <c r="F347" s="267" t="s">
        <v>1546</v>
      </c>
      <c r="G347" s="253" t="s">
        <v>62</v>
      </c>
      <c r="H347" s="253" t="s">
        <v>63</v>
      </c>
      <c r="I347" s="251">
        <v>1500</v>
      </c>
      <c r="J347" s="251">
        <v>0</v>
      </c>
      <c r="K347" s="251">
        <v>6</v>
      </c>
      <c r="L347" s="251">
        <f t="shared" si="74"/>
        <v>250</v>
      </c>
      <c r="M347" s="274">
        <v>45884</v>
      </c>
      <c r="N347" s="274">
        <v>45880</v>
      </c>
      <c r="O347" s="274"/>
      <c r="P347" s="274" t="s">
        <v>49</v>
      </c>
      <c r="Q347" s="274"/>
      <c r="R347" s="274" t="s">
        <v>871</v>
      </c>
      <c r="S347" s="277" t="s">
        <v>50</v>
      </c>
      <c r="T347" s="277">
        <v>45785</v>
      </c>
      <c r="U347" s="277" t="s">
        <v>1116</v>
      </c>
      <c r="V347" s="274"/>
      <c r="W347" s="274"/>
      <c r="X347" s="278" t="s">
        <v>1117</v>
      </c>
      <c r="Y347" s="261" t="s">
        <v>1020</v>
      </c>
      <c r="Z347" s="281">
        <v>3.346</v>
      </c>
      <c r="AA347" s="282">
        <f t="shared" ref="AA347:AA370" si="81">I347*Z347</f>
        <v>5019</v>
      </c>
      <c r="AB347" s="251" t="s">
        <v>1547</v>
      </c>
      <c r="AC347" s="252" t="s">
        <v>71</v>
      </c>
      <c r="AD347" s="251" t="s">
        <v>56</v>
      </c>
      <c r="AE347" s="251">
        <f t="shared" si="79"/>
        <v>1500</v>
      </c>
      <c r="AF347" s="251">
        <f t="shared" si="80"/>
        <v>0</v>
      </c>
      <c r="AG347" s="266"/>
      <c r="AH347" s="266"/>
      <c r="AI347" s="253" t="s">
        <v>72</v>
      </c>
      <c r="AJ347" s="251">
        <v>2</v>
      </c>
      <c r="AK347" s="253" t="s">
        <v>73</v>
      </c>
      <c r="AL347" s="251">
        <v>0</v>
      </c>
      <c r="AM347" s="251"/>
      <c r="AN347" s="251">
        <f t="shared" si="69"/>
        <v>1500</v>
      </c>
      <c r="AO347" s="251">
        <f t="shared" si="75"/>
        <v>0</v>
      </c>
      <c r="AP347" s="251">
        <f t="shared" si="76"/>
        <v>1500</v>
      </c>
      <c r="AQ347" s="251">
        <f t="shared" si="77"/>
        <v>1500</v>
      </c>
      <c r="AR347" s="293"/>
      <c r="AS347" s="266"/>
    </row>
    <row r="348" s="215" customFormat="1" ht="39" customHeight="1" spans="1:45">
      <c r="A348" s="254">
        <v>45846</v>
      </c>
      <c r="B348" s="249" t="s">
        <v>1298</v>
      </c>
      <c r="C348" s="265" t="s">
        <v>182</v>
      </c>
      <c r="D348" s="256">
        <v>4500173120</v>
      </c>
      <c r="E348" s="257" t="s">
        <v>1548</v>
      </c>
      <c r="F348" s="267" t="s">
        <v>1549</v>
      </c>
      <c r="G348" s="253" t="s">
        <v>62</v>
      </c>
      <c r="H348" s="253" t="s">
        <v>63</v>
      </c>
      <c r="I348" s="251">
        <v>72</v>
      </c>
      <c r="J348" s="251">
        <v>0</v>
      </c>
      <c r="K348" s="251">
        <v>6</v>
      </c>
      <c r="L348" s="251">
        <f t="shared" si="74"/>
        <v>12</v>
      </c>
      <c r="M348" s="274">
        <v>45884</v>
      </c>
      <c r="N348" s="274">
        <v>45880</v>
      </c>
      <c r="O348" s="274"/>
      <c r="P348" s="274" t="s">
        <v>49</v>
      </c>
      <c r="Q348" s="274"/>
      <c r="R348" s="274" t="s">
        <v>871</v>
      </c>
      <c r="S348" s="277" t="s">
        <v>50</v>
      </c>
      <c r="T348" s="277">
        <v>45846</v>
      </c>
      <c r="U348" s="277">
        <v>45846</v>
      </c>
      <c r="V348" s="274"/>
      <c r="W348" s="274"/>
      <c r="X348" s="278" t="s">
        <v>1305</v>
      </c>
      <c r="Y348" s="261" t="s">
        <v>807</v>
      </c>
      <c r="Z348" s="281">
        <v>3.346</v>
      </c>
      <c r="AA348" s="282">
        <f t="shared" si="81"/>
        <v>240.912</v>
      </c>
      <c r="AB348" s="251" t="s">
        <v>1550</v>
      </c>
      <c r="AC348" s="252" t="s">
        <v>62</v>
      </c>
      <c r="AD348" s="251" t="s">
        <v>56</v>
      </c>
      <c r="AE348" s="251">
        <f t="shared" si="79"/>
        <v>72</v>
      </c>
      <c r="AF348" s="251">
        <f t="shared" si="80"/>
        <v>0</v>
      </c>
      <c r="AG348" s="266"/>
      <c r="AH348" s="266"/>
      <c r="AI348" s="253" t="s">
        <v>57</v>
      </c>
      <c r="AJ348" s="251">
        <v>0</v>
      </c>
      <c r="AK348" s="253" t="s">
        <v>73</v>
      </c>
      <c r="AL348" s="251">
        <v>0</v>
      </c>
      <c r="AM348" s="251"/>
      <c r="AN348" s="251">
        <f t="shared" si="69"/>
        <v>72</v>
      </c>
      <c r="AO348" s="251">
        <f t="shared" si="75"/>
        <v>72</v>
      </c>
      <c r="AP348" s="251" t="b">
        <f t="shared" si="76"/>
        <v>0</v>
      </c>
      <c r="AQ348" s="251">
        <f t="shared" si="77"/>
        <v>72</v>
      </c>
      <c r="AR348" s="293"/>
      <c r="AS348" s="266"/>
    </row>
    <row r="349" s="215" customFormat="1" ht="39" customHeight="1" spans="1:45">
      <c r="A349" s="254">
        <v>45846</v>
      </c>
      <c r="B349" s="249" t="s">
        <v>1298</v>
      </c>
      <c r="C349" s="265" t="s">
        <v>182</v>
      </c>
      <c r="D349" s="256">
        <v>4500173107</v>
      </c>
      <c r="E349" s="257" t="s">
        <v>1551</v>
      </c>
      <c r="F349" s="267" t="s">
        <v>1552</v>
      </c>
      <c r="G349" s="253" t="s">
        <v>62</v>
      </c>
      <c r="H349" s="253" t="s">
        <v>63</v>
      </c>
      <c r="I349" s="251">
        <v>90</v>
      </c>
      <c r="J349" s="251">
        <v>0</v>
      </c>
      <c r="K349" s="251">
        <v>6</v>
      </c>
      <c r="L349" s="251">
        <f t="shared" si="74"/>
        <v>15</v>
      </c>
      <c r="M349" s="274">
        <v>45884</v>
      </c>
      <c r="N349" s="274">
        <v>45880</v>
      </c>
      <c r="O349" s="274"/>
      <c r="P349" s="274" t="s">
        <v>49</v>
      </c>
      <c r="Q349" s="274"/>
      <c r="R349" s="274" t="s">
        <v>871</v>
      </c>
      <c r="S349" s="277" t="s">
        <v>50</v>
      </c>
      <c r="T349" s="277">
        <v>45846</v>
      </c>
      <c r="U349" s="277">
        <v>45846</v>
      </c>
      <c r="V349" s="274"/>
      <c r="W349" s="274"/>
      <c r="X349" s="278" t="s">
        <v>1305</v>
      </c>
      <c r="Y349" s="261" t="s">
        <v>807</v>
      </c>
      <c r="Z349" s="281">
        <v>3.346</v>
      </c>
      <c r="AA349" s="282">
        <f t="shared" si="81"/>
        <v>301.14</v>
      </c>
      <c r="AB349" s="251" t="s">
        <v>1553</v>
      </c>
      <c r="AC349" s="252" t="s">
        <v>62</v>
      </c>
      <c r="AD349" s="251" t="s">
        <v>56</v>
      </c>
      <c r="AE349" s="251">
        <f t="shared" si="79"/>
        <v>90</v>
      </c>
      <c r="AF349" s="251">
        <f t="shared" si="80"/>
        <v>0</v>
      </c>
      <c r="AG349" s="266"/>
      <c r="AH349" s="266"/>
      <c r="AI349" s="253" t="s">
        <v>57</v>
      </c>
      <c r="AJ349" s="251">
        <v>0</v>
      </c>
      <c r="AK349" s="253" t="s">
        <v>73</v>
      </c>
      <c r="AL349" s="251">
        <v>0</v>
      </c>
      <c r="AM349" s="251"/>
      <c r="AN349" s="251">
        <f t="shared" si="69"/>
        <v>90</v>
      </c>
      <c r="AO349" s="251">
        <f t="shared" si="75"/>
        <v>90</v>
      </c>
      <c r="AP349" s="251" t="b">
        <f t="shared" si="76"/>
        <v>0</v>
      </c>
      <c r="AQ349" s="251">
        <f t="shared" si="77"/>
        <v>90</v>
      </c>
      <c r="AR349" s="293"/>
      <c r="AS349" s="266"/>
    </row>
    <row r="350" s="215" customFormat="1" ht="39" customHeight="1" spans="1:45">
      <c r="A350" s="254">
        <v>45842</v>
      </c>
      <c r="B350" s="249" t="s">
        <v>74</v>
      </c>
      <c r="C350" s="265" t="s">
        <v>44</v>
      </c>
      <c r="D350" s="256">
        <v>4500172801</v>
      </c>
      <c r="E350" s="257" t="s">
        <v>1554</v>
      </c>
      <c r="F350" s="267" t="s">
        <v>1555</v>
      </c>
      <c r="G350" s="253" t="s">
        <v>62</v>
      </c>
      <c r="H350" s="253" t="s">
        <v>63</v>
      </c>
      <c r="I350" s="251">
        <v>2088</v>
      </c>
      <c r="J350" s="251">
        <v>0</v>
      </c>
      <c r="K350" s="251">
        <v>6</v>
      </c>
      <c r="L350" s="251">
        <f t="shared" si="74"/>
        <v>348</v>
      </c>
      <c r="M350" s="274">
        <v>45887</v>
      </c>
      <c r="N350" s="274">
        <v>45883</v>
      </c>
      <c r="O350" s="274"/>
      <c r="P350" s="274" t="s">
        <v>49</v>
      </c>
      <c r="Q350" s="274"/>
      <c r="R350" s="274" t="s">
        <v>871</v>
      </c>
      <c r="S350" s="277" t="s">
        <v>77</v>
      </c>
      <c r="T350" s="277">
        <v>45854</v>
      </c>
      <c r="U350" s="277">
        <v>45862</v>
      </c>
      <c r="V350" s="274"/>
      <c r="W350" s="274"/>
      <c r="X350" s="278" t="s">
        <v>1556</v>
      </c>
      <c r="Y350" s="261" t="s">
        <v>116</v>
      </c>
      <c r="Z350" s="281">
        <v>3.346</v>
      </c>
      <c r="AA350" s="282">
        <f t="shared" si="81"/>
        <v>6986.448</v>
      </c>
      <c r="AB350" s="251" t="s">
        <v>1557</v>
      </c>
      <c r="AC350" s="252" t="s">
        <v>62</v>
      </c>
      <c r="AD350" s="251" t="s">
        <v>56</v>
      </c>
      <c r="AE350" s="251">
        <f t="shared" si="79"/>
        <v>2088</v>
      </c>
      <c r="AF350" s="251">
        <f t="shared" si="80"/>
        <v>0</v>
      </c>
      <c r="AG350" s="266"/>
      <c r="AH350" s="266"/>
      <c r="AI350" s="253" t="s">
        <v>57</v>
      </c>
      <c r="AJ350" s="251">
        <v>0</v>
      </c>
      <c r="AK350" s="253" t="s">
        <v>73</v>
      </c>
      <c r="AL350" s="251">
        <v>0</v>
      </c>
      <c r="AM350" s="251"/>
      <c r="AN350" s="251">
        <f t="shared" si="69"/>
        <v>2088</v>
      </c>
      <c r="AO350" s="251">
        <f t="shared" si="75"/>
        <v>2088</v>
      </c>
      <c r="AP350" s="251" t="b">
        <f t="shared" si="76"/>
        <v>0</v>
      </c>
      <c r="AQ350" s="251">
        <f t="shared" si="77"/>
        <v>2088</v>
      </c>
      <c r="AR350" s="293"/>
      <c r="AS350" s="266"/>
    </row>
    <row r="351" s="215" customFormat="1" ht="39" customHeight="1" spans="1:45">
      <c r="A351" s="254">
        <v>45737</v>
      </c>
      <c r="B351" s="249" t="s">
        <v>288</v>
      </c>
      <c r="C351" s="265" t="s">
        <v>44</v>
      </c>
      <c r="D351" s="256">
        <v>4500160963</v>
      </c>
      <c r="E351" s="257" t="s">
        <v>1558</v>
      </c>
      <c r="F351" s="267" t="s">
        <v>1559</v>
      </c>
      <c r="G351" s="253" t="s">
        <v>62</v>
      </c>
      <c r="H351" s="253" t="s">
        <v>63</v>
      </c>
      <c r="I351" s="251">
        <v>600</v>
      </c>
      <c r="J351" s="251">
        <v>0</v>
      </c>
      <c r="K351" s="251">
        <v>6</v>
      </c>
      <c r="L351" s="251">
        <f t="shared" si="74"/>
        <v>100</v>
      </c>
      <c r="M351" s="274">
        <v>45775</v>
      </c>
      <c r="N351" s="274">
        <v>45771</v>
      </c>
      <c r="O351" s="274" t="s">
        <v>1560</v>
      </c>
      <c r="P351" s="274" t="s">
        <v>49</v>
      </c>
      <c r="Q351" s="274"/>
      <c r="R351" s="274"/>
      <c r="S351" s="277" t="s">
        <v>50</v>
      </c>
      <c r="T351" s="277">
        <v>45740</v>
      </c>
      <c r="U351" s="277" t="s">
        <v>50</v>
      </c>
      <c r="V351" s="274"/>
      <c r="W351" s="274"/>
      <c r="X351" s="278" t="s">
        <v>1561</v>
      </c>
      <c r="Y351" s="261" t="s">
        <v>293</v>
      </c>
      <c r="Z351" s="281">
        <v>3.5505</v>
      </c>
      <c r="AA351" s="282">
        <f t="shared" si="81"/>
        <v>2130.3</v>
      </c>
      <c r="AB351" s="251" t="s">
        <v>1562</v>
      </c>
      <c r="AC351" s="252" t="s">
        <v>62</v>
      </c>
      <c r="AD351" s="251" t="s">
        <v>56</v>
      </c>
      <c r="AE351" s="251">
        <f t="shared" si="79"/>
        <v>600</v>
      </c>
      <c r="AF351" s="251">
        <f t="shared" si="80"/>
        <v>0</v>
      </c>
      <c r="AG351" s="266"/>
      <c r="AH351" s="266"/>
      <c r="AI351" s="253" t="s">
        <v>57</v>
      </c>
      <c r="AJ351" s="251">
        <v>0</v>
      </c>
      <c r="AK351" s="253" t="s">
        <v>73</v>
      </c>
      <c r="AL351" s="251">
        <v>0</v>
      </c>
      <c r="AM351" s="251"/>
      <c r="AN351" s="251">
        <f t="shared" si="69"/>
        <v>600</v>
      </c>
      <c r="AO351" s="251">
        <f t="shared" si="75"/>
        <v>600</v>
      </c>
      <c r="AP351" s="251" t="b">
        <f t="shared" si="76"/>
        <v>0</v>
      </c>
      <c r="AQ351" s="251">
        <f t="shared" si="77"/>
        <v>600</v>
      </c>
      <c r="AR351" s="293"/>
      <c r="AS351" s="266"/>
    </row>
    <row r="352" s="215" customFormat="1" ht="39" customHeight="1" spans="1:45">
      <c r="A352" s="254">
        <v>45860</v>
      </c>
      <c r="B352" s="249" t="s">
        <v>156</v>
      </c>
      <c r="C352" s="265" t="s">
        <v>157</v>
      </c>
      <c r="D352" s="256">
        <v>4500173317</v>
      </c>
      <c r="E352" s="257" t="s">
        <v>1563</v>
      </c>
      <c r="F352" s="267" t="s">
        <v>1564</v>
      </c>
      <c r="G352" s="253" t="s">
        <v>62</v>
      </c>
      <c r="H352" s="253" t="s">
        <v>63</v>
      </c>
      <c r="I352" s="251">
        <v>594</v>
      </c>
      <c r="J352" s="251">
        <v>0</v>
      </c>
      <c r="K352" s="251">
        <v>6</v>
      </c>
      <c r="L352" s="251">
        <f t="shared" si="74"/>
        <v>99</v>
      </c>
      <c r="M352" s="274">
        <v>45899</v>
      </c>
      <c r="N352" s="274">
        <v>45895</v>
      </c>
      <c r="O352" s="274"/>
      <c r="P352" s="274" t="s">
        <v>49</v>
      </c>
      <c r="Q352" s="274"/>
      <c r="R352" s="274" t="s">
        <v>871</v>
      </c>
      <c r="S352" s="277" t="s">
        <v>50</v>
      </c>
      <c r="T352" s="277">
        <v>45863</v>
      </c>
      <c r="U352" s="277" t="s">
        <v>1565</v>
      </c>
      <c r="V352" s="274"/>
      <c r="W352" s="274" t="s">
        <v>1380</v>
      </c>
      <c r="X352" s="278" t="s">
        <v>1566</v>
      </c>
      <c r="Y352" s="261" t="s">
        <v>884</v>
      </c>
      <c r="Z352" s="281">
        <v>3.346</v>
      </c>
      <c r="AA352" s="282">
        <f t="shared" si="81"/>
        <v>1987.524</v>
      </c>
      <c r="AB352" s="251" t="s">
        <v>1567</v>
      </c>
      <c r="AC352" s="252" t="s">
        <v>62</v>
      </c>
      <c r="AD352" s="251" t="s">
        <v>56</v>
      </c>
      <c r="AE352" s="251">
        <v>549</v>
      </c>
      <c r="AF352" s="251"/>
      <c r="AG352" s="266"/>
      <c r="AH352" s="266"/>
      <c r="AI352" s="253" t="s">
        <v>57</v>
      </c>
      <c r="AJ352" s="251">
        <v>0</v>
      </c>
      <c r="AK352" s="253" t="s">
        <v>73</v>
      </c>
      <c r="AL352" s="251">
        <v>0</v>
      </c>
      <c r="AM352" s="251"/>
      <c r="AN352" s="251">
        <f t="shared" si="69"/>
        <v>594</v>
      </c>
      <c r="AO352" s="251">
        <f t="shared" si="75"/>
        <v>594</v>
      </c>
      <c r="AP352" s="251" t="b">
        <f t="shared" si="76"/>
        <v>0</v>
      </c>
      <c r="AQ352" s="251">
        <f t="shared" si="77"/>
        <v>594</v>
      </c>
      <c r="AR352" s="293"/>
      <c r="AS352" s="266"/>
    </row>
    <row r="353" s="215" customFormat="1" ht="39" customHeight="1" spans="1:45">
      <c r="A353" s="254">
        <v>45860</v>
      </c>
      <c r="B353" s="249" t="s">
        <v>156</v>
      </c>
      <c r="C353" s="265" t="s">
        <v>157</v>
      </c>
      <c r="D353" s="256">
        <v>4500173317</v>
      </c>
      <c r="E353" s="257" t="s">
        <v>1568</v>
      </c>
      <c r="F353" s="267" t="s">
        <v>1569</v>
      </c>
      <c r="G353" s="253" t="s">
        <v>62</v>
      </c>
      <c r="H353" s="253" t="s">
        <v>63</v>
      </c>
      <c r="I353" s="251">
        <v>216</v>
      </c>
      <c r="J353" s="251">
        <v>0</v>
      </c>
      <c r="K353" s="251">
        <v>6</v>
      </c>
      <c r="L353" s="251">
        <f t="shared" si="74"/>
        <v>36</v>
      </c>
      <c r="M353" s="274">
        <v>45899</v>
      </c>
      <c r="N353" s="274">
        <v>45895</v>
      </c>
      <c r="O353" s="274"/>
      <c r="P353" s="274" t="s">
        <v>49</v>
      </c>
      <c r="Q353" s="274"/>
      <c r="R353" s="274" t="s">
        <v>871</v>
      </c>
      <c r="S353" s="277" t="s">
        <v>50</v>
      </c>
      <c r="T353" s="277">
        <v>45863</v>
      </c>
      <c r="U353" s="277" t="s">
        <v>1565</v>
      </c>
      <c r="V353" s="274"/>
      <c r="W353" s="274" t="s">
        <v>1380</v>
      </c>
      <c r="X353" s="278" t="s">
        <v>1566</v>
      </c>
      <c r="Y353" s="261" t="s">
        <v>884</v>
      </c>
      <c r="Z353" s="281">
        <v>3.346</v>
      </c>
      <c r="AA353" s="282">
        <f t="shared" si="81"/>
        <v>722.736</v>
      </c>
      <c r="AB353" s="251" t="s">
        <v>1570</v>
      </c>
      <c r="AC353" s="252" t="s">
        <v>62</v>
      </c>
      <c r="AD353" s="251" t="s">
        <v>56</v>
      </c>
      <c r="AE353" s="251">
        <v>216</v>
      </c>
      <c r="AF353" s="251"/>
      <c r="AG353" s="266"/>
      <c r="AH353" s="266"/>
      <c r="AI353" s="253" t="s">
        <v>57</v>
      </c>
      <c r="AJ353" s="251">
        <v>0</v>
      </c>
      <c r="AK353" s="253" t="s">
        <v>73</v>
      </c>
      <c r="AL353" s="251">
        <v>0</v>
      </c>
      <c r="AM353" s="251"/>
      <c r="AN353" s="251">
        <f t="shared" si="69"/>
        <v>216</v>
      </c>
      <c r="AO353" s="251">
        <f t="shared" si="75"/>
        <v>216</v>
      </c>
      <c r="AP353" s="251" t="b">
        <f t="shared" si="76"/>
        <v>0</v>
      </c>
      <c r="AQ353" s="251">
        <f t="shared" si="77"/>
        <v>216</v>
      </c>
      <c r="AR353" s="293"/>
      <c r="AS353" s="266"/>
    </row>
    <row r="354" s="215" customFormat="1" ht="39" customHeight="1" spans="1:45">
      <c r="A354" s="254">
        <v>45862</v>
      </c>
      <c r="B354" s="249" t="s">
        <v>655</v>
      </c>
      <c r="C354" s="265" t="s">
        <v>182</v>
      </c>
      <c r="D354" s="256">
        <v>4500172403</v>
      </c>
      <c r="E354" s="257">
        <v>21012323</v>
      </c>
      <c r="F354" s="267" t="s">
        <v>1571</v>
      </c>
      <c r="G354" s="253" t="s">
        <v>62</v>
      </c>
      <c r="H354" s="253" t="s">
        <v>63</v>
      </c>
      <c r="I354" s="251">
        <v>1044</v>
      </c>
      <c r="J354" s="251">
        <v>0</v>
      </c>
      <c r="K354" s="251">
        <v>6</v>
      </c>
      <c r="L354" s="251">
        <f t="shared" si="74"/>
        <v>174</v>
      </c>
      <c r="M354" s="274">
        <v>45901</v>
      </c>
      <c r="N354" s="274">
        <f t="shared" ref="N354:N361" si="82">M354-4</f>
        <v>45897</v>
      </c>
      <c r="O354" s="274"/>
      <c r="P354" s="274" t="s">
        <v>49</v>
      </c>
      <c r="Q354" s="274" t="s">
        <v>1572</v>
      </c>
      <c r="R354" s="274" t="s">
        <v>871</v>
      </c>
      <c r="S354" s="277" t="s">
        <v>77</v>
      </c>
      <c r="T354" s="277">
        <v>45869</v>
      </c>
      <c r="U354" s="277">
        <v>45880</v>
      </c>
      <c r="V354" s="274"/>
      <c r="W354" s="274"/>
      <c r="X354" s="278" t="s">
        <v>895</v>
      </c>
      <c r="Y354" s="261" t="s">
        <v>556</v>
      </c>
      <c r="Z354" s="281">
        <v>3.346</v>
      </c>
      <c r="AA354" s="282">
        <f t="shared" si="81"/>
        <v>3493.224</v>
      </c>
      <c r="AB354" s="251" t="s">
        <v>1573</v>
      </c>
      <c r="AC354" s="252" t="s">
        <v>62</v>
      </c>
      <c r="AD354" s="251" t="s">
        <v>56</v>
      </c>
      <c r="AE354" s="251">
        <v>1044</v>
      </c>
      <c r="AF354" s="251"/>
      <c r="AG354" s="266"/>
      <c r="AH354" s="266"/>
      <c r="AI354" s="253" t="s">
        <v>57</v>
      </c>
      <c r="AJ354" s="251">
        <v>0</v>
      </c>
      <c r="AK354" s="253" t="s">
        <v>73</v>
      </c>
      <c r="AL354" s="251">
        <v>0</v>
      </c>
      <c r="AM354" s="251"/>
      <c r="AN354" s="251">
        <f t="shared" si="69"/>
        <v>1044</v>
      </c>
      <c r="AO354" s="251">
        <f t="shared" si="75"/>
        <v>1044</v>
      </c>
      <c r="AP354" s="251" t="b">
        <f t="shared" si="76"/>
        <v>0</v>
      </c>
      <c r="AQ354" s="251">
        <f t="shared" si="77"/>
        <v>1044</v>
      </c>
      <c r="AR354" s="293"/>
      <c r="AS354" s="266"/>
    </row>
    <row r="355" s="215" customFormat="1" ht="39" customHeight="1" spans="1:45">
      <c r="A355" s="254">
        <v>45862</v>
      </c>
      <c r="B355" s="249" t="s">
        <v>552</v>
      </c>
      <c r="C355" s="265" t="s">
        <v>553</v>
      </c>
      <c r="D355" s="256">
        <v>4500172405</v>
      </c>
      <c r="E355" s="257">
        <v>21012326</v>
      </c>
      <c r="F355" s="267" t="s">
        <v>1574</v>
      </c>
      <c r="G355" s="253" t="s">
        <v>62</v>
      </c>
      <c r="H355" s="253" t="s">
        <v>63</v>
      </c>
      <c r="I355" s="251">
        <v>456</v>
      </c>
      <c r="J355" s="251">
        <v>0</v>
      </c>
      <c r="K355" s="251">
        <v>6</v>
      </c>
      <c r="L355" s="251">
        <f t="shared" si="74"/>
        <v>76</v>
      </c>
      <c r="M355" s="274">
        <v>45901</v>
      </c>
      <c r="N355" s="274">
        <f t="shared" si="82"/>
        <v>45897</v>
      </c>
      <c r="O355" s="274"/>
      <c r="P355" s="274" t="s">
        <v>49</v>
      </c>
      <c r="Q355" s="274" t="s">
        <v>1575</v>
      </c>
      <c r="R355" s="274" t="s">
        <v>871</v>
      </c>
      <c r="S355" s="277" t="s">
        <v>77</v>
      </c>
      <c r="T355" s="277">
        <v>45869</v>
      </c>
      <c r="U355" s="277">
        <v>45880</v>
      </c>
      <c r="V355" s="274"/>
      <c r="W355" s="274"/>
      <c r="X355" s="278" t="s">
        <v>819</v>
      </c>
      <c r="Y355" s="261" t="s">
        <v>556</v>
      </c>
      <c r="Z355" s="281">
        <v>3.346</v>
      </c>
      <c r="AA355" s="282">
        <f t="shared" si="81"/>
        <v>1525.776</v>
      </c>
      <c r="AB355" s="251" t="s">
        <v>1576</v>
      </c>
      <c r="AC355" s="252" t="s">
        <v>62</v>
      </c>
      <c r="AD355" s="251" t="s">
        <v>56</v>
      </c>
      <c r="AE355" s="251">
        <v>456</v>
      </c>
      <c r="AF355" s="251"/>
      <c r="AG355" s="266"/>
      <c r="AH355" s="266"/>
      <c r="AI355" s="253" t="s">
        <v>57</v>
      </c>
      <c r="AJ355" s="251">
        <v>0</v>
      </c>
      <c r="AK355" s="253" t="s">
        <v>73</v>
      </c>
      <c r="AL355" s="251">
        <v>0</v>
      </c>
      <c r="AM355" s="251"/>
      <c r="AN355" s="251">
        <f t="shared" si="69"/>
        <v>456</v>
      </c>
      <c r="AO355" s="251">
        <f t="shared" si="75"/>
        <v>456</v>
      </c>
      <c r="AP355" s="251" t="b">
        <f t="shared" si="76"/>
        <v>0</v>
      </c>
      <c r="AQ355" s="251">
        <f t="shared" si="77"/>
        <v>456</v>
      </c>
      <c r="AR355" s="293"/>
      <c r="AS355" s="266"/>
    </row>
    <row r="356" s="215" customFormat="1" ht="39" customHeight="1" spans="1:45">
      <c r="A356" s="254">
        <v>45863</v>
      </c>
      <c r="B356" s="249" t="s">
        <v>245</v>
      </c>
      <c r="C356" s="265" t="s">
        <v>214</v>
      </c>
      <c r="D356" s="256">
        <v>4500175025</v>
      </c>
      <c r="E356" s="257" t="s">
        <v>1577</v>
      </c>
      <c r="F356" s="267" t="s">
        <v>1578</v>
      </c>
      <c r="G356" s="253" t="s">
        <v>62</v>
      </c>
      <c r="H356" s="253" t="s">
        <v>63</v>
      </c>
      <c r="I356" s="251">
        <v>1188</v>
      </c>
      <c r="J356" s="251">
        <v>0</v>
      </c>
      <c r="K356" s="251">
        <v>6</v>
      </c>
      <c r="L356" s="251">
        <f t="shared" si="74"/>
        <v>198</v>
      </c>
      <c r="M356" s="274">
        <v>45901</v>
      </c>
      <c r="N356" s="274">
        <f t="shared" si="82"/>
        <v>45897</v>
      </c>
      <c r="O356" s="274"/>
      <c r="P356" s="274" t="s">
        <v>49</v>
      </c>
      <c r="Q356" s="274" t="s">
        <v>1579</v>
      </c>
      <c r="R356" s="274" t="s">
        <v>871</v>
      </c>
      <c r="S356" s="277" t="s">
        <v>77</v>
      </c>
      <c r="T356" s="277" t="s">
        <v>248</v>
      </c>
      <c r="U356" s="277">
        <v>45873</v>
      </c>
      <c r="V356" s="274"/>
      <c r="W356" s="274"/>
      <c r="X356" s="278" t="s">
        <v>1580</v>
      </c>
      <c r="Y356" s="261" t="s">
        <v>252</v>
      </c>
      <c r="Z356" s="281">
        <v>3.346</v>
      </c>
      <c r="AA356" s="282">
        <f t="shared" si="81"/>
        <v>3975.048</v>
      </c>
      <c r="AB356" s="251"/>
      <c r="AC356" s="252" t="s">
        <v>71</v>
      </c>
      <c r="AD356" s="251" t="s">
        <v>56</v>
      </c>
      <c r="AE356" s="251">
        <v>1188</v>
      </c>
      <c r="AF356" s="251"/>
      <c r="AG356" s="266"/>
      <c r="AH356" s="266"/>
      <c r="AI356" s="253" t="s">
        <v>72</v>
      </c>
      <c r="AJ356" s="251">
        <v>2</v>
      </c>
      <c r="AK356" s="253" t="s">
        <v>73</v>
      </c>
      <c r="AL356" s="251">
        <v>0</v>
      </c>
      <c r="AM356" s="251"/>
      <c r="AN356" s="251">
        <f t="shared" si="69"/>
        <v>1188</v>
      </c>
      <c r="AO356" s="251">
        <f t="shared" si="75"/>
        <v>0</v>
      </c>
      <c r="AP356" s="251">
        <f t="shared" si="76"/>
        <v>1188</v>
      </c>
      <c r="AQ356" s="251">
        <f t="shared" si="77"/>
        <v>1188</v>
      </c>
      <c r="AR356" s="293"/>
      <c r="AS356" s="266"/>
    </row>
    <row r="357" s="215" customFormat="1" ht="39" customHeight="1" spans="1:45">
      <c r="A357" s="254">
        <v>45863</v>
      </c>
      <c r="B357" s="249" t="s">
        <v>245</v>
      </c>
      <c r="C357" s="265" t="s">
        <v>214</v>
      </c>
      <c r="D357" s="256">
        <v>4500175025</v>
      </c>
      <c r="E357" s="257" t="s">
        <v>1581</v>
      </c>
      <c r="F357" s="267" t="s">
        <v>1582</v>
      </c>
      <c r="G357" s="253" t="s">
        <v>62</v>
      </c>
      <c r="H357" s="253" t="s">
        <v>63</v>
      </c>
      <c r="I357" s="251">
        <v>498</v>
      </c>
      <c r="J357" s="251">
        <v>0</v>
      </c>
      <c r="K357" s="251">
        <v>6</v>
      </c>
      <c r="L357" s="251">
        <f t="shared" si="74"/>
        <v>83</v>
      </c>
      <c r="M357" s="274">
        <v>45901</v>
      </c>
      <c r="N357" s="274">
        <f t="shared" si="82"/>
        <v>45897</v>
      </c>
      <c r="O357" s="274"/>
      <c r="P357" s="274" t="s">
        <v>49</v>
      </c>
      <c r="Q357" s="274" t="s">
        <v>1579</v>
      </c>
      <c r="R357" s="274" t="s">
        <v>871</v>
      </c>
      <c r="S357" s="277" t="s">
        <v>77</v>
      </c>
      <c r="T357" s="277" t="s">
        <v>248</v>
      </c>
      <c r="U357" s="277">
        <v>45873</v>
      </c>
      <c r="V357" s="274"/>
      <c r="W357" s="274"/>
      <c r="X357" s="278" t="s">
        <v>1580</v>
      </c>
      <c r="Y357" s="261" t="s">
        <v>252</v>
      </c>
      <c r="Z357" s="281">
        <v>3.346</v>
      </c>
      <c r="AA357" s="282">
        <f t="shared" si="81"/>
        <v>1666.308</v>
      </c>
      <c r="AB357" s="251"/>
      <c r="AC357" s="252" t="s">
        <v>71</v>
      </c>
      <c r="AD357" s="251" t="s">
        <v>56</v>
      </c>
      <c r="AE357" s="251">
        <v>498</v>
      </c>
      <c r="AF357" s="251"/>
      <c r="AG357" s="266"/>
      <c r="AH357" s="266"/>
      <c r="AI357" s="253" t="s">
        <v>72</v>
      </c>
      <c r="AJ357" s="251">
        <v>2</v>
      </c>
      <c r="AK357" s="253" t="s">
        <v>73</v>
      </c>
      <c r="AL357" s="251">
        <v>0</v>
      </c>
      <c r="AM357" s="251"/>
      <c r="AN357" s="251">
        <f t="shared" si="69"/>
        <v>498</v>
      </c>
      <c r="AO357" s="251">
        <f t="shared" si="75"/>
        <v>0</v>
      </c>
      <c r="AP357" s="251">
        <f t="shared" si="76"/>
        <v>498</v>
      </c>
      <c r="AQ357" s="251">
        <f t="shared" si="77"/>
        <v>498</v>
      </c>
      <c r="AR357" s="293"/>
      <c r="AS357" s="266"/>
    </row>
    <row r="358" s="215" customFormat="1" ht="39" customHeight="1" spans="1:45">
      <c r="A358" s="254">
        <v>45863</v>
      </c>
      <c r="B358" s="249" t="s">
        <v>245</v>
      </c>
      <c r="C358" s="265" t="s">
        <v>214</v>
      </c>
      <c r="D358" s="256">
        <v>4500175025</v>
      </c>
      <c r="E358" s="257" t="s">
        <v>1583</v>
      </c>
      <c r="F358" s="267" t="s">
        <v>1584</v>
      </c>
      <c r="G358" s="253" t="s">
        <v>62</v>
      </c>
      <c r="H358" s="253" t="s">
        <v>63</v>
      </c>
      <c r="I358" s="251">
        <v>498</v>
      </c>
      <c r="J358" s="251">
        <v>0</v>
      </c>
      <c r="K358" s="251">
        <v>6</v>
      </c>
      <c r="L358" s="251">
        <f t="shared" si="74"/>
        <v>83</v>
      </c>
      <c r="M358" s="274">
        <v>45901</v>
      </c>
      <c r="N358" s="274">
        <f t="shared" si="82"/>
        <v>45897</v>
      </c>
      <c r="O358" s="274"/>
      <c r="P358" s="274" t="s">
        <v>49</v>
      </c>
      <c r="Q358" s="274" t="s">
        <v>1579</v>
      </c>
      <c r="R358" s="274" t="s">
        <v>871</v>
      </c>
      <c r="S358" s="277" t="s">
        <v>77</v>
      </c>
      <c r="T358" s="277" t="s">
        <v>248</v>
      </c>
      <c r="U358" s="277">
        <v>45873</v>
      </c>
      <c r="V358" s="274"/>
      <c r="W358" s="274"/>
      <c r="X358" s="278" t="s">
        <v>1580</v>
      </c>
      <c r="Y358" s="261" t="s">
        <v>252</v>
      </c>
      <c r="Z358" s="281">
        <v>3.346</v>
      </c>
      <c r="AA358" s="282">
        <f t="shared" si="81"/>
        <v>1666.308</v>
      </c>
      <c r="AB358" s="251"/>
      <c r="AC358" s="252" t="s">
        <v>71</v>
      </c>
      <c r="AD358" s="251" t="s">
        <v>56</v>
      </c>
      <c r="AE358" s="251">
        <v>498</v>
      </c>
      <c r="AF358" s="251"/>
      <c r="AG358" s="266"/>
      <c r="AH358" s="266"/>
      <c r="AI358" s="253" t="s">
        <v>72</v>
      </c>
      <c r="AJ358" s="251">
        <v>2</v>
      </c>
      <c r="AK358" s="253" t="s">
        <v>73</v>
      </c>
      <c r="AL358" s="251">
        <v>0</v>
      </c>
      <c r="AM358" s="251"/>
      <c r="AN358" s="251">
        <f t="shared" si="69"/>
        <v>498</v>
      </c>
      <c r="AO358" s="251">
        <f t="shared" si="75"/>
        <v>0</v>
      </c>
      <c r="AP358" s="251">
        <f t="shared" si="76"/>
        <v>498</v>
      </c>
      <c r="AQ358" s="251">
        <f t="shared" si="77"/>
        <v>498</v>
      </c>
      <c r="AR358" s="293"/>
      <c r="AS358" s="266"/>
    </row>
    <row r="359" s="215" customFormat="1" ht="39" customHeight="1" spans="1:45">
      <c r="A359" s="254">
        <v>45867</v>
      </c>
      <c r="B359" s="249" t="s">
        <v>1530</v>
      </c>
      <c r="C359" s="265" t="s">
        <v>44</v>
      </c>
      <c r="D359" s="256">
        <v>4500174788</v>
      </c>
      <c r="E359" s="257" t="s">
        <v>1585</v>
      </c>
      <c r="F359" s="267" t="s">
        <v>1586</v>
      </c>
      <c r="G359" s="253" t="s">
        <v>62</v>
      </c>
      <c r="H359" s="253" t="s">
        <v>63</v>
      </c>
      <c r="I359" s="251">
        <v>1800</v>
      </c>
      <c r="J359" s="251">
        <v>0</v>
      </c>
      <c r="K359" s="251">
        <v>6</v>
      </c>
      <c r="L359" s="251">
        <f t="shared" si="74"/>
        <v>300</v>
      </c>
      <c r="M359" s="274">
        <v>45901</v>
      </c>
      <c r="N359" s="274">
        <f t="shared" si="82"/>
        <v>45897</v>
      </c>
      <c r="O359" s="274"/>
      <c r="P359" s="274" t="s">
        <v>49</v>
      </c>
      <c r="Q359" s="274" t="s">
        <v>1587</v>
      </c>
      <c r="R359" s="274" t="s">
        <v>871</v>
      </c>
      <c r="S359" s="277" t="s">
        <v>77</v>
      </c>
      <c r="T359" s="277">
        <v>45869</v>
      </c>
      <c r="U359" s="277">
        <v>45869</v>
      </c>
      <c r="V359" s="274"/>
      <c r="W359" s="274"/>
      <c r="X359" s="278" t="s">
        <v>1588</v>
      </c>
      <c r="Y359" s="261" t="s">
        <v>1534</v>
      </c>
      <c r="Z359" s="281">
        <v>3.346</v>
      </c>
      <c r="AA359" s="282">
        <f t="shared" si="81"/>
        <v>6022.8</v>
      </c>
      <c r="AB359" s="251" t="s">
        <v>1589</v>
      </c>
      <c r="AC359" s="252" t="s">
        <v>62</v>
      </c>
      <c r="AD359" s="251" t="s">
        <v>56</v>
      </c>
      <c r="AE359" s="251">
        <v>1800</v>
      </c>
      <c r="AF359" s="251">
        <f>AE359-I359</f>
        <v>0</v>
      </c>
      <c r="AG359" s="266"/>
      <c r="AH359" s="266"/>
      <c r="AI359" s="253" t="s">
        <v>57</v>
      </c>
      <c r="AJ359" s="251">
        <v>0</v>
      </c>
      <c r="AK359" s="253" t="s">
        <v>73</v>
      </c>
      <c r="AL359" s="251">
        <v>0</v>
      </c>
      <c r="AM359" s="251"/>
      <c r="AN359" s="251">
        <f t="shared" si="69"/>
        <v>1800</v>
      </c>
      <c r="AO359" s="251">
        <f t="shared" si="75"/>
        <v>1800</v>
      </c>
      <c r="AP359" s="251" t="b">
        <f t="shared" si="76"/>
        <v>0</v>
      </c>
      <c r="AQ359" s="251">
        <f t="shared" si="77"/>
        <v>1800</v>
      </c>
      <c r="AR359" s="293"/>
      <c r="AS359" s="266"/>
    </row>
    <row r="360" s="215" customFormat="1" ht="39" customHeight="1" spans="1:45">
      <c r="A360" s="254">
        <v>45860</v>
      </c>
      <c r="B360" s="249" t="s">
        <v>1590</v>
      </c>
      <c r="C360" s="265" t="s">
        <v>44</v>
      </c>
      <c r="D360" s="256">
        <v>4500174609</v>
      </c>
      <c r="E360" s="257">
        <v>1614240</v>
      </c>
      <c r="F360" s="267" t="s">
        <v>1591</v>
      </c>
      <c r="G360" s="253" t="s">
        <v>62</v>
      </c>
      <c r="H360" s="253" t="s">
        <v>63</v>
      </c>
      <c r="I360" s="251">
        <v>198</v>
      </c>
      <c r="J360" s="251">
        <v>0</v>
      </c>
      <c r="K360" s="251">
        <v>6</v>
      </c>
      <c r="L360" s="251">
        <f t="shared" si="74"/>
        <v>33</v>
      </c>
      <c r="M360" s="274">
        <v>45903</v>
      </c>
      <c r="N360" s="274">
        <f t="shared" si="82"/>
        <v>45899</v>
      </c>
      <c r="O360" s="274"/>
      <c r="P360" s="274" t="s">
        <v>49</v>
      </c>
      <c r="Q360" s="274" t="s">
        <v>1592</v>
      </c>
      <c r="R360" s="274" t="s">
        <v>871</v>
      </c>
      <c r="S360" s="277" t="s">
        <v>50</v>
      </c>
      <c r="T360" s="277">
        <v>45869</v>
      </c>
      <c r="U360" s="277">
        <v>45877</v>
      </c>
      <c r="V360" s="274"/>
      <c r="W360" s="274"/>
      <c r="X360" s="278" t="s">
        <v>1593</v>
      </c>
      <c r="Y360" s="261" t="s">
        <v>1594</v>
      </c>
      <c r="Z360" s="281">
        <v>3.346</v>
      </c>
      <c r="AA360" s="282">
        <f t="shared" si="81"/>
        <v>662.508</v>
      </c>
      <c r="AB360" s="251" t="s">
        <v>1595</v>
      </c>
      <c r="AC360" s="252" t="s">
        <v>62</v>
      </c>
      <c r="AD360" s="251" t="s">
        <v>56</v>
      </c>
      <c r="AE360" s="251">
        <v>198</v>
      </c>
      <c r="AF360" s="251">
        <f t="shared" ref="AF358:AF368" si="83">AE360-I360</f>
        <v>0</v>
      </c>
      <c r="AG360" s="266"/>
      <c r="AH360" s="266"/>
      <c r="AI360" s="253" t="s">
        <v>57</v>
      </c>
      <c r="AJ360" s="251">
        <v>0</v>
      </c>
      <c r="AK360" s="253" t="s">
        <v>73</v>
      </c>
      <c r="AL360" s="251">
        <v>0</v>
      </c>
      <c r="AM360" s="251"/>
      <c r="AN360" s="251">
        <f t="shared" si="69"/>
        <v>198</v>
      </c>
      <c r="AO360" s="251">
        <f t="shared" si="75"/>
        <v>198</v>
      </c>
      <c r="AP360" s="251" t="b">
        <f t="shared" si="76"/>
        <v>0</v>
      </c>
      <c r="AQ360" s="251">
        <f t="shared" si="77"/>
        <v>198</v>
      </c>
      <c r="AR360" s="293"/>
      <c r="AS360" s="266"/>
    </row>
    <row r="361" s="215" customFormat="1" ht="39" customHeight="1" spans="1:45">
      <c r="A361" s="254">
        <v>45860</v>
      </c>
      <c r="B361" s="249" t="s">
        <v>1590</v>
      </c>
      <c r="C361" s="265" t="s">
        <v>44</v>
      </c>
      <c r="D361" s="256">
        <v>4500174606</v>
      </c>
      <c r="E361" s="257">
        <v>1614238</v>
      </c>
      <c r="F361" s="267" t="s">
        <v>1596</v>
      </c>
      <c r="G361" s="253" t="s">
        <v>62</v>
      </c>
      <c r="H361" s="253" t="s">
        <v>63</v>
      </c>
      <c r="I361" s="251">
        <v>402</v>
      </c>
      <c r="J361" s="251">
        <v>0</v>
      </c>
      <c r="K361" s="251">
        <v>6</v>
      </c>
      <c r="L361" s="251">
        <f t="shared" si="74"/>
        <v>67</v>
      </c>
      <c r="M361" s="274">
        <v>45903</v>
      </c>
      <c r="N361" s="274">
        <f t="shared" si="82"/>
        <v>45899</v>
      </c>
      <c r="O361" s="274"/>
      <c r="P361" s="274" t="s">
        <v>49</v>
      </c>
      <c r="Q361" s="274" t="s">
        <v>1587</v>
      </c>
      <c r="R361" s="274" t="s">
        <v>871</v>
      </c>
      <c r="S361" s="277" t="s">
        <v>50</v>
      </c>
      <c r="T361" s="277">
        <v>45869</v>
      </c>
      <c r="U361" s="277">
        <v>45877</v>
      </c>
      <c r="V361" s="274"/>
      <c r="W361" s="274"/>
      <c r="X361" s="278" t="s">
        <v>1593</v>
      </c>
      <c r="Y361" s="261" t="s">
        <v>1594</v>
      </c>
      <c r="Z361" s="281">
        <v>3.346</v>
      </c>
      <c r="AA361" s="282">
        <f t="shared" si="81"/>
        <v>1345.092</v>
      </c>
      <c r="AB361" s="251" t="s">
        <v>1597</v>
      </c>
      <c r="AC361" s="252" t="s">
        <v>62</v>
      </c>
      <c r="AD361" s="251" t="s">
        <v>56</v>
      </c>
      <c r="AE361" s="251">
        <f>I361</f>
        <v>402</v>
      </c>
      <c r="AF361" s="251">
        <f t="shared" si="83"/>
        <v>0</v>
      </c>
      <c r="AG361" s="266"/>
      <c r="AH361" s="266"/>
      <c r="AI361" s="253" t="s">
        <v>57</v>
      </c>
      <c r="AJ361" s="251">
        <v>0</v>
      </c>
      <c r="AK361" s="253" t="s">
        <v>73</v>
      </c>
      <c r="AL361" s="251">
        <v>0</v>
      </c>
      <c r="AM361" s="251"/>
      <c r="AN361" s="251">
        <f t="shared" si="69"/>
        <v>402</v>
      </c>
      <c r="AO361" s="251">
        <f t="shared" si="75"/>
        <v>402</v>
      </c>
      <c r="AP361" s="251" t="b">
        <f t="shared" si="76"/>
        <v>0</v>
      </c>
      <c r="AQ361" s="251">
        <f t="shared" si="77"/>
        <v>402</v>
      </c>
      <c r="AR361" s="293"/>
      <c r="AS361" s="266"/>
    </row>
    <row r="362" s="215" customFormat="1" ht="39" customHeight="1" spans="1:45">
      <c r="A362" s="254">
        <v>45855</v>
      </c>
      <c r="B362" s="249" t="s">
        <v>245</v>
      </c>
      <c r="C362" s="265" t="s">
        <v>214</v>
      </c>
      <c r="D362" s="256">
        <v>4500174198</v>
      </c>
      <c r="E362" s="257" t="s">
        <v>1598</v>
      </c>
      <c r="F362" s="267" t="s">
        <v>1599</v>
      </c>
      <c r="G362" s="253" t="s">
        <v>62</v>
      </c>
      <c r="H362" s="253" t="s">
        <v>63</v>
      </c>
      <c r="I362" s="251">
        <v>816</v>
      </c>
      <c r="J362" s="251">
        <v>0</v>
      </c>
      <c r="K362" s="251">
        <v>6</v>
      </c>
      <c r="L362" s="251">
        <f t="shared" si="74"/>
        <v>136</v>
      </c>
      <c r="M362" s="274">
        <v>45904</v>
      </c>
      <c r="N362" s="274">
        <f>M362-3</f>
        <v>45901</v>
      </c>
      <c r="O362" s="274" t="s">
        <v>1600</v>
      </c>
      <c r="P362" s="274" t="s">
        <v>1466</v>
      </c>
      <c r="Q362" s="274" t="s">
        <v>1601</v>
      </c>
      <c r="R362" s="274" t="s">
        <v>871</v>
      </c>
      <c r="S362" s="277" t="s">
        <v>77</v>
      </c>
      <c r="T362" s="277" t="s">
        <v>107</v>
      </c>
      <c r="U362" s="277">
        <v>45873</v>
      </c>
      <c r="V362" s="274"/>
      <c r="W362" s="274"/>
      <c r="X362" s="278" t="s">
        <v>1602</v>
      </c>
      <c r="Y362" s="261" t="s">
        <v>252</v>
      </c>
      <c r="Z362" s="281">
        <v>3.346</v>
      </c>
      <c r="AA362" s="282">
        <f t="shared" si="81"/>
        <v>2730.336</v>
      </c>
      <c r="AB362" s="251"/>
      <c r="AC362" s="252" t="s">
        <v>71</v>
      </c>
      <c r="AD362" s="251" t="s">
        <v>56</v>
      </c>
      <c r="AE362" s="251">
        <v>816</v>
      </c>
      <c r="AF362" s="251">
        <f t="shared" si="83"/>
        <v>0</v>
      </c>
      <c r="AG362" s="266"/>
      <c r="AH362" s="266"/>
      <c r="AI362" s="253" t="s">
        <v>72</v>
      </c>
      <c r="AJ362" s="251">
        <v>2</v>
      </c>
      <c r="AK362" s="253" t="s">
        <v>73</v>
      </c>
      <c r="AL362" s="251">
        <v>0</v>
      </c>
      <c r="AM362" s="251"/>
      <c r="AN362" s="251">
        <f t="shared" si="69"/>
        <v>816</v>
      </c>
      <c r="AO362" s="251">
        <f t="shared" ref="AO362:AO421" si="84">IF($AJ362=0,$AN362,IF($AJ362&gt;0,0))</f>
        <v>0</v>
      </c>
      <c r="AP362" s="251">
        <f t="shared" ref="AP362:AP396" si="85">IF($AJ362=2,$AN362,IF($AJ362&gt;0,0))</f>
        <v>816</v>
      </c>
      <c r="AQ362" s="251">
        <f t="shared" ref="AQ362:AQ425" si="86">IF($AL362=0,$AN362,IF($AL362&gt;0,0))</f>
        <v>816</v>
      </c>
      <c r="AR362" s="293"/>
      <c r="AS362" s="266"/>
    </row>
    <row r="363" s="215" customFormat="1" ht="39" customHeight="1" spans="1:45">
      <c r="A363" s="254">
        <v>45868</v>
      </c>
      <c r="B363" s="249" t="s">
        <v>288</v>
      </c>
      <c r="C363" s="265" t="s">
        <v>44</v>
      </c>
      <c r="D363" s="256">
        <v>4500175521</v>
      </c>
      <c r="E363" s="257" t="s">
        <v>1603</v>
      </c>
      <c r="F363" s="267" t="s">
        <v>1604</v>
      </c>
      <c r="G363" s="253" t="s">
        <v>62</v>
      </c>
      <c r="H363" s="253" t="s">
        <v>63</v>
      </c>
      <c r="I363" s="251">
        <v>2586</v>
      </c>
      <c r="J363" s="251">
        <v>0</v>
      </c>
      <c r="K363" s="251">
        <v>6</v>
      </c>
      <c r="L363" s="251">
        <f t="shared" si="74"/>
        <v>431</v>
      </c>
      <c r="M363" s="274">
        <v>45904</v>
      </c>
      <c r="N363" s="274">
        <v>45901</v>
      </c>
      <c r="O363" s="274" t="s">
        <v>1605</v>
      </c>
      <c r="P363" s="274" t="s">
        <v>1466</v>
      </c>
      <c r="Q363" s="274"/>
      <c r="R363" s="274" t="s">
        <v>871</v>
      </c>
      <c r="S363" s="277" t="s">
        <v>50</v>
      </c>
      <c r="T363" s="277">
        <v>45868</v>
      </c>
      <c r="U363" s="277" t="s">
        <v>50</v>
      </c>
      <c r="V363" s="274"/>
      <c r="W363" s="274"/>
      <c r="X363" s="278" t="s">
        <v>1606</v>
      </c>
      <c r="Y363" s="261" t="s">
        <v>293</v>
      </c>
      <c r="Z363" s="281">
        <v>3.346</v>
      </c>
      <c r="AA363" s="282">
        <f t="shared" si="81"/>
        <v>8652.756</v>
      </c>
      <c r="AB363" s="251" t="s">
        <v>1607</v>
      </c>
      <c r="AC363" s="252" t="s">
        <v>62</v>
      </c>
      <c r="AD363" s="251" t="s">
        <v>56</v>
      </c>
      <c r="AE363" s="251">
        <f>1416+1170</f>
        <v>2586</v>
      </c>
      <c r="AF363" s="251">
        <f t="shared" si="83"/>
        <v>0</v>
      </c>
      <c r="AG363" s="266"/>
      <c r="AH363" s="266"/>
      <c r="AI363" s="253" t="s">
        <v>57</v>
      </c>
      <c r="AJ363" s="251">
        <v>0</v>
      </c>
      <c r="AK363" s="253" t="s">
        <v>73</v>
      </c>
      <c r="AL363" s="251">
        <v>0</v>
      </c>
      <c r="AM363" s="251"/>
      <c r="AN363" s="251">
        <f t="shared" si="69"/>
        <v>2586</v>
      </c>
      <c r="AO363" s="251">
        <f t="shared" si="84"/>
        <v>2586</v>
      </c>
      <c r="AP363" s="251" t="b">
        <f t="shared" si="85"/>
        <v>0</v>
      </c>
      <c r="AQ363" s="251">
        <f t="shared" si="86"/>
        <v>2586</v>
      </c>
      <c r="AR363" s="293"/>
      <c r="AS363" s="266"/>
    </row>
    <row r="364" s="215" customFormat="1" ht="39" customHeight="1" spans="1:45">
      <c r="A364" s="254">
        <v>45855</v>
      </c>
      <c r="B364" s="249" t="s">
        <v>1269</v>
      </c>
      <c r="C364" s="265" t="s">
        <v>764</v>
      </c>
      <c r="D364" s="256">
        <v>4500174099</v>
      </c>
      <c r="E364" s="257" t="s">
        <v>1608</v>
      </c>
      <c r="F364" s="267" t="s">
        <v>1609</v>
      </c>
      <c r="G364" s="253" t="s">
        <v>62</v>
      </c>
      <c r="H364" s="253" t="s">
        <v>63</v>
      </c>
      <c r="I364" s="251">
        <v>300</v>
      </c>
      <c r="J364" s="251">
        <v>0</v>
      </c>
      <c r="K364" s="251">
        <v>6</v>
      </c>
      <c r="L364" s="251">
        <f t="shared" si="74"/>
        <v>50</v>
      </c>
      <c r="M364" s="274">
        <v>45905</v>
      </c>
      <c r="N364" s="274">
        <v>45901</v>
      </c>
      <c r="O364" s="274"/>
      <c r="P364" s="274" t="s">
        <v>49</v>
      </c>
      <c r="Q364" s="274">
        <v>45912</v>
      </c>
      <c r="R364" s="274" t="s">
        <v>871</v>
      </c>
      <c r="S364" s="277" t="s">
        <v>50</v>
      </c>
      <c r="T364" s="277">
        <v>45856</v>
      </c>
      <c r="U364" s="277" t="s">
        <v>1610</v>
      </c>
      <c r="V364" s="274"/>
      <c r="W364" s="274" t="s">
        <v>1137</v>
      </c>
      <c r="X364" s="278" t="s">
        <v>1611</v>
      </c>
      <c r="Y364" s="261" t="s">
        <v>454</v>
      </c>
      <c r="Z364" s="281">
        <v>3.346</v>
      </c>
      <c r="AA364" s="282">
        <f t="shared" si="81"/>
        <v>1003.8</v>
      </c>
      <c r="AB364" s="251"/>
      <c r="AC364" s="252" t="s">
        <v>62</v>
      </c>
      <c r="AD364" s="251" t="s">
        <v>56</v>
      </c>
      <c r="AE364" s="251">
        <v>300</v>
      </c>
      <c r="AF364" s="251">
        <f t="shared" si="83"/>
        <v>0</v>
      </c>
      <c r="AG364" s="266"/>
      <c r="AH364" s="266"/>
      <c r="AI364" s="253" t="s">
        <v>57</v>
      </c>
      <c r="AJ364" s="251">
        <v>0</v>
      </c>
      <c r="AK364" s="253" t="s">
        <v>73</v>
      </c>
      <c r="AL364" s="251">
        <v>0</v>
      </c>
      <c r="AM364" s="251"/>
      <c r="AN364" s="251">
        <f t="shared" si="69"/>
        <v>300</v>
      </c>
      <c r="AO364" s="251">
        <f t="shared" si="84"/>
        <v>300</v>
      </c>
      <c r="AP364" s="251" t="b">
        <f t="shared" si="85"/>
        <v>0</v>
      </c>
      <c r="AQ364" s="251">
        <f t="shared" si="86"/>
        <v>300</v>
      </c>
      <c r="AR364" s="293"/>
      <c r="AS364" s="266"/>
    </row>
    <row r="365" s="215" customFormat="1" ht="39" customHeight="1" spans="1:45">
      <c r="A365" s="254">
        <v>45859</v>
      </c>
      <c r="B365" s="249" t="s">
        <v>1320</v>
      </c>
      <c r="C365" s="265" t="s">
        <v>214</v>
      </c>
      <c r="D365" s="256">
        <v>4500174481</v>
      </c>
      <c r="E365" s="257">
        <v>4400494463</v>
      </c>
      <c r="F365" s="267" t="s">
        <v>1612</v>
      </c>
      <c r="G365" s="253" t="s">
        <v>62</v>
      </c>
      <c r="H365" s="253" t="s">
        <v>63</v>
      </c>
      <c r="I365" s="251">
        <v>2202</v>
      </c>
      <c r="J365" s="251">
        <v>0</v>
      </c>
      <c r="K365" s="251">
        <v>6</v>
      </c>
      <c r="L365" s="251">
        <f t="shared" si="74"/>
        <v>367</v>
      </c>
      <c r="M365" s="274">
        <v>45905</v>
      </c>
      <c r="N365" s="274">
        <v>45901</v>
      </c>
      <c r="O365" s="274"/>
      <c r="P365" s="274" t="s">
        <v>49</v>
      </c>
      <c r="Q365" s="274" t="s">
        <v>1613</v>
      </c>
      <c r="R365" s="274" t="s">
        <v>871</v>
      </c>
      <c r="S365" s="277" t="s">
        <v>50</v>
      </c>
      <c r="T365" s="277">
        <v>45861</v>
      </c>
      <c r="U365" s="277" t="s">
        <v>50</v>
      </c>
      <c r="V365" s="274" t="s">
        <v>1483</v>
      </c>
      <c r="W365" s="274"/>
      <c r="X365" s="278" t="s">
        <v>1614</v>
      </c>
      <c r="Y365" s="261" t="s">
        <v>1292</v>
      </c>
      <c r="Z365" s="281">
        <v>3.346</v>
      </c>
      <c r="AA365" s="282">
        <f t="shared" si="81"/>
        <v>7367.892</v>
      </c>
      <c r="AB365" s="251" t="s">
        <v>1615</v>
      </c>
      <c r="AC365" s="252" t="s">
        <v>1168</v>
      </c>
      <c r="AD365" s="251" t="s">
        <v>56</v>
      </c>
      <c r="AE365" s="251">
        <f>1638+564</f>
        <v>2202</v>
      </c>
      <c r="AF365" s="251">
        <f t="shared" si="83"/>
        <v>0</v>
      </c>
      <c r="AG365" s="266"/>
      <c r="AH365" s="266"/>
      <c r="AI365" s="253" t="s">
        <v>1486</v>
      </c>
      <c r="AJ365" s="251">
        <v>1</v>
      </c>
      <c r="AK365" s="253" t="s">
        <v>136</v>
      </c>
      <c r="AL365" s="251">
        <v>1</v>
      </c>
      <c r="AM365" s="251"/>
      <c r="AN365" s="251">
        <f t="shared" si="69"/>
        <v>2202</v>
      </c>
      <c r="AO365" s="251">
        <f t="shared" si="84"/>
        <v>0</v>
      </c>
      <c r="AP365" s="251">
        <f t="shared" si="85"/>
        <v>0</v>
      </c>
      <c r="AQ365" s="251">
        <f t="shared" si="86"/>
        <v>0</v>
      </c>
      <c r="AR365" s="293"/>
      <c r="AS365" s="266"/>
    </row>
    <row r="366" s="215" customFormat="1" ht="39" customHeight="1" spans="1:45">
      <c r="A366" s="254">
        <v>45854</v>
      </c>
      <c r="B366" s="249" t="s">
        <v>635</v>
      </c>
      <c r="C366" s="265" t="s">
        <v>182</v>
      </c>
      <c r="D366" s="256">
        <v>4500174027</v>
      </c>
      <c r="E366" s="257">
        <v>84452</v>
      </c>
      <c r="F366" s="267" t="s">
        <v>1616</v>
      </c>
      <c r="G366" s="253" t="s">
        <v>62</v>
      </c>
      <c r="H366" s="253" t="s">
        <v>63</v>
      </c>
      <c r="I366" s="251">
        <v>960</v>
      </c>
      <c r="J366" s="251">
        <v>0</v>
      </c>
      <c r="K366" s="251">
        <v>6</v>
      </c>
      <c r="L366" s="251">
        <f t="shared" si="74"/>
        <v>160</v>
      </c>
      <c r="M366" s="274">
        <v>45905</v>
      </c>
      <c r="N366" s="274">
        <v>45901</v>
      </c>
      <c r="O366" s="274"/>
      <c r="P366" s="274" t="s">
        <v>49</v>
      </c>
      <c r="Q366" s="274">
        <v>45909</v>
      </c>
      <c r="R366" s="274" t="s">
        <v>871</v>
      </c>
      <c r="S366" s="277" t="s">
        <v>50</v>
      </c>
      <c r="T366" s="277">
        <v>45866</v>
      </c>
      <c r="U366" s="277" t="s">
        <v>1617</v>
      </c>
      <c r="V366" s="274"/>
      <c r="W366" s="274"/>
      <c r="X366" s="278" t="s">
        <v>1618</v>
      </c>
      <c r="Y366" s="261" t="s">
        <v>454</v>
      </c>
      <c r="Z366" s="281">
        <v>3.346</v>
      </c>
      <c r="AA366" s="282">
        <f t="shared" si="81"/>
        <v>3212.16</v>
      </c>
      <c r="AB366" s="310" t="s">
        <v>1619</v>
      </c>
      <c r="AC366" s="252" t="s">
        <v>62</v>
      </c>
      <c r="AD366" s="251" t="s">
        <v>56</v>
      </c>
      <c r="AE366" s="251">
        <f>I366</f>
        <v>960</v>
      </c>
      <c r="AF366" s="251">
        <f t="shared" si="83"/>
        <v>0</v>
      </c>
      <c r="AG366" s="266"/>
      <c r="AH366" s="266"/>
      <c r="AI366" s="253" t="s">
        <v>57</v>
      </c>
      <c r="AJ366" s="251">
        <v>0</v>
      </c>
      <c r="AK366" s="253" t="s">
        <v>73</v>
      </c>
      <c r="AL366" s="251">
        <v>0</v>
      </c>
      <c r="AM366" s="251"/>
      <c r="AN366" s="251">
        <f t="shared" si="69"/>
        <v>960</v>
      </c>
      <c r="AO366" s="251">
        <f t="shared" si="84"/>
        <v>960</v>
      </c>
      <c r="AP366" s="251" t="b">
        <f t="shared" si="85"/>
        <v>0</v>
      </c>
      <c r="AQ366" s="251">
        <f t="shared" si="86"/>
        <v>960</v>
      </c>
      <c r="AR366" s="293"/>
      <c r="AS366" s="266"/>
    </row>
    <row r="367" s="215" customFormat="1" ht="39" customHeight="1" spans="1:45">
      <c r="A367" s="254">
        <v>45868</v>
      </c>
      <c r="B367" s="249" t="s">
        <v>1620</v>
      </c>
      <c r="C367" s="265" t="s">
        <v>44</v>
      </c>
      <c r="D367" s="256">
        <v>4500175531</v>
      </c>
      <c r="E367" s="257">
        <v>4699</v>
      </c>
      <c r="F367" s="267" t="s">
        <v>1621</v>
      </c>
      <c r="G367" s="253" t="s">
        <v>62</v>
      </c>
      <c r="H367" s="253" t="s">
        <v>63</v>
      </c>
      <c r="I367" s="251">
        <v>324</v>
      </c>
      <c r="J367" s="251">
        <v>0</v>
      </c>
      <c r="K367" s="251">
        <v>6</v>
      </c>
      <c r="L367" s="251">
        <f t="shared" si="74"/>
        <v>54</v>
      </c>
      <c r="M367" s="274">
        <v>45905</v>
      </c>
      <c r="N367" s="274">
        <v>45901</v>
      </c>
      <c r="O367" s="274"/>
      <c r="P367" s="274" t="s">
        <v>49</v>
      </c>
      <c r="Q367" s="274"/>
      <c r="R367" s="274" t="s">
        <v>871</v>
      </c>
      <c r="S367" s="277" t="s">
        <v>50</v>
      </c>
      <c r="T367" s="277">
        <v>45875</v>
      </c>
      <c r="U367" s="277" t="s">
        <v>50</v>
      </c>
      <c r="V367" s="274"/>
      <c r="W367" s="274"/>
      <c r="X367" s="278" t="s">
        <v>1622</v>
      </c>
      <c r="Y367" s="261" t="s">
        <v>850</v>
      </c>
      <c r="Z367" s="281">
        <v>3.346</v>
      </c>
      <c r="AA367" s="282">
        <f t="shared" si="81"/>
        <v>1084.104</v>
      </c>
      <c r="AB367" s="251" t="s">
        <v>1623</v>
      </c>
      <c r="AC367" s="252" t="s">
        <v>62</v>
      </c>
      <c r="AD367" s="251" t="s">
        <v>56</v>
      </c>
      <c r="AE367" s="251">
        <v>324</v>
      </c>
      <c r="AF367" s="251">
        <f t="shared" si="83"/>
        <v>0</v>
      </c>
      <c r="AG367" s="266"/>
      <c r="AH367" s="266"/>
      <c r="AI367" s="253" t="s">
        <v>57</v>
      </c>
      <c r="AJ367" s="251">
        <v>0</v>
      </c>
      <c r="AK367" s="253" t="s">
        <v>73</v>
      </c>
      <c r="AL367" s="251">
        <v>0</v>
      </c>
      <c r="AM367" s="251"/>
      <c r="AN367" s="251">
        <f t="shared" si="69"/>
        <v>324</v>
      </c>
      <c r="AO367" s="251">
        <f t="shared" si="84"/>
        <v>324</v>
      </c>
      <c r="AP367" s="251" t="b">
        <f t="shared" si="85"/>
        <v>0</v>
      </c>
      <c r="AQ367" s="251">
        <f t="shared" si="86"/>
        <v>324</v>
      </c>
      <c r="AR367" s="293"/>
      <c r="AS367" s="266"/>
    </row>
    <row r="368" s="215" customFormat="1" ht="39" customHeight="1" spans="1:45">
      <c r="A368" s="254">
        <v>45866</v>
      </c>
      <c r="B368" s="249" t="s">
        <v>181</v>
      </c>
      <c r="C368" s="265" t="s">
        <v>182</v>
      </c>
      <c r="D368" s="256">
        <v>4500175222</v>
      </c>
      <c r="E368" s="257">
        <v>2476672</v>
      </c>
      <c r="F368" s="267" t="s">
        <v>1624</v>
      </c>
      <c r="G368" s="253" t="s">
        <v>62</v>
      </c>
      <c r="H368" s="253" t="s">
        <v>63</v>
      </c>
      <c r="I368" s="251">
        <v>1500</v>
      </c>
      <c r="J368" s="251">
        <v>0</v>
      </c>
      <c r="K368" s="251">
        <v>6</v>
      </c>
      <c r="L368" s="251">
        <f t="shared" si="74"/>
        <v>250</v>
      </c>
      <c r="M368" s="274">
        <v>45908</v>
      </c>
      <c r="N368" s="274">
        <v>45904</v>
      </c>
      <c r="O368" s="274"/>
      <c r="P368" s="274" t="s">
        <v>49</v>
      </c>
      <c r="Q368" s="274"/>
      <c r="R368" s="274" t="s">
        <v>871</v>
      </c>
      <c r="S368" s="277" t="s">
        <v>77</v>
      </c>
      <c r="T368" s="277">
        <v>45866</v>
      </c>
      <c r="U368" s="277">
        <v>45896</v>
      </c>
      <c r="V368" s="274"/>
      <c r="W368" s="274"/>
      <c r="X368" s="278" t="s">
        <v>1625</v>
      </c>
      <c r="Y368" s="261" t="s">
        <v>807</v>
      </c>
      <c r="Z368" s="281">
        <v>3.346</v>
      </c>
      <c r="AA368" s="282">
        <f t="shared" si="81"/>
        <v>5019</v>
      </c>
      <c r="AB368" s="251"/>
      <c r="AC368" s="252" t="s">
        <v>62</v>
      </c>
      <c r="AD368" s="251" t="s">
        <v>56</v>
      </c>
      <c r="AE368" s="251">
        <v>1500</v>
      </c>
      <c r="AF368" s="251">
        <f t="shared" si="83"/>
        <v>0</v>
      </c>
      <c r="AG368" s="266"/>
      <c r="AH368" s="266"/>
      <c r="AI368" s="253" t="s">
        <v>57</v>
      </c>
      <c r="AJ368" s="251">
        <v>0</v>
      </c>
      <c r="AK368" s="253" t="s">
        <v>73</v>
      </c>
      <c r="AL368" s="251">
        <v>0</v>
      </c>
      <c r="AM368" s="251"/>
      <c r="AN368" s="251">
        <f t="shared" si="69"/>
        <v>1500</v>
      </c>
      <c r="AO368" s="251">
        <f t="shared" si="84"/>
        <v>1500</v>
      </c>
      <c r="AP368" s="251" t="b">
        <f t="shared" si="85"/>
        <v>0</v>
      </c>
      <c r="AQ368" s="251">
        <f t="shared" si="86"/>
        <v>1500</v>
      </c>
      <c r="AR368" s="293"/>
      <c r="AS368" s="266"/>
    </row>
    <row r="369" s="215" customFormat="1" ht="39" hidden="1" customHeight="1" spans="1:45">
      <c r="A369" s="254">
        <v>45856</v>
      </c>
      <c r="B369" s="249" t="s">
        <v>838</v>
      </c>
      <c r="C369" s="265" t="s">
        <v>44</v>
      </c>
      <c r="D369" s="256">
        <v>4500173831</v>
      </c>
      <c r="E369" s="257" t="s">
        <v>1626</v>
      </c>
      <c r="F369" s="267" t="s">
        <v>1627</v>
      </c>
      <c r="G369" s="253" t="s">
        <v>46</v>
      </c>
      <c r="H369" s="253" t="s">
        <v>47</v>
      </c>
      <c r="I369" s="251">
        <v>1666</v>
      </c>
      <c r="J369" s="251">
        <v>0</v>
      </c>
      <c r="K369" s="251">
        <v>98</v>
      </c>
      <c r="L369" s="251">
        <f t="shared" si="74"/>
        <v>17</v>
      </c>
      <c r="M369" s="274">
        <v>45911</v>
      </c>
      <c r="N369" s="274">
        <v>45908</v>
      </c>
      <c r="O369" s="274">
        <v>45910</v>
      </c>
      <c r="P369" s="274" t="s">
        <v>49</v>
      </c>
      <c r="Q369" s="274">
        <v>45925</v>
      </c>
      <c r="R369" s="274" t="s">
        <v>871</v>
      </c>
      <c r="S369" s="277" t="s">
        <v>50</v>
      </c>
      <c r="T369" s="277" t="s">
        <v>1135</v>
      </c>
      <c r="U369" s="277">
        <v>45866</v>
      </c>
      <c r="V369" s="274"/>
      <c r="W369" s="274" t="s">
        <v>1137</v>
      </c>
      <c r="X369" s="278" t="s">
        <v>1261</v>
      </c>
      <c r="Y369" s="261" t="s">
        <v>844</v>
      </c>
      <c r="Z369" s="281">
        <v>217.2688</v>
      </c>
      <c r="AA369" s="282">
        <f t="shared" ref="AA369:AA385" si="87">Z369*L369</f>
        <v>3693.5696</v>
      </c>
      <c r="AB369" s="251" t="s">
        <v>1628</v>
      </c>
      <c r="AC369" s="252" t="s">
        <v>46</v>
      </c>
      <c r="AD369" s="251" t="s">
        <v>56</v>
      </c>
      <c r="AE369" s="251">
        <f>1372+294</f>
        <v>1666</v>
      </c>
      <c r="AF369" s="251">
        <f t="shared" ref="AF369:AF396" si="88">AE369-I369</f>
        <v>0</v>
      </c>
      <c r="AG369" s="266"/>
      <c r="AH369" s="266"/>
      <c r="AI369" s="253" t="s">
        <v>57</v>
      </c>
      <c r="AJ369" s="251">
        <v>0</v>
      </c>
      <c r="AK369" s="253" t="s">
        <v>73</v>
      </c>
      <c r="AL369" s="251">
        <v>0</v>
      </c>
      <c r="AM369" s="251"/>
      <c r="AN369" s="251">
        <f t="shared" si="69"/>
        <v>1666</v>
      </c>
      <c r="AO369" s="251">
        <f t="shared" si="84"/>
        <v>1666</v>
      </c>
      <c r="AP369" s="251" t="b">
        <f t="shared" si="85"/>
        <v>0</v>
      </c>
      <c r="AQ369" s="251">
        <f t="shared" si="86"/>
        <v>1666</v>
      </c>
      <c r="AR369" s="293"/>
      <c r="AS369" s="266"/>
    </row>
    <row r="370" s="215" customFormat="1" ht="39" hidden="1" customHeight="1" spans="1:45">
      <c r="A370" s="254">
        <v>45856</v>
      </c>
      <c r="B370" s="249" t="s">
        <v>838</v>
      </c>
      <c r="C370" s="265" t="s">
        <v>44</v>
      </c>
      <c r="D370" s="256">
        <v>4500173831</v>
      </c>
      <c r="E370" s="257" t="s">
        <v>1629</v>
      </c>
      <c r="F370" s="267" t="s">
        <v>1630</v>
      </c>
      <c r="G370" s="253" t="s">
        <v>46</v>
      </c>
      <c r="H370" s="253" t="s">
        <v>47</v>
      </c>
      <c r="I370" s="251">
        <v>1568</v>
      </c>
      <c r="J370" s="251">
        <v>0</v>
      </c>
      <c r="K370" s="251">
        <v>98</v>
      </c>
      <c r="L370" s="251">
        <f t="shared" si="74"/>
        <v>16</v>
      </c>
      <c r="M370" s="274">
        <v>45911</v>
      </c>
      <c r="N370" s="274">
        <v>45908</v>
      </c>
      <c r="O370" s="274">
        <v>45910</v>
      </c>
      <c r="P370" s="274" t="s">
        <v>49</v>
      </c>
      <c r="Q370" s="274">
        <v>45925</v>
      </c>
      <c r="R370" s="274" t="s">
        <v>871</v>
      </c>
      <c r="S370" s="277" t="s">
        <v>50</v>
      </c>
      <c r="T370" s="277" t="s">
        <v>1135</v>
      </c>
      <c r="U370" s="277">
        <v>45866</v>
      </c>
      <c r="V370" s="274"/>
      <c r="W370" s="274" t="s">
        <v>1137</v>
      </c>
      <c r="X370" s="278" t="s">
        <v>1261</v>
      </c>
      <c r="Y370" s="261" t="s">
        <v>844</v>
      </c>
      <c r="Z370" s="281">
        <v>217.2688</v>
      </c>
      <c r="AA370" s="282">
        <f t="shared" si="87"/>
        <v>3476.3008</v>
      </c>
      <c r="AB370" s="251" t="s">
        <v>1631</v>
      </c>
      <c r="AC370" s="252" t="s">
        <v>46</v>
      </c>
      <c r="AD370" s="251" t="s">
        <v>56</v>
      </c>
      <c r="AE370" s="251">
        <f>294+1274</f>
        <v>1568</v>
      </c>
      <c r="AF370" s="251">
        <f t="shared" si="88"/>
        <v>0</v>
      </c>
      <c r="AG370" s="266"/>
      <c r="AH370" s="266"/>
      <c r="AI370" s="253" t="s">
        <v>57</v>
      </c>
      <c r="AJ370" s="251">
        <v>0</v>
      </c>
      <c r="AK370" s="253" t="s">
        <v>73</v>
      </c>
      <c r="AL370" s="251">
        <v>0</v>
      </c>
      <c r="AM370" s="251"/>
      <c r="AN370" s="251">
        <f t="shared" si="69"/>
        <v>1568</v>
      </c>
      <c r="AO370" s="251">
        <f t="shared" si="84"/>
        <v>1568</v>
      </c>
      <c r="AP370" s="251" t="b">
        <f t="shared" si="85"/>
        <v>0</v>
      </c>
      <c r="AQ370" s="251">
        <f t="shared" si="86"/>
        <v>1568</v>
      </c>
      <c r="AR370" s="293"/>
      <c r="AS370" s="266"/>
    </row>
    <row r="371" s="215" customFormat="1" ht="39" hidden="1" customHeight="1" spans="1:45">
      <c r="A371" s="254">
        <v>45856</v>
      </c>
      <c r="B371" s="249" t="s">
        <v>838</v>
      </c>
      <c r="C371" s="265" t="s">
        <v>44</v>
      </c>
      <c r="D371" s="256">
        <v>4500173831</v>
      </c>
      <c r="E371" s="257" t="s">
        <v>1632</v>
      </c>
      <c r="F371" s="267" t="s">
        <v>1633</v>
      </c>
      <c r="G371" s="253" t="s">
        <v>46</v>
      </c>
      <c r="H371" s="253" t="s">
        <v>47</v>
      </c>
      <c r="I371" s="251">
        <v>588</v>
      </c>
      <c r="J371" s="251">
        <v>0</v>
      </c>
      <c r="K371" s="251">
        <v>98</v>
      </c>
      <c r="L371" s="251">
        <f t="shared" si="74"/>
        <v>6</v>
      </c>
      <c r="M371" s="274">
        <v>45911</v>
      </c>
      <c r="N371" s="274">
        <v>45908</v>
      </c>
      <c r="O371" s="274">
        <v>45910</v>
      </c>
      <c r="P371" s="274" t="s">
        <v>49</v>
      </c>
      <c r="Q371" s="274">
        <v>45925</v>
      </c>
      <c r="R371" s="274" t="s">
        <v>871</v>
      </c>
      <c r="S371" s="277" t="s">
        <v>50</v>
      </c>
      <c r="T371" s="277" t="s">
        <v>1135</v>
      </c>
      <c r="U371" s="277">
        <v>45866</v>
      </c>
      <c r="V371" s="274"/>
      <c r="W371" s="274" t="s">
        <v>1137</v>
      </c>
      <c r="X371" s="278" t="s">
        <v>1261</v>
      </c>
      <c r="Y371" s="261" t="s">
        <v>844</v>
      </c>
      <c r="Z371" s="281">
        <v>217.2688</v>
      </c>
      <c r="AA371" s="282">
        <f t="shared" si="87"/>
        <v>1303.6128</v>
      </c>
      <c r="AB371" s="251" t="s">
        <v>1634</v>
      </c>
      <c r="AC371" s="252" t="s">
        <v>46</v>
      </c>
      <c r="AD371" s="251" t="s">
        <v>56</v>
      </c>
      <c r="AE371" s="251">
        <v>588</v>
      </c>
      <c r="AF371" s="251">
        <f t="shared" si="88"/>
        <v>0</v>
      </c>
      <c r="AG371" s="266"/>
      <c r="AH371" s="266"/>
      <c r="AI371" s="253" t="s">
        <v>57</v>
      </c>
      <c r="AJ371" s="251">
        <v>0</v>
      </c>
      <c r="AK371" s="253" t="s">
        <v>73</v>
      </c>
      <c r="AL371" s="251">
        <v>0</v>
      </c>
      <c r="AM371" s="251"/>
      <c r="AN371" s="251">
        <f t="shared" si="69"/>
        <v>588</v>
      </c>
      <c r="AO371" s="251">
        <f t="shared" si="84"/>
        <v>588</v>
      </c>
      <c r="AP371" s="251" t="b">
        <f t="shared" si="85"/>
        <v>0</v>
      </c>
      <c r="AQ371" s="251">
        <f t="shared" si="86"/>
        <v>588</v>
      </c>
      <c r="AR371" s="293"/>
      <c r="AS371" s="266"/>
    </row>
    <row r="372" s="215" customFormat="1" ht="39" hidden="1" customHeight="1" spans="1:45">
      <c r="A372" s="254">
        <v>45856</v>
      </c>
      <c r="B372" s="249" t="s">
        <v>838</v>
      </c>
      <c r="C372" s="265" t="s">
        <v>44</v>
      </c>
      <c r="D372" s="256">
        <v>4500173831</v>
      </c>
      <c r="E372" s="257" t="s">
        <v>1635</v>
      </c>
      <c r="F372" s="267" t="s">
        <v>1636</v>
      </c>
      <c r="G372" s="253" t="s">
        <v>46</v>
      </c>
      <c r="H372" s="253" t="s">
        <v>47</v>
      </c>
      <c r="I372" s="251">
        <v>1470</v>
      </c>
      <c r="J372" s="251">
        <v>0</v>
      </c>
      <c r="K372" s="251">
        <v>98</v>
      </c>
      <c r="L372" s="251">
        <f t="shared" si="74"/>
        <v>15</v>
      </c>
      <c r="M372" s="274">
        <v>45911</v>
      </c>
      <c r="N372" s="274">
        <v>45908</v>
      </c>
      <c r="O372" s="274">
        <v>45910</v>
      </c>
      <c r="P372" s="274" t="s">
        <v>49</v>
      </c>
      <c r="Q372" s="274">
        <v>45925</v>
      </c>
      <c r="R372" s="274" t="s">
        <v>871</v>
      </c>
      <c r="S372" s="277" t="s">
        <v>50</v>
      </c>
      <c r="T372" s="277" t="s">
        <v>1135</v>
      </c>
      <c r="U372" s="277">
        <v>45866</v>
      </c>
      <c r="V372" s="274"/>
      <c r="W372" s="274" t="s">
        <v>1137</v>
      </c>
      <c r="X372" s="278" t="s">
        <v>1261</v>
      </c>
      <c r="Y372" s="261" t="s">
        <v>844</v>
      </c>
      <c r="Z372" s="281">
        <v>217.2688</v>
      </c>
      <c r="AA372" s="282">
        <f t="shared" si="87"/>
        <v>3259.032</v>
      </c>
      <c r="AB372" s="251" t="s">
        <v>1637</v>
      </c>
      <c r="AC372" s="252" t="s">
        <v>46</v>
      </c>
      <c r="AD372" s="251" t="s">
        <v>56</v>
      </c>
      <c r="AE372" s="251">
        <v>1470</v>
      </c>
      <c r="AF372" s="251">
        <f t="shared" si="88"/>
        <v>0</v>
      </c>
      <c r="AG372" s="266"/>
      <c r="AH372" s="266"/>
      <c r="AI372" s="253" t="s">
        <v>57</v>
      </c>
      <c r="AJ372" s="251">
        <v>0</v>
      </c>
      <c r="AK372" s="253" t="s">
        <v>73</v>
      </c>
      <c r="AL372" s="251">
        <v>0</v>
      </c>
      <c r="AM372" s="251"/>
      <c r="AN372" s="251">
        <f t="shared" si="69"/>
        <v>1470</v>
      </c>
      <c r="AO372" s="251">
        <f t="shared" si="84"/>
        <v>1470</v>
      </c>
      <c r="AP372" s="251" t="b">
        <f t="shared" si="85"/>
        <v>0</v>
      </c>
      <c r="AQ372" s="251">
        <f t="shared" si="86"/>
        <v>1470</v>
      </c>
      <c r="AR372" s="293"/>
      <c r="AS372" s="266"/>
    </row>
    <row r="373" s="215" customFormat="1" ht="39" hidden="1" customHeight="1" spans="1:45">
      <c r="A373" s="254">
        <v>45856</v>
      </c>
      <c r="B373" s="249" t="s">
        <v>838</v>
      </c>
      <c r="C373" s="265" t="s">
        <v>44</v>
      </c>
      <c r="D373" s="256">
        <v>4500173831</v>
      </c>
      <c r="E373" s="257" t="s">
        <v>1638</v>
      </c>
      <c r="F373" s="267" t="s">
        <v>1639</v>
      </c>
      <c r="G373" s="253" t="s">
        <v>46</v>
      </c>
      <c r="H373" s="253" t="s">
        <v>47</v>
      </c>
      <c r="I373" s="251">
        <v>1176</v>
      </c>
      <c r="J373" s="251">
        <v>0</v>
      </c>
      <c r="K373" s="251">
        <v>98</v>
      </c>
      <c r="L373" s="251">
        <f t="shared" si="74"/>
        <v>12</v>
      </c>
      <c r="M373" s="274">
        <v>45911</v>
      </c>
      <c r="N373" s="274">
        <v>45908</v>
      </c>
      <c r="O373" s="274">
        <v>45910</v>
      </c>
      <c r="P373" s="274" t="s">
        <v>49</v>
      </c>
      <c r="Q373" s="274">
        <v>45925</v>
      </c>
      <c r="R373" s="274" t="s">
        <v>871</v>
      </c>
      <c r="S373" s="277" t="s">
        <v>50</v>
      </c>
      <c r="T373" s="277" t="s">
        <v>1135</v>
      </c>
      <c r="U373" s="277">
        <v>45866</v>
      </c>
      <c r="V373" s="274"/>
      <c r="W373" s="274" t="s">
        <v>1137</v>
      </c>
      <c r="X373" s="278" t="s">
        <v>1261</v>
      </c>
      <c r="Y373" s="261" t="s">
        <v>844</v>
      </c>
      <c r="Z373" s="281">
        <v>217.2688</v>
      </c>
      <c r="AA373" s="282">
        <f t="shared" si="87"/>
        <v>2607.2256</v>
      </c>
      <c r="AB373" s="251" t="s">
        <v>1640</v>
      </c>
      <c r="AC373" s="252" t="s">
        <v>46</v>
      </c>
      <c r="AD373" s="251" t="s">
        <v>56</v>
      </c>
      <c r="AE373" s="251">
        <v>1176</v>
      </c>
      <c r="AF373" s="251">
        <f t="shared" si="88"/>
        <v>0</v>
      </c>
      <c r="AG373" s="266"/>
      <c r="AH373" s="266"/>
      <c r="AI373" s="253" t="s">
        <v>57</v>
      </c>
      <c r="AJ373" s="251">
        <v>0</v>
      </c>
      <c r="AK373" s="253" t="s">
        <v>73</v>
      </c>
      <c r="AL373" s="251">
        <v>0</v>
      </c>
      <c r="AM373" s="251"/>
      <c r="AN373" s="251">
        <f t="shared" si="69"/>
        <v>1176</v>
      </c>
      <c r="AO373" s="251">
        <f t="shared" si="84"/>
        <v>1176</v>
      </c>
      <c r="AP373" s="251" t="b">
        <f t="shared" si="85"/>
        <v>0</v>
      </c>
      <c r="AQ373" s="251">
        <f t="shared" si="86"/>
        <v>1176</v>
      </c>
      <c r="AR373" s="293"/>
      <c r="AS373" s="266"/>
    </row>
    <row r="374" s="215" customFormat="1" ht="39" hidden="1" customHeight="1" spans="1:45">
      <c r="A374" s="254">
        <v>45856</v>
      </c>
      <c r="B374" s="249" t="s">
        <v>838</v>
      </c>
      <c r="C374" s="265" t="s">
        <v>44</v>
      </c>
      <c r="D374" s="256">
        <v>4500173831</v>
      </c>
      <c r="E374" s="257" t="s">
        <v>1641</v>
      </c>
      <c r="F374" s="267" t="s">
        <v>1642</v>
      </c>
      <c r="G374" s="253" t="s">
        <v>46</v>
      </c>
      <c r="H374" s="253" t="s">
        <v>47</v>
      </c>
      <c r="I374" s="251">
        <v>1960</v>
      </c>
      <c r="J374" s="251">
        <v>0</v>
      </c>
      <c r="K374" s="251">
        <v>98</v>
      </c>
      <c r="L374" s="251">
        <f t="shared" si="74"/>
        <v>20</v>
      </c>
      <c r="M374" s="274">
        <v>45911</v>
      </c>
      <c r="N374" s="274">
        <v>45908</v>
      </c>
      <c r="O374" s="274">
        <v>45910</v>
      </c>
      <c r="P374" s="274" t="s">
        <v>49</v>
      </c>
      <c r="Q374" s="274">
        <v>45925</v>
      </c>
      <c r="R374" s="274" t="s">
        <v>871</v>
      </c>
      <c r="S374" s="277" t="s">
        <v>50</v>
      </c>
      <c r="T374" s="277" t="s">
        <v>1135</v>
      </c>
      <c r="U374" s="277">
        <v>45866</v>
      </c>
      <c r="V374" s="274"/>
      <c r="W374" s="274" t="s">
        <v>1137</v>
      </c>
      <c r="X374" s="278" t="s">
        <v>1261</v>
      </c>
      <c r="Y374" s="261" t="s">
        <v>844</v>
      </c>
      <c r="Z374" s="281">
        <v>217.2688</v>
      </c>
      <c r="AA374" s="282">
        <f t="shared" si="87"/>
        <v>4345.376</v>
      </c>
      <c r="AB374" s="251" t="s">
        <v>1643</v>
      </c>
      <c r="AC374" s="252" t="s">
        <v>46</v>
      </c>
      <c r="AD374" s="251" t="s">
        <v>56</v>
      </c>
      <c r="AE374" s="251">
        <f>490+1372+98</f>
        <v>1960</v>
      </c>
      <c r="AF374" s="251">
        <f t="shared" si="88"/>
        <v>0</v>
      </c>
      <c r="AG374" s="266"/>
      <c r="AH374" s="266"/>
      <c r="AI374" s="253" t="s">
        <v>57</v>
      </c>
      <c r="AJ374" s="251">
        <v>0</v>
      </c>
      <c r="AK374" s="253" t="s">
        <v>73</v>
      </c>
      <c r="AL374" s="251">
        <v>0</v>
      </c>
      <c r="AM374" s="251"/>
      <c r="AN374" s="251">
        <f t="shared" si="69"/>
        <v>1960</v>
      </c>
      <c r="AO374" s="251">
        <f t="shared" si="84"/>
        <v>1960</v>
      </c>
      <c r="AP374" s="251" t="b">
        <f t="shared" si="85"/>
        <v>0</v>
      </c>
      <c r="AQ374" s="251">
        <f t="shared" si="86"/>
        <v>1960</v>
      </c>
      <c r="AR374" s="293"/>
      <c r="AS374" s="266"/>
    </row>
    <row r="375" s="215" customFormat="1" ht="39" hidden="1" customHeight="1" spans="1:45">
      <c r="A375" s="254">
        <v>45856</v>
      </c>
      <c r="B375" s="249" t="s">
        <v>838</v>
      </c>
      <c r="C375" s="265" t="s">
        <v>44</v>
      </c>
      <c r="D375" s="256">
        <v>4500173831</v>
      </c>
      <c r="E375" s="257" t="s">
        <v>1644</v>
      </c>
      <c r="F375" s="267" t="s">
        <v>1645</v>
      </c>
      <c r="G375" s="253" t="s">
        <v>46</v>
      </c>
      <c r="H375" s="253" t="s">
        <v>47</v>
      </c>
      <c r="I375" s="251">
        <v>490</v>
      </c>
      <c r="J375" s="251">
        <v>0</v>
      </c>
      <c r="K375" s="251">
        <v>98</v>
      </c>
      <c r="L375" s="251">
        <f t="shared" si="74"/>
        <v>5</v>
      </c>
      <c r="M375" s="274">
        <v>45911</v>
      </c>
      <c r="N375" s="274">
        <v>45908</v>
      </c>
      <c r="O375" s="274">
        <v>45910</v>
      </c>
      <c r="P375" s="274" t="s">
        <v>49</v>
      </c>
      <c r="Q375" s="274">
        <v>45925</v>
      </c>
      <c r="R375" s="274" t="s">
        <v>871</v>
      </c>
      <c r="S375" s="277" t="s">
        <v>50</v>
      </c>
      <c r="T375" s="277" t="s">
        <v>1135</v>
      </c>
      <c r="U375" s="277">
        <v>45866</v>
      </c>
      <c r="V375" s="274"/>
      <c r="W375" s="274" t="s">
        <v>1137</v>
      </c>
      <c r="X375" s="278" t="s">
        <v>1261</v>
      </c>
      <c r="Y375" s="261" t="s">
        <v>844</v>
      </c>
      <c r="Z375" s="281">
        <v>217.2688</v>
      </c>
      <c r="AA375" s="282">
        <f t="shared" si="87"/>
        <v>1086.344</v>
      </c>
      <c r="AB375" s="251" t="s">
        <v>1646</v>
      </c>
      <c r="AC375" s="252" t="s">
        <v>46</v>
      </c>
      <c r="AD375" s="251" t="s">
        <v>56</v>
      </c>
      <c r="AE375" s="251">
        <f>392+98</f>
        <v>490</v>
      </c>
      <c r="AF375" s="251">
        <f t="shared" si="88"/>
        <v>0</v>
      </c>
      <c r="AG375" s="266"/>
      <c r="AH375" s="266"/>
      <c r="AI375" s="253" t="s">
        <v>57</v>
      </c>
      <c r="AJ375" s="251">
        <v>0</v>
      </c>
      <c r="AK375" s="253" t="s">
        <v>73</v>
      </c>
      <c r="AL375" s="251">
        <v>0</v>
      </c>
      <c r="AM375" s="251"/>
      <c r="AN375" s="251">
        <f t="shared" si="69"/>
        <v>490</v>
      </c>
      <c r="AO375" s="251">
        <f t="shared" si="84"/>
        <v>490</v>
      </c>
      <c r="AP375" s="251" t="b">
        <f t="shared" si="85"/>
        <v>0</v>
      </c>
      <c r="AQ375" s="251">
        <f t="shared" si="86"/>
        <v>490</v>
      </c>
      <c r="AR375" s="293"/>
      <c r="AS375" s="266"/>
    </row>
    <row r="376" s="215" customFormat="1" ht="39" hidden="1" customHeight="1" spans="1:45">
      <c r="A376" s="254">
        <v>45856</v>
      </c>
      <c r="B376" s="249" t="s">
        <v>838</v>
      </c>
      <c r="C376" s="265" t="s">
        <v>44</v>
      </c>
      <c r="D376" s="256">
        <v>4500173831</v>
      </c>
      <c r="E376" s="257" t="s">
        <v>1647</v>
      </c>
      <c r="F376" s="267" t="s">
        <v>1648</v>
      </c>
      <c r="G376" s="253" t="s">
        <v>46</v>
      </c>
      <c r="H376" s="253" t="s">
        <v>47</v>
      </c>
      <c r="I376" s="251">
        <v>784</v>
      </c>
      <c r="J376" s="251">
        <v>0</v>
      </c>
      <c r="K376" s="251">
        <v>98</v>
      </c>
      <c r="L376" s="251">
        <f t="shared" si="74"/>
        <v>8</v>
      </c>
      <c r="M376" s="274">
        <v>45911</v>
      </c>
      <c r="N376" s="274">
        <v>45908</v>
      </c>
      <c r="O376" s="274">
        <v>45910</v>
      </c>
      <c r="P376" s="274" t="s">
        <v>49</v>
      </c>
      <c r="Q376" s="274">
        <v>45925</v>
      </c>
      <c r="R376" s="274" t="s">
        <v>871</v>
      </c>
      <c r="S376" s="277" t="s">
        <v>50</v>
      </c>
      <c r="T376" s="277" t="s">
        <v>1135</v>
      </c>
      <c r="U376" s="277">
        <v>45866</v>
      </c>
      <c r="V376" s="274"/>
      <c r="W376" s="274" t="s">
        <v>1137</v>
      </c>
      <c r="X376" s="278" t="s">
        <v>1261</v>
      </c>
      <c r="Y376" s="261" t="s">
        <v>844</v>
      </c>
      <c r="Z376" s="281">
        <v>217.2688</v>
      </c>
      <c r="AA376" s="282">
        <f t="shared" si="87"/>
        <v>1738.1504</v>
      </c>
      <c r="AB376" s="251" t="s">
        <v>1649</v>
      </c>
      <c r="AC376" s="252" t="s">
        <v>46</v>
      </c>
      <c r="AD376" s="251" t="s">
        <v>56</v>
      </c>
      <c r="AE376" s="251">
        <v>784</v>
      </c>
      <c r="AF376" s="251">
        <f t="shared" si="88"/>
        <v>0</v>
      </c>
      <c r="AG376" s="266"/>
      <c r="AH376" s="266"/>
      <c r="AI376" s="253" t="s">
        <v>57</v>
      </c>
      <c r="AJ376" s="251">
        <v>0</v>
      </c>
      <c r="AK376" s="253" t="s">
        <v>73</v>
      </c>
      <c r="AL376" s="251">
        <v>0</v>
      </c>
      <c r="AM376" s="251"/>
      <c r="AN376" s="251">
        <f t="shared" si="69"/>
        <v>784</v>
      </c>
      <c r="AO376" s="251">
        <f t="shared" si="84"/>
        <v>784</v>
      </c>
      <c r="AP376" s="251" t="b">
        <f t="shared" si="85"/>
        <v>0</v>
      </c>
      <c r="AQ376" s="251">
        <f t="shared" si="86"/>
        <v>784</v>
      </c>
      <c r="AR376" s="293"/>
      <c r="AS376" s="266"/>
    </row>
    <row r="377" s="215" customFormat="1" ht="39" hidden="1" customHeight="1" spans="1:45">
      <c r="A377" s="254">
        <v>45856</v>
      </c>
      <c r="B377" s="249" t="s">
        <v>838</v>
      </c>
      <c r="C377" s="265" t="s">
        <v>44</v>
      </c>
      <c r="D377" s="256">
        <v>4500173831</v>
      </c>
      <c r="E377" s="257" t="s">
        <v>1650</v>
      </c>
      <c r="F377" s="267" t="s">
        <v>1651</v>
      </c>
      <c r="G377" s="253" t="s">
        <v>46</v>
      </c>
      <c r="H377" s="253" t="s">
        <v>47</v>
      </c>
      <c r="I377" s="251">
        <v>490</v>
      </c>
      <c r="J377" s="251">
        <v>0</v>
      </c>
      <c r="K377" s="251">
        <v>98</v>
      </c>
      <c r="L377" s="251">
        <f t="shared" si="74"/>
        <v>5</v>
      </c>
      <c r="M377" s="274">
        <v>45911</v>
      </c>
      <c r="N377" s="274">
        <v>45908</v>
      </c>
      <c r="O377" s="274">
        <v>45910</v>
      </c>
      <c r="P377" s="274" t="s">
        <v>49</v>
      </c>
      <c r="Q377" s="274">
        <v>45925</v>
      </c>
      <c r="R377" s="274" t="s">
        <v>871</v>
      </c>
      <c r="S377" s="277" t="s">
        <v>50</v>
      </c>
      <c r="T377" s="277" t="s">
        <v>1135</v>
      </c>
      <c r="U377" s="277">
        <v>45866</v>
      </c>
      <c r="V377" s="274"/>
      <c r="W377" s="274" t="s">
        <v>1137</v>
      </c>
      <c r="X377" s="278" t="s">
        <v>1261</v>
      </c>
      <c r="Y377" s="261" t="s">
        <v>844</v>
      </c>
      <c r="Z377" s="281">
        <v>217.2688</v>
      </c>
      <c r="AA377" s="282">
        <f t="shared" si="87"/>
        <v>1086.344</v>
      </c>
      <c r="AB377" s="251" t="s">
        <v>1652</v>
      </c>
      <c r="AC377" s="252" t="s">
        <v>46</v>
      </c>
      <c r="AD377" s="251" t="s">
        <v>56</v>
      </c>
      <c r="AE377" s="251">
        <f>196+294</f>
        <v>490</v>
      </c>
      <c r="AF377" s="251">
        <f t="shared" si="88"/>
        <v>0</v>
      </c>
      <c r="AG377" s="266"/>
      <c r="AH377" s="266"/>
      <c r="AI377" s="253" t="s">
        <v>57</v>
      </c>
      <c r="AJ377" s="251">
        <v>0</v>
      </c>
      <c r="AK377" s="253" t="s">
        <v>73</v>
      </c>
      <c r="AL377" s="251">
        <v>0</v>
      </c>
      <c r="AM377" s="251"/>
      <c r="AN377" s="251">
        <f t="shared" si="69"/>
        <v>490</v>
      </c>
      <c r="AO377" s="251">
        <f t="shared" si="84"/>
        <v>490</v>
      </c>
      <c r="AP377" s="251" t="b">
        <f t="shared" si="85"/>
        <v>0</v>
      </c>
      <c r="AQ377" s="251">
        <f t="shared" si="86"/>
        <v>490</v>
      </c>
      <c r="AR377" s="293"/>
      <c r="AS377" s="266"/>
    </row>
    <row r="378" s="215" customFormat="1" ht="39" hidden="1" customHeight="1" spans="1:45">
      <c r="A378" s="254">
        <v>45856</v>
      </c>
      <c r="B378" s="249" t="s">
        <v>838</v>
      </c>
      <c r="C378" s="265" t="s">
        <v>44</v>
      </c>
      <c r="D378" s="256">
        <v>4500173831</v>
      </c>
      <c r="E378" s="257" t="s">
        <v>1653</v>
      </c>
      <c r="F378" s="267" t="s">
        <v>1654</v>
      </c>
      <c r="G378" s="253" t="s">
        <v>46</v>
      </c>
      <c r="H378" s="253" t="s">
        <v>47</v>
      </c>
      <c r="I378" s="251">
        <v>490</v>
      </c>
      <c r="J378" s="251">
        <v>0</v>
      </c>
      <c r="K378" s="251">
        <v>98</v>
      </c>
      <c r="L378" s="251">
        <f t="shared" si="74"/>
        <v>5</v>
      </c>
      <c r="M378" s="274">
        <v>45911</v>
      </c>
      <c r="N378" s="274">
        <v>45908</v>
      </c>
      <c r="O378" s="274">
        <v>45910</v>
      </c>
      <c r="P378" s="274" t="s">
        <v>49</v>
      </c>
      <c r="Q378" s="274">
        <v>45925</v>
      </c>
      <c r="R378" s="274" t="s">
        <v>871</v>
      </c>
      <c r="S378" s="277" t="s">
        <v>50</v>
      </c>
      <c r="T378" s="277" t="s">
        <v>1135</v>
      </c>
      <c r="U378" s="277">
        <v>45866</v>
      </c>
      <c r="V378" s="274"/>
      <c r="W378" s="274" t="s">
        <v>1137</v>
      </c>
      <c r="X378" s="278" t="s">
        <v>1261</v>
      </c>
      <c r="Y378" s="261" t="s">
        <v>844</v>
      </c>
      <c r="Z378" s="281">
        <v>217.2688</v>
      </c>
      <c r="AA378" s="282">
        <f t="shared" si="87"/>
        <v>1086.344</v>
      </c>
      <c r="AB378" s="251" t="s">
        <v>1655</v>
      </c>
      <c r="AC378" s="252" t="s">
        <v>46</v>
      </c>
      <c r="AD378" s="251" t="s">
        <v>56</v>
      </c>
      <c r="AE378" s="251">
        <v>490</v>
      </c>
      <c r="AF378" s="251">
        <f t="shared" si="88"/>
        <v>0</v>
      </c>
      <c r="AG378" s="266"/>
      <c r="AH378" s="266"/>
      <c r="AI378" s="253" t="s">
        <v>57</v>
      </c>
      <c r="AJ378" s="251">
        <v>0</v>
      </c>
      <c r="AK378" s="253" t="s">
        <v>73</v>
      </c>
      <c r="AL378" s="251">
        <v>0</v>
      </c>
      <c r="AM378" s="251"/>
      <c r="AN378" s="251">
        <f t="shared" si="69"/>
        <v>490</v>
      </c>
      <c r="AO378" s="251">
        <f t="shared" si="84"/>
        <v>490</v>
      </c>
      <c r="AP378" s="251" t="b">
        <f t="shared" si="85"/>
        <v>0</v>
      </c>
      <c r="AQ378" s="251">
        <f t="shared" si="86"/>
        <v>490</v>
      </c>
      <c r="AR378" s="293"/>
      <c r="AS378" s="266"/>
    </row>
    <row r="379" s="215" customFormat="1" ht="39" hidden="1" customHeight="1" spans="1:45">
      <c r="A379" s="254">
        <v>45873</v>
      </c>
      <c r="B379" s="249" t="s">
        <v>838</v>
      </c>
      <c r="C379" s="265" t="s">
        <v>44</v>
      </c>
      <c r="D379" s="256">
        <v>4500175859</v>
      </c>
      <c r="E379" s="257" t="s">
        <v>1656</v>
      </c>
      <c r="F379" s="267" t="s">
        <v>1657</v>
      </c>
      <c r="G379" s="253" t="s">
        <v>46</v>
      </c>
      <c r="H379" s="253" t="s">
        <v>47</v>
      </c>
      <c r="I379" s="251">
        <v>588</v>
      </c>
      <c r="J379" s="251">
        <v>0</v>
      </c>
      <c r="K379" s="251">
        <v>98</v>
      </c>
      <c r="L379" s="251">
        <f t="shared" si="74"/>
        <v>6</v>
      </c>
      <c r="M379" s="274">
        <v>45911</v>
      </c>
      <c r="N379" s="274">
        <v>45908</v>
      </c>
      <c r="O379" s="274">
        <v>45910</v>
      </c>
      <c r="P379" s="274" t="s">
        <v>49</v>
      </c>
      <c r="Q379" s="274"/>
      <c r="R379" s="274" t="s">
        <v>871</v>
      </c>
      <c r="S379" s="277" t="s">
        <v>50</v>
      </c>
      <c r="T379" s="277" t="s">
        <v>167</v>
      </c>
      <c r="U379" s="277" t="s">
        <v>1658</v>
      </c>
      <c r="V379" s="274"/>
      <c r="W379" s="274" t="s">
        <v>1137</v>
      </c>
      <c r="X379" s="278" t="s">
        <v>1261</v>
      </c>
      <c r="Y379" s="261" t="s">
        <v>844</v>
      </c>
      <c r="Z379" s="281">
        <v>217.2688</v>
      </c>
      <c r="AA379" s="282">
        <f t="shared" si="87"/>
        <v>1303.6128</v>
      </c>
      <c r="AB379" s="251" t="s">
        <v>1659</v>
      </c>
      <c r="AC379" s="252" t="s">
        <v>46</v>
      </c>
      <c r="AD379" s="251" t="s">
        <v>56</v>
      </c>
      <c r="AE379" s="251">
        <f>196+392</f>
        <v>588</v>
      </c>
      <c r="AF379" s="251">
        <f t="shared" si="88"/>
        <v>0</v>
      </c>
      <c r="AG379" s="266"/>
      <c r="AH379" s="266"/>
      <c r="AI379" s="253" t="s">
        <v>57</v>
      </c>
      <c r="AJ379" s="251">
        <v>0</v>
      </c>
      <c r="AK379" s="253" t="s">
        <v>73</v>
      </c>
      <c r="AL379" s="251">
        <v>0</v>
      </c>
      <c r="AM379" s="251"/>
      <c r="AN379" s="251">
        <f t="shared" si="69"/>
        <v>588</v>
      </c>
      <c r="AO379" s="251">
        <f t="shared" si="84"/>
        <v>588</v>
      </c>
      <c r="AP379" s="251" t="b">
        <f t="shared" si="85"/>
        <v>0</v>
      </c>
      <c r="AQ379" s="251">
        <f t="shared" si="86"/>
        <v>588</v>
      </c>
      <c r="AR379" s="293"/>
      <c r="AS379" s="266"/>
    </row>
    <row r="380" s="215" customFormat="1" ht="39" hidden="1" customHeight="1" spans="1:45">
      <c r="A380" s="254">
        <v>45873</v>
      </c>
      <c r="B380" s="249" t="s">
        <v>838</v>
      </c>
      <c r="C380" s="265" t="s">
        <v>44</v>
      </c>
      <c r="D380" s="256">
        <v>4500175859</v>
      </c>
      <c r="E380" s="257" t="s">
        <v>1660</v>
      </c>
      <c r="F380" s="267" t="s">
        <v>1661</v>
      </c>
      <c r="G380" s="253" t="s">
        <v>46</v>
      </c>
      <c r="H380" s="253" t="s">
        <v>47</v>
      </c>
      <c r="I380" s="251">
        <v>686</v>
      </c>
      <c r="J380" s="251">
        <v>0</v>
      </c>
      <c r="K380" s="251">
        <v>98</v>
      </c>
      <c r="L380" s="251">
        <f t="shared" si="74"/>
        <v>7</v>
      </c>
      <c r="M380" s="274">
        <v>45911</v>
      </c>
      <c r="N380" s="274">
        <v>45908</v>
      </c>
      <c r="O380" s="274">
        <v>45910</v>
      </c>
      <c r="P380" s="274" t="s">
        <v>49</v>
      </c>
      <c r="Q380" s="274"/>
      <c r="R380" s="274" t="s">
        <v>871</v>
      </c>
      <c r="S380" s="277" t="s">
        <v>50</v>
      </c>
      <c r="T380" s="277" t="s">
        <v>167</v>
      </c>
      <c r="U380" s="277" t="s">
        <v>1658</v>
      </c>
      <c r="V380" s="274"/>
      <c r="W380" s="274" t="s">
        <v>1137</v>
      </c>
      <c r="X380" s="278" t="s">
        <v>1261</v>
      </c>
      <c r="Y380" s="261" t="s">
        <v>844</v>
      </c>
      <c r="Z380" s="281">
        <v>217.2688</v>
      </c>
      <c r="AA380" s="282">
        <f t="shared" si="87"/>
        <v>1520.8816</v>
      </c>
      <c r="AB380" s="251" t="s">
        <v>1662</v>
      </c>
      <c r="AC380" s="252" t="s">
        <v>46</v>
      </c>
      <c r="AD380" s="251" t="s">
        <v>56</v>
      </c>
      <c r="AE380" s="251">
        <v>686</v>
      </c>
      <c r="AF380" s="251">
        <f t="shared" si="88"/>
        <v>0</v>
      </c>
      <c r="AG380" s="266"/>
      <c r="AH380" s="266"/>
      <c r="AI380" s="253" t="s">
        <v>57</v>
      </c>
      <c r="AJ380" s="251">
        <v>0</v>
      </c>
      <c r="AK380" s="253" t="s">
        <v>73</v>
      </c>
      <c r="AL380" s="251">
        <v>0</v>
      </c>
      <c r="AM380" s="251"/>
      <c r="AN380" s="251">
        <f t="shared" si="69"/>
        <v>686</v>
      </c>
      <c r="AO380" s="251">
        <f t="shared" si="84"/>
        <v>686</v>
      </c>
      <c r="AP380" s="251" t="b">
        <f t="shared" si="85"/>
        <v>0</v>
      </c>
      <c r="AQ380" s="251">
        <f t="shared" si="86"/>
        <v>686</v>
      </c>
      <c r="AR380" s="293"/>
      <c r="AS380" s="266"/>
    </row>
    <row r="381" s="215" customFormat="1" ht="39" hidden="1" customHeight="1" spans="1:45">
      <c r="A381" s="254">
        <v>45873</v>
      </c>
      <c r="B381" s="249" t="s">
        <v>838</v>
      </c>
      <c r="C381" s="265" t="s">
        <v>44</v>
      </c>
      <c r="D381" s="256">
        <v>4500175861</v>
      </c>
      <c r="E381" s="257" t="s">
        <v>1663</v>
      </c>
      <c r="F381" s="267" t="s">
        <v>1664</v>
      </c>
      <c r="G381" s="253" t="s">
        <v>46</v>
      </c>
      <c r="H381" s="253" t="s">
        <v>47</v>
      </c>
      <c r="I381" s="251">
        <v>686</v>
      </c>
      <c r="J381" s="251">
        <v>0</v>
      </c>
      <c r="K381" s="251">
        <v>98</v>
      </c>
      <c r="L381" s="251">
        <f t="shared" si="74"/>
        <v>7</v>
      </c>
      <c r="M381" s="274">
        <v>45911</v>
      </c>
      <c r="N381" s="274">
        <v>45908</v>
      </c>
      <c r="O381" s="274">
        <v>45910</v>
      </c>
      <c r="P381" s="274" t="s">
        <v>49</v>
      </c>
      <c r="Q381" s="274" t="s">
        <v>1665</v>
      </c>
      <c r="R381" s="274" t="s">
        <v>871</v>
      </c>
      <c r="S381" s="277" t="s">
        <v>50</v>
      </c>
      <c r="T381" s="277" t="s">
        <v>167</v>
      </c>
      <c r="U381" s="277" t="s">
        <v>1658</v>
      </c>
      <c r="V381" s="274"/>
      <c r="W381" s="274" t="s">
        <v>1137</v>
      </c>
      <c r="X381" s="278" t="s">
        <v>1138</v>
      </c>
      <c r="Y381" s="261" t="s">
        <v>844</v>
      </c>
      <c r="Z381" s="281">
        <v>217.2688</v>
      </c>
      <c r="AA381" s="282">
        <f t="shared" si="87"/>
        <v>1520.8816</v>
      </c>
      <c r="AB381" s="251" t="s">
        <v>1666</v>
      </c>
      <c r="AC381" s="252" t="s">
        <v>46</v>
      </c>
      <c r="AD381" s="251" t="s">
        <v>56</v>
      </c>
      <c r="AE381" s="251">
        <v>686</v>
      </c>
      <c r="AF381" s="251">
        <f t="shared" si="88"/>
        <v>0</v>
      </c>
      <c r="AG381" s="266"/>
      <c r="AH381" s="266"/>
      <c r="AI381" s="253" t="s">
        <v>57</v>
      </c>
      <c r="AJ381" s="251">
        <v>0</v>
      </c>
      <c r="AK381" s="253" t="s">
        <v>73</v>
      </c>
      <c r="AL381" s="251">
        <v>0</v>
      </c>
      <c r="AM381" s="251"/>
      <c r="AN381" s="251">
        <f t="shared" si="69"/>
        <v>686</v>
      </c>
      <c r="AO381" s="251">
        <f t="shared" si="84"/>
        <v>686</v>
      </c>
      <c r="AP381" s="251" t="b">
        <f t="shared" si="85"/>
        <v>0</v>
      </c>
      <c r="AQ381" s="251">
        <f t="shared" si="86"/>
        <v>686</v>
      </c>
      <c r="AR381" s="293"/>
      <c r="AS381" s="266"/>
    </row>
    <row r="382" s="215" customFormat="1" ht="39" hidden="1" customHeight="1" spans="1:45">
      <c r="A382" s="254">
        <v>45873</v>
      </c>
      <c r="B382" s="249" t="s">
        <v>838</v>
      </c>
      <c r="C382" s="265" t="s">
        <v>44</v>
      </c>
      <c r="D382" s="256">
        <v>4500175861</v>
      </c>
      <c r="E382" s="257" t="s">
        <v>1667</v>
      </c>
      <c r="F382" s="267" t="s">
        <v>1668</v>
      </c>
      <c r="G382" s="253" t="s">
        <v>46</v>
      </c>
      <c r="H382" s="253" t="s">
        <v>47</v>
      </c>
      <c r="I382" s="251">
        <v>686</v>
      </c>
      <c r="J382" s="251">
        <v>0</v>
      </c>
      <c r="K382" s="251">
        <v>98</v>
      </c>
      <c r="L382" s="251">
        <f t="shared" si="74"/>
        <v>7</v>
      </c>
      <c r="M382" s="274">
        <v>45911</v>
      </c>
      <c r="N382" s="274">
        <v>45908</v>
      </c>
      <c r="O382" s="274">
        <v>45910</v>
      </c>
      <c r="P382" s="274" t="s">
        <v>49</v>
      </c>
      <c r="Q382" s="274" t="s">
        <v>1665</v>
      </c>
      <c r="R382" s="274" t="s">
        <v>871</v>
      </c>
      <c r="S382" s="277" t="s">
        <v>50</v>
      </c>
      <c r="T382" s="277" t="s">
        <v>167</v>
      </c>
      <c r="U382" s="277" t="s">
        <v>1658</v>
      </c>
      <c r="V382" s="274"/>
      <c r="W382" s="274" t="s">
        <v>1137</v>
      </c>
      <c r="X382" s="278" t="s">
        <v>1138</v>
      </c>
      <c r="Y382" s="261" t="s">
        <v>844</v>
      </c>
      <c r="Z382" s="281">
        <v>217.2688</v>
      </c>
      <c r="AA382" s="282">
        <f t="shared" si="87"/>
        <v>1520.8816</v>
      </c>
      <c r="AB382" s="251" t="s">
        <v>1669</v>
      </c>
      <c r="AC382" s="252" t="s">
        <v>46</v>
      </c>
      <c r="AD382" s="251" t="s">
        <v>56</v>
      </c>
      <c r="AE382" s="251">
        <v>686</v>
      </c>
      <c r="AF382" s="251">
        <f t="shared" si="88"/>
        <v>0</v>
      </c>
      <c r="AG382" s="266"/>
      <c r="AH382" s="266"/>
      <c r="AI382" s="253" t="s">
        <v>57</v>
      </c>
      <c r="AJ382" s="251">
        <v>0</v>
      </c>
      <c r="AK382" s="253" t="s">
        <v>73</v>
      </c>
      <c r="AL382" s="251">
        <v>0</v>
      </c>
      <c r="AM382" s="251"/>
      <c r="AN382" s="251">
        <f t="shared" si="69"/>
        <v>686</v>
      </c>
      <c r="AO382" s="251">
        <f t="shared" si="84"/>
        <v>686</v>
      </c>
      <c r="AP382" s="251" t="b">
        <f t="shared" si="85"/>
        <v>0</v>
      </c>
      <c r="AQ382" s="251">
        <f t="shared" si="86"/>
        <v>686</v>
      </c>
      <c r="AR382" s="293"/>
      <c r="AS382" s="266"/>
    </row>
    <row r="383" s="215" customFormat="1" ht="39" hidden="1" customHeight="1" spans="1:45">
      <c r="A383" s="254">
        <v>45873</v>
      </c>
      <c r="B383" s="249" t="s">
        <v>838</v>
      </c>
      <c r="C383" s="265" t="s">
        <v>44</v>
      </c>
      <c r="D383" s="256">
        <v>4500175861</v>
      </c>
      <c r="E383" s="257" t="s">
        <v>1670</v>
      </c>
      <c r="F383" s="267" t="s">
        <v>1671</v>
      </c>
      <c r="G383" s="253" t="s">
        <v>46</v>
      </c>
      <c r="H383" s="253" t="s">
        <v>47</v>
      </c>
      <c r="I383" s="251">
        <v>686</v>
      </c>
      <c r="J383" s="251">
        <v>0</v>
      </c>
      <c r="K383" s="251">
        <v>98</v>
      </c>
      <c r="L383" s="251">
        <f t="shared" si="74"/>
        <v>7</v>
      </c>
      <c r="M383" s="274">
        <v>45911</v>
      </c>
      <c r="N383" s="274">
        <v>45908</v>
      </c>
      <c r="O383" s="274">
        <v>45910</v>
      </c>
      <c r="P383" s="274" t="s">
        <v>49</v>
      </c>
      <c r="Q383" s="274" t="s">
        <v>1665</v>
      </c>
      <c r="R383" s="274" t="s">
        <v>871</v>
      </c>
      <c r="S383" s="277" t="s">
        <v>50</v>
      </c>
      <c r="T383" s="277" t="s">
        <v>167</v>
      </c>
      <c r="U383" s="277" t="s">
        <v>1658</v>
      </c>
      <c r="V383" s="274"/>
      <c r="W383" s="274" t="s">
        <v>1137</v>
      </c>
      <c r="X383" s="278" t="s">
        <v>1138</v>
      </c>
      <c r="Y383" s="261" t="s">
        <v>844</v>
      </c>
      <c r="Z383" s="281">
        <v>217.2688</v>
      </c>
      <c r="AA383" s="282">
        <f t="shared" si="87"/>
        <v>1520.8816</v>
      </c>
      <c r="AB383" s="251" t="s">
        <v>1672</v>
      </c>
      <c r="AC383" s="252" t="s">
        <v>46</v>
      </c>
      <c r="AD383" s="251" t="s">
        <v>56</v>
      </c>
      <c r="AE383" s="251">
        <f>98+196+392</f>
        <v>686</v>
      </c>
      <c r="AF383" s="251">
        <f t="shared" si="88"/>
        <v>0</v>
      </c>
      <c r="AG383" s="266"/>
      <c r="AH383" s="266"/>
      <c r="AI383" s="253" t="s">
        <v>57</v>
      </c>
      <c r="AJ383" s="251">
        <v>0</v>
      </c>
      <c r="AK383" s="253" t="s">
        <v>73</v>
      </c>
      <c r="AL383" s="251">
        <v>0</v>
      </c>
      <c r="AM383" s="251"/>
      <c r="AN383" s="251">
        <f t="shared" si="69"/>
        <v>686</v>
      </c>
      <c r="AO383" s="251">
        <f t="shared" si="84"/>
        <v>686</v>
      </c>
      <c r="AP383" s="251" t="b">
        <f t="shared" si="85"/>
        <v>0</v>
      </c>
      <c r="AQ383" s="251">
        <f t="shared" si="86"/>
        <v>686</v>
      </c>
      <c r="AR383" s="293"/>
      <c r="AS383" s="266"/>
    </row>
    <row r="384" s="215" customFormat="1" ht="39" hidden="1" customHeight="1" spans="1:45">
      <c r="A384" s="254">
        <v>45873</v>
      </c>
      <c r="B384" s="249" t="s">
        <v>838</v>
      </c>
      <c r="C384" s="265" t="s">
        <v>44</v>
      </c>
      <c r="D384" s="256">
        <v>4500175861</v>
      </c>
      <c r="E384" s="257" t="s">
        <v>1673</v>
      </c>
      <c r="F384" s="267" t="s">
        <v>1674</v>
      </c>
      <c r="G384" s="253" t="s">
        <v>46</v>
      </c>
      <c r="H384" s="253" t="s">
        <v>47</v>
      </c>
      <c r="I384" s="251">
        <v>686</v>
      </c>
      <c r="J384" s="251">
        <v>0</v>
      </c>
      <c r="K384" s="251">
        <v>98</v>
      </c>
      <c r="L384" s="251">
        <f t="shared" si="74"/>
        <v>7</v>
      </c>
      <c r="M384" s="274">
        <v>45911</v>
      </c>
      <c r="N384" s="274">
        <v>45908</v>
      </c>
      <c r="O384" s="274">
        <v>45910</v>
      </c>
      <c r="P384" s="274" t="s">
        <v>49</v>
      </c>
      <c r="Q384" s="274" t="s">
        <v>1665</v>
      </c>
      <c r="R384" s="274" t="s">
        <v>871</v>
      </c>
      <c r="S384" s="277" t="s">
        <v>50</v>
      </c>
      <c r="T384" s="277" t="s">
        <v>167</v>
      </c>
      <c r="U384" s="277" t="s">
        <v>1658</v>
      </c>
      <c r="V384" s="274"/>
      <c r="W384" s="274" t="s">
        <v>1137</v>
      </c>
      <c r="X384" s="278" t="s">
        <v>1138</v>
      </c>
      <c r="Y384" s="261" t="s">
        <v>844</v>
      </c>
      <c r="Z384" s="281">
        <v>217.2688</v>
      </c>
      <c r="AA384" s="282">
        <f t="shared" si="87"/>
        <v>1520.8816</v>
      </c>
      <c r="AB384" s="251" t="s">
        <v>1675</v>
      </c>
      <c r="AC384" s="252" t="s">
        <v>46</v>
      </c>
      <c r="AD384" s="251" t="s">
        <v>56</v>
      </c>
      <c r="AE384" s="251">
        <v>686</v>
      </c>
      <c r="AF384" s="251">
        <f t="shared" si="88"/>
        <v>0</v>
      </c>
      <c r="AG384" s="266"/>
      <c r="AH384" s="266"/>
      <c r="AI384" s="253" t="s">
        <v>57</v>
      </c>
      <c r="AJ384" s="251">
        <v>0</v>
      </c>
      <c r="AK384" s="253" t="s">
        <v>73</v>
      </c>
      <c r="AL384" s="251">
        <v>0</v>
      </c>
      <c r="AM384" s="251"/>
      <c r="AN384" s="251">
        <f t="shared" ref="AN384:AN447" si="89">I384</f>
        <v>686</v>
      </c>
      <c r="AO384" s="251">
        <f t="shared" si="84"/>
        <v>686</v>
      </c>
      <c r="AP384" s="251" t="b">
        <f t="shared" si="85"/>
        <v>0</v>
      </c>
      <c r="AQ384" s="251">
        <f t="shared" si="86"/>
        <v>686</v>
      </c>
      <c r="AR384" s="293"/>
      <c r="AS384" s="266"/>
    </row>
    <row r="385" s="215" customFormat="1" ht="39" hidden="1" customHeight="1" spans="1:45">
      <c r="A385" s="254">
        <v>45873</v>
      </c>
      <c r="B385" s="249" t="s">
        <v>838</v>
      </c>
      <c r="C385" s="265" t="s">
        <v>44</v>
      </c>
      <c r="D385" s="256">
        <v>4500175861</v>
      </c>
      <c r="E385" s="257" t="s">
        <v>1676</v>
      </c>
      <c r="F385" s="267" t="s">
        <v>1677</v>
      </c>
      <c r="G385" s="253" t="s">
        <v>46</v>
      </c>
      <c r="H385" s="253" t="s">
        <v>47</v>
      </c>
      <c r="I385" s="251">
        <v>686</v>
      </c>
      <c r="J385" s="251">
        <v>0</v>
      </c>
      <c r="K385" s="251">
        <v>98</v>
      </c>
      <c r="L385" s="251">
        <f t="shared" si="74"/>
        <v>7</v>
      </c>
      <c r="M385" s="274">
        <v>45911</v>
      </c>
      <c r="N385" s="274">
        <v>45908</v>
      </c>
      <c r="O385" s="274">
        <v>45910</v>
      </c>
      <c r="P385" s="274" t="s">
        <v>49</v>
      </c>
      <c r="Q385" s="274" t="s">
        <v>1665</v>
      </c>
      <c r="R385" s="274" t="s">
        <v>871</v>
      </c>
      <c r="S385" s="277" t="s">
        <v>50</v>
      </c>
      <c r="T385" s="277" t="s">
        <v>167</v>
      </c>
      <c r="U385" s="277" t="s">
        <v>1658</v>
      </c>
      <c r="V385" s="274"/>
      <c r="W385" s="274" t="s">
        <v>1137</v>
      </c>
      <c r="X385" s="278" t="s">
        <v>1138</v>
      </c>
      <c r="Y385" s="261" t="s">
        <v>844</v>
      </c>
      <c r="Z385" s="281">
        <v>217.2688</v>
      </c>
      <c r="AA385" s="282">
        <f t="shared" si="87"/>
        <v>1520.8816</v>
      </c>
      <c r="AB385" s="251" t="s">
        <v>1678</v>
      </c>
      <c r="AC385" s="252" t="s">
        <v>46</v>
      </c>
      <c r="AD385" s="251" t="s">
        <v>56</v>
      </c>
      <c r="AE385" s="251">
        <v>686</v>
      </c>
      <c r="AF385" s="251">
        <f t="shared" si="88"/>
        <v>0</v>
      </c>
      <c r="AG385" s="266"/>
      <c r="AH385" s="266"/>
      <c r="AI385" s="253" t="s">
        <v>57</v>
      </c>
      <c r="AJ385" s="251">
        <v>0</v>
      </c>
      <c r="AK385" s="253" t="s">
        <v>73</v>
      </c>
      <c r="AL385" s="251">
        <v>0</v>
      </c>
      <c r="AM385" s="251"/>
      <c r="AN385" s="251">
        <f t="shared" si="89"/>
        <v>686</v>
      </c>
      <c r="AO385" s="251">
        <f t="shared" si="84"/>
        <v>686</v>
      </c>
      <c r="AP385" s="251" t="b">
        <f t="shared" si="85"/>
        <v>0</v>
      </c>
      <c r="AQ385" s="251">
        <f t="shared" si="86"/>
        <v>686</v>
      </c>
      <c r="AR385" s="293"/>
      <c r="AS385" s="266"/>
    </row>
    <row r="386" s="215" customFormat="1" ht="39" customHeight="1" spans="1:45">
      <c r="A386" s="254">
        <v>45870</v>
      </c>
      <c r="B386" s="249" t="s">
        <v>1679</v>
      </c>
      <c r="C386" s="265" t="s">
        <v>226</v>
      </c>
      <c r="D386" s="256">
        <v>4500175843</v>
      </c>
      <c r="E386" s="257"/>
      <c r="F386" s="267" t="s">
        <v>1680</v>
      </c>
      <c r="G386" s="253" t="s">
        <v>62</v>
      </c>
      <c r="H386" s="253" t="s">
        <v>63</v>
      </c>
      <c r="I386" s="251">
        <v>126</v>
      </c>
      <c r="J386" s="251">
        <v>0</v>
      </c>
      <c r="K386" s="251">
        <v>6</v>
      </c>
      <c r="L386" s="251">
        <f t="shared" si="74"/>
        <v>21</v>
      </c>
      <c r="M386" s="274">
        <v>45912</v>
      </c>
      <c r="N386" s="274">
        <v>45908</v>
      </c>
      <c r="O386" s="274"/>
      <c r="P386" s="274" t="s">
        <v>49</v>
      </c>
      <c r="Q386" s="274" t="s">
        <v>1681</v>
      </c>
      <c r="R386" s="274" t="s">
        <v>871</v>
      </c>
      <c r="S386" s="277" t="s">
        <v>50</v>
      </c>
      <c r="T386" s="277">
        <v>45875</v>
      </c>
      <c r="U386" s="277">
        <v>45882</v>
      </c>
      <c r="V386" s="274"/>
      <c r="W386" s="274"/>
      <c r="X386" s="278" t="s">
        <v>1682</v>
      </c>
      <c r="Y386" s="261" t="s">
        <v>685</v>
      </c>
      <c r="Z386" s="281">
        <v>3.346</v>
      </c>
      <c r="AA386" s="282">
        <f t="shared" ref="AA386:AA405" si="90">I386*Z386</f>
        <v>421.596</v>
      </c>
      <c r="AB386" s="306" t="s">
        <v>1683</v>
      </c>
      <c r="AC386" s="252" t="s">
        <v>71</v>
      </c>
      <c r="AD386" s="251" t="s">
        <v>56</v>
      </c>
      <c r="AE386" s="251">
        <v>126</v>
      </c>
      <c r="AF386" s="251">
        <f t="shared" si="88"/>
        <v>0</v>
      </c>
      <c r="AG386" s="266"/>
      <c r="AH386" s="266"/>
      <c r="AI386" s="253" t="s">
        <v>72</v>
      </c>
      <c r="AJ386" s="251">
        <v>2</v>
      </c>
      <c r="AK386" s="253" t="s">
        <v>73</v>
      </c>
      <c r="AL386" s="251">
        <v>0</v>
      </c>
      <c r="AM386" s="251"/>
      <c r="AN386" s="251">
        <f t="shared" si="89"/>
        <v>126</v>
      </c>
      <c r="AO386" s="251">
        <f t="shared" si="84"/>
        <v>0</v>
      </c>
      <c r="AP386" s="251">
        <f t="shared" si="85"/>
        <v>126</v>
      </c>
      <c r="AQ386" s="251">
        <f t="shared" si="86"/>
        <v>126</v>
      </c>
      <c r="AR386" s="293"/>
      <c r="AS386" s="266"/>
    </row>
    <row r="387" s="215" customFormat="1" ht="39" customHeight="1" spans="1:45">
      <c r="A387" s="254">
        <v>45873</v>
      </c>
      <c r="B387" s="249" t="s">
        <v>1684</v>
      </c>
      <c r="C387" s="265" t="s">
        <v>157</v>
      </c>
      <c r="D387" s="256">
        <v>4500175614</v>
      </c>
      <c r="E387" s="257"/>
      <c r="F387" s="267" t="s">
        <v>1685</v>
      </c>
      <c r="G387" s="253" t="s">
        <v>62</v>
      </c>
      <c r="H387" s="253" t="s">
        <v>63</v>
      </c>
      <c r="I387" s="251">
        <v>240</v>
      </c>
      <c r="J387" s="251">
        <v>0</v>
      </c>
      <c r="K387" s="251">
        <v>6</v>
      </c>
      <c r="L387" s="251">
        <f t="shared" si="74"/>
        <v>40</v>
      </c>
      <c r="M387" s="274">
        <v>45915</v>
      </c>
      <c r="N387" s="274">
        <v>45911</v>
      </c>
      <c r="O387" s="274"/>
      <c r="P387" s="274" t="s">
        <v>49</v>
      </c>
      <c r="Q387" s="274" t="s">
        <v>1681</v>
      </c>
      <c r="R387" s="274" t="s">
        <v>871</v>
      </c>
      <c r="S387" s="277" t="s">
        <v>50</v>
      </c>
      <c r="T387" s="277">
        <v>45880</v>
      </c>
      <c r="U387" s="277">
        <v>45882</v>
      </c>
      <c r="V387" s="274"/>
      <c r="W387" s="274"/>
      <c r="X387" s="278" t="s">
        <v>1686</v>
      </c>
      <c r="Y387" s="261" t="s">
        <v>884</v>
      </c>
      <c r="Z387" s="281">
        <v>3.346</v>
      </c>
      <c r="AA387" s="282">
        <f t="shared" si="90"/>
        <v>803.04</v>
      </c>
      <c r="AB387" s="251" t="s">
        <v>1687</v>
      </c>
      <c r="AC387" s="252" t="s">
        <v>62</v>
      </c>
      <c r="AD387" s="251" t="s">
        <v>56</v>
      </c>
      <c r="AE387" s="251">
        <v>240</v>
      </c>
      <c r="AF387" s="251">
        <f t="shared" si="88"/>
        <v>0</v>
      </c>
      <c r="AG387" s="266"/>
      <c r="AH387" s="266"/>
      <c r="AI387" s="253" t="s">
        <v>57</v>
      </c>
      <c r="AJ387" s="251">
        <v>0</v>
      </c>
      <c r="AK387" s="253" t="s">
        <v>73</v>
      </c>
      <c r="AL387" s="251">
        <v>0</v>
      </c>
      <c r="AM387" s="251"/>
      <c r="AN387" s="251">
        <f t="shared" si="89"/>
        <v>240</v>
      </c>
      <c r="AO387" s="251">
        <f t="shared" si="84"/>
        <v>240</v>
      </c>
      <c r="AP387" s="251" t="b">
        <f t="shared" si="85"/>
        <v>0</v>
      </c>
      <c r="AQ387" s="251">
        <f t="shared" si="86"/>
        <v>240</v>
      </c>
      <c r="AR387" s="293"/>
      <c r="AS387" s="266"/>
    </row>
    <row r="388" s="215" customFormat="1" ht="39" customHeight="1" spans="1:45">
      <c r="A388" s="254">
        <v>45873</v>
      </c>
      <c r="B388" s="249" t="s">
        <v>552</v>
      </c>
      <c r="C388" s="265" t="s">
        <v>553</v>
      </c>
      <c r="D388" s="256">
        <v>4500175925</v>
      </c>
      <c r="E388" s="257">
        <v>21012327</v>
      </c>
      <c r="F388" s="267" t="s">
        <v>1688</v>
      </c>
      <c r="G388" s="253" t="s">
        <v>62</v>
      </c>
      <c r="H388" s="253" t="s">
        <v>63</v>
      </c>
      <c r="I388" s="251">
        <v>216</v>
      </c>
      <c r="J388" s="251">
        <v>0</v>
      </c>
      <c r="K388" s="251">
        <v>6</v>
      </c>
      <c r="L388" s="251">
        <f t="shared" si="74"/>
        <v>36</v>
      </c>
      <c r="M388" s="274">
        <v>45915</v>
      </c>
      <c r="N388" s="274">
        <v>45911</v>
      </c>
      <c r="O388" s="274"/>
      <c r="P388" s="274" t="s">
        <v>49</v>
      </c>
      <c r="Q388" s="274" t="s">
        <v>1689</v>
      </c>
      <c r="R388" s="274" t="s">
        <v>871</v>
      </c>
      <c r="S388" s="277" t="s">
        <v>77</v>
      </c>
      <c r="T388" s="277">
        <v>45883</v>
      </c>
      <c r="U388" s="277">
        <v>45894</v>
      </c>
      <c r="V388" s="274"/>
      <c r="W388" s="274"/>
      <c r="X388" s="278" t="s">
        <v>819</v>
      </c>
      <c r="Y388" s="261" t="s">
        <v>1690</v>
      </c>
      <c r="Z388" s="281">
        <v>3.346</v>
      </c>
      <c r="AA388" s="282">
        <f t="shared" si="90"/>
        <v>722.736</v>
      </c>
      <c r="AB388" s="251"/>
      <c r="AC388" s="252" t="s">
        <v>62</v>
      </c>
      <c r="AD388" s="251" t="s">
        <v>56</v>
      </c>
      <c r="AE388" s="251">
        <v>216</v>
      </c>
      <c r="AF388" s="251">
        <f t="shared" si="88"/>
        <v>0</v>
      </c>
      <c r="AG388" s="266"/>
      <c r="AH388" s="266"/>
      <c r="AI388" s="253" t="s">
        <v>57</v>
      </c>
      <c r="AJ388" s="251">
        <v>0</v>
      </c>
      <c r="AK388" s="253" t="s">
        <v>73</v>
      </c>
      <c r="AL388" s="251">
        <v>0</v>
      </c>
      <c r="AM388" s="251"/>
      <c r="AN388" s="251">
        <f t="shared" si="89"/>
        <v>216</v>
      </c>
      <c r="AO388" s="251">
        <f t="shared" si="84"/>
        <v>216</v>
      </c>
      <c r="AP388" s="251" t="b">
        <f t="shared" si="85"/>
        <v>0</v>
      </c>
      <c r="AQ388" s="251">
        <f t="shared" si="86"/>
        <v>216</v>
      </c>
      <c r="AR388" s="293"/>
      <c r="AS388" s="266"/>
    </row>
    <row r="389" s="215" customFormat="1" ht="39" customHeight="1" spans="1:45">
      <c r="A389" s="254">
        <v>45873</v>
      </c>
      <c r="B389" s="249" t="s">
        <v>552</v>
      </c>
      <c r="C389" s="265" t="s">
        <v>553</v>
      </c>
      <c r="D389" s="256">
        <v>4500175925</v>
      </c>
      <c r="E389" s="257">
        <v>21012334</v>
      </c>
      <c r="F389" s="267" t="s">
        <v>1691</v>
      </c>
      <c r="G389" s="253" t="s">
        <v>62</v>
      </c>
      <c r="H389" s="253" t="s">
        <v>63</v>
      </c>
      <c r="I389" s="251">
        <v>186</v>
      </c>
      <c r="J389" s="251">
        <v>0</v>
      </c>
      <c r="K389" s="251">
        <v>6</v>
      </c>
      <c r="L389" s="251">
        <f t="shared" si="74"/>
        <v>31</v>
      </c>
      <c r="M389" s="274">
        <v>45915</v>
      </c>
      <c r="N389" s="274">
        <v>45911</v>
      </c>
      <c r="O389" s="274"/>
      <c r="P389" s="274" t="s">
        <v>49</v>
      </c>
      <c r="Q389" s="274" t="s">
        <v>1689</v>
      </c>
      <c r="R389" s="274" t="s">
        <v>871</v>
      </c>
      <c r="S389" s="277" t="s">
        <v>77</v>
      </c>
      <c r="T389" s="277">
        <v>45883</v>
      </c>
      <c r="U389" s="277">
        <v>45894</v>
      </c>
      <c r="V389" s="274"/>
      <c r="W389" s="274"/>
      <c r="X389" s="278" t="s">
        <v>819</v>
      </c>
      <c r="Y389" s="261" t="s">
        <v>1690</v>
      </c>
      <c r="Z389" s="281">
        <v>3.346</v>
      </c>
      <c r="AA389" s="282">
        <f t="shared" si="90"/>
        <v>622.356</v>
      </c>
      <c r="AB389" s="251"/>
      <c r="AC389" s="252" t="s">
        <v>62</v>
      </c>
      <c r="AD389" s="251" t="s">
        <v>56</v>
      </c>
      <c r="AE389" s="251">
        <v>186</v>
      </c>
      <c r="AF389" s="251">
        <f t="shared" si="88"/>
        <v>0</v>
      </c>
      <c r="AG389" s="266"/>
      <c r="AH389" s="266"/>
      <c r="AI389" s="253" t="s">
        <v>57</v>
      </c>
      <c r="AJ389" s="251">
        <v>0</v>
      </c>
      <c r="AK389" s="253" t="s">
        <v>73</v>
      </c>
      <c r="AL389" s="251">
        <v>0</v>
      </c>
      <c r="AM389" s="251"/>
      <c r="AN389" s="251">
        <f t="shared" si="89"/>
        <v>186</v>
      </c>
      <c r="AO389" s="251">
        <f t="shared" si="84"/>
        <v>186</v>
      </c>
      <c r="AP389" s="251" t="b">
        <f t="shared" si="85"/>
        <v>0</v>
      </c>
      <c r="AQ389" s="251">
        <f t="shared" si="86"/>
        <v>186</v>
      </c>
      <c r="AR389" s="293"/>
      <c r="AS389" s="266"/>
    </row>
    <row r="390" s="215" customFormat="1" ht="39" customHeight="1" spans="1:45">
      <c r="A390" s="254">
        <v>45873</v>
      </c>
      <c r="B390" s="249" t="s">
        <v>655</v>
      </c>
      <c r="C390" s="265" t="s">
        <v>182</v>
      </c>
      <c r="D390" s="256">
        <v>4500175924</v>
      </c>
      <c r="E390" s="257">
        <v>21012324</v>
      </c>
      <c r="F390" s="267" t="s">
        <v>1692</v>
      </c>
      <c r="G390" s="253" t="s">
        <v>62</v>
      </c>
      <c r="H390" s="253" t="s">
        <v>63</v>
      </c>
      <c r="I390" s="251">
        <v>1284</v>
      </c>
      <c r="J390" s="251">
        <v>0</v>
      </c>
      <c r="K390" s="251">
        <v>6</v>
      </c>
      <c r="L390" s="251">
        <f t="shared" si="74"/>
        <v>214</v>
      </c>
      <c r="M390" s="274">
        <v>45915</v>
      </c>
      <c r="N390" s="274">
        <v>45911</v>
      </c>
      <c r="O390" s="274"/>
      <c r="P390" s="274" t="s">
        <v>49</v>
      </c>
      <c r="Q390" s="274" t="s">
        <v>1689</v>
      </c>
      <c r="R390" s="274" t="s">
        <v>871</v>
      </c>
      <c r="S390" s="277" t="s">
        <v>77</v>
      </c>
      <c r="T390" s="277">
        <v>45883</v>
      </c>
      <c r="U390" s="277">
        <v>45894</v>
      </c>
      <c r="V390" s="274"/>
      <c r="W390" s="274"/>
      <c r="X390" s="278" t="s">
        <v>816</v>
      </c>
      <c r="Y390" s="261" t="s">
        <v>1690</v>
      </c>
      <c r="Z390" s="281">
        <v>3.346</v>
      </c>
      <c r="AA390" s="282">
        <f t="shared" si="90"/>
        <v>4296.264</v>
      </c>
      <c r="AB390" s="251" t="s">
        <v>1693</v>
      </c>
      <c r="AC390" s="252" t="s">
        <v>62</v>
      </c>
      <c r="AD390" s="251" t="s">
        <v>56</v>
      </c>
      <c r="AE390" s="251">
        <v>1284</v>
      </c>
      <c r="AF390" s="251">
        <f t="shared" si="88"/>
        <v>0</v>
      </c>
      <c r="AG390" s="266"/>
      <c r="AH390" s="266"/>
      <c r="AI390" s="253" t="s">
        <v>57</v>
      </c>
      <c r="AJ390" s="251">
        <v>0</v>
      </c>
      <c r="AK390" s="253" t="s">
        <v>73</v>
      </c>
      <c r="AL390" s="251">
        <v>0</v>
      </c>
      <c r="AM390" s="251"/>
      <c r="AN390" s="251">
        <f t="shared" si="89"/>
        <v>1284</v>
      </c>
      <c r="AO390" s="251">
        <f t="shared" si="84"/>
        <v>1284</v>
      </c>
      <c r="AP390" s="251" t="b">
        <f t="shared" si="85"/>
        <v>0</v>
      </c>
      <c r="AQ390" s="251">
        <f t="shared" si="86"/>
        <v>1284</v>
      </c>
      <c r="AR390" s="293"/>
      <c r="AS390" s="266"/>
    </row>
    <row r="391" s="215" customFormat="1" ht="39" customHeight="1" spans="1:45">
      <c r="A391" s="254">
        <v>45873</v>
      </c>
      <c r="B391" s="249" t="s">
        <v>655</v>
      </c>
      <c r="C391" s="265" t="s">
        <v>182</v>
      </c>
      <c r="D391" s="256">
        <v>4500175924</v>
      </c>
      <c r="E391" s="257" t="s">
        <v>1694</v>
      </c>
      <c r="F391" s="267" t="s">
        <v>1695</v>
      </c>
      <c r="G391" s="253" t="s">
        <v>62</v>
      </c>
      <c r="H391" s="253" t="s">
        <v>63</v>
      </c>
      <c r="I391" s="251">
        <v>1314</v>
      </c>
      <c r="J391" s="251">
        <v>0</v>
      </c>
      <c r="K391" s="251">
        <v>6</v>
      </c>
      <c r="L391" s="251">
        <f t="shared" si="74"/>
        <v>219</v>
      </c>
      <c r="M391" s="274">
        <v>45915</v>
      </c>
      <c r="N391" s="274">
        <v>45911</v>
      </c>
      <c r="O391" s="274"/>
      <c r="P391" s="274" t="s">
        <v>49</v>
      </c>
      <c r="Q391" s="274" t="s">
        <v>1689</v>
      </c>
      <c r="R391" s="274" t="s">
        <v>871</v>
      </c>
      <c r="S391" s="277" t="s">
        <v>77</v>
      </c>
      <c r="T391" s="277">
        <v>45883</v>
      </c>
      <c r="U391" s="277">
        <v>45894</v>
      </c>
      <c r="V391" s="274"/>
      <c r="W391" s="274"/>
      <c r="X391" s="278" t="s">
        <v>1696</v>
      </c>
      <c r="Y391" s="261" t="s">
        <v>1690</v>
      </c>
      <c r="Z391" s="281">
        <v>3.346</v>
      </c>
      <c r="AA391" s="282">
        <f t="shared" si="90"/>
        <v>4396.644</v>
      </c>
      <c r="AB391" s="251" t="s">
        <v>1693</v>
      </c>
      <c r="AC391" s="252" t="s">
        <v>62</v>
      </c>
      <c r="AD391" s="251" t="s">
        <v>56</v>
      </c>
      <c r="AE391" s="251">
        <v>1314</v>
      </c>
      <c r="AF391" s="251">
        <f t="shared" si="88"/>
        <v>0</v>
      </c>
      <c r="AG391" s="266"/>
      <c r="AH391" s="266"/>
      <c r="AI391" s="253" t="s">
        <v>57</v>
      </c>
      <c r="AJ391" s="251">
        <v>0</v>
      </c>
      <c r="AK391" s="253" t="s">
        <v>73</v>
      </c>
      <c r="AL391" s="251">
        <v>0</v>
      </c>
      <c r="AM391" s="251"/>
      <c r="AN391" s="251">
        <f t="shared" si="89"/>
        <v>1314</v>
      </c>
      <c r="AO391" s="251">
        <f t="shared" si="84"/>
        <v>1314</v>
      </c>
      <c r="AP391" s="251" t="b">
        <f t="shared" si="85"/>
        <v>0</v>
      </c>
      <c r="AQ391" s="251">
        <f t="shared" si="86"/>
        <v>1314</v>
      </c>
      <c r="AR391" s="293"/>
      <c r="AS391" s="266"/>
    </row>
    <row r="392" s="215" customFormat="1" ht="39" customHeight="1" spans="1:45">
      <c r="A392" s="254">
        <v>45876</v>
      </c>
      <c r="B392" s="249" t="s">
        <v>181</v>
      </c>
      <c r="C392" s="265" t="s">
        <v>182</v>
      </c>
      <c r="D392" s="256">
        <v>4500176307</v>
      </c>
      <c r="E392" s="257">
        <v>2492628</v>
      </c>
      <c r="F392" s="267" t="s">
        <v>1697</v>
      </c>
      <c r="G392" s="253" t="s">
        <v>62</v>
      </c>
      <c r="H392" s="253" t="s">
        <v>63</v>
      </c>
      <c r="I392" s="251">
        <v>1500</v>
      </c>
      <c r="J392" s="251">
        <v>0</v>
      </c>
      <c r="K392" s="251">
        <v>6</v>
      </c>
      <c r="L392" s="251">
        <f t="shared" si="74"/>
        <v>250</v>
      </c>
      <c r="M392" s="274">
        <v>45915</v>
      </c>
      <c r="N392" s="274">
        <v>45911</v>
      </c>
      <c r="O392" s="274"/>
      <c r="P392" s="274" t="s">
        <v>49</v>
      </c>
      <c r="Q392" s="274" t="s">
        <v>1698</v>
      </c>
      <c r="R392" s="274" t="s">
        <v>871</v>
      </c>
      <c r="S392" s="277" t="s">
        <v>77</v>
      </c>
      <c r="T392" s="277">
        <v>45876</v>
      </c>
      <c r="U392" s="277">
        <v>45903</v>
      </c>
      <c r="V392" s="274"/>
      <c r="W392" s="274"/>
      <c r="X392" s="278" t="s">
        <v>1625</v>
      </c>
      <c r="Y392" s="261" t="s">
        <v>807</v>
      </c>
      <c r="Z392" s="281">
        <v>3.346</v>
      </c>
      <c r="AA392" s="282">
        <f t="shared" si="90"/>
        <v>5019</v>
      </c>
      <c r="AB392" s="251"/>
      <c r="AC392" s="252" t="s">
        <v>62</v>
      </c>
      <c r="AD392" s="251" t="s">
        <v>56</v>
      </c>
      <c r="AE392" s="251">
        <f>I392</f>
        <v>1500</v>
      </c>
      <c r="AF392" s="251">
        <f t="shared" si="88"/>
        <v>0</v>
      </c>
      <c r="AG392" s="266"/>
      <c r="AH392" s="266"/>
      <c r="AI392" s="253" t="s">
        <v>57</v>
      </c>
      <c r="AJ392" s="251">
        <v>0</v>
      </c>
      <c r="AK392" s="253" t="s">
        <v>73</v>
      </c>
      <c r="AL392" s="251">
        <v>0</v>
      </c>
      <c r="AM392" s="251"/>
      <c r="AN392" s="251">
        <f t="shared" si="89"/>
        <v>1500</v>
      </c>
      <c r="AO392" s="251">
        <f t="shared" si="84"/>
        <v>1500</v>
      </c>
      <c r="AP392" s="251" t="b">
        <f t="shared" si="85"/>
        <v>0</v>
      </c>
      <c r="AQ392" s="251">
        <f t="shared" si="86"/>
        <v>1500</v>
      </c>
      <c r="AR392" s="293"/>
      <c r="AS392" s="266"/>
    </row>
    <row r="393" s="215" customFormat="1" ht="39" customHeight="1" spans="1:45">
      <c r="A393" s="254">
        <v>45862</v>
      </c>
      <c r="B393" s="249" t="s">
        <v>1279</v>
      </c>
      <c r="C393" s="265" t="s">
        <v>44</v>
      </c>
      <c r="D393" s="256">
        <v>4500174917</v>
      </c>
      <c r="E393" s="257">
        <v>70073007</v>
      </c>
      <c r="F393" s="267" t="s">
        <v>1699</v>
      </c>
      <c r="G393" s="253" t="s">
        <v>62</v>
      </c>
      <c r="H393" s="253" t="s">
        <v>63</v>
      </c>
      <c r="I393" s="251">
        <v>504</v>
      </c>
      <c r="J393" s="251">
        <v>0</v>
      </c>
      <c r="K393" s="251">
        <v>6</v>
      </c>
      <c r="L393" s="251">
        <f>I393/K393</f>
        <v>84</v>
      </c>
      <c r="M393" s="274">
        <v>45918</v>
      </c>
      <c r="N393" s="274">
        <v>45915</v>
      </c>
      <c r="O393" s="274"/>
      <c r="P393" s="274" t="s">
        <v>49</v>
      </c>
      <c r="Q393" s="274" t="s">
        <v>1698</v>
      </c>
      <c r="R393" s="274" t="s">
        <v>871</v>
      </c>
      <c r="S393" s="277" t="s">
        <v>50</v>
      </c>
      <c r="T393" s="277">
        <v>45883</v>
      </c>
      <c r="U393" s="277">
        <v>45877</v>
      </c>
      <c r="V393" s="274"/>
      <c r="W393" s="274"/>
      <c r="X393" s="278" t="s">
        <v>1276</v>
      </c>
      <c r="Y393" s="261" t="s">
        <v>1277</v>
      </c>
      <c r="Z393" s="281">
        <v>3.346</v>
      </c>
      <c r="AA393" s="282">
        <f t="shared" si="90"/>
        <v>1686.384</v>
      </c>
      <c r="AB393" s="251" t="s">
        <v>1700</v>
      </c>
      <c r="AC393" s="252" t="s">
        <v>62</v>
      </c>
      <c r="AD393" s="251" t="s">
        <v>56</v>
      </c>
      <c r="AE393" s="251">
        <v>504</v>
      </c>
      <c r="AF393" s="251">
        <f t="shared" si="88"/>
        <v>0</v>
      </c>
      <c r="AG393" s="266"/>
      <c r="AH393" s="266"/>
      <c r="AI393" s="253" t="s">
        <v>57</v>
      </c>
      <c r="AJ393" s="251">
        <v>0</v>
      </c>
      <c r="AK393" s="253" t="s">
        <v>73</v>
      </c>
      <c r="AL393" s="251">
        <v>0</v>
      </c>
      <c r="AM393" s="251"/>
      <c r="AN393" s="251">
        <f t="shared" si="89"/>
        <v>504</v>
      </c>
      <c r="AO393" s="251">
        <f t="shared" si="84"/>
        <v>504</v>
      </c>
      <c r="AP393" s="251" t="b">
        <f t="shared" si="85"/>
        <v>0</v>
      </c>
      <c r="AQ393" s="251">
        <f t="shared" si="86"/>
        <v>504</v>
      </c>
      <c r="AR393" s="293"/>
      <c r="AS393" s="266"/>
    </row>
    <row r="394" s="215" customFormat="1" ht="39" customHeight="1" spans="1:45">
      <c r="A394" s="254">
        <v>45836</v>
      </c>
      <c r="B394" s="249" t="s">
        <v>385</v>
      </c>
      <c r="C394" s="265" t="s">
        <v>44</v>
      </c>
      <c r="D394" s="256">
        <v>4500171743</v>
      </c>
      <c r="E394" s="257">
        <v>60236673</v>
      </c>
      <c r="F394" s="267" t="s">
        <v>1701</v>
      </c>
      <c r="G394" s="253" t="s">
        <v>62</v>
      </c>
      <c r="H394" s="253" t="s">
        <v>63</v>
      </c>
      <c r="I394" s="251">
        <v>1500</v>
      </c>
      <c r="J394" s="251">
        <v>0</v>
      </c>
      <c r="K394" s="251">
        <v>6</v>
      </c>
      <c r="L394" s="251">
        <f>I394/K394</f>
        <v>250</v>
      </c>
      <c r="M394" s="274">
        <v>45919</v>
      </c>
      <c r="N394" s="274">
        <v>45915</v>
      </c>
      <c r="O394" s="274"/>
      <c r="P394" s="274" t="s">
        <v>49</v>
      </c>
      <c r="Q394" s="274"/>
      <c r="R394" s="274" t="s">
        <v>871</v>
      </c>
      <c r="S394" s="277" t="s">
        <v>50</v>
      </c>
      <c r="T394" s="277">
        <v>45860</v>
      </c>
      <c r="U394" s="277">
        <v>45877</v>
      </c>
      <c r="V394" s="274"/>
      <c r="W394" s="274"/>
      <c r="X394" s="278" t="s">
        <v>1276</v>
      </c>
      <c r="Y394" s="261" t="s">
        <v>1277</v>
      </c>
      <c r="Z394" s="281">
        <v>3.346</v>
      </c>
      <c r="AA394" s="282">
        <f t="shared" si="90"/>
        <v>5019</v>
      </c>
      <c r="AB394" s="251" t="s">
        <v>1702</v>
      </c>
      <c r="AC394" s="252" t="s">
        <v>62</v>
      </c>
      <c r="AD394" s="251" t="s">
        <v>56</v>
      </c>
      <c r="AE394" s="251">
        <v>1500</v>
      </c>
      <c r="AF394" s="251">
        <f t="shared" si="88"/>
        <v>0</v>
      </c>
      <c r="AG394" s="266"/>
      <c r="AH394" s="266"/>
      <c r="AI394" s="253" t="s">
        <v>57</v>
      </c>
      <c r="AJ394" s="251">
        <v>0</v>
      </c>
      <c r="AK394" s="253" t="s">
        <v>73</v>
      </c>
      <c r="AL394" s="251">
        <v>0</v>
      </c>
      <c r="AM394" s="251"/>
      <c r="AN394" s="251">
        <f t="shared" si="89"/>
        <v>1500</v>
      </c>
      <c r="AO394" s="251">
        <f t="shared" si="84"/>
        <v>1500</v>
      </c>
      <c r="AP394" s="251" t="b">
        <f t="shared" si="85"/>
        <v>0</v>
      </c>
      <c r="AQ394" s="251">
        <f t="shared" si="86"/>
        <v>1500</v>
      </c>
      <c r="AR394" s="293"/>
      <c r="AS394" s="266"/>
    </row>
    <row r="395" s="215" customFormat="1" ht="39" customHeight="1" spans="1:45">
      <c r="A395" s="254">
        <v>45866</v>
      </c>
      <c r="B395" s="249" t="s">
        <v>74</v>
      </c>
      <c r="C395" s="265" t="s">
        <v>44</v>
      </c>
      <c r="D395" s="256">
        <v>4500175283</v>
      </c>
      <c r="E395" s="257" t="s">
        <v>1703</v>
      </c>
      <c r="F395" s="267" t="s">
        <v>1704</v>
      </c>
      <c r="G395" s="253" t="s">
        <v>62</v>
      </c>
      <c r="H395" s="253" t="s">
        <v>63</v>
      </c>
      <c r="I395" s="251">
        <v>3498</v>
      </c>
      <c r="J395" s="251">
        <v>0</v>
      </c>
      <c r="K395" s="251">
        <v>6</v>
      </c>
      <c r="L395" s="251">
        <f>I395/K395</f>
        <v>583</v>
      </c>
      <c r="M395" s="274">
        <v>45910</v>
      </c>
      <c r="N395" s="274">
        <v>45906</v>
      </c>
      <c r="O395" s="274"/>
      <c r="P395" s="274" t="s">
        <v>49</v>
      </c>
      <c r="Q395" s="274" t="s">
        <v>1705</v>
      </c>
      <c r="R395" s="274" t="s">
        <v>871</v>
      </c>
      <c r="S395" s="277" t="s">
        <v>77</v>
      </c>
      <c r="T395" s="277">
        <v>45876</v>
      </c>
      <c r="U395" s="277">
        <v>45888</v>
      </c>
      <c r="V395" s="274"/>
      <c r="W395" s="274"/>
      <c r="X395" s="278" t="s">
        <v>1479</v>
      </c>
      <c r="Y395" s="261" t="s">
        <v>116</v>
      </c>
      <c r="Z395" s="281">
        <v>3.346</v>
      </c>
      <c r="AA395" s="282">
        <f t="shared" si="90"/>
        <v>11704.308</v>
      </c>
      <c r="AB395" s="251" t="s">
        <v>1706</v>
      </c>
      <c r="AC395" s="252" t="s">
        <v>62</v>
      </c>
      <c r="AD395" s="251" t="s">
        <v>56</v>
      </c>
      <c r="AE395" s="251">
        <f>1158+2340</f>
        <v>3498</v>
      </c>
      <c r="AF395" s="251">
        <f t="shared" si="88"/>
        <v>0</v>
      </c>
      <c r="AG395" s="266"/>
      <c r="AH395" s="266"/>
      <c r="AI395" s="253" t="s">
        <v>57</v>
      </c>
      <c r="AJ395" s="251">
        <v>0</v>
      </c>
      <c r="AK395" s="253" t="s">
        <v>73</v>
      </c>
      <c r="AL395" s="251">
        <v>0</v>
      </c>
      <c r="AM395" s="251"/>
      <c r="AN395" s="251">
        <f t="shared" si="89"/>
        <v>3498</v>
      </c>
      <c r="AO395" s="251">
        <f t="shared" si="84"/>
        <v>3498</v>
      </c>
      <c r="AP395" s="251" t="b">
        <f t="shared" si="85"/>
        <v>0</v>
      </c>
      <c r="AQ395" s="251">
        <f t="shared" si="86"/>
        <v>3498</v>
      </c>
      <c r="AR395" s="293"/>
      <c r="AS395" s="266"/>
    </row>
    <row r="396" s="215" customFormat="1" ht="39" customHeight="1" spans="1:45">
      <c r="A396" s="254">
        <v>45883</v>
      </c>
      <c r="B396" s="249" t="s">
        <v>448</v>
      </c>
      <c r="C396" s="265" t="s">
        <v>449</v>
      </c>
      <c r="D396" s="256">
        <v>4500176967</v>
      </c>
      <c r="E396" s="257" t="s">
        <v>1707</v>
      </c>
      <c r="F396" s="267" t="s">
        <v>1708</v>
      </c>
      <c r="G396" s="253" t="s">
        <v>62</v>
      </c>
      <c r="H396" s="253" t="s">
        <v>63</v>
      </c>
      <c r="I396" s="251">
        <v>4680</v>
      </c>
      <c r="J396" s="251">
        <v>0</v>
      </c>
      <c r="K396" s="251">
        <v>6</v>
      </c>
      <c r="L396" s="251">
        <f t="shared" ref="L370:L459" si="91">I396/K396</f>
        <v>780</v>
      </c>
      <c r="M396" s="274">
        <v>45920</v>
      </c>
      <c r="N396" s="274">
        <v>45916</v>
      </c>
      <c r="O396" s="274"/>
      <c r="P396" s="274" t="s">
        <v>49</v>
      </c>
      <c r="Q396" s="274"/>
      <c r="R396" s="274" t="s">
        <v>871</v>
      </c>
      <c r="S396" s="277" t="s">
        <v>50</v>
      </c>
      <c r="T396" s="277" t="s">
        <v>452</v>
      </c>
      <c r="U396" s="277">
        <v>45889</v>
      </c>
      <c r="V396" s="274" t="s">
        <v>649</v>
      </c>
      <c r="W396" s="274"/>
      <c r="X396" s="278" t="s">
        <v>650</v>
      </c>
      <c r="Y396" s="261" t="s">
        <v>1361</v>
      </c>
      <c r="Z396" s="281">
        <v>3.346</v>
      </c>
      <c r="AA396" s="282">
        <f t="shared" si="90"/>
        <v>15659.28</v>
      </c>
      <c r="AB396" s="251" t="s">
        <v>1709</v>
      </c>
      <c r="AC396" s="252" t="s">
        <v>456</v>
      </c>
      <c r="AD396" s="251" t="s">
        <v>56</v>
      </c>
      <c r="AE396" s="251">
        <f>2844+1836</f>
        <v>4680</v>
      </c>
      <c r="AF396" s="251">
        <f t="shared" si="88"/>
        <v>0</v>
      </c>
      <c r="AG396" s="266"/>
      <c r="AH396" s="266"/>
      <c r="AI396" s="253" t="s">
        <v>57</v>
      </c>
      <c r="AJ396" s="251">
        <v>0</v>
      </c>
      <c r="AK396" s="253" t="s">
        <v>136</v>
      </c>
      <c r="AL396" s="251">
        <v>1</v>
      </c>
      <c r="AM396" s="251"/>
      <c r="AN396" s="251">
        <f t="shared" si="89"/>
        <v>4680</v>
      </c>
      <c r="AO396" s="251">
        <f t="shared" si="84"/>
        <v>4680</v>
      </c>
      <c r="AP396" s="251" t="b">
        <f t="shared" si="85"/>
        <v>0</v>
      </c>
      <c r="AQ396" s="251">
        <f t="shared" si="86"/>
        <v>0</v>
      </c>
      <c r="AR396" s="293"/>
      <c r="AS396" s="266"/>
    </row>
    <row r="397" s="215" customFormat="1" ht="39" hidden="1" customHeight="1" spans="1:45">
      <c r="A397" s="254">
        <v>45895</v>
      </c>
      <c r="B397" s="249" t="s">
        <v>1058</v>
      </c>
      <c r="C397" s="265" t="s">
        <v>44</v>
      </c>
      <c r="D397" s="256">
        <v>4500177795</v>
      </c>
      <c r="E397" s="257" t="s">
        <v>1710</v>
      </c>
      <c r="F397" s="267" t="s">
        <v>1711</v>
      </c>
      <c r="G397" s="253" t="s">
        <v>84</v>
      </c>
      <c r="H397" s="253" t="s">
        <v>63</v>
      </c>
      <c r="I397" s="251">
        <v>267</v>
      </c>
      <c r="J397" s="251">
        <v>0</v>
      </c>
      <c r="K397" s="251">
        <v>3</v>
      </c>
      <c r="L397" s="251">
        <f t="shared" si="91"/>
        <v>89</v>
      </c>
      <c r="M397" s="274">
        <v>45920</v>
      </c>
      <c r="N397" s="274">
        <v>45916</v>
      </c>
      <c r="O397" s="274"/>
      <c r="P397" s="274" t="s">
        <v>49</v>
      </c>
      <c r="Q397" s="274" t="s">
        <v>1712</v>
      </c>
      <c r="R397" s="274"/>
      <c r="S397" s="277" t="s">
        <v>50</v>
      </c>
      <c r="T397" s="277">
        <v>45895</v>
      </c>
      <c r="U397" s="277" t="s">
        <v>50</v>
      </c>
      <c r="V397" s="274"/>
      <c r="W397" s="274"/>
      <c r="X397" s="278" t="s">
        <v>1713</v>
      </c>
      <c r="Y397" s="261" t="s">
        <v>1714</v>
      </c>
      <c r="Z397" s="281">
        <v>2.1608</v>
      </c>
      <c r="AA397" s="282">
        <f t="shared" si="90"/>
        <v>576.9336</v>
      </c>
      <c r="AB397" s="251" t="s">
        <v>1715</v>
      </c>
      <c r="AC397" s="252" t="s">
        <v>84</v>
      </c>
      <c r="AD397" s="251" t="s">
        <v>56</v>
      </c>
      <c r="AE397" s="251">
        <v>267</v>
      </c>
      <c r="AF397" s="251">
        <f t="shared" ref="AF391:AF429" si="92">AE397-I397</f>
        <v>0</v>
      </c>
      <c r="AG397" s="266"/>
      <c r="AH397" s="266"/>
      <c r="AI397" s="253" t="s">
        <v>57</v>
      </c>
      <c r="AJ397" s="251">
        <v>0</v>
      </c>
      <c r="AK397" s="253" t="s">
        <v>73</v>
      </c>
      <c r="AL397" s="251">
        <v>0</v>
      </c>
      <c r="AM397" s="251"/>
      <c r="AN397" s="251">
        <f t="shared" si="89"/>
        <v>267</v>
      </c>
      <c r="AO397" s="251">
        <f t="shared" si="84"/>
        <v>267</v>
      </c>
      <c r="AP397" s="251"/>
      <c r="AQ397" s="251">
        <f t="shared" si="86"/>
        <v>267</v>
      </c>
      <c r="AR397" s="293"/>
      <c r="AS397" s="266"/>
    </row>
    <row r="398" s="215" customFormat="1" ht="39" hidden="1" customHeight="1" spans="1:45">
      <c r="A398" s="254">
        <v>45895</v>
      </c>
      <c r="B398" s="249" t="s">
        <v>1058</v>
      </c>
      <c r="C398" s="265" t="s">
        <v>44</v>
      </c>
      <c r="D398" s="256">
        <v>4500177795</v>
      </c>
      <c r="E398" s="257" t="s">
        <v>1716</v>
      </c>
      <c r="F398" s="267" t="s">
        <v>1717</v>
      </c>
      <c r="G398" s="253" t="s">
        <v>84</v>
      </c>
      <c r="H398" s="253" t="s">
        <v>63</v>
      </c>
      <c r="I398" s="251">
        <v>435</v>
      </c>
      <c r="J398" s="251">
        <v>0</v>
      </c>
      <c r="K398" s="251">
        <v>3</v>
      </c>
      <c r="L398" s="251">
        <f t="shared" si="91"/>
        <v>145</v>
      </c>
      <c r="M398" s="274">
        <v>45920</v>
      </c>
      <c r="N398" s="274">
        <v>45916</v>
      </c>
      <c r="O398" s="274"/>
      <c r="P398" s="274" t="s">
        <v>49</v>
      </c>
      <c r="Q398" s="274" t="s">
        <v>1712</v>
      </c>
      <c r="R398" s="274"/>
      <c r="S398" s="277" t="s">
        <v>50</v>
      </c>
      <c r="T398" s="277">
        <v>45895</v>
      </c>
      <c r="U398" s="277" t="s">
        <v>50</v>
      </c>
      <c r="V398" s="274"/>
      <c r="W398" s="274"/>
      <c r="X398" s="278" t="s">
        <v>1713</v>
      </c>
      <c r="Y398" s="261" t="s">
        <v>1714</v>
      </c>
      <c r="Z398" s="281">
        <v>2.1608</v>
      </c>
      <c r="AA398" s="282">
        <f t="shared" si="90"/>
        <v>939.948</v>
      </c>
      <c r="AB398" s="251" t="s">
        <v>1718</v>
      </c>
      <c r="AC398" s="252" t="s">
        <v>84</v>
      </c>
      <c r="AD398" s="251" t="s">
        <v>56</v>
      </c>
      <c r="AE398" s="251">
        <v>435</v>
      </c>
      <c r="AF398" s="251">
        <f t="shared" si="92"/>
        <v>0</v>
      </c>
      <c r="AG398" s="266"/>
      <c r="AH398" s="266"/>
      <c r="AI398" s="253" t="s">
        <v>57</v>
      </c>
      <c r="AJ398" s="251">
        <v>0</v>
      </c>
      <c r="AK398" s="253" t="s">
        <v>73</v>
      </c>
      <c r="AL398" s="251">
        <v>0</v>
      </c>
      <c r="AM398" s="251"/>
      <c r="AN398" s="251">
        <f t="shared" si="89"/>
        <v>435</v>
      </c>
      <c r="AO398" s="251">
        <f t="shared" si="84"/>
        <v>435</v>
      </c>
      <c r="AP398" s="251"/>
      <c r="AQ398" s="251">
        <f t="shared" si="86"/>
        <v>435</v>
      </c>
      <c r="AR398" s="293"/>
      <c r="AS398" s="266"/>
    </row>
    <row r="399" s="215" customFormat="1" ht="39" hidden="1" customHeight="1" spans="1:45">
      <c r="A399" s="254">
        <v>45881</v>
      </c>
      <c r="B399" s="249" t="s">
        <v>1058</v>
      </c>
      <c r="C399" s="265" t="s">
        <v>44</v>
      </c>
      <c r="D399" s="256">
        <v>4500176613</v>
      </c>
      <c r="E399" s="257">
        <v>217972715</v>
      </c>
      <c r="F399" s="267" t="s">
        <v>1719</v>
      </c>
      <c r="G399" s="253" t="s">
        <v>84</v>
      </c>
      <c r="H399" s="253" t="s">
        <v>63</v>
      </c>
      <c r="I399" s="251">
        <v>381</v>
      </c>
      <c r="J399" s="251">
        <v>0</v>
      </c>
      <c r="K399" s="251">
        <v>3</v>
      </c>
      <c r="L399" s="251">
        <f t="shared" si="91"/>
        <v>127</v>
      </c>
      <c r="M399" s="274">
        <v>45924</v>
      </c>
      <c r="N399" s="274">
        <v>45920</v>
      </c>
      <c r="O399" s="274"/>
      <c r="P399" s="274" t="s">
        <v>49</v>
      </c>
      <c r="Q399" s="274"/>
      <c r="R399" s="274" t="s">
        <v>871</v>
      </c>
      <c r="S399" s="277" t="s">
        <v>50</v>
      </c>
      <c r="T399" s="277">
        <v>45891</v>
      </c>
      <c r="U399" s="277" t="s">
        <v>50</v>
      </c>
      <c r="V399" s="274"/>
      <c r="W399" s="274"/>
      <c r="X399" s="278" t="s">
        <v>1060</v>
      </c>
      <c r="Y399" s="261" t="s">
        <v>1714</v>
      </c>
      <c r="Z399" s="281">
        <v>3.3328</v>
      </c>
      <c r="AA399" s="282">
        <f t="shared" si="90"/>
        <v>1269.7968</v>
      </c>
      <c r="AB399" s="251" t="s">
        <v>1720</v>
      </c>
      <c r="AC399" s="252" t="s">
        <v>84</v>
      </c>
      <c r="AD399" s="251" t="s">
        <v>56</v>
      </c>
      <c r="AE399" s="251">
        <v>381</v>
      </c>
      <c r="AF399" s="251">
        <f t="shared" si="92"/>
        <v>0</v>
      </c>
      <c r="AG399" s="266"/>
      <c r="AH399" s="266"/>
      <c r="AI399" s="253" t="s">
        <v>57</v>
      </c>
      <c r="AJ399" s="251">
        <v>0</v>
      </c>
      <c r="AK399" s="253" t="s">
        <v>73</v>
      </c>
      <c r="AL399" s="251">
        <v>0</v>
      </c>
      <c r="AM399" s="251"/>
      <c r="AN399" s="251">
        <f t="shared" si="89"/>
        <v>381</v>
      </c>
      <c r="AO399" s="251">
        <f t="shared" si="84"/>
        <v>381</v>
      </c>
      <c r="AP399" s="251" t="b">
        <f>IF($AJ399=2,$AN399,IF($AJ399&gt;0,0))</f>
        <v>0</v>
      </c>
      <c r="AQ399" s="251">
        <f t="shared" si="86"/>
        <v>381</v>
      </c>
      <c r="AR399" s="293"/>
      <c r="AS399" s="266"/>
    </row>
    <row r="400" s="216" customFormat="1" ht="39" customHeight="1" spans="1:45">
      <c r="A400" s="311">
        <v>45895</v>
      </c>
      <c r="B400" s="312" t="s">
        <v>74</v>
      </c>
      <c r="C400" s="217" t="s">
        <v>44</v>
      </c>
      <c r="D400" s="313">
        <v>4500177800</v>
      </c>
      <c r="E400" s="314" t="s">
        <v>1721</v>
      </c>
      <c r="F400" s="313" t="s">
        <v>1722</v>
      </c>
      <c r="G400" s="315" t="s">
        <v>62</v>
      </c>
      <c r="H400" s="316" t="s">
        <v>63</v>
      </c>
      <c r="I400" s="310">
        <v>1296</v>
      </c>
      <c r="J400" s="310">
        <v>0</v>
      </c>
      <c r="K400" s="310">
        <v>6</v>
      </c>
      <c r="L400" s="310">
        <f t="shared" si="91"/>
        <v>216</v>
      </c>
      <c r="M400" s="333">
        <v>45923</v>
      </c>
      <c r="N400" s="333">
        <v>45919</v>
      </c>
      <c r="O400" s="334"/>
      <c r="P400" s="333" t="s">
        <v>49</v>
      </c>
      <c r="Q400" s="334" t="s">
        <v>1723</v>
      </c>
      <c r="R400" s="334" t="s">
        <v>871</v>
      </c>
      <c r="S400" s="342" t="s">
        <v>77</v>
      </c>
      <c r="T400" s="343">
        <v>45895</v>
      </c>
      <c r="U400" s="343">
        <v>45909</v>
      </c>
      <c r="V400" s="334" t="s">
        <v>1724</v>
      </c>
      <c r="W400" s="334"/>
      <c r="X400" s="344" t="s">
        <v>1345</v>
      </c>
      <c r="Y400" s="315" t="s">
        <v>116</v>
      </c>
      <c r="Z400" s="353">
        <v>1.9997</v>
      </c>
      <c r="AA400" s="354">
        <f t="shared" si="90"/>
        <v>2591.6112</v>
      </c>
      <c r="AB400" s="313" t="s">
        <v>1725</v>
      </c>
      <c r="AC400" s="326" t="s">
        <v>62</v>
      </c>
      <c r="AD400" s="216" t="s">
        <v>56</v>
      </c>
      <c r="AE400" s="310">
        <v>1296</v>
      </c>
      <c r="AF400" s="310">
        <f t="shared" si="92"/>
        <v>0</v>
      </c>
      <c r="AG400" s="217"/>
      <c r="AH400" s="217"/>
      <c r="AI400" s="316" t="s">
        <v>57</v>
      </c>
      <c r="AJ400" s="310">
        <v>0</v>
      </c>
      <c r="AK400" s="316" t="s">
        <v>73</v>
      </c>
      <c r="AL400" s="310">
        <v>0</v>
      </c>
      <c r="AM400" s="310"/>
      <c r="AN400" s="251">
        <f t="shared" si="89"/>
        <v>1296</v>
      </c>
      <c r="AO400" s="310">
        <f t="shared" si="84"/>
        <v>1296</v>
      </c>
      <c r="AP400" s="310"/>
      <c r="AQ400" s="310">
        <f t="shared" si="86"/>
        <v>1296</v>
      </c>
      <c r="AR400" s="364"/>
      <c r="AS400" s="218"/>
    </row>
    <row r="401" s="216" customFormat="1" ht="39" customHeight="1" spans="1:45">
      <c r="A401" s="311">
        <v>45895</v>
      </c>
      <c r="B401" s="312" t="s">
        <v>74</v>
      </c>
      <c r="C401" s="217" t="s">
        <v>44</v>
      </c>
      <c r="D401" s="313">
        <v>4500177798</v>
      </c>
      <c r="E401" s="314" t="s">
        <v>1726</v>
      </c>
      <c r="F401" s="313" t="s">
        <v>1727</v>
      </c>
      <c r="G401" s="315" t="s">
        <v>62</v>
      </c>
      <c r="H401" s="316" t="s">
        <v>63</v>
      </c>
      <c r="I401" s="310">
        <v>1806</v>
      </c>
      <c r="J401" s="310">
        <v>0</v>
      </c>
      <c r="K401" s="310">
        <v>6</v>
      </c>
      <c r="L401" s="310">
        <f t="shared" si="91"/>
        <v>301</v>
      </c>
      <c r="M401" s="333">
        <v>45923</v>
      </c>
      <c r="N401" s="333">
        <v>45919</v>
      </c>
      <c r="O401" s="334"/>
      <c r="P401" s="333" t="s">
        <v>49</v>
      </c>
      <c r="Q401" s="334" t="s">
        <v>1723</v>
      </c>
      <c r="R401" s="334" t="s">
        <v>871</v>
      </c>
      <c r="S401" s="342" t="s">
        <v>77</v>
      </c>
      <c r="T401" s="343">
        <v>45895</v>
      </c>
      <c r="U401" s="343">
        <v>45909</v>
      </c>
      <c r="V401" s="334" t="s">
        <v>1724</v>
      </c>
      <c r="W401" s="334"/>
      <c r="X401" s="344" t="s">
        <v>1345</v>
      </c>
      <c r="Y401" s="315" t="s">
        <v>116</v>
      </c>
      <c r="Z401" s="353">
        <v>1.9997</v>
      </c>
      <c r="AA401" s="354">
        <f t="shared" si="90"/>
        <v>3611.4582</v>
      </c>
      <c r="AB401" s="313" t="s">
        <v>1728</v>
      </c>
      <c r="AC401" s="322" t="s">
        <v>62</v>
      </c>
      <c r="AD401" s="216" t="s">
        <v>56</v>
      </c>
      <c r="AE401" s="310">
        <v>1806</v>
      </c>
      <c r="AF401" s="310">
        <f t="shared" si="92"/>
        <v>0</v>
      </c>
      <c r="AG401" s="217"/>
      <c r="AH401" s="217"/>
      <c r="AI401" s="316" t="s">
        <v>57</v>
      </c>
      <c r="AJ401" s="310">
        <v>0</v>
      </c>
      <c r="AK401" s="316" t="s">
        <v>73</v>
      </c>
      <c r="AL401" s="310">
        <v>0</v>
      </c>
      <c r="AM401" s="310"/>
      <c r="AN401" s="251">
        <f t="shared" si="89"/>
        <v>1806</v>
      </c>
      <c r="AO401" s="310">
        <f t="shared" si="84"/>
        <v>1806</v>
      </c>
      <c r="AP401" s="310"/>
      <c r="AQ401" s="310">
        <f t="shared" si="86"/>
        <v>1806</v>
      </c>
      <c r="AR401" s="364"/>
      <c r="AS401" s="218"/>
    </row>
    <row r="402" s="216" customFormat="1" ht="39" hidden="1" customHeight="1" spans="1:45">
      <c r="A402" s="311">
        <v>45884</v>
      </c>
      <c r="B402" s="312" t="s">
        <v>838</v>
      </c>
      <c r="C402" s="218" t="s">
        <v>44</v>
      </c>
      <c r="D402" s="313">
        <v>4500176998</v>
      </c>
      <c r="E402" s="317" t="s">
        <v>1729</v>
      </c>
      <c r="F402" s="313" t="s">
        <v>1730</v>
      </c>
      <c r="G402" s="316" t="s">
        <v>46</v>
      </c>
      <c r="H402" s="316" t="s">
        <v>47</v>
      </c>
      <c r="I402" s="310">
        <v>392</v>
      </c>
      <c r="J402" s="310">
        <v>0</v>
      </c>
      <c r="K402" s="310">
        <v>98</v>
      </c>
      <c r="L402" s="310">
        <f t="shared" si="91"/>
        <v>4</v>
      </c>
      <c r="M402" s="333">
        <v>45924</v>
      </c>
      <c r="N402" s="333">
        <v>45920</v>
      </c>
      <c r="O402" s="333" t="s">
        <v>1731</v>
      </c>
      <c r="P402" s="333" t="s">
        <v>49</v>
      </c>
      <c r="Q402" s="333"/>
      <c r="R402" s="334" t="s">
        <v>871</v>
      </c>
      <c r="S402" s="343" t="s">
        <v>50</v>
      </c>
      <c r="T402" s="343" t="s">
        <v>970</v>
      </c>
      <c r="U402" s="343" t="s">
        <v>1732</v>
      </c>
      <c r="V402" s="333"/>
      <c r="W402" s="333" t="s">
        <v>1137</v>
      </c>
      <c r="X402" s="345" t="s">
        <v>1733</v>
      </c>
      <c r="Y402" s="315" t="s">
        <v>844</v>
      </c>
      <c r="Z402" s="353">
        <v>217.2688</v>
      </c>
      <c r="AA402" s="354">
        <f>Z402*L402</f>
        <v>869.0752</v>
      </c>
      <c r="AB402" s="310" t="s">
        <v>1734</v>
      </c>
      <c r="AC402" s="316" t="s">
        <v>46</v>
      </c>
      <c r="AD402" s="217" t="s">
        <v>56</v>
      </c>
      <c r="AE402" s="310">
        <v>392</v>
      </c>
      <c r="AF402" s="310">
        <f t="shared" si="92"/>
        <v>0</v>
      </c>
      <c r="AG402" s="217"/>
      <c r="AI402" s="315" t="s">
        <v>57</v>
      </c>
      <c r="AJ402" s="310">
        <v>0</v>
      </c>
      <c r="AK402" s="316" t="s">
        <v>73</v>
      </c>
      <c r="AL402" s="313">
        <v>0</v>
      </c>
      <c r="AM402" s="310"/>
      <c r="AN402" s="251">
        <f t="shared" si="89"/>
        <v>392</v>
      </c>
      <c r="AO402" s="310">
        <f t="shared" si="84"/>
        <v>392</v>
      </c>
      <c r="AP402" s="310" t="b">
        <f t="shared" ref="AP402:AP417" si="93">IF($AJ402=2,$AN402,IF($AJ402&gt;0,0))</f>
        <v>0</v>
      </c>
      <c r="AQ402" s="310">
        <f t="shared" si="86"/>
        <v>392</v>
      </c>
      <c r="AR402" s="365"/>
      <c r="AS402" s="217"/>
    </row>
    <row r="403" s="216" customFormat="1" ht="39" hidden="1" customHeight="1" spans="1:45">
      <c r="A403" s="311">
        <v>45884</v>
      </c>
      <c r="B403" s="312" t="s">
        <v>838</v>
      </c>
      <c r="C403" s="218" t="s">
        <v>44</v>
      </c>
      <c r="D403" s="313">
        <v>4500176998</v>
      </c>
      <c r="E403" s="314" t="s">
        <v>1735</v>
      </c>
      <c r="F403" s="313" t="s">
        <v>1736</v>
      </c>
      <c r="G403" s="316" t="s">
        <v>46</v>
      </c>
      <c r="H403" s="316" t="s">
        <v>47</v>
      </c>
      <c r="I403" s="310">
        <v>588</v>
      </c>
      <c r="J403" s="310">
        <v>0</v>
      </c>
      <c r="K403" s="310">
        <v>98</v>
      </c>
      <c r="L403" s="310">
        <f t="shared" si="91"/>
        <v>6</v>
      </c>
      <c r="M403" s="333">
        <v>45924</v>
      </c>
      <c r="N403" s="333">
        <v>45920</v>
      </c>
      <c r="O403" s="333" t="s">
        <v>1731</v>
      </c>
      <c r="P403" s="333" t="s">
        <v>49</v>
      </c>
      <c r="Q403" s="333"/>
      <c r="R403" s="334" t="s">
        <v>871</v>
      </c>
      <c r="S403" s="343" t="s">
        <v>50</v>
      </c>
      <c r="T403" s="343" t="s">
        <v>970</v>
      </c>
      <c r="U403" s="343" t="s">
        <v>1732</v>
      </c>
      <c r="V403" s="333"/>
      <c r="W403" s="333" t="s">
        <v>1137</v>
      </c>
      <c r="X403" s="345" t="s">
        <v>1733</v>
      </c>
      <c r="Y403" s="315" t="s">
        <v>844</v>
      </c>
      <c r="Z403" s="353">
        <v>217.2688</v>
      </c>
      <c r="AA403" s="354">
        <f>Z403*L403</f>
        <v>1303.6128</v>
      </c>
      <c r="AB403" s="310" t="s">
        <v>1737</v>
      </c>
      <c r="AC403" s="316" t="s">
        <v>46</v>
      </c>
      <c r="AD403" s="217" t="s">
        <v>56</v>
      </c>
      <c r="AE403" s="310">
        <v>588</v>
      </c>
      <c r="AF403" s="310">
        <f t="shared" si="92"/>
        <v>0</v>
      </c>
      <c r="AG403" s="217"/>
      <c r="AI403" s="315" t="s">
        <v>57</v>
      </c>
      <c r="AJ403" s="310">
        <v>0</v>
      </c>
      <c r="AK403" s="316" t="s">
        <v>73</v>
      </c>
      <c r="AL403" s="313">
        <v>0</v>
      </c>
      <c r="AM403" s="310"/>
      <c r="AN403" s="251">
        <f t="shared" si="89"/>
        <v>588</v>
      </c>
      <c r="AO403" s="310">
        <f t="shared" si="84"/>
        <v>588</v>
      </c>
      <c r="AP403" s="310" t="b">
        <f t="shared" si="93"/>
        <v>0</v>
      </c>
      <c r="AQ403" s="310">
        <f t="shared" si="86"/>
        <v>588</v>
      </c>
      <c r="AR403" s="365"/>
      <c r="AS403" s="217"/>
    </row>
    <row r="404" s="216" customFormat="1" ht="39" hidden="1" customHeight="1" spans="1:45">
      <c r="A404" s="318">
        <v>45884</v>
      </c>
      <c r="B404" s="319" t="s">
        <v>838</v>
      </c>
      <c r="C404" s="320" t="s">
        <v>44</v>
      </c>
      <c r="D404" s="321">
        <v>4500176998</v>
      </c>
      <c r="E404" s="322" t="s">
        <v>1738</v>
      </c>
      <c r="F404" s="321" t="s">
        <v>1739</v>
      </c>
      <c r="G404" s="323" t="s">
        <v>46</v>
      </c>
      <c r="H404" s="323" t="s">
        <v>47</v>
      </c>
      <c r="I404" s="329">
        <v>686</v>
      </c>
      <c r="J404" s="329">
        <v>0</v>
      </c>
      <c r="K404" s="329">
        <v>98</v>
      </c>
      <c r="L404" s="329">
        <f t="shared" si="91"/>
        <v>7</v>
      </c>
      <c r="M404" s="335">
        <v>45924</v>
      </c>
      <c r="N404" s="335">
        <v>45920</v>
      </c>
      <c r="O404" s="333" t="s">
        <v>1731</v>
      </c>
      <c r="P404" s="333" t="s">
        <v>49</v>
      </c>
      <c r="Q404" s="335"/>
      <c r="R404" s="336" t="s">
        <v>871</v>
      </c>
      <c r="S404" s="346" t="s">
        <v>50</v>
      </c>
      <c r="T404" s="346" t="s">
        <v>970</v>
      </c>
      <c r="U404" s="346" t="s">
        <v>1732</v>
      </c>
      <c r="V404" s="335"/>
      <c r="W404" s="335" t="s">
        <v>1137</v>
      </c>
      <c r="X404" s="347" t="s">
        <v>1733</v>
      </c>
      <c r="Y404" s="355" t="s">
        <v>844</v>
      </c>
      <c r="Z404" s="356">
        <v>217.2688</v>
      </c>
      <c r="AA404" s="357">
        <f>Z404*L404</f>
        <v>1520.8816</v>
      </c>
      <c r="AB404" s="329" t="s">
        <v>1740</v>
      </c>
      <c r="AC404" s="323" t="s">
        <v>46</v>
      </c>
      <c r="AD404" s="219" t="s">
        <v>56</v>
      </c>
      <c r="AE404" s="310">
        <v>686</v>
      </c>
      <c r="AF404" s="310">
        <f t="shared" si="92"/>
        <v>0</v>
      </c>
      <c r="AG404" s="219"/>
      <c r="AI404" s="355" t="s">
        <v>57</v>
      </c>
      <c r="AJ404" s="329">
        <v>0</v>
      </c>
      <c r="AK404" s="323" t="s">
        <v>73</v>
      </c>
      <c r="AL404" s="321">
        <v>0</v>
      </c>
      <c r="AM404" s="329"/>
      <c r="AN404" s="251">
        <f t="shared" si="89"/>
        <v>686</v>
      </c>
      <c r="AO404" s="310">
        <f t="shared" si="84"/>
        <v>686</v>
      </c>
      <c r="AP404" s="310" t="b">
        <f t="shared" si="93"/>
        <v>0</v>
      </c>
      <c r="AQ404" s="310">
        <f t="shared" si="86"/>
        <v>686</v>
      </c>
      <c r="AR404" s="366"/>
      <c r="AS404" s="219"/>
    </row>
    <row r="405" s="217" customFormat="1" ht="39" customHeight="1" spans="1:43">
      <c r="A405" s="324">
        <v>45887</v>
      </c>
      <c r="B405" s="325" t="s">
        <v>1741</v>
      </c>
      <c r="C405" s="217" t="s">
        <v>1156</v>
      </c>
      <c r="D405" s="310">
        <v>4500177169</v>
      </c>
      <c r="E405" s="326">
        <v>5000001964</v>
      </c>
      <c r="F405" s="310" t="s">
        <v>1742</v>
      </c>
      <c r="G405" s="316" t="s">
        <v>62</v>
      </c>
      <c r="H405" s="316" t="s">
        <v>63</v>
      </c>
      <c r="I405" s="310">
        <v>600</v>
      </c>
      <c r="J405" s="310">
        <v>0</v>
      </c>
      <c r="K405" s="310">
        <v>6</v>
      </c>
      <c r="L405" s="310">
        <f t="shared" si="91"/>
        <v>100</v>
      </c>
      <c r="M405" s="333">
        <v>45924</v>
      </c>
      <c r="N405" s="333">
        <v>45920</v>
      </c>
      <c r="O405" s="333"/>
      <c r="P405" s="333" t="s">
        <v>49</v>
      </c>
      <c r="Q405" s="333"/>
      <c r="R405" s="333" t="s">
        <v>56</v>
      </c>
      <c r="S405" s="342" t="s">
        <v>50</v>
      </c>
      <c r="T405" s="342" t="s">
        <v>1743</v>
      </c>
      <c r="U405" s="342" t="s">
        <v>1743</v>
      </c>
      <c r="V405" s="333" t="s">
        <v>1744</v>
      </c>
      <c r="W405" s="333"/>
      <c r="X405" s="345" t="s">
        <v>1745</v>
      </c>
      <c r="Y405" s="316" t="s">
        <v>1159</v>
      </c>
      <c r="Z405" s="353">
        <v>3.346</v>
      </c>
      <c r="AA405" s="354">
        <f>I405*Z405</f>
        <v>2007.6</v>
      </c>
      <c r="AB405" s="310" t="s">
        <v>1746</v>
      </c>
      <c r="AC405" s="358" t="s">
        <v>1161</v>
      </c>
      <c r="AD405" s="216" t="s">
        <v>56</v>
      </c>
      <c r="AE405" s="310">
        <v>600</v>
      </c>
      <c r="AF405" s="310">
        <f t="shared" si="92"/>
        <v>0</v>
      </c>
      <c r="AI405" s="316" t="s">
        <v>57</v>
      </c>
      <c r="AJ405" s="310">
        <v>0</v>
      </c>
      <c r="AK405" s="316" t="s">
        <v>1162</v>
      </c>
      <c r="AL405" s="310">
        <v>1</v>
      </c>
      <c r="AM405" s="310"/>
      <c r="AN405" s="251">
        <f t="shared" si="89"/>
        <v>600</v>
      </c>
      <c r="AO405" s="310">
        <f t="shared" si="84"/>
        <v>600</v>
      </c>
      <c r="AP405" s="310" t="b">
        <f t="shared" si="93"/>
        <v>0</v>
      </c>
      <c r="AQ405" s="310">
        <f t="shared" si="86"/>
        <v>0</v>
      </c>
    </row>
    <row r="406" s="218" customFormat="1" ht="39" hidden="1" customHeight="1" spans="1:43">
      <c r="A406" s="311">
        <v>45889</v>
      </c>
      <c r="B406" s="312" t="s">
        <v>838</v>
      </c>
      <c r="C406" s="320" t="s">
        <v>44</v>
      </c>
      <c r="D406" s="313">
        <v>4500177401</v>
      </c>
      <c r="E406" s="314" t="s">
        <v>1747</v>
      </c>
      <c r="F406" s="313" t="s">
        <v>1748</v>
      </c>
      <c r="G406" s="315" t="s">
        <v>46</v>
      </c>
      <c r="H406" s="315" t="s">
        <v>47</v>
      </c>
      <c r="I406" s="313">
        <v>588</v>
      </c>
      <c r="J406" s="313">
        <v>0</v>
      </c>
      <c r="K406" s="313">
        <v>98</v>
      </c>
      <c r="L406" s="313">
        <f t="shared" si="91"/>
        <v>6</v>
      </c>
      <c r="M406" s="336">
        <v>45924</v>
      </c>
      <c r="N406" s="336">
        <v>45920</v>
      </c>
      <c r="O406" s="334" t="s">
        <v>1749</v>
      </c>
      <c r="P406" s="333" t="s">
        <v>49</v>
      </c>
      <c r="Q406" s="334"/>
      <c r="R406" s="334" t="s">
        <v>871</v>
      </c>
      <c r="S406" s="343" t="s">
        <v>50</v>
      </c>
      <c r="T406" s="343" t="s">
        <v>1750</v>
      </c>
      <c r="U406" s="343" t="s">
        <v>1136</v>
      </c>
      <c r="V406" s="334"/>
      <c r="W406" s="334"/>
      <c r="X406" s="344" t="s">
        <v>1261</v>
      </c>
      <c r="Y406" s="315" t="s">
        <v>844</v>
      </c>
      <c r="Z406" s="359">
        <v>217.2683</v>
      </c>
      <c r="AA406" s="360">
        <f>Z406*L406</f>
        <v>1303.6098</v>
      </c>
      <c r="AB406" s="313" t="s">
        <v>1751</v>
      </c>
      <c r="AC406" s="315" t="s">
        <v>46</v>
      </c>
      <c r="AD406" s="216" t="s">
        <v>56</v>
      </c>
      <c r="AE406" s="310">
        <v>588</v>
      </c>
      <c r="AF406" s="310">
        <f t="shared" si="92"/>
        <v>0</v>
      </c>
      <c r="AI406" s="315" t="s">
        <v>57</v>
      </c>
      <c r="AJ406" s="321">
        <v>0</v>
      </c>
      <c r="AK406" s="355" t="s">
        <v>73</v>
      </c>
      <c r="AL406" s="321">
        <v>0</v>
      </c>
      <c r="AM406" s="313"/>
      <c r="AN406" s="251">
        <f t="shared" si="89"/>
        <v>588</v>
      </c>
      <c r="AO406" s="310">
        <f t="shared" si="84"/>
        <v>588</v>
      </c>
      <c r="AP406" s="310" t="b">
        <f t="shared" si="93"/>
        <v>0</v>
      </c>
      <c r="AQ406" s="310">
        <f t="shared" si="86"/>
        <v>588</v>
      </c>
    </row>
    <row r="407" s="219" customFormat="1" ht="39" hidden="1" customHeight="1" spans="1:43">
      <c r="A407" s="327">
        <v>45889</v>
      </c>
      <c r="B407" s="328" t="s">
        <v>838</v>
      </c>
      <c r="C407" s="320" t="s">
        <v>44</v>
      </c>
      <c r="D407" s="329">
        <v>4500177401</v>
      </c>
      <c r="E407" s="330" t="s">
        <v>1752</v>
      </c>
      <c r="F407" s="329" t="s">
        <v>1753</v>
      </c>
      <c r="G407" s="323" t="s">
        <v>46</v>
      </c>
      <c r="H407" s="323" t="s">
        <v>47</v>
      </c>
      <c r="I407" s="329">
        <v>588</v>
      </c>
      <c r="J407" s="329">
        <v>0</v>
      </c>
      <c r="K407" s="329">
        <v>98</v>
      </c>
      <c r="L407" s="329">
        <f t="shared" si="91"/>
        <v>6</v>
      </c>
      <c r="M407" s="335">
        <v>45924</v>
      </c>
      <c r="N407" s="335">
        <v>45920</v>
      </c>
      <c r="O407" s="334" t="s">
        <v>1749</v>
      </c>
      <c r="P407" s="333" t="s">
        <v>49</v>
      </c>
      <c r="Q407" s="335"/>
      <c r="R407" s="335" t="s">
        <v>871</v>
      </c>
      <c r="S407" s="348" t="s">
        <v>50</v>
      </c>
      <c r="T407" s="348" t="s">
        <v>1750</v>
      </c>
      <c r="U407" s="348" t="s">
        <v>1136</v>
      </c>
      <c r="V407" s="335"/>
      <c r="W407" s="335"/>
      <c r="X407" s="347" t="s">
        <v>1261</v>
      </c>
      <c r="Y407" s="323" t="s">
        <v>844</v>
      </c>
      <c r="Z407" s="356">
        <v>217.2683</v>
      </c>
      <c r="AA407" s="357">
        <f>Z407*L407</f>
        <v>1303.6098</v>
      </c>
      <c r="AB407" s="329" t="s">
        <v>1754</v>
      </c>
      <c r="AC407" s="315" t="s">
        <v>46</v>
      </c>
      <c r="AD407" s="216" t="s">
        <v>56</v>
      </c>
      <c r="AE407" s="310">
        <v>588</v>
      </c>
      <c r="AF407" s="310">
        <f t="shared" si="92"/>
        <v>0</v>
      </c>
      <c r="AI407" s="323" t="s">
        <v>57</v>
      </c>
      <c r="AJ407" s="329">
        <v>0</v>
      </c>
      <c r="AK407" s="355" t="s">
        <v>73</v>
      </c>
      <c r="AL407" s="321">
        <v>0</v>
      </c>
      <c r="AM407" s="329"/>
      <c r="AN407" s="251">
        <f t="shared" si="89"/>
        <v>588</v>
      </c>
      <c r="AO407" s="310">
        <f t="shared" si="84"/>
        <v>588</v>
      </c>
      <c r="AP407" s="310" t="b">
        <f t="shared" si="93"/>
        <v>0</v>
      </c>
      <c r="AQ407" s="310">
        <f t="shared" si="86"/>
        <v>588</v>
      </c>
    </row>
    <row r="408" s="217" customFormat="1" ht="39" customHeight="1" spans="1:43">
      <c r="A408" s="324">
        <v>45897</v>
      </c>
      <c r="B408" s="325" t="s">
        <v>207</v>
      </c>
      <c r="C408" s="217" t="s">
        <v>119</v>
      </c>
      <c r="D408" s="310">
        <v>4500178179</v>
      </c>
      <c r="E408" s="326">
        <v>4400507172</v>
      </c>
      <c r="F408" s="310" t="s">
        <v>1755</v>
      </c>
      <c r="G408" s="316" t="s">
        <v>62</v>
      </c>
      <c r="H408" s="316" t="s">
        <v>63</v>
      </c>
      <c r="I408" s="310">
        <v>252</v>
      </c>
      <c r="J408" s="310">
        <v>0</v>
      </c>
      <c r="K408" s="310">
        <v>6</v>
      </c>
      <c r="L408" s="310">
        <f t="shared" si="91"/>
        <v>42</v>
      </c>
      <c r="M408" s="333">
        <v>45925</v>
      </c>
      <c r="N408" s="333">
        <v>45922</v>
      </c>
      <c r="O408" s="333"/>
      <c r="P408" s="333" t="s">
        <v>49</v>
      </c>
      <c r="Q408" s="333"/>
      <c r="R408" s="333"/>
      <c r="S408" s="342" t="s">
        <v>50</v>
      </c>
      <c r="T408" s="342">
        <v>45897</v>
      </c>
      <c r="U408" s="343" t="s">
        <v>50</v>
      </c>
      <c r="V408" s="333" t="s">
        <v>1471</v>
      </c>
      <c r="W408" s="333"/>
      <c r="X408" s="349" t="s">
        <v>1756</v>
      </c>
      <c r="Y408" s="316" t="s">
        <v>1292</v>
      </c>
      <c r="Z408" s="353">
        <v>3.5632</v>
      </c>
      <c r="AA408" s="354">
        <f t="shared" ref="AA408:AA415" si="94">I408*Z408</f>
        <v>897.9264</v>
      </c>
      <c r="AB408" s="310" t="s">
        <v>1757</v>
      </c>
      <c r="AC408" s="326" t="s">
        <v>1168</v>
      </c>
      <c r="AD408" s="216" t="s">
        <v>56</v>
      </c>
      <c r="AE408" s="310">
        <v>252</v>
      </c>
      <c r="AF408" s="310">
        <f t="shared" si="92"/>
        <v>0</v>
      </c>
      <c r="AI408" s="253" t="s">
        <v>72</v>
      </c>
      <c r="AJ408" s="251">
        <v>2</v>
      </c>
      <c r="AK408" s="363" t="s">
        <v>73</v>
      </c>
      <c r="AL408" s="310">
        <v>0</v>
      </c>
      <c r="AM408" s="310"/>
      <c r="AN408" s="251">
        <f t="shared" si="89"/>
        <v>252</v>
      </c>
      <c r="AO408" s="310">
        <f t="shared" si="84"/>
        <v>0</v>
      </c>
      <c r="AP408" s="310">
        <f t="shared" si="93"/>
        <v>252</v>
      </c>
      <c r="AQ408" s="310">
        <f t="shared" si="86"/>
        <v>252</v>
      </c>
    </row>
    <row r="409" s="216" customFormat="1" ht="39" customHeight="1" spans="1:45">
      <c r="A409" s="311">
        <v>45876</v>
      </c>
      <c r="B409" s="312" t="s">
        <v>1758</v>
      </c>
      <c r="C409" s="218" t="s">
        <v>764</v>
      </c>
      <c r="D409" s="313">
        <v>4500176287</v>
      </c>
      <c r="E409" s="314"/>
      <c r="F409" s="313" t="s">
        <v>1759</v>
      </c>
      <c r="G409" s="315" t="s">
        <v>62</v>
      </c>
      <c r="H409" s="316" t="s">
        <v>63</v>
      </c>
      <c r="I409" s="310">
        <v>504</v>
      </c>
      <c r="J409" s="310">
        <v>0</v>
      </c>
      <c r="K409" s="310">
        <v>6</v>
      </c>
      <c r="L409" s="310">
        <f t="shared" si="91"/>
        <v>84</v>
      </c>
      <c r="M409" s="337">
        <v>45929</v>
      </c>
      <c r="N409" s="337">
        <v>45925</v>
      </c>
      <c r="O409" s="334"/>
      <c r="P409" s="333" t="s">
        <v>49</v>
      </c>
      <c r="Q409" s="334"/>
      <c r="R409" s="333" t="s">
        <v>871</v>
      </c>
      <c r="S409" s="342" t="s">
        <v>50</v>
      </c>
      <c r="T409" s="343">
        <v>45899</v>
      </c>
      <c r="U409" s="343" t="s">
        <v>50</v>
      </c>
      <c r="V409" s="334"/>
      <c r="W409" s="334"/>
      <c r="X409" s="345" t="s">
        <v>1760</v>
      </c>
      <c r="Y409" s="315" t="s">
        <v>454</v>
      </c>
      <c r="Z409" s="361">
        <v>3.346</v>
      </c>
      <c r="AA409" s="354">
        <f t="shared" si="94"/>
        <v>1686.384</v>
      </c>
      <c r="AB409" s="313" t="s">
        <v>1761</v>
      </c>
      <c r="AC409" s="326" t="s">
        <v>62</v>
      </c>
      <c r="AD409" s="310" t="s">
        <v>56</v>
      </c>
      <c r="AE409" s="310">
        <v>504</v>
      </c>
      <c r="AF409" s="310">
        <f t="shared" si="92"/>
        <v>0</v>
      </c>
      <c r="AG409" s="218"/>
      <c r="AH409" s="218"/>
      <c r="AI409" s="316" t="s">
        <v>57</v>
      </c>
      <c r="AJ409" s="310">
        <v>0</v>
      </c>
      <c r="AK409" s="316" t="s">
        <v>73</v>
      </c>
      <c r="AL409" s="310">
        <v>0</v>
      </c>
      <c r="AM409" s="313"/>
      <c r="AN409" s="251">
        <f t="shared" si="89"/>
        <v>504</v>
      </c>
      <c r="AO409" s="310">
        <f t="shared" si="84"/>
        <v>504</v>
      </c>
      <c r="AP409" s="310" t="b">
        <f t="shared" si="93"/>
        <v>0</v>
      </c>
      <c r="AQ409" s="310">
        <f t="shared" si="86"/>
        <v>504</v>
      </c>
      <c r="AR409" s="364"/>
      <c r="AS409" s="218"/>
    </row>
    <row r="410" s="216" customFormat="1" ht="39" customHeight="1" spans="1:45">
      <c r="A410" s="311">
        <v>45862</v>
      </c>
      <c r="B410" s="312" t="s">
        <v>385</v>
      </c>
      <c r="C410" s="218" t="s">
        <v>44</v>
      </c>
      <c r="D410" s="313">
        <v>4500174710</v>
      </c>
      <c r="E410" s="314">
        <v>60236701</v>
      </c>
      <c r="F410" s="313" t="s">
        <v>1762</v>
      </c>
      <c r="G410" s="315" t="s">
        <v>62</v>
      </c>
      <c r="H410" s="316" t="s">
        <v>63</v>
      </c>
      <c r="I410" s="310">
        <v>1500</v>
      </c>
      <c r="J410" s="310">
        <v>0</v>
      </c>
      <c r="K410" s="310">
        <v>6</v>
      </c>
      <c r="L410" s="310">
        <f t="shared" si="91"/>
        <v>250</v>
      </c>
      <c r="M410" s="338">
        <v>45929</v>
      </c>
      <c r="N410" s="338">
        <v>45925</v>
      </c>
      <c r="O410" s="334"/>
      <c r="P410" s="333" t="s">
        <v>49</v>
      </c>
      <c r="Q410" s="334"/>
      <c r="R410" s="334" t="s">
        <v>871</v>
      </c>
      <c r="S410" s="343" t="s">
        <v>50</v>
      </c>
      <c r="T410" s="343">
        <v>45869</v>
      </c>
      <c r="U410" s="343">
        <v>45877</v>
      </c>
      <c r="V410" s="334"/>
      <c r="W410" s="334"/>
      <c r="X410" s="344" t="s">
        <v>1276</v>
      </c>
      <c r="Y410" s="315" t="s">
        <v>1763</v>
      </c>
      <c r="Z410" s="361">
        <v>3.346</v>
      </c>
      <c r="AA410" s="354">
        <f t="shared" si="94"/>
        <v>5019</v>
      </c>
      <c r="AB410" s="313" t="s">
        <v>1764</v>
      </c>
      <c r="AC410" s="326" t="s">
        <v>62</v>
      </c>
      <c r="AD410" s="310" t="s">
        <v>56</v>
      </c>
      <c r="AE410" s="310">
        <v>1500</v>
      </c>
      <c r="AF410" s="310">
        <f t="shared" si="92"/>
        <v>0</v>
      </c>
      <c r="AG410" s="218"/>
      <c r="AH410" s="218"/>
      <c r="AI410" s="315" t="s">
        <v>57</v>
      </c>
      <c r="AJ410" s="310">
        <v>0</v>
      </c>
      <c r="AK410" s="316" t="s">
        <v>73</v>
      </c>
      <c r="AL410" s="313">
        <v>0</v>
      </c>
      <c r="AM410" s="313"/>
      <c r="AN410" s="251">
        <f t="shared" si="89"/>
        <v>1500</v>
      </c>
      <c r="AO410" s="310">
        <f t="shared" si="84"/>
        <v>1500</v>
      </c>
      <c r="AP410" s="310" t="b">
        <f t="shared" si="93"/>
        <v>0</v>
      </c>
      <c r="AQ410" s="310">
        <f t="shared" si="86"/>
        <v>1500</v>
      </c>
      <c r="AR410" s="364"/>
      <c r="AS410" s="218"/>
    </row>
    <row r="411" s="216" customFormat="1" ht="39" hidden="1" customHeight="1" spans="1:45">
      <c r="A411" s="311">
        <v>45881</v>
      </c>
      <c r="B411" s="312" t="s">
        <v>1058</v>
      </c>
      <c r="C411" s="217" t="s">
        <v>44</v>
      </c>
      <c r="D411" s="313">
        <v>4500176612</v>
      </c>
      <c r="E411" s="314">
        <v>217972693</v>
      </c>
      <c r="F411" s="313" t="s">
        <v>1765</v>
      </c>
      <c r="G411" s="316" t="s">
        <v>84</v>
      </c>
      <c r="H411" s="316" t="s">
        <v>63</v>
      </c>
      <c r="I411" s="310">
        <v>621</v>
      </c>
      <c r="J411" s="310">
        <v>0</v>
      </c>
      <c r="K411" s="310">
        <v>3</v>
      </c>
      <c r="L411" s="339">
        <f t="shared" si="91"/>
        <v>207</v>
      </c>
      <c r="M411" s="333">
        <v>45924</v>
      </c>
      <c r="N411" s="333">
        <v>45920</v>
      </c>
      <c r="O411" s="333"/>
      <c r="P411" s="333" t="s">
        <v>49</v>
      </c>
      <c r="Q411" s="333" t="s">
        <v>1766</v>
      </c>
      <c r="R411" s="334" t="s">
        <v>871</v>
      </c>
      <c r="S411" s="343" t="s">
        <v>50</v>
      </c>
      <c r="T411" s="343">
        <v>45891</v>
      </c>
      <c r="U411" s="343" t="s">
        <v>50</v>
      </c>
      <c r="V411" s="333"/>
      <c r="W411" s="333"/>
      <c r="X411" s="345" t="s">
        <v>1060</v>
      </c>
      <c r="Y411" s="315" t="s">
        <v>1714</v>
      </c>
      <c r="Z411" s="353">
        <v>3.3328</v>
      </c>
      <c r="AA411" s="354">
        <f t="shared" si="94"/>
        <v>2069.6688</v>
      </c>
      <c r="AB411" s="310" t="s">
        <v>1767</v>
      </c>
      <c r="AC411" s="316" t="s">
        <v>84</v>
      </c>
      <c r="AD411" s="217" t="s">
        <v>56</v>
      </c>
      <c r="AE411" s="310">
        <f>591+30</f>
        <v>621</v>
      </c>
      <c r="AF411" s="310">
        <f t="shared" si="92"/>
        <v>0</v>
      </c>
      <c r="AG411" s="217"/>
      <c r="AI411" s="315" t="s">
        <v>57</v>
      </c>
      <c r="AJ411" s="310">
        <v>0</v>
      </c>
      <c r="AK411" s="316" t="s">
        <v>73</v>
      </c>
      <c r="AL411" s="313">
        <v>0</v>
      </c>
      <c r="AM411" s="310"/>
      <c r="AN411" s="251">
        <f t="shared" si="89"/>
        <v>621</v>
      </c>
      <c r="AO411" s="310">
        <f t="shared" si="84"/>
        <v>621</v>
      </c>
      <c r="AP411" s="310" t="b">
        <f t="shared" si="93"/>
        <v>0</v>
      </c>
      <c r="AQ411" s="310">
        <f t="shared" si="86"/>
        <v>621</v>
      </c>
      <c r="AR411" s="365"/>
      <c r="AS411" s="217"/>
    </row>
    <row r="412" s="216" customFormat="1" ht="39" customHeight="1" spans="1:45">
      <c r="A412" s="311">
        <v>45882</v>
      </c>
      <c r="B412" s="312" t="s">
        <v>625</v>
      </c>
      <c r="C412" s="217" t="s">
        <v>553</v>
      </c>
      <c r="D412" s="313">
        <v>4500176837</v>
      </c>
      <c r="E412" s="314" t="s">
        <v>1768</v>
      </c>
      <c r="F412" s="313" t="s">
        <v>1769</v>
      </c>
      <c r="G412" s="316" t="s">
        <v>62</v>
      </c>
      <c r="H412" s="316" t="s">
        <v>63</v>
      </c>
      <c r="I412" s="310">
        <v>900</v>
      </c>
      <c r="J412" s="310">
        <v>0</v>
      </c>
      <c r="K412" s="310">
        <v>6</v>
      </c>
      <c r="L412" s="310">
        <f t="shared" si="91"/>
        <v>150</v>
      </c>
      <c r="M412" s="333">
        <v>45921</v>
      </c>
      <c r="N412" s="333">
        <v>45917</v>
      </c>
      <c r="O412" s="333"/>
      <c r="P412" s="333" t="s">
        <v>49</v>
      </c>
      <c r="Q412" s="333"/>
      <c r="R412" s="334" t="s">
        <v>871</v>
      </c>
      <c r="S412" s="343" t="s">
        <v>50</v>
      </c>
      <c r="T412" s="343">
        <v>45888</v>
      </c>
      <c r="U412" s="343" t="s">
        <v>50</v>
      </c>
      <c r="V412" s="333"/>
      <c r="W412" s="333"/>
      <c r="X412" s="345" t="s">
        <v>1770</v>
      </c>
      <c r="Y412" s="315" t="s">
        <v>1771</v>
      </c>
      <c r="Z412" s="361">
        <v>3.346</v>
      </c>
      <c r="AA412" s="354">
        <f t="shared" si="94"/>
        <v>3011.4</v>
      </c>
      <c r="AB412" s="310" t="s">
        <v>1772</v>
      </c>
      <c r="AC412" s="314" t="s">
        <v>62</v>
      </c>
      <c r="AD412" s="217" t="s">
        <v>56</v>
      </c>
      <c r="AE412" s="310">
        <v>900</v>
      </c>
      <c r="AF412" s="310">
        <f t="shared" si="92"/>
        <v>0</v>
      </c>
      <c r="AG412" s="217"/>
      <c r="AI412" s="315" t="s">
        <v>57</v>
      </c>
      <c r="AJ412" s="310">
        <v>0</v>
      </c>
      <c r="AK412" s="316" t="s">
        <v>73</v>
      </c>
      <c r="AL412" s="313">
        <v>0</v>
      </c>
      <c r="AM412" s="310"/>
      <c r="AN412" s="251">
        <f t="shared" si="89"/>
        <v>900</v>
      </c>
      <c r="AO412" s="310">
        <f t="shared" si="84"/>
        <v>900</v>
      </c>
      <c r="AP412" s="310" t="b">
        <f t="shared" si="93"/>
        <v>0</v>
      </c>
      <c r="AQ412" s="310">
        <f t="shared" si="86"/>
        <v>900</v>
      </c>
      <c r="AR412" s="365"/>
      <c r="AS412" s="217"/>
    </row>
    <row r="413" s="217" customFormat="1" ht="39" customHeight="1" spans="1:43">
      <c r="A413" s="311">
        <v>45882</v>
      </c>
      <c r="B413" s="312" t="s">
        <v>625</v>
      </c>
      <c r="C413" s="217" t="s">
        <v>553</v>
      </c>
      <c r="D413" s="313">
        <v>4500176837</v>
      </c>
      <c r="E413" s="314">
        <v>29120436</v>
      </c>
      <c r="F413" s="313" t="s">
        <v>1773</v>
      </c>
      <c r="G413" s="316" t="s">
        <v>62</v>
      </c>
      <c r="H413" s="316" t="s">
        <v>63</v>
      </c>
      <c r="I413" s="310">
        <v>300</v>
      </c>
      <c r="J413" s="310">
        <v>0</v>
      </c>
      <c r="K413" s="310">
        <v>6</v>
      </c>
      <c r="L413" s="310">
        <f t="shared" si="91"/>
        <v>50</v>
      </c>
      <c r="M413" s="333">
        <v>45921</v>
      </c>
      <c r="N413" s="333">
        <v>45917</v>
      </c>
      <c r="O413" s="333"/>
      <c r="P413" s="333" t="s">
        <v>49</v>
      </c>
      <c r="Q413" s="333"/>
      <c r="R413" s="334" t="s">
        <v>871</v>
      </c>
      <c r="S413" s="343" t="s">
        <v>50</v>
      </c>
      <c r="T413" s="343">
        <v>45888</v>
      </c>
      <c r="U413" s="343" t="s">
        <v>50</v>
      </c>
      <c r="V413" s="333"/>
      <c r="W413" s="333"/>
      <c r="X413" s="345" t="s">
        <v>1770</v>
      </c>
      <c r="Y413" s="315" t="s">
        <v>1771</v>
      </c>
      <c r="Z413" s="361">
        <v>3.346</v>
      </c>
      <c r="AA413" s="354">
        <f t="shared" si="94"/>
        <v>1003.8</v>
      </c>
      <c r="AB413" s="310" t="s">
        <v>1772</v>
      </c>
      <c r="AC413" s="314" t="s">
        <v>62</v>
      </c>
      <c r="AD413" s="217" t="s">
        <v>56</v>
      </c>
      <c r="AE413" s="310">
        <v>300</v>
      </c>
      <c r="AF413" s="310">
        <f t="shared" si="92"/>
        <v>0</v>
      </c>
      <c r="AI413" s="315" t="s">
        <v>57</v>
      </c>
      <c r="AJ413" s="310">
        <v>0</v>
      </c>
      <c r="AK413" s="316" t="s">
        <v>73</v>
      </c>
      <c r="AL413" s="313">
        <v>0</v>
      </c>
      <c r="AM413" s="310"/>
      <c r="AN413" s="251">
        <f t="shared" si="89"/>
        <v>300</v>
      </c>
      <c r="AO413" s="310">
        <f t="shared" si="84"/>
        <v>300</v>
      </c>
      <c r="AP413" s="310" t="b">
        <f t="shared" si="93"/>
        <v>0</v>
      </c>
      <c r="AQ413" s="310">
        <f t="shared" si="86"/>
        <v>300</v>
      </c>
    </row>
    <row r="414" s="217" customFormat="1" ht="39" customHeight="1" spans="1:43">
      <c r="A414" s="324">
        <v>45877</v>
      </c>
      <c r="B414" s="325" t="s">
        <v>1774</v>
      </c>
      <c r="C414" s="217" t="s">
        <v>424</v>
      </c>
      <c r="D414" s="331">
        <v>4500176381</v>
      </c>
      <c r="E414" s="326"/>
      <c r="F414" s="310" t="s">
        <v>1775</v>
      </c>
      <c r="G414" s="316" t="s">
        <v>62</v>
      </c>
      <c r="H414" s="316" t="s">
        <v>63</v>
      </c>
      <c r="I414" s="310">
        <v>156</v>
      </c>
      <c r="J414" s="310">
        <v>0</v>
      </c>
      <c r="K414" s="310">
        <v>6</v>
      </c>
      <c r="L414" s="310">
        <f t="shared" si="91"/>
        <v>26</v>
      </c>
      <c r="M414" s="333">
        <v>45925</v>
      </c>
      <c r="N414" s="333">
        <v>45922</v>
      </c>
      <c r="O414" s="333"/>
      <c r="P414" s="333" t="s">
        <v>49</v>
      </c>
      <c r="Q414" s="333" t="s">
        <v>1776</v>
      </c>
      <c r="R414" s="333" t="s">
        <v>871</v>
      </c>
      <c r="S414" s="342" t="s">
        <v>50</v>
      </c>
      <c r="T414" s="342">
        <v>45877</v>
      </c>
      <c r="U414" s="342">
        <v>45877</v>
      </c>
      <c r="V414" s="333"/>
      <c r="W414" s="333"/>
      <c r="X414" s="345" t="s">
        <v>1777</v>
      </c>
      <c r="Y414" s="316" t="s">
        <v>1778</v>
      </c>
      <c r="Z414" s="353">
        <v>3.346</v>
      </c>
      <c r="AA414" s="354">
        <f t="shared" si="94"/>
        <v>521.976</v>
      </c>
      <c r="AB414" s="310" t="s">
        <v>1779</v>
      </c>
      <c r="AC414" s="326" t="s">
        <v>62</v>
      </c>
      <c r="AD414" s="217" t="s">
        <v>56</v>
      </c>
      <c r="AE414" s="310">
        <v>156</v>
      </c>
      <c r="AF414" s="310">
        <f t="shared" si="92"/>
        <v>0</v>
      </c>
      <c r="AI414" s="316" t="s">
        <v>57</v>
      </c>
      <c r="AJ414" s="310">
        <v>0</v>
      </c>
      <c r="AK414" s="316" t="s">
        <v>73</v>
      </c>
      <c r="AL414" s="310">
        <v>0</v>
      </c>
      <c r="AM414" s="310"/>
      <c r="AN414" s="251">
        <f t="shared" si="89"/>
        <v>156</v>
      </c>
      <c r="AO414" s="310">
        <f t="shared" si="84"/>
        <v>156</v>
      </c>
      <c r="AP414" s="310" t="b">
        <f t="shared" si="93"/>
        <v>0</v>
      </c>
      <c r="AQ414" s="310">
        <f t="shared" si="86"/>
        <v>156</v>
      </c>
    </row>
    <row r="415" s="217" customFormat="1" ht="39" customHeight="1" spans="1:43">
      <c r="A415" s="324">
        <v>45896</v>
      </c>
      <c r="B415" s="325" t="s">
        <v>74</v>
      </c>
      <c r="C415" s="217" t="s">
        <v>44</v>
      </c>
      <c r="D415" s="331">
        <v>4500177915</v>
      </c>
      <c r="E415" s="326" t="s">
        <v>1780</v>
      </c>
      <c r="F415" s="310" t="s">
        <v>1781</v>
      </c>
      <c r="G415" s="316" t="s">
        <v>62</v>
      </c>
      <c r="H415" s="316" t="s">
        <v>63</v>
      </c>
      <c r="I415" s="340">
        <v>8004</v>
      </c>
      <c r="J415" s="310">
        <v>0</v>
      </c>
      <c r="K415" s="310">
        <v>6</v>
      </c>
      <c r="L415" s="310">
        <f t="shared" si="91"/>
        <v>1334</v>
      </c>
      <c r="M415" s="333">
        <v>45930</v>
      </c>
      <c r="N415" s="333">
        <v>45926</v>
      </c>
      <c r="O415" s="333"/>
      <c r="P415" s="333" t="s">
        <v>49</v>
      </c>
      <c r="Q415" s="333"/>
      <c r="R415" s="333"/>
      <c r="S415" s="342" t="s">
        <v>77</v>
      </c>
      <c r="T415" s="342">
        <v>45898</v>
      </c>
      <c r="U415" s="342">
        <v>45909</v>
      </c>
      <c r="V415" s="333"/>
      <c r="W415" s="333"/>
      <c r="X415" s="345" t="s">
        <v>1782</v>
      </c>
      <c r="Y415" s="316" t="s">
        <v>116</v>
      </c>
      <c r="Z415" s="353">
        <v>1.9225</v>
      </c>
      <c r="AA415" s="354">
        <f t="shared" ref="AA415:AA421" si="95">I415*Z415</f>
        <v>15387.69</v>
      </c>
      <c r="AB415" s="310" t="s">
        <v>1783</v>
      </c>
      <c r="AC415" s="326" t="s">
        <v>62</v>
      </c>
      <c r="AD415" s="216" t="s">
        <v>56</v>
      </c>
      <c r="AE415" s="310">
        <f>936+3276+1620+2172</f>
        <v>8004</v>
      </c>
      <c r="AF415" s="310">
        <f t="shared" si="92"/>
        <v>0</v>
      </c>
      <c r="AI415" s="316" t="s">
        <v>57</v>
      </c>
      <c r="AJ415" s="310">
        <v>0</v>
      </c>
      <c r="AK415" s="316" t="s">
        <v>73</v>
      </c>
      <c r="AL415" s="310">
        <v>0</v>
      </c>
      <c r="AM415" s="310"/>
      <c r="AN415" s="251">
        <f t="shared" si="89"/>
        <v>8004</v>
      </c>
      <c r="AO415" s="310">
        <f t="shared" si="84"/>
        <v>8004</v>
      </c>
      <c r="AP415" s="310"/>
      <c r="AQ415" s="310">
        <f t="shared" si="86"/>
        <v>8004</v>
      </c>
    </row>
    <row r="416" s="217" customFormat="1" ht="39" customHeight="1" spans="1:43">
      <c r="A416" s="324">
        <v>45863</v>
      </c>
      <c r="B416" s="325" t="s">
        <v>1418</v>
      </c>
      <c r="C416" s="217" t="s">
        <v>214</v>
      </c>
      <c r="D416" s="331">
        <v>4500175110</v>
      </c>
      <c r="E416" s="326" t="s">
        <v>1784</v>
      </c>
      <c r="F416" s="310" t="s">
        <v>1785</v>
      </c>
      <c r="G416" s="316" t="s">
        <v>62</v>
      </c>
      <c r="H416" s="316" t="s">
        <v>63</v>
      </c>
      <c r="I416" s="310">
        <v>504</v>
      </c>
      <c r="J416" s="310">
        <v>0</v>
      </c>
      <c r="K416" s="310">
        <v>6</v>
      </c>
      <c r="L416" s="310">
        <f t="shared" si="91"/>
        <v>84</v>
      </c>
      <c r="M416" s="333">
        <v>45939</v>
      </c>
      <c r="N416" s="333">
        <v>45934</v>
      </c>
      <c r="O416" s="333"/>
      <c r="P416" s="333" t="s">
        <v>49</v>
      </c>
      <c r="Q416" s="333" t="s">
        <v>1786</v>
      </c>
      <c r="R416" s="333" t="s">
        <v>871</v>
      </c>
      <c r="S416" s="342" t="s">
        <v>50</v>
      </c>
      <c r="T416" s="342">
        <v>45894</v>
      </c>
      <c r="U416" s="342" t="s">
        <v>50</v>
      </c>
      <c r="V416" s="333"/>
      <c r="W416" s="333"/>
      <c r="X416" s="345" t="s">
        <v>1787</v>
      </c>
      <c r="Y416" s="316" t="s">
        <v>597</v>
      </c>
      <c r="Z416" s="353">
        <v>3.346</v>
      </c>
      <c r="AA416" s="354">
        <f t="shared" si="95"/>
        <v>1686.384</v>
      </c>
      <c r="AB416" s="310" t="s">
        <v>1788</v>
      </c>
      <c r="AC416" s="326" t="s">
        <v>62</v>
      </c>
      <c r="AD416" s="217" t="s">
        <v>56</v>
      </c>
      <c r="AE416" s="310">
        <v>504</v>
      </c>
      <c r="AF416" s="310">
        <f t="shared" si="92"/>
        <v>0</v>
      </c>
      <c r="AI416" s="316" t="s">
        <v>57</v>
      </c>
      <c r="AJ416" s="310">
        <v>0</v>
      </c>
      <c r="AK416" s="316" t="s">
        <v>73</v>
      </c>
      <c r="AL416" s="310">
        <v>0</v>
      </c>
      <c r="AM416" s="310"/>
      <c r="AN416" s="251">
        <f t="shared" si="89"/>
        <v>504</v>
      </c>
      <c r="AO416" s="310">
        <f t="shared" si="84"/>
        <v>504</v>
      </c>
      <c r="AP416" s="310"/>
      <c r="AQ416" s="310">
        <f t="shared" si="86"/>
        <v>504</v>
      </c>
    </row>
    <row r="417" s="217" customFormat="1" ht="39" customHeight="1" spans="1:43">
      <c r="A417" s="324">
        <v>45894</v>
      </c>
      <c r="B417" s="325" t="s">
        <v>74</v>
      </c>
      <c r="C417" s="217" t="s">
        <v>44</v>
      </c>
      <c r="D417" s="331">
        <v>4500177758</v>
      </c>
      <c r="E417" s="326" t="s">
        <v>1789</v>
      </c>
      <c r="F417" s="310" t="s">
        <v>1790</v>
      </c>
      <c r="G417" s="316" t="s">
        <v>62</v>
      </c>
      <c r="H417" s="316" t="s">
        <v>63</v>
      </c>
      <c r="I417" s="310">
        <v>3006</v>
      </c>
      <c r="J417" s="310">
        <v>0</v>
      </c>
      <c r="K417" s="310">
        <v>6</v>
      </c>
      <c r="L417" s="310">
        <f t="shared" si="91"/>
        <v>501</v>
      </c>
      <c r="M417" s="333">
        <v>45939</v>
      </c>
      <c r="N417" s="333">
        <v>45936</v>
      </c>
      <c r="O417" s="333"/>
      <c r="P417" s="333" t="s">
        <v>49</v>
      </c>
      <c r="Q417" s="333"/>
      <c r="R417" s="333"/>
      <c r="S417" s="342" t="s">
        <v>77</v>
      </c>
      <c r="T417" s="342">
        <v>45902</v>
      </c>
      <c r="U417" s="342">
        <v>45919</v>
      </c>
      <c r="V417" s="333"/>
      <c r="W417" s="333"/>
      <c r="X417" s="345" t="s">
        <v>1791</v>
      </c>
      <c r="Y417" s="316" t="s">
        <v>116</v>
      </c>
      <c r="Z417" s="353">
        <v>1.9811</v>
      </c>
      <c r="AA417" s="354">
        <f t="shared" si="95"/>
        <v>5955.1866</v>
      </c>
      <c r="AB417" s="310" t="s">
        <v>1792</v>
      </c>
      <c r="AC417" s="326" t="s">
        <v>62</v>
      </c>
      <c r="AD417" s="216" t="s">
        <v>56</v>
      </c>
      <c r="AE417" s="310">
        <v>3006</v>
      </c>
      <c r="AF417" s="310">
        <f t="shared" si="92"/>
        <v>0</v>
      </c>
      <c r="AI417" s="316" t="s">
        <v>57</v>
      </c>
      <c r="AJ417" s="310">
        <v>0</v>
      </c>
      <c r="AK417" s="316" t="s">
        <v>73</v>
      </c>
      <c r="AL417" s="310">
        <v>0</v>
      </c>
      <c r="AM417" s="310"/>
      <c r="AN417" s="251">
        <f t="shared" si="89"/>
        <v>3006</v>
      </c>
      <c r="AO417" s="310">
        <f t="shared" si="84"/>
        <v>3006</v>
      </c>
      <c r="AP417" s="310"/>
      <c r="AQ417" s="310">
        <f t="shared" si="86"/>
        <v>3006</v>
      </c>
    </row>
    <row r="418" s="217" customFormat="1" ht="39" customHeight="1" spans="1:43">
      <c r="A418" s="324">
        <v>45898</v>
      </c>
      <c r="B418" s="325" t="s">
        <v>1793</v>
      </c>
      <c r="C418" s="217" t="s">
        <v>157</v>
      </c>
      <c r="D418" s="331">
        <v>4500178086</v>
      </c>
      <c r="E418" s="326" t="s">
        <v>1794</v>
      </c>
      <c r="F418" s="310" t="s">
        <v>1795</v>
      </c>
      <c r="G418" s="316" t="s">
        <v>62</v>
      </c>
      <c r="H418" s="316" t="s">
        <v>63</v>
      </c>
      <c r="I418" s="310">
        <v>558</v>
      </c>
      <c r="J418" s="310">
        <v>0</v>
      </c>
      <c r="K418" s="310">
        <v>6</v>
      </c>
      <c r="L418" s="310">
        <f t="shared" si="91"/>
        <v>93</v>
      </c>
      <c r="M418" s="333">
        <v>45940</v>
      </c>
      <c r="N418" s="333">
        <v>45936</v>
      </c>
      <c r="O418" s="333"/>
      <c r="P418" s="333" t="s">
        <v>49</v>
      </c>
      <c r="Q418" s="333"/>
      <c r="R418" s="333"/>
      <c r="S418" s="342" t="s">
        <v>50</v>
      </c>
      <c r="T418" s="342">
        <v>45901</v>
      </c>
      <c r="U418" s="342" t="s">
        <v>1796</v>
      </c>
      <c r="V418" s="333"/>
      <c r="W418" s="333"/>
      <c r="X418" s="345" t="s">
        <v>1797</v>
      </c>
      <c r="Y418" s="316" t="s">
        <v>161</v>
      </c>
      <c r="Z418" s="353">
        <v>3.346</v>
      </c>
      <c r="AA418" s="354">
        <f t="shared" si="95"/>
        <v>1867.068</v>
      </c>
      <c r="AB418" s="310" t="s">
        <v>1798</v>
      </c>
      <c r="AC418" s="326" t="s">
        <v>71</v>
      </c>
      <c r="AD418" s="216" t="s">
        <v>56</v>
      </c>
      <c r="AE418" s="310">
        <v>558</v>
      </c>
      <c r="AF418" s="310">
        <f t="shared" si="92"/>
        <v>0</v>
      </c>
      <c r="AI418" s="253" t="s">
        <v>72</v>
      </c>
      <c r="AJ418" s="251">
        <v>2</v>
      </c>
      <c r="AK418" s="316" t="s">
        <v>73</v>
      </c>
      <c r="AL418" s="310">
        <v>0</v>
      </c>
      <c r="AM418" s="310"/>
      <c r="AN418" s="251">
        <f t="shared" si="89"/>
        <v>558</v>
      </c>
      <c r="AO418" s="310"/>
      <c r="AP418" s="310">
        <f>I418</f>
        <v>558</v>
      </c>
      <c r="AQ418" s="310">
        <f t="shared" si="86"/>
        <v>558</v>
      </c>
    </row>
    <row r="419" s="217" customFormat="1" ht="39" customHeight="1" spans="1:43">
      <c r="A419" s="324">
        <v>45898</v>
      </c>
      <c r="B419" s="325" t="s">
        <v>1793</v>
      </c>
      <c r="C419" s="217" t="s">
        <v>157</v>
      </c>
      <c r="D419" s="331">
        <v>4500178070</v>
      </c>
      <c r="E419" s="326" t="s">
        <v>1799</v>
      </c>
      <c r="F419" s="310" t="s">
        <v>1800</v>
      </c>
      <c r="G419" s="316" t="s">
        <v>62</v>
      </c>
      <c r="H419" s="316" t="s">
        <v>63</v>
      </c>
      <c r="I419" s="310">
        <v>1056</v>
      </c>
      <c r="J419" s="310">
        <v>0</v>
      </c>
      <c r="K419" s="310">
        <v>6</v>
      </c>
      <c r="L419" s="310">
        <f t="shared" si="91"/>
        <v>176</v>
      </c>
      <c r="M419" s="333">
        <v>45940</v>
      </c>
      <c r="N419" s="333">
        <v>45936</v>
      </c>
      <c r="O419" s="333"/>
      <c r="P419" s="333" t="s">
        <v>49</v>
      </c>
      <c r="Q419" s="333"/>
      <c r="R419" s="333"/>
      <c r="S419" s="342" t="s">
        <v>50</v>
      </c>
      <c r="T419" s="342">
        <v>45901</v>
      </c>
      <c r="U419" s="342" t="s">
        <v>1801</v>
      </c>
      <c r="V419" s="333"/>
      <c r="W419" s="333"/>
      <c r="X419" s="345" t="s">
        <v>1802</v>
      </c>
      <c r="Y419" s="316" t="s">
        <v>884</v>
      </c>
      <c r="Z419" s="353">
        <v>3.5373</v>
      </c>
      <c r="AA419" s="354">
        <f t="shared" si="95"/>
        <v>3735.3888</v>
      </c>
      <c r="AB419" s="310" t="s">
        <v>1803</v>
      </c>
      <c r="AC419" s="326" t="s">
        <v>71</v>
      </c>
      <c r="AD419" s="216" t="s">
        <v>56</v>
      </c>
      <c r="AE419" s="310">
        <v>1056</v>
      </c>
      <c r="AF419" s="310">
        <f t="shared" si="92"/>
        <v>0</v>
      </c>
      <c r="AI419" s="253" t="s">
        <v>72</v>
      </c>
      <c r="AJ419" s="251">
        <v>2</v>
      </c>
      <c r="AK419" s="316" t="s">
        <v>73</v>
      </c>
      <c r="AL419" s="310">
        <v>0</v>
      </c>
      <c r="AM419" s="310"/>
      <c r="AN419" s="251">
        <f t="shared" si="89"/>
        <v>1056</v>
      </c>
      <c r="AO419" s="310"/>
      <c r="AP419" s="310">
        <f>I419</f>
        <v>1056</v>
      </c>
      <c r="AQ419" s="310">
        <f t="shared" si="86"/>
        <v>1056</v>
      </c>
    </row>
    <row r="420" s="217" customFormat="1" ht="39" hidden="1" customHeight="1" spans="1:43">
      <c r="A420" s="324">
        <v>45900</v>
      </c>
      <c r="B420" s="325" t="s">
        <v>838</v>
      </c>
      <c r="C420" s="217" t="s">
        <v>44</v>
      </c>
      <c r="D420" s="331">
        <v>4500178346</v>
      </c>
      <c r="E420" s="326" t="s">
        <v>1804</v>
      </c>
      <c r="F420" s="310" t="s">
        <v>1805</v>
      </c>
      <c r="G420" s="316" t="s">
        <v>46</v>
      </c>
      <c r="H420" s="316" t="s">
        <v>47</v>
      </c>
      <c r="I420" s="310">
        <v>588</v>
      </c>
      <c r="J420" s="310">
        <v>0</v>
      </c>
      <c r="K420" s="310">
        <v>98</v>
      </c>
      <c r="L420" s="310">
        <f t="shared" si="91"/>
        <v>6</v>
      </c>
      <c r="M420" s="333">
        <v>45940</v>
      </c>
      <c r="N420" s="333">
        <v>45936</v>
      </c>
      <c r="O420" s="333" t="s">
        <v>1806</v>
      </c>
      <c r="P420" s="333" t="s">
        <v>49</v>
      </c>
      <c r="Q420" s="333"/>
      <c r="R420" s="333"/>
      <c r="S420" s="342" t="s">
        <v>50</v>
      </c>
      <c r="T420" s="342" t="s">
        <v>931</v>
      </c>
      <c r="U420" s="342" t="s">
        <v>1136</v>
      </c>
      <c r="V420" s="333"/>
      <c r="W420" s="333"/>
      <c r="X420" s="345" t="s">
        <v>1138</v>
      </c>
      <c r="Y420" s="316" t="s">
        <v>844</v>
      </c>
      <c r="Z420" s="353">
        <v>217.2683</v>
      </c>
      <c r="AA420" s="354">
        <f>Z420*L420</f>
        <v>1303.6098</v>
      </c>
      <c r="AB420" s="310" t="s">
        <v>1807</v>
      </c>
      <c r="AC420" s="316" t="s">
        <v>46</v>
      </c>
      <c r="AD420" s="217" t="s">
        <v>56</v>
      </c>
      <c r="AE420" s="310">
        <v>588</v>
      </c>
      <c r="AF420" s="310">
        <f t="shared" si="92"/>
        <v>0</v>
      </c>
      <c r="AI420" s="316" t="s">
        <v>57</v>
      </c>
      <c r="AJ420" s="310">
        <v>0</v>
      </c>
      <c r="AK420" s="316" t="s">
        <v>73</v>
      </c>
      <c r="AL420" s="310">
        <v>0</v>
      </c>
      <c r="AM420" s="310"/>
      <c r="AN420" s="251">
        <f t="shared" si="89"/>
        <v>588</v>
      </c>
      <c r="AO420" s="310">
        <f t="shared" ref="AO420:AO482" si="96">IF($AJ420=0,$AN420,IF($AJ420&gt;0,0))</f>
        <v>588</v>
      </c>
      <c r="AP420" s="310" t="b">
        <f t="shared" ref="AP420:AP428" si="97">IF($AJ420=2,$AN420,IF($AJ420&gt;0,0))</f>
        <v>0</v>
      </c>
      <c r="AQ420" s="310">
        <f t="shared" si="86"/>
        <v>588</v>
      </c>
    </row>
    <row r="421" s="217" customFormat="1" ht="39" hidden="1" customHeight="1" spans="1:43">
      <c r="A421" s="324">
        <v>45900</v>
      </c>
      <c r="B421" s="325" t="s">
        <v>838</v>
      </c>
      <c r="C421" s="217" t="s">
        <v>44</v>
      </c>
      <c r="D421" s="331">
        <v>4500178346</v>
      </c>
      <c r="E421" s="326" t="s">
        <v>1808</v>
      </c>
      <c r="F421" s="310" t="s">
        <v>1809</v>
      </c>
      <c r="G421" s="316" t="s">
        <v>46</v>
      </c>
      <c r="H421" s="316" t="s">
        <v>47</v>
      </c>
      <c r="I421" s="310">
        <v>588</v>
      </c>
      <c r="J421" s="310">
        <v>0</v>
      </c>
      <c r="K421" s="310">
        <v>98</v>
      </c>
      <c r="L421" s="310">
        <f t="shared" si="91"/>
        <v>6</v>
      </c>
      <c r="M421" s="333">
        <v>45940</v>
      </c>
      <c r="N421" s="333">
        <v>45936</v>
      </c>
      <c r="O421" s="333" t="s">
        <v>1806</v>
      </c>
      <c r="P421" s="333" t="s">
        <v>49</v>
      </c>
      <c r="Q421" s="333"/>
      <c r="R421" s="333"/>
      <c r="S421" s="342" t="s">
        <v>50</v>
      </c>
      <c r="T421" s="342" t="s">
        <v>931</v>
      </c>
      <c r="U421" s="342" t="s">
        <v>1136</v>
      </c>
      <c r="V421" s="333"/>
      <c r="W421" s="333"/>
      <c r="X421" s="345" t="s">
        <v>1138</v>
      </c>
      <c r="Y421" s="316" t="s">
        <v>844</v>
      </c>
      <c r="Z421" s="353">
        <v>217.2683</v>
      </c>
      <c r="AA421" s="354">
        <f>Z421*L421</f>
        <v>1303.6098</v>
      </c>
      <c r="AB421" s="310" t="s">
        <v>1810</v>
      </c>
      <c r="AC421" s="316" t="s">
        <v>46</v>
      </c>
      <c r="AD421" s="217" t="s">
        <v>56</v>
      </c>
      <c r="AE421" s="310">
        <v>588</v>
      </c>
      <c r="AF421" s="310">
        <f t="shared" si="92"/>
        <v>0</v>
      </c>
      <c r="AI421" s="316" t="s">
        <v>57</v>
      </c>
      <c r="AJ421" s="310">
        <v>0</v>
      </c>
      <c r="AK421" s="316" t="s">
        <v>73</v>
      </c>
      <c r="AL421" s="310">
        <v>0</v>
      </c>
      <c r="AM421" s="310"/>
      <c r="AN421" s="251">
        <f t="shared" si="89"/>
        <v>588</v>
      </c>
      <c r="AO421" s="310">
        <f t="shared" si="96"/>
        <v>588</v>
      </c>
      <c r="AP421" s="310" t="b">
        <f t="shared" si="97"/>
        <v>0</v>
      </c>
      <c r="AQ421" s="310">
        <f t="shared" si="86"/>
        <v>588</v>
      </c>
    </row>
    <row r="422" s="219" customFormat="1" ht="39" customHeight="1" spans="1:43">
      <c r="A422" s="327">
        <v>45862</v>
      </c>
      <c r="B422" s="328" t="s">
        <v>385</v>
      </c>
      <c r="C422" s="219" t="s">
        <v>44</v>
      </c>
      <c r="D422" s="332">
        <v>4500174747</v>
      </c>
      <c r="E422" s="330">
        <v>60236804</v>
      </c>
      <c r="F422" s="329" t="s">
        <v>1811</v>
      </c>
      <c r="G422" s="323" t="s">
        <v>62</v>
      </c>
      <c r="H422" s="323" t="s">
        <v>63</v>
      </c>
      <c r="I422" s="329">
        <v>1500</v>
      </c>
      <c r="J422" s="329">
        <v>0</v>
      </c>
      <c r="K422" s="329">
        <v>6</v>
      </c>
      <c r="L422" s="329">
        <f t="shared" si="91"/>
        <v>250</v>
      </c>
      <c r="M422" s="341">
        <v>45946</v>
      </c>
      <c r="N422" s="341">
        <v>45943</v>
      </c>
      <c r="O422" s="335"/>
      <c r="P422" s="333" t="s">
        <v>49</v>
      </c>
      <c r="Q422" s="335"/>
      <c r="R422" s="336" t="s">
        <v>871</v>
      </c>
      <c r="S422" s="346" t="s">
        <v>50</v>
      </c>
      <c r="T422" s="346">
        <v>45883</v>
      </c>
      <c r="U422" s="346">
        <v>45919</v>
      </c>
      <c r="V422" s="335"/>
      <c r="W422" s="335"/>
      <c r="X422" s="347" t="s">
        <v>1276</v>
      </c>
      <c r="Y422" s="323" t="s">
        <v>1763</v>
      </c>
      <c r="Z422" s="361">
        <v>3.346</v>
      </c>
      <c r="AA422" s="357">
        <f t="shared" ref="AA422:AA434" si="98">I422*Z422</f>
        <v>5019</v>
      </c>
      <c r="AB422" s="329" t="s">
        <v>1812</v>
      </c>
      <c r="AC422" s="322" t="s">
        <v>62</v>
      </c>
      <c r="AD422" s="219" t="s">
        <v>56</v>
      </c>
      <c r="AE422" s="310">
        <v>1500</v>
      </c>
      <c r="AF422" s="310">
        <f t="shared" si="92"/>
        <v>0</v>
      </c>
      <c r="AI422" s="355" t="s">
        <v>57</v>
      </c>
      <c r="AJ422" s="329">
        <v>0</v>
      </c>
      <c r="AK422" s="323" t="s">
        <v>73</v>
      </c>
      <c r="AL422" s="321">
        <v>0</v>
      </c>
      <c r="AM422" s="329"/>
      <c r="AN422" s="251">
        <f t="shared" si="89"/>
        <v>1500</v>
      </c>
      <c r="AO422" s="310">
        <f t="shared" si="96"/>
        <v>1500</v>
      </c>
      <c r="AP422" s="310" t="b">
        <f t="shared" si="97"/>
        <v>0</v>
      </c>
      <c r="AQ422" s="310">
        <f t="shared" si="86"/>
        <v>1500</v>
      </c>
    </row>
    <row r="423" s="217" customFormat="1" ht="39" customHeight="1" spans="1:43">
      <c r="A423" s="324">
        <v>45876</v>
      </c>
      <c r="B423" s="325" t="s">
        <v>1279</v>
      </c>
      <c r="C423" s="217" t="s">
        <v>44</v>
      </c>
      <c r="D423" s="331">
        <v>4500176230</v>
      </c>
      <c r="E423" s="326">
        <v>70073030</v>
      </c>
      <c r="F423" s="310" t="s">
        <v>1813</v>
      </c>
      <c r="G423" s="316" t="s">
        <v>62</v>
      </c>
      <c r="H423" s="316" t="s">
        <v>63</v>
      </c>
      <c r="I423" s="310">
        <v>504</v>
      </c>
      <c r="J423" s="310">
        <v>0</v>
      </c>
      <c r="K423" s="310">
        <v>6</v>
      </c>
      <c r="L423" s="310">
        <f t="shared" si="91"/>
        <v>84</v>
      </c>
      <c r="M423" s="333">
        <v>45943</v>
      </c>
      <c r="N423" s="333">
        <v>45939</v>
      </c>
      <c r="O423" s="333"/>
      <c r="P423" s="333" t="s">
        <v>49</v>
      </c>
      <c r="Q423" s="333"/>
      <c r="R423" s="333" t="s">
        <v>871</v>
      </c>
      <c r="S423" s="342" t="s">
        <v>50</v>
      </c>
      <c r="T423" s="342">
        <v>45904</v>
      </c>
      <c r="U423" s="342">
        <v>45910</v>
      </c>
      <c r="V423" s="333"/>
      <c r="W423" s="333"/>
      <c r="X423" s="345" t="s">
        <v>1276</v>
      </c>
      <c r="Y423" s="316" t="s">
        <v>1277</v>
      </c>
      <c r="Z423" s="353">
        <v>3.346</v>
      </c>
      <c r="AA423" s="354">
        <f t="shared" si="98"/>
        <v>1686.384</v>
      </c>
      <c r="AB423" s="310" t="s">
        <v>1814</v>
      </c>
      <c r="AC423" s="326" t="s">
        <v>62</v>
      </c>
      <c r="AD423" s="310" t="s">
        <v>56</v>
      </c>
      <c r="AE423" s="310">
        <f>54+450</f>
        <v>504</v>
      </c>
      <c r="AF423" s="310">
        <f t="shared" si="92"/>
        <v>0</v>
      </c>
      <c r="AI423" s="316" t="s">
        <v>57</v>
      </c>
      <c r="AJ423" s="310">
        <v>0</v>
      </c>
      <c r="AK423" s="316" t="s">
        <v>73</v>
      </c>
      <c r="AL423" s="310">
        <v>0</v>
      </c>
      <c r="AM423" s="310"/>
      <c r="AN423" s="251">
        <f t="shared" si="89"/>
        <v>504</v>
      </c>
      <c r="AO423" s="310">
        <f t="shared" si="96"/>
        <v>504</v>
      </c>
      <c r="AP423" s="310" t="b">
        <f t="shared" si="97"/>
        <v>0</v>
      </c>
      <c r="AQ423" s="310">
        <f t="shared" si="86"/>
        <v>504</v>
      </c>
    </row>
    <row r="424" s="217" customFormat="1" ht="39" customHeight="1" spans="1:43">
      <c r="A424" s="324">
        <v>45853</v>
      </c>
      <c r="B424" s="325" t="s">
        <v>385</v>
      </c>
      <c r="C424" s="217" t="s">
        <v>44</v>
      </c>
      <c r="D424" s="310">
        <v>4500173984</v>
      </c>
      <c r="E424" s="326">
        <v>60236842</v>
      </c>
      <c r="F424" s="310" t="s">
        <v>1815</v>
      </c>
      <c r="G424" s="316" t="s">
        <v>62</v>
      </c>
      <c r="H424" s="316" t="s">
        <v>63</v>
      </c>
      <c r="I424" s="310">
        <v>1500</v>
      </c>
      <c r="J424" s="310">
        <v>0</v>
      </c>
      <c r="K424" s="310">
        <v>6</v>
      </c>
      <c r="L424" s="310">
        <f t="shared" si="91"/>
        <v>250</v>
      </c>
      <c r="M424" s="333">
        <v>45946</v>
      </c>
      <c r="N424" s="333">
        <v>45943</v>
      </c>
      <c r="O424" s="333"/>
      <c r="P424" s="333" t="s">
        <v>49</v>
      </c>
      <c r="Q424" s="333"/>
      <c r="R424" s="333" t="s">
        <v>871</v>
      </c>
      <c r="S424" s="342" t="s">
        <v>50</v>
      </c>
      <c r="T424" s="342">
        <v>45883</v>
      </c>
      <c r="U424" s="342">
        <v>45910</v>
      </c>
      <c r="V424" s="333"/>
      <c r="W424" s="350"/>
      <c r="X424" s="345" t="s">
        <v>1276</v>
      </c>
      <c r="Y424" s="316" t="s">
        <v>1763</v>
      </c>
      <c r="Z424" s="353">
        <v>3.346</v>
      </c>
      <c r="AA424" s="354">
        <f t="shared" si="98"/>
        <v>5019</v>
      </c>
      <c r="AB424" s="310" t="s">
        <v>1816</v>
      </c>
      <c r="AC424" s="326" t="s">
        <v>62</v>
      </c>
      <c r="AD424" s="217" t="s">
        <v>56</v>
      </c>
      <c r="AE424" s="310">
        <v>1500</v>
      </c>
      <c r="AF424" s="310">
        <f t="shared" si="92"/>
        <v>0</v>
      </c>
      <c r="AI424" s="316" t="s">
        <v>57</v>
      </c>
      <c r="AJ424" s="310">
        <v>0</v>
      </c>
      <c r="AK424" s="316" t="s">
        <v>73</v>
      </c>
      <c r="AL424" s="310">
        <v>0</v>
      </c>
      <c r="AM424" s="310"/>
      <c r="AN424" s="251">
        <f t="shared" si="89"/>
        <v>1500</v>
      </c>
      <c r="AO424" s="310">
        <f t="shared" si="96"/>
        <v>1500</v>
      </c>
      <c r="AP424" s="310" t="b">
        <f t="shared" si="97"/>
        <v>0</v>
      </c>
      <c r="AQ424" s="310">
        <f t="shared" si="86"/>
        <v>1500</v>
      </c>
    </row>
    <row r="425" s="218" customFormat="1" ht="39" customHeight="1" spans="1:43">
      <c r="A425" s="311">
        <v>45901</v>
      </c>
      <c r="B425" s="312" t="s">
        <v>74</v>
      </c>
      <c r="C425" s="217" t="s">
        <v>44</v>
      </c>
      <c r="D425" s="313">
        <v>4500178462</v>
      </c>
      <c r="E425" s="314" t="s">
        <v>1817</v>
      </c>
      <c r="F425" s="313" t="s">
        <v>1818</v>
      </c>
      <c r="G425" s="315" t="s">
        <v>62</v>
      </c>
      <c r="H425" s="316" t="s">
        <v>63</v>
      </c>
      <c r="I425" s="310">
        <v>4194</v>
      </c>
      <c r="J425" s="310">
        <v>0</v>
      </c>
      <c r="K425" s="310">
        <v>6</v>
      </c>
      <c r="L425" s="310">
        <f t="shared" si="91"/>
        <v>699</v>
      </c>
      <c r="M425" s="334">
        <v>45947</v>
      </c>
      <c r="N425" s="334">
        <v>45943</v>
      </c>
      <c r="O425" s="334"/>
      <c r="P425" s="333" t="s">
        <v>49</v>
      </c>
      <c r="Q425" s="334"/>
      <c r="R425" s="334"/>
      <c r="S425" s="342" t="s">
        <v>77</v>
      </c>
      <c r="T425" s="342">
        <v>45911</v>
      </c>
      <c r="U425" s="334" t="s">
        <v>1819</v>
      </c>
      <c r="V425" s="334"/>
      <c r="W425" s="334"/>
      <c r="X425" s="344" t="s">
        <v>1820</v>
      </c>
      <c r="Y425" s="315" t="s">
        <v>116</v>
      </c>
      <c r="Z425" s="353">
        <v>1.9811</v>
      </c>
      <c r="AA425" s="354">
        <f t="shared" si="98"/>
        <v>8308.7334</v>
      </c>
      <c r="AB425" s="313" t="s">
        <v>1821</v>
      </c>
      <c r="AC425" s="326" t="s">
        <v>62</v>
      </c>
      <c r="AD425" s="217" t="s">
        <v>56</v>
      </c>
      <c r="AE425" s="310">
        <f>2484+1710</f>
        <v>4194</v>
      </c>
      <c r="AF425" s="310">
        <f t="shared" si="92"/>
        <v>0</v>
      </c>
      <c r="AI425" s="316" t="s">
        <v>57</v>
      </c>
      <c r="AJ425" s="310">
        <v>0</v>
      </c>
      <c r="AK425" s="316" t="s">
        <v>73</v>
      </c>
      <c r="AL425" s="310">
        <v>0</v>
      </c>
      <c r="AM425" s="313"/>
      <c r="AN425" s="251">
        <f t="shared" si="89"/>
        <v>4194</v>
      </c>
      <c r="AO425" s="310">
        <f t="shared" si="96"/>
        <v>4194</v>
      </c>
      <c r="AP425" s="310" t="b">
        <f t="shared" si="97"/>
        <v>0</v>
      </c>
      <c r="AQ425" s="310">
        <f t="shared" si="86"/>
        <v>4194</v>
      </c>
    </row>
    <row r="426" s="217" customFormat="1" ht="39" customHeight="1" spans="1:43">
      <c r="A426" s="324">
        <v>45889</v>
      </c>
      <c r="B426" s="325" t="s">
        <v>1530</v>
      </c>
      <c r="C426" s="217" t="s">
        <v>44</v>
      </c>
      <c r="D426" s="331">
        <v>4500176896</v>
      </c>
      <c r="E426" s="326" t="s">
        <v>1822</v>
      </c>
      <c r="F426" s="310" t="s">
        <v>1823</v>
      </c>
      <c r="G426" s="316" t="s">
        <v>62</v>
      </c>
      <c r="H426" s="316" t="s">
        <v>63</v>
      </c>
      <c r="I426" s="310">
        <v>1200</v>
      </c>
      <c r="J426" s="310">
        <v>0</v>
      </c>
      <c r="K426" s="310">
        <v>6</v>
      </c>
      <c r="L426" s="310">
        <f t="shared" si="91"/>
        <v>200</v>
      </c>
      <c r="M426" s="333">
        <v>45923</v>
      </c>
      <c r="N426" s="333">
        <v>45919</v>
      </c>
      <c r="O426" s="333"/>
      <c r="P426" s="333" t="s">
        <v>49</v>
      </c>
      <c r="Q426" s="333">
        <v>45924</v>
      </c>
      <c r="R426" s="333" t="s">
        <v>871</v>
      </c>
      <c r="S426" s="342" t="s">
        <v>77</v>
      </c>
      <c r="T426" s="342">
        <v>45889</v>
      </c>
      <c r="U426" s="342">
        <v>45889</v>
      </c>
      <c r="V426" s="335"/>
      <c r="W426" s="333"/>
      <c r="X426" s="345" t="s">
        <v>1588</v>
      </c>
      <c r="Y426" s="316" t="s">
        <v>1534</v>
      </c>
      <c r="Z426" s="353">
        <v>2.1224</v>
      </c>
      <c r="AA426" s="354">
        <f t="shared" si="98"/>
        <v>2546.88</v>
      </c>
      <c r="AB426" s="310" t="s">
        <v>1824</v>
      </c>
      <c r="AC426" s="322" t="s">
        <v>62</v>
      </c>
      <c r="AD426" s="216" t="s">
        <v>56</v>
      </c>
      <c r="AE426" s="310">
        <f>1188+12</f>
        <v>1200</v>
      </c>
      <c r="AF426" s="310">
        <f t="shared" si="92"/>
        <v>0</v>
      </c>
      <c r="AI426" s="316" t="s">
        <v>57</v>
      </c>
      <c r="AJ426" s="310">
        <v>0</v>
      </c>
      <c r="AK426" s="316" t="s">
        <v>73</v>
      </c>
      <c r="AL426" s="310">
        <v>0</v>
      </c>
      <c r="AM426" s="310"/>
      <c r="AN426" s="251">
        <f t="shared" si="89"/>
        <v>1200</v>
      </c>
      <c r="AO426" s="310">
        <f t="shared" si="96"/>
        <v>1200</v>
      </c>
      <c r="AP426" s="310" t="b">
        <f t="shared" si="97"/>
        <v>0</v>
      </c>
      <c r="AQ426" s="310">
        <f t="shared" ref="AQ426:AQ482" si="99">IF($AL426=0,$AN426,IF($AL426&gt;0,0))</f>
        <v>1200</v>
      </c>
    </row>
    <row r="427" s="217" customFormat="1" ht="39" customHeight="1" spans="1:43">
      <c r="A427" s="324">
        <v>45887</v>
      </c>
      <c r="B427" s="325" t="s">
        <v>655</v>
      </c>
      <c r="C427" s="217" t="s">
        <v>182</v>
      </c>
      <c r="D427" s="331">
        <v>4500177236</v>
      </c>
      <c r="E427" s="326">
        <v>21012325</v>
      </c>
      <c r="F427" s="310" t="s">
        <v>1825</v>
      </c>
      <c r="G427" s="316" t="s">
        <v>62</v>
      </c>
      <c r="H427" s="316" t="s">
        <v>63</v>
      </c>
      <c r="I427" s="310">
        <v>1284</v>
      </c>
      <c r="J427" s="310">
        <v>0</v>
      </c>
      <c r="K427" s="310">
        <v>6</v>
      </c>
      <c r="L427" s="310">
        <f t="shared" si="91"/>
        <v>214</v>
      </c>
      <c r="M427" s="333">
        <v>45930</v>
      </c>
      <c r="N427" s="333">
        <v>45926</v>
      </c>
      <c r="O427" s="333"/>
      <c r="P427" s="333" t="s">
        <v>49</v>
      </c>
      <c r="Q427" s="333" t="s">
        <v>1826</v>
      </c>
      <c r="R427" s="333" t="s">
        <v>871</v>
      </c>
      <c r="S427" s="342" t="s">
        <v>77</v>
      </c>
      <c r="T427" s="342">
        <v>45898</v>
      </c>
      <c r="U427" s="342">
        <v>45915</v>
      </c>
      <c r="V427" s="333"/>
      <c r="W427" s="333"/>
      <c r="X427" s="345" t="s">
        <v>816</v>
      </c>
      <c r="Y427" s="316" t="s">
        <v>556</v>
      </c>
      <c r="Z427" s="353">
        <v>3.9714</v>
      </c>
      <c r="AA427" s="354">
        <f t="shared" si="98"/>
        <v>5099.2776</v>
      </c>
      <c r="AB427" s="310" t="s">
        <v>1827</v>
      </c>
      <c r="AC427" s="326" t="s">
        <v>62</v>
      </c>
      <c r="AD427" s="216" t="s">
        <v>56</v>
      </c>
      <c r="AE427" s="310">
        <v>1284</v>
      </c>
      <c r="AF427" s="310">
        <f t="shared" si="92"/>
        <v>0</v>
      </c>
      <c r="AI427" s="316" t="s">
        <v>57</v>
      </c>
      <c r="AJ427" s="310">
        <v>0</v>
      </c>
      <c r="AK427" s="316" t="s">
        <v>73</v>
      </c>
      <c r="AL427" s="310">
        <v>0</v>
      </c>
      <c r="AM427" s="310"/>
      <c r="AN427" s="251">
        <f t="shared" si="89"/>
        <v>1284</v>
      </c>
      <c r="AO427" s="310">
        <f t="shared" si="96"/>
        <v>1284</v>
      </c>
      <c r="AP427" s="310" t="b">
        <f t="shared" si="97"/>
        <v>0</v>
      </c>
      <c r="AQ427" s="310">
        <f t="shared" si="99"/>
        <v>1284</v>
      </c>
    </row>
    <row r="428" s="217" customFormat="1" ht="39" customHeight="1" spans="1:43">
      <c r="A428" s="324">
        <v>45887</v>
      </c>
      <c r="B428" s="325" t="s">
        <v>552</v>
      </c>
      <c r="C428" s="217" t="s">
        <v>553</v>
      </c>
      <c r="D428" s="331">
        <v>4500177240</v>
      </c>
      <c r="E428" s="326">
        <v>21012328</v>
      </c>
      <c r="F428" s="310" t="s">
        <v>1828</v>
      </c>
      <c r="G428" s="316" t="s">
        <v>62</v>
      </c>
      <c r="H428" s="316" t="s">
        <v>63</v>
      </c>
      <c r="I428" s="310">
        <v>216</v>
      </c>
      <c r="J428" s="310">
        <v>0</v>
      </c>
      <c r="K428" s="310">
        <v>6</v>
      </c>
      <c r="L428" s="310">
        <f t="shared" si="91"/>
        <v>36</v>
      </c>
      <c r="M428" s="333">
        <v>45930</v>
      </c>
      <c r="N428" s="333">
        <v>45926</v>
      </c>
      <c r="O428" s="333"/>
      <c r="P428" s="333" t="s">
        <v>49</v>
      </c>
      <c r="Q428" s="333" t="s">
        <v>1826</v>
      </c>
      <c r="R428" s="333" t="s">
        <v>871</v>
      </c>
      <c r="S428" s="342" t="s">
        <v>77</v>
      </c>
      <c r="T428" s="342">
        <v>45898</v>
      </c>
      <c r="U428" s="342">
        <v>45915</v>
      </c>
      <c r="V428" s="333"/>
      <c r="W428" s="333"/>
      <c r="X428" s="345" t="s">
        <v>819</v>
      </c>
      <c r="Y428" s="316" t="s">
        <v>556</v>
      </c>
      <c r="Z428" s="353">
        <v>3.9973</v>
      </c>
      <c r="AA428" s="354">
        <f t="shared" si="98"/>
        <v>863.4168</v>
      </c>
      <c r="AB428" s="310" t="s">
        <v>1829</v>
      </c>
      <c r="AC428" s="326" t="s">
        <v>62</v>
      </c>
      <c r="AD428" s="216" t="s">
        <v>56</v>
      </c>
      <c r="AE428" s="310">
        <v>216</v>
      </c>
      <c r="AF428" s="310">
        <f t="shared" si="92"/>
        <v>0</v>
      </c>
      <c r="AI428" s="316" t="s">
        <v>57</v>
      </c>
      <c r="AJ428" s="310">
        <v>0</v>
      </c>
      <c r="AK428" s="316" t="s">
        <v>73</v>
      </c>
      <c r="AL428" s="310">
        <v>0</v>
      </c>
      <c r="AM428" s="310"/>
      <c r="AN428" s="251">
        <f t="shared" si="89"/>
        <v>216</v>
      </c>
      <c r="AO428" s="310">
        <f t="shared" si="96"/>
        <v>216</v>
      </c>
      <c r="AP428" s="310" t="b">
        <f t="shared" si="97"/>
        <v>0</v>
      </c>
      <c r="AQ428" s="310">
        <f t="shared" si="99"/>
        <v>216</v>
      </c>
    </row>
    <row r="429" s="217" customFormat="1" ht="39" customHeight="1" spans="1:43">
      <c r="A429" s="324">
        <v>45896</v>
      </c>
      <c r="B429" s="325" t="s">
        <v>74</v>
      </c>
      <c r="C429" s="217" t="s">
        <v>44</v>
      </c>
      <c r="D429" s="331">
        <v>4500177916</v>
      </c>
      <c r="E429" s="326" t="s">
        <v>1830</v>
      </c>
      <c r="F429" s="310" t="s">
        <v>1831</v>
      </c>
      <c r="G429" s="316" t="s">
        <v>62</v>
      </c>
      <c r="H429" s="316" t="s">
        <v>63</v>
      </c>
      <c r="I429" s="310">
        <v>5004</v>
      </c>
      <c r="J429" s="310">
        <v>0</v>
      </c>
      <c r="K429" s="310">
        <v>6</v>
      </c>
      <c r="L429" s="310">
        <f t="shared" si="91"/>
        <v>834</v>
      </c>
      <c r="M429" s="333">
        <v>45930</v>
      </c>
      <c r="N429" s="333">
        <v>45926</v>
      </c>
      <c r="O429" s="333"/>
      <c r="P429" s="333" t="s">
        <v>49</v>
      </c>
      <c r="Q429" s="333" t="s">
        <v>1832</v>
      </c>
      <c r="R429" s="333"/>
      <c r="S429" s="342" t="s">
        <v>77</v>
      </c>
      <c r="T429" s="342">
        <v>45898</v>
      </c>
      <c r="U429" s="342">
        <v>45909</v>
      </c>
      <c r="V429" s="333"/>
      <c r="W429" s="333"/>
      <c r="X429" s="345" t="s">
        <v>1345</v>
      </c>
      <c r="Y429" s="316" t="s">
        <v>116</v>
      </c>
      <c r="Z429" s="353">
        <v>1.9486</v>
      </c>
      <c r="AA429" s="354">
        <f t="shared" si="98"/>
        <v>9750.7944</v>
      </c>
      <c r="AB429" s="310" t="s">
        <v>1833</v>
      </c>
      <c r="AC429" s="326" t="s">
        <v>62</v>
      </c>
      <c r="AD429" s="216" t="s">
        <v>56</v>
      </c>
      <c r="AE429" s="310">
        <v>5004</v>
      </c>
      <c r="AF429" s="310">
        <f t="shared" si="92"/>
        <v>0</v>
      </c>
      <c r="AI429" s="316" t="s">
        <v>57</v>
      </c>
      <c r="AJ429" s="310">
        <v>0</v>
      </c>
      <c r="AK429" s="316" t="s">
        <v>73</v>
      </c>
      <c r="AL429" s="310">
        <v>0</v>
      </c>
      <c r="AM429" s="310"/>
      <c r="AN429" s="251">
        <f t="shared" si="89"/>
        <v>5004</v>
      </c>
      <c r="AO429" s="310">
        <f t="shared" si="96"/>
        <v>5004</v>
      </c>
      <c r="AP429" s="310"/>
      <c r="AQ429" s="310">
        <f t="shared" si="99"/>
        <v>5004</v>
      </c>
    </row>
    <row r="430" s="218" customFormat="1" ht="39" customHeight="1" spans="1:43">
      <c r="A430" s="311">
        <v>45903</v>
      </c>
      <c r="B430" s="312" t="s">
        <v>1356</v>
      </c>
      <c r="C430" s="217" t="s">
        <v>1357</v>
      </c>
      <c r="D430" s="313">
        <v>4500178677</v>
      </c>
      <c r="E430" s="314" t="s">
        <v>1834</v>
      </c>
      <c r="F430" s="313" t="s">
        <v>1835</v>
      </c>
      <c r="G430" s="315" t="s">
        <v>62</v>
      </c>
      <c r="H430" s="316" t="s">
        <v>63</v>
      </c>
      <c r="I430" s="310">
        <v>1002</v>
      </c>
      <c r="J430" s="310">
        <v>0</v>
      </c>
      <c r="K430" s="310">
        <v>6</v>
      </c>
      <c r="L430" s="310">
        <f t="shared" si="91"/>
        <v>167</v>
      </c>
      <c r="M430" s="334">
        <v>45950</v>
      </c>
      <c r="N430" s="334">
        <v>45946</v>
      </c>
      <c r="O430" s="334"/>
      <c r="P430" s="333" t="s">
        <v>49</v>
      </c>
      <c r="Q430" s="334">
        <v>45950</v>
      </c>
      <c r="R430" s="334"/>
      <c r="S430" s="342" t="s">
        <v>50</v>
      </c>
      <c r="T430" s="343">
        <v>45904</v>
      </c>
      <c r="U430" s="342" t="s">
        <v>50</v>
      </c>
      <c r="V430" s="334"/>
      <c r="W430" s="334"/>
      <c r="X430" s="344" t="s">
        <v>1836</v>
      </c>
      <c r="Y430" s="315" t="s">
        <v>1361</v>
      </c>
      <c r="Z430" s="353">
        <v>3.3328</v>
      </c>
      <c r="AA430" s="354">
        <f t="shared" si="98"/>
        <v>3339.4656</v>
      </c>
      <c r="AB430" s="313"/>
      <c r="AC430" s="326" t="s">
        <v>62</v>
      </c>
      <c r="AD430" s="217" t="s">
        <v>56</v>
      </c>
      <c r="AE430" s="310">
        <v>1002</v>
      </c>
      <c r="AF430" s="310">
        <f t="shared" ref="AF423:AF482" si="100">AE430-I430</f>
        <v>0</v>
      </c>
      <c r="AI430" s="316" t="s">
        <v>57</v>
      </c>
      <c r="AJ430" s="310">
        <v>0</v>
      </c>
      <c r="AK430" s="316" t="s">
        <v>73</v>
      </c>
      <c r="AL430" s="310">
        <v>0</v>
      </c>
      <c r="AM430" s="313"/>
      <c r="AN430" s="251">
        <f t="shared" si="89"/>
        <v>1002</v>
      </c>
      <c r="AO430" s="310">
        <f t="shared" si="96"/>
        <v>1002</v>
      </c>
      <c r="AP430" s="310" t="b">
        <f t="shared" ref="AP430:AP482" si="101">IF($AJ430=2,$AN430,IF($AJ430&gt;0,0))</f>
        <v>0</v>
      </c>
      <c r="AQ430" s="310">
        <f t="shared" si="99"/>
        <v>1002</v>
      </c>
    </row>
    <row r="431" s="218" customFormat="1" ht="39" customHeight="1" spans="1:43">
      <c r="A431" s="311">
        <v>45905</v>
      </c>
      <c r="B431" s="312" t="s">
        <v>552</v>
      </c>
      <c r="C431" s="217" t="s">
        <v>553</v>
      </c>
      <c r="D431" s="313">
        <v>4500178926</v>
      </c>
      <c r="E431" s="314">
        <v>21105430</v>
      </c>
      <c r="F431" s="313" t="s">
        <v>1837</v>
      </c>
      <c r="G431" s="315" t="s">
        <v>62</v>
      </c>
      <c r="H431" s="316" t="s">
        <v>63</v>
      </c>
      <c r="I431" s="310">
        <v>420</v>
      </c>
      <c r="J431" s="310">
        <v>0</v>
      </c>
      <c r="K431" s="310">
        <v>6</v>
      </c>
      <c r="L431" s="310">
        <f t="shared" si="91"/>
        <v>70</v>
      </c>
      <c r="M431" s="334">
        <v>45950</v>
      </c>
      <c r="N431" s="334">
        <v>45946</v>
      </c>
      <c r="O431" s="334"/>
      <c r="P431" s="333" t="s">
        <v>49</v>
      </c>
      <c r="Q431" s="334">
        <v>45952</v>
      </c>
      <c r="R431" s="334"/>
      <c r="S431" s="342" t="s">
        <v>77</v>
      </c>
      <c r="T431" s="343">
        <v>45905</v>
      </c>
      <c r="U431" s="343">
        <v>45923</v>
      </c>
      <c r="V431" s="334"/>
      <c r="W431" s="334"/>
      <c r="X431" s="344" t="s">
        <v>1838</v>
      </c>
      <c r="Y431" s="315" t="s">
        <v>556</v>
      </c>
      <c r="Z431" s="353">
        <v>3.3587</v>
      </c>
      <c r="AA431" s="354">
        <f t="shared" si="98"/>
        <v>1410.654</v>
      </c>
      <c r="AB431" s="313" t="s">
        <v>1839</v>
      </c>
      <c r="AC431" s="326" t="s">
        <v>62</v>
      </c>
      <c r="AD431" s="217" t="s">
        <v>56</v>
      </c>
      <c r="AE431" s="310">
        <v>420</v>
      </c>
      <c r="AF431" s="310">
        <f t="shared" si="100"/>
        <v>0</v>
      </c>
      <c r="AI431" s="316" t="s">
        <v>57</v>
      </c>
      <c r="AJ431" s="310">
        <v>0</v>
      </c>
      <c r="AK431" s="316" t="s">
        <v>73</v>
      </c>
      <c r="AL431" s="310">
        <v>0</v>
      </c>
      <c r="AM431" s="313"/>
      <c r="AN431" s="251">
        <f t="shared" si="89"/>
        <v>420</v>
      </c>
      <c r="AO431" s="310">
        <f t="shared" si="96"/>
        <v>420</v>
      </c>
      <c r="AP431" s="310" t="b">
        <f t="shared" si="101"/>
        <v>0</v>
      </c>
      <c r="AQ431" s="310">
        <f t="shared" si="99"/>
        <v>420</v>
      </c>
    </row>
    <row r="432" s="218" customFormat="1" ht="39" customHeight="1" spans="1:43">
      <c r="A432" s="311">
        <v>45905</v>
      </c>
      <c r="B432" s="312" t="s">
        <v>655</v>
      </c>
      <c r="C432" s="217" t="s">
        <v>182</v>
      </c>
      <c r="D432" s="313">
        <v>4500178925</v>
      </c>
      <c r="E432" s="314" t="s">
        <v>1840</v>
      </c>
      <c r="F432" s="313" t="s">
        <v>1841</v>
      </c>
      <c r="G432" s="315" t="s">
        <v>62</v>
      </c>
      <c r="H432" s="316" t="s">
        <v>63</v>
      </c>
      <c r="I432" s="310">
        <v>1080</v>
      </c>
      <c r="J432" s="310">
        <v>0</v>
      </c>
      <c r="K432" s="310">
        <v>6</v>
      </c>
      <c r="L432" s="310">
        <f t="shared" si="91"/>
        <v>180</v>
      </c>
      <c r="M432" s="334">
        <v>45950</v>
      </c>
      <c r="N432" s="334">
        <v>45946</v>
      </c>
      <c r="O432" s="334"/>
      <c r="P432" s="333" t="s">
        <v>49</v>
      </c>
      <c r="Q432" s="334">
        <v>45952</v>
      </c>
      <c r="R432" s="334"/>
      <c r="S432" s="342" t="s">
        <v>77</v>
      </c>
      <c r="T432" s="343">
        <v>45905</v>
      </c>
      <c r="U432" s="343">
        <v>45923</v>
      </c>
      <c r="V432" s="334"/>
      <c r="W432" s="334"/>
      <c r="X432" s="344" t="s">
        <v>1842</v>
      </c>
      <c r="Y432" s="315" t="s">
        <v>556</v>
      </c>
      <c r="Z432" s="353">
        <v>3.3328</v>
      </c>
      <c r="AA432" s="354">
        <f t="shared" si="98"/>
        <v>3599.424</v>
      </c>
      <c r="AB432" s="313" t="s">
        <v>1843</v>
      </c>
      <c r="AC432" s="326" t="s">
        <v>62</v>
      </c>
      <c r="AD432" s="217" t="s">
        <v>56</v>
      </c>
      <c r="AE432" s="310">
        <v>1080</v>
      </c>
      <c r="AF432" s="310">
        <f t="shared" si="100"/>
        <v>0</v>
      </c>
      <c r="AI432" s="316" t="s">
        <v>57</v>
      </c>
      <c r="AJ432" s="310">
        <v>0</v>
      </c>
      <c r="AK432" s="316" t="s">
        <v>73</v>
      </c>
      <c r="AL432" s="310">
        <v>0</v>
      </c>
      <c r="AM432" s="313"/>
      <c r="AN432" s="251">
        <f t="shared" si="89"/>
        <v>1080</v>
      </c>
      <c r="AO432" s="310">
        <f t="shared" si="96"/>
        <v>1080</v>
      </c>
      <c r="AP432" s="310" t="b">
        <f t="shared" si="101"/>
        <v>0</v>
      </c>
      <c r="AQ432" s="310">
        <f t="shared" si="99"/>
        <v>1080</v>
      </c>
    </row>
    <row r="433" s="216" customFormat="1" ht="37" customHeight="1" spans="1:45">
      <c r="A433" s="311">
        <v>45848</v>
      </c>
      <c r="B433" s="312" t="s">
        <v>1844</v>
      </c>
      <c r="C433" s="218" t="s">
        <v>157</v>
      </c>
      <c r="D433" s="313">
        <v>4500173349</v>
      </c>
      <c r="E433" s="314"/>
      <c r="F433" s="313" t="s">
        <v>1845</v>
      </c>
      <c r="G433" s="316" t="s">
        <v>62</v>
      </c>
      <c r="H433" s="316" t="s">
        <v>63</v>
      </c>
      <c r="I433" s="310">
        <v>420</v>
      </c>
      <c r="J433" s="310">
        <v>0</v>
      </c>
      <c r="K433" s="310">
        <v>6</v>
      </c>
      <c r="L433" s="310">
        <f t="shared" si="91"/>
        <v>70</v>
      </c>
      <c r="M433" s="333">
        <v>45950</v>
      </c>
      <c r="N433" s="333">
        <v>45946</v>
      </c>
      <c r="O433" s="333"/>
      <c r="P433" s="333" t="s">
        <v>49</v>
      </c>
      <c r="Q433" s="333"/>
      <c r="R433" s="333" t="s">
        <v>871</v>
      </c>
      <c r="S433" s="342" t="s">
        <v>50</v>
      </c>
      <c r="T433" s="342">
        <v>45912</v>
      </c>
      <c r="U433" s="342">
        <v>45919</v>
      </c>
      <c r="V433" s="333"/>
      <c r="W433" s="350"/>
      <c r="X433" s="345" t="s">
        <v>1846</v>
      </c>
      <c r="Y433" s="315" t="s">
        <v>884</v>
      </c>
      <c r="Z433" s="361">
        <v>3.346</v>
      </c>
      <c r="AA433" s="354">
        <f t="shared" si="98"/>
        <v>1405.32</v>
      </c>
      <c r="AB433" s="310"/>
      <c r="AC433" s="326" t="s">
        <v>71</v>
      </c>
      <c r="AD433" s="310" t="s">
        <v>56</v>
      </c>
      <c r="AE433" s="310">
        <v>420</v>
      </c>
      <c r="AF433" s="310">
        <f t="shared" si="100"/>
        <v>0</v>
      </c>
      <c r="AG433" s="217"/>
      <c r="AH433" s="217"/>
      <c r="AI433" s="316" t="s">
        <v>72</v>
      </c>
      <c r="AJ433" s="310">
        <v>2</v>
      </c>
      <c r="AK433" s="316" t="s">
        <v>73</v>
      </c>
      <c r="AL433" s="310">
        <v>0</v>
      </c>
      <c r="AM433" s="310"/>
      <c r="AN433" s="251">
        <f t="shared" si="89"/>
        <v>420</v>
      </c>
      <c r="AO433" s="310">
        <f t="shared" si="96"/>
        <v>0</v>
      </c>
      <c r="AP433" s="310">
        <f t="shared" si="101"/>
        <v>420</v>
      </c>
      <c r="AQ433" s="310">
        <f t="shared" si="99"/>
        <v>420</v>
      </c>
      <c r="AR433" s="365"/>
      <c r="AS433" s="217"/>
    </row>
    <row r="434" s="218" customFormat="1" ht="39" customHeight="1" spans="1:43">
      <c r="A434" s="311">
        <v>45901</v>
      </c>
      <c r="B434" s="312" t="s">
        <v>74</v>
      </c>
      <c r="C434" s="217" t="s">
        <v>44</v>
      </c>
      <c r="D434" s="313">
        <v>4500178464</v>
      </c>
      <c r="E434" s="314" t="s">
        <v>1847</v>
      </c>
      <c r="F434" s="313" t="s">
        <v>1848</v>
      </c>
      <c r="G434" s="315" t="s">
        <v>62</v>
      </c>
      <c r="H434" s="316" t="s">
        <v>63</v>
      </c>
      <c r="I434" s="310">
        <v>1002</v>
      </c>
      <c r="J434" s="310">
        <v>0</v>
      </c>
      <c r="K434" s="310">
        <v>6</v>
      </c>
      <c r="L434" s="310">
        <f t="shared" si="91"/>
        <v>167</v>
      </c>
      <c r="M434" s="334">
        <v>45952</v>
      </c>
      <c r="N434" s="334">
        <v>45948</v>
      </c>
      <c r="O434" s="334"/>
      <c r="P434" s="333" t="s">
        <v>49</v>
      </c>
      <c r="Q434" s="334"/>
      <c r="R434" s="334"/>
      <c r="S434" s="342" t="s">
        <v>77</v>
      </c>
      <c r="T434" s="342" t="s">
        <v>1135</v>
      </c>
      <c r="U434" s="343" t="s">
        <v>1819</v>
      </c>
      <c r="V434" s="334"/>
      <c r="W434" s="334"/>
      <c r="X434" s="344" t="s">
        <v>1820</v>
      </c>
      <c r="Y434" s="315" t="s">
        <v>116</v>
      </c>
      <c r="Z434" s="353">
        <v>1.9997</v>
      </c>
      <c r="AA434" s="354">
        <f t="shared" si="98"/>
        <v>2003.6994</v>
      </c>
      <c r="AB434" s="313" t="s">
        <v>1849</v>
      </c>
      <c r="AC434" s="326" t="s">
        <v>62</v>
      </c>
      <c r="AD434" s="217" t="s">
        <v>56</v>
      </c>
      <c r="AE434" s="310">
        <v>1002</v>
      </c>
      <c r="AF434" s="310">
        <f t="shared" si="100"/>
        <v>0</v>
      </c>
      <c r="AI434" s="316" t="s">
        <v>57</v>
      </c>
      <c r="AJ434" s="310">
        <v>0</v>
      </c>
      <c r="AK434" s="316" t="s">
        <v>73</v>
      </c>
      <c r="AL434" s="310">
        <v>0</v>
      </c>
      <c r="AM434" s="313"/>
      <c r="AN434" s="251">
        <f t="shared" si="89"/>
        <v>1002</v>
      </c>
      <c r="AO434" s="310">
        <f t="shared" si="96"/>
        <v>1002</v>
      </c>
      <c r="AP434" s="310" t="b">
        <f t="shared" si="101"/>
        <v>0</v>
      </c>
      <c r="AQ434" s="310">
        <f t="shared" si="99"/>
        <v>1002</v>
      </c>
    </row>
    <row r="435" s="218" customFormat="1" ht="39" hidden="1" customHeight="1" spans="1:43">
      <c r="A435" s="311">
        <v>45916</v>
      </c>
      <c r="B435" s="312" t="s">
        <v>838</v>
      </c>
      <c r="C435" s="217" t="s">
        <v>44</v>
      </c>
      <c r="D435" s="313">
        <v>4500179644</v>
      </c>
      <c r="E435" s="314" t="s">
        <v>1850</v>
      </c>
      <c r="F435" s="313" t="s">
        <v>1851</v>
      </c>
      <c r="G435" s="315" t="s">
        <v>46</v>
      </c>
      <c r="H435" s="316" t="s">
        <v>47</v>
      </c>
      <c r="I435" s="310">
        <v>588</v>
      </c>
      <c r="J435" s="310">
        <v>0</v>
      </c>
      <c r="K435" s="310">
        <v>98</v>
      </c>
      <c r="L435" s="310">
        <f t="shared" si="91"/>
        <v>6</v>
      </c>
      <c r="M435" s="334">
        <v>45952</v>
      </c>
      <c r="N435" s="334">
        <v>45948</v>
      </c>
      <c r="O435" s="334" t="s">
        <v>1852</v>
      </c>
      <c r="P435" s="333" t="s">
        <v>49</v>
      </c>
      <c r="Q435" s="334"/>
      <c r="R435" s="334"/>
      <c r="S435" s="342" t="s">
        <v>50</v>
      </c>
      <c r="T435" s="342" t="s">
        <v>1135</v>
      </c>
      <c r="U435" s="343" t="s">
        <v>1853</v>
      </c>
      <c r="V435" s="334" t="s">
        <v>1854</v>
      </c>
      <c r="W435" s="334"/>
      <c r="X435" s="344" t="s">
        <v>1261</v>
      </c>
      <c r="Y435" s="315" t="s">
        <v>844</v>
      </c>
      <c r="Z435" s="353">
        <v>217.2683</v>
      </c>
      <c r="AA435" s="354">
        <f>Z435*L435</f>
        <v>1303.6098</v>
      </c>
      <c r="AB435" s="313" t="s">
        <v>1855</v>
      </c>
      <c r="AC435" s="316" t="s">
        <v>46</v>
      </c>
      <c r="AD435" s="218" t="s">
        <v>56</v>
      </c>
      <c r="AE435" s="310">
        <v>588</v>
      </c>
      <c r="AF435" s="310">
        <f t="shared" si="100"/>
        <v>0</v>
      </c>
      <c r="AI435" s="316" t="s">
        <v>57</v>
      </c>
      <c r="AJ435" s="310">
        <v>0</v>
      </c>
      <c r="AK435" s="316" t="s">
        <v>73</v>
      </c>
      <c r="AL435" s="310">
        <v>0</v>
      </c>
      <c r="AM435" s="313"/>
      <c r="AN435" s="251">
        <f t="shared" si="89"/>
        <v>588</v>
      </c>
      <c r="AO435" s="310">
        <f t="shared" si="96"/>
        <v>588</v>
      </c>
      <c r="AP435" s="310" t="b">
        <f t="shared" si="101"/>
        <v>0</v>
      </c>
      <c r="AQ435" s="310">
        <f t="shared" si="99"/>
        <v>588</v>
      </c>
    </row>
    <row r="436" s="218" customFormat="1" ht="39" hidden="1" customHeight="1" spans="1:43">
      <c r="A436" s="311">
        <v>45916</v>
      </c>
      <c r="B436" s="312" t="s">
        <v>838</v>
      </c>
      <c r="C436" s="217" t="s">
        <v>44</v>
      </c>
      <c r="D436" s="313">
        <v>4500179644</v>
      </c>
      <c r="E436" s="314" t="s">
        <v>1856</v>
      </c>
      <c r="F436" s="313" t="s">
        <v>1857</v>
      </c>
      <c r="G436" s="315" t="s">
        <v>46</v>
      </c>
      <c r="H436" s="316" t="s">
        <v>47</v>
      </c>
      <c r="I436" s="310">
        <v>588</v>
      </c>
      <c r="J436" s="310">
        <v>0</v>
      </c>
      <c r="K436" s="310">
        <v>98</v>
      </c>
      <c r="L436" s="310">
        <f t="shared" si="91"/>
        <v>6</v>
      </c>
      <c r="M436" s="334">
        <v>45952</v>
      </c>
      <c r="N436" s="334">
        <v>45948</v>
      </c>
      <c r="O436" s="334" t="s">
        <v>1852</v>
      </c>
      <c r="P436" s="333" t="s">
        <v>49</v>
      </c>
      <c r="Q436" s="334"/>
      <c r="R436" s="334"/>
      <c r="S436" s="342" t="s">
        <v>50</v>
      </c>
      <c r="T436" s="342" t="s">
        <v>1135</v>
      </c>
      <c r="U436" s="343" t="s">
        <v>1853</v>
      </c>
      <c r="V436" s="334" t="s">
        <v>1854</v>
      </c>
      <c r="W436" s="334"/>
      <c r="X436" s="344" t="s">
        <v>1261</v>
      </c>
      <c r="Y436" s="315" t="s">
        <v>844</v>
      </c>
      <c r="Z436" s="353">
        <v>217.2683</v>
      </c>
      <c r="AA436" s="354">
        <f>Z436*L436</f>
        <v>1303.6098</v>
      </c>
      <c r="AB436" s="313" t="s">
        <v>1858</v>
      </c>
      <c r="AC436" s="316" t="s">
        <v>46</v>
      </c>
      <c r="AD436" s="218" t="s">
        <v>56</v>
      </c>
      <c r="AE436" s="310">
        <v>588</v>
      </c>
      <c r="AF436" s="310">
        <f t="shared" si="100"/>
        <v>0</v>
      </c>
      <c r="AI436" s="316" t="s">
        <v>57</v>
      </c>
      <c r="AJ436" s="310">
        <v>0</v>
      </c>
      <c r="AK436" s="316" t="s">
        <v>73</v>
      </c>
      <c r="AL436" s="310">
        <v>0</v>
      </c>
      <c r="AM436" s="313"/>
      <c r="AN436" s="251">
        <f t="shared" si="89"/>
        <v>588</v>
      </c>
      <c r="AO436" s="310">
        <f t="shared" si="96"/>
        <v>588</v>
      </c>
      <c r="AP436" s="310" t="b">
        <f t="shared" si="101"/>
        <v>0</v>
      </c>
      <c r="AQ436" s="310">
        <f t="shared" si="99"/>
        <v>588</v>
      </c>
    </row>
    <row r="437" s="218" customFormat="1" ht="39" hidden="1" customHeight="1" spans="1:43">
      <c r="A437" s="311">
        <v>45910</v>
      </c>
      <c r="B437" s="312" t="s">
        <v>1058</v>
      </c>
      <c r="C437" s="217" t="s">
        <v>44</v>
      </c>
      <c r="D437" s="313">
        <v>4500179184</v>
      </c>
      <c r="E437" s="314" t="s">
        <v>1859</v>
      </c>
      <c r="F437" s="313" t="s">
        <v>1860</v>
      </c>
      <c r="G437" s="315" t="s">
        <v>84</v>
      </c>
      <c r="H437" s="316" t="s">
        <v>63</v>
      </c>
      <c r="I437" s="310">
        <v>495</v>
      </c>
      <c r="J437" s="310">
        <v>0</v>
      </c>
      <c r="K437" s="310">
        <v>3</v>
      </c>
      <c r="L437" s="339">
        <f t="shared" si="91"/>
        <v>165</v>
      </c>
      <c r="M437" s="334">
        <v>45958</v>
      </c>
      <c r="N437" s="334">
        <v>45957</v>
      </c>
      <c r="O437" s="334"/>
      <c r="P437" s="333" t="s">
        <v>49</v>
      </c>
      <c r="Q437" s="334"/>
      <c r="R437" s="334"/>
      <c r="S437" s="343" t="s">
        <v>77</v>
      </c>
      <c r="T437" s="343">
        <v>45910</v>
      </c>
      <c r="U437" s="343">
        <v>45925</v>
      </c>
      <c r="V437" s="334"/>
      <c r="W437" s="334"/>
      <c r="X437" s="344" t="s">
        <v>1060</v>
      </c>
      <c r="Y437" s="315" t="s">
        <v>1714</v>
      </c>
      <c r="Z437" s="353">
        <v>2.408</v>
      </c>
      <c r="AA437" s="354">
        <f>I437*Z437</f>
        <v>1191.96</v>
      </c>
      <c r="AB437" s="313" t="s">
        <v>1861</v>
      </c>
      <c r="AC437" s="316" t="s">
        <v>84</v>
      </c>
      <c r="AD437" s="218" t="s">
        <v>56</v>
      </c>
      <c r="AE437" s="310">
        <v>495</v>
      </c>
      <c r="AF437" s="310">
        <f t="shared" si="100"/>
        <v>0</v>
      </c>
      <c r="AI437" s="315" t="s">
        <v>57</v>
      </c>
      <c r="AJ437" s="310">
        <v>0</v>
      </c>
      <c r="AK437" s="316" t="s">
        <v>73</v>
      </c>
      <c r="AL437" s="313">
        <v>0</v>
      </c>
      <c r="AM437" s="313"/>
      <c r="AN437" s="251">
        <f t="shared" si="89"/>
        <v>495</v>
      </c>
      <c r="AO437" s="310">
        <f t="shared" si="96"/>
        <v>495</v>
      </c>
      <c r="AP437" s="310" t="b">
        <f t="shared" si="101"/>
        <v>0</v>
      </c>
      <c r="AQ437" s="310">
        <f t="shared" si="99"/>
        <v>495</v>
      </c>
    </row>
    <row r="438" s="218" customFormat="1" ht="39" hidden="1" customHeight="1" spans="1:43">
      <c r="A438" s="311">
        <v>45910</v>
      </c>
      <c r="B438" s="312" t="s">
        <v>1058</v>
      </c>
      <c r="C438" s="217" t="s">
        <v>44</v>
      </c>
      <c r="D438" s="313">
        <v>4500179184</v>
      </c>
      <c r="E438" s="314" t="s">
        <v>1862</v>
      </c>
      <c r="F438" s="313" t="s">
        <v>1863</v>
      </c>
      <c r="G438" s="315" t="s">
        <v>84</v>
      </c>
      <c r="H438" s="316" t="s">
        <v>63</v>
      </c>
      <c r="I438" s="310">
        <v>804</v>
      </c>
      <c r="J438" s="310">
        <v>0</v>
      </c>
      <c r="K438" s="310">
        <v>3</v>
      </c>
      <c r="L438" s="339">
        <f t="shared" si="91"/>
        <v>268</v>
      </c>
      <c r="M438" s="334">
        <v>45958</v>
      </c>
      <c r="N438" s="334">
        <v>45957</v>
      </c>
      <c r="O438" s="334"/>
      <c r="P438" s="333" t="s">
        <v>49</v>
      </c>
      <c r="Q438" s="334"/>
      <c r="R438" s="334"/>
      <c r="S438" s="343" t="s">
        <v>77</v>
      </c>
      <c r="T438" s="343">
        <v>45910</v>
      </c>
      <c r="U438" s="343">
        <v>45925</v>
      </c>
      <c r="V438" s="334"/>
      <c r="W438" s="334"/>
      <c r="X438" s="344" t="s">
        <v>1060</v>
      </c>
      <c r="Y438" s="315" t="s">
        <v>1714</v>
      </c>
      <c r="Z438" s="353">
        <v>2.4004</v>
      </c>
      <c r="AA438" s="354">
        <f>I438*Z438</f>
        <v>1929.9216</v>
      </c>
      <c r="AB438" s="313" t="s">
        <v>1864</v>
      </c>
      <c r="AC438" s="316" t="s">
        <v>84</v>
      </c>
      <c r="AD438" s="218" t="s">
        <v>56</v>
      </c>
      <c r="AE438" s="310">
        <v>804</v>
      </c>
      <c r="AF438" s="310">
        <f t="shared" si="100"/>
        <v>0</v>
      </c>
      <c r="AI438" s="315" t="s">
        <v>57</v>
      </c>
      <c r="AJ438" s="310">
        <v>0</v>
      </c>
      <c r="AK438" s="316" t="s">
        <v>73</v>
      </c>
      <c r="AL438" s="313">
        <v>0</v>
      </c>
      <c r="AM438" s="313"/>
      <c r="AN438" s="251">
        <f t="shared" si="89"/>
        <v>804</v>
      </c>
      <c r="AO438" s="310">
        <f t="shared" si="96"/>
        <v>804</v>
      </c>
      <c r="AP438" s="310" t="b">
        <f t="shared" si="101"/>
        <v>0</v>
      </c>
      <c r="AQ438" s="310">
        <f t="shared" si="99"/>
        <v>804</v>
      </c>
    </row>
    <row r="439" s="218" customFormat="1" ht="39" customHeight="1" spans="1:43">
      <c r="A439" s="311">
        <v>45918</v>
      </c>
      <c r="B439" s="312" t="s">
        <v>1530</v>
      </c>
      <c r="C439" s="217" t="s">
        <v>44</v>
      </c>
      <c r="D439" s="313">
        <v>4500179747</v>
      </c>
      <c r="E439" s="314" t="s">
        <v>1865</v>
      </c>
      <c r="F439" s="313" t="s">
        <v>1866</v>
      </c>
      <c r="G439" s="315" t="s">
        <v>62</v>
      </c>
      <c r="H439" s="316" t="s">
        <v>63</v>
      </c>
      <c r="I439" s="310">
        <v>1200</v>
      </c>
      <c r="J439" s="310">
        <v>0</v>
      </c>
      <c r="K439" s="310">
        <v>6</v>
      </c>
      <c r="L439" s="310">
        <f t="shared" si="91"/>
        <v>200</v>
      </c>
      <c r="M439" s="334">
        <v>45958</v>
      </c>
      <c r="N439" s="334">
        <v>45954</v>
      </c>
      <c r="O439" s="334"/>
      <c r="P439" s="333" t="s">
        <v>49</v>
      </c>
      <c r="Q439" s="334"/>
      <c r="R439" s="334"/>
      <c r="S439" s="343" t="s">
        <v>77</v>
      </c>
      <c r="T439" s="342">
        <v>45926</v>
      </c>
      <c r="U439" s="343">
        <v>45928</v>
      </c>
      <c r="V439" s="351" t="s">
        <v>1867</v>
      </c>
      <c r="W439" s="334"/>
      <c r="X439" s="344" t="s">
        <v>1588</v>
      </c>
      <c r="Y439" s="315" t="s">
        <v>1534</v>
      </c>
      <c r="Z439" s="353">
        <v>2.122</v>
      </c>
      <c r="AA439" s="354">
        <f>I439*Z439</f>
        <v>2546.4</v>
      </c>
      <c r="AB439" s="313" t="s">
        <v>1868</v>
      </c>
      <c r="AC439" s="326" t="s">
        <v>62</v>
      </c>
      <c r="AD439" s="218" t="s">
        <v>56</v>
      </c>
      <c r="AE439" s="310">
        <v>1200</v>
      </c>
      <c r="AF439" s="310">
        <f t="shared" si="100"/>
        <v>0</v>
      </c>
      <c r="AI439" s="316" t="s">
        <v>57</v>
      </c>
      <c r="AJ439" s="310">
        <v>0</v>
      </c>
      <c r="AK439" s="316" t="s">
        <v>73</v>
      </c>
      <c r="AL439" s="310">
        <v>0</v>
      </c>
      <c r="AM439" s="313"/>
      <c r="AN439" s="251">
        <f t="shared" si="89"/>
        <v>1200</v>
      </c>
      <c r="AO439" s="310">
        <f t="shared" si="96"/>
        <v>1200</v>
      </c>
      <c r="AP439" s="310" t="b">
        <f t="shared" si="101"/>
        <v>0</v>
      </c>
      <c r="AQ439" s="310">
        <f t="shared" si="99"/>
        <v>1200</v>
      </c>
    </row>
    <row r="440" s="218" customFormat="1" ht="39" customHeight="1" spans="1:43">
      <c r="A440" s="311">
        <v>45926</v>
      </c>
      <c r="B440" s="312" t="s">
        <v>565</v>
      </c>
      <c r="C440" s="218" t="s">
        <v>214</v>
      </c>
      <c r="D440" s="313">
        <v>4500180437</v>
      </c>
      <c r="E440" s="314"/>
      <c r="F440" s="313" t="s">
        <v>1869</v>
      </c>
      <c r="G440" s="315" t="s">
        <v>62</v>
      </c>
      <c r="H440" s="316" t="s">
        <v>63</v>
      </c>
      <c r="I440" s="310">
        <v>654</v>
      </c>
      <c r="J440" s="310">
        <v>0</v>
      </c>
      <c r="K440" s="310">
        <v>6</v>
      </c>
      <c r="L440" s="310">
        <f t="shared" si="91"/>
        <v>109</v>
      </c>
      <c r="M440" s="334">
        <v>45961</v>
      </c>
      <c r="N440" s="334">
        <v>45957</v>
      </c>
      <c r="O440" s="334"/>
      <c r="P440" s="333" t="s">
        <v>49</v>
      </c>
      <c r="Q440" s="334"/>
      <c r="R440" s="334"/>
      <c r="S440" s="342" t="s">
        <v>50</v>
      </c>
      <c r="T440" s="343">
        <v>45926</v>
      </c>
      <c r="U440" s="343" t="s">
        <v>1870</v>
      </c>
      <c r="V440" s="334"/>
      <c r="W440" s="334"/>
      <c r="X440" s="352" t="s">
        <v>1871</v>
      </c>
      <c r="Y440" s="315" t="s">
        <v>133</v>
      </c>
      <c r="Z440" s="353">
        <v>3.5498</v>
      </c>
      <c r="AA440" s="354">
        <f>I440*Z440</f>
        <v>2321.5692</v>
      </c>
      <c r="AB440" s="313"/>
      <c r="AC440" s="326" t="s">
        <v>62</v>
      </c>
      <c r="AD440" s="218" t="s">
        <v>56</v>
      </c>
      <c r="AE440" s="310">
        <v>654</v>
      </c>
      <c r="AF440" s="310">
        <f t="shared" si="100"/>
        <v>0</v>
      </c>
      <c r="AI440" s="316" t="s">
        <v>57</v>
      </c>
      <c r="AJ440" s="310">
        <v>0</v>
      </c>
      <c r="AK440" s="316" t="s">
        <v>73</v>
      </c>
      <c r="AL440" s="310">
        <v>0</v>
      </c>
      <c r="AM440" s="313"/>
      <c r="AN440" s="251">
        <f t="shared" si="89"/>
        <v>654</v>
      </c>
      <c r="AO440" s="310">
        <f t="shared" si="96"/>
        <v>654</v>
      </c>
      <c r="AP440" s="310" t="b">
        <f t="shared" si="101"/>
        <v>0</v>
      </c>
      <c r="AQ440" s="310">
        <f t="shared" si="99"/>
        <v>654</v>
      </c>
    </row>
    <row r="441" s="218" customFormat="1" ht="39" customHeight="1" spans="1:43">
      <c r="A441" s="311">
        <v>45917</v>
      </c>
      <c r="B441" s="312" t="s">
        <v>1418</v>
      </c>
      <c r="C441" s="217" t="s">
        <v>214</v>
      </c>
      <c r="D441" s="313">
        <v>4500179105</v>
      </c>
      <c r="E441" s="314" t="s">
        <v>1872</v>
      </c>
      <c r="F441" s="313" t="s">
        <v>1873</v>
      </c>
      <c r="G441" s="315" t="s">
        <v>62</v>
      </c>
      <c r="H441" s="316" t="s">
        <v>63</v>
      </c>
      <c r="I441" s="310">
        <v>504</v>
      </c>
      <c r="J441" s="310">
        <v>0</v>
      </c>
      <c r="K441" s="310">
        <v>6</v>
      </c>
      <c r="L441" s="310">
        <f t="shared" si="91"/>
        <v>84</v>
      </c>
      <c r="M441" s="334">
        <v>45967</v>
      </c>
      <c r="N441" s="334">
        <v>45964</v>
      </c>
      <c r="O441" s="334"/>
      <c r="P441" s="333" t="s">
        <v>49</v>
      </c>
      <c r="Q441" s="334"/>
      <c r="R441" s="334"/>
      <c r="S441" s="342" t="s">
        <v>50</v>
      </c>
      <c r="T441" s="343">
        <v>45916</v>
      </c>
      <c r="U441" s="342" t="s">
        <v>50</v>
      </c>
      <c r="V441" s="334"/>
      <c r="W441" s="334"/>
      <c r="X441" s="344" t="s">
        <v>1874</v>
      </c>
      <c r="Y441" s="315" t="s">
        <v>597</v>
      </c>
      <c r="Z441" s="353">
        <v>3.5505</v>
      </c>
      <c r="AA441" s="354">
        <f>I441*Z441</f>
        <v>1789.452</v>
      </c>
      <c r="AB441" s="362" t="s">
        <v>1875</v>
      </c>
      <c r="AC441" s="326" t="s">
        <v>62</v>
      </c>
      <c r="AD441" s="218" t="s">
        <v>56</v>
      </c>
      <c r="AE441" s="310">
        <v>504</v>
      </c>
      <c r="AF441" s="310">
        <f t="shared" si="100"/>
        <v>0</v>
      </c>
      <c r="AI441" s="316" t="s">
        <v>57</v>
      </c>
      <c r="AJ441" s="310">
        <v>0</v>
      </c>
      <c r="AK441" s="316" t="s">
        <v>73</v>
      </c>
      <c r="AL441" s="310">
        <v>0</v>
      </c>
      <c r="AM441" s="313"/>
      <c r="AN441" s="251">
        <f t="shared" si="89"/>
        <v>504</v>
      </c>
      <c r="AO441" s="310">
        <f t="shared" si="96"/>
        <v>504</v>
      </c>
      <c r="AP441" s="310" t="b">
        <f t="shared" si="101"/>
        <v>0</v>
      </c>
      <c r="AQ441" s="310">
        <f t="shared" si="99"/>
        <v>504</v>
      </c>
    </row>
    <row r="442" s="218" customFormat="1" ht="39" hidden="1" customHeight="1" spans="1:43">
      <c r="A442" s="311">
        <v>45926</v>
      </c>
      <c r="B442" s="312" t="s">
        <v>838</v>
      </c>
      <c r="C442" s="217" t="s">
        <v>44</v>
      </c>
      <c r="D442" s="313">
        <v>4500180675</v>
      </c>
      <c r="E442" s="314" t="s">
        <v>1876</v>
      </c>
      <c r="F442" s="313" t="s">
        <v>1877</v>
      </c>
      <c r="G442" s="315" t="s">
        <v>46</v>
      </c>
      <c r="H442" s="316" t="s">
        <v>47</v>
      </c>
      <c r="I442" s="310">
        <v>686</v>
      </c>
      <c r="J442" s="310">
        <v>0</v>
      </c>
      <c r="K442" s="310">
        <v>98</v>
      </c>
      <c r="L442" s="310">
        <f t="shared" si="91"/>
        <v>7</v>
      </c>
      <c r="M442" s="334">
        <v>45967</v>
      </c>
      <c r="N442" s="334">
        <v>45964</v>
      </c>
      <c r="O442" s="334">
        <v>45968</v>
      </c>
      <c r="P442" s="333" t="s">
        <v>49</v>
      </c>
      <c r="Q442" s="334"/>
      <c r="R442" s="334"/>
      <c r="S442" s="342" t="s">
        <v>50</v>
      </c>
      <c r="T442" s="343" t="s">
        <v>1135</v>
      </c>
      <c r="U442" s="342" t="s">
        <v>1853</v>
      </c>
      <c r="V442" s="334"/>
      <c r="W442" s="334"/>
      <c r="X442" s="344" t="s">
        <v>1878</v>
      </c>
      <c r="Y442" s="315" t="s">
        <v>844</v>
      </c>
      <c r="Z442" s="353">
        <v>217.2271</v>
      </c>
      <c r="AA442" s="354">
        <f t="shared" ref="AA442:AA448" si="102">Z442*L442</f>
        <v>1520.5897</v>
      </c>
      <c r="AB442" s="313" t="s">
        <v>1879</v>
      </c>
      <c r="AC442" s="316" t="s">
        <v>46</v>
      </c>
      <c r="AD442" s="218" t="s">
        <v>56</v>
      </c>
      <c r="AE442" s="310">
        <v>686</v>
      </c>
      <c r="AF442" s="310">
        <f t="shared" si="100"/>
        <v>0</v>
      </c>
      <c r="AI442" s="316" t="s">
        <v>57</v>
      </c>
      <c r="AJ442" s="310">
        <v>0</v>
      </c>
      <c r="AK442" s="316" t="s">
        <v>73</v>
      </c>
      <c r="AL442" s="310">
        <v>0</v>
      </c>
      <c r="AM442" s="313"/>
      <c r="AN442" s="251">
        <f t="shared" si="89"/>
        <v>686</v>
      </c>
      <c r="AO442" s="310">
        <f t="shared" si="96"/>
        <v>686</v>
      </c>
      <c r="AP442" s="310" t="b">
        <f t="shared" si="101"/>
        <v>0</v>
      </c>
      <c r="AQ442" s="310">
        <f t="shared" si="99"/>
        <v>686</v>
      </c>
    </row>
    <row r="443" s="218" customFormat="1" ht="39" hidden="1" customHeight="1" spans="1:43">
      <c r="A443" s="311">
        <v>45926</v>
      </c>
      <c r="B443" s="312" t="s">
        <v>838</v>
      </c>
      <c r="C443" s="217" t="s">
        <v>44</v>
      </c>
      <c r="D443" s="313">
        <v>4500180675</v>
      </c>
      <c r="E443" s="314" t="s">
        <v>1880</v>
      </c>
      <c r="F443" s="313" t="s">
        <v>1881</v>
      </c>
      <c r="G443" s="315" t="s">
        <v>46</v>
      </c>
      <c r="H443" s="316" t="s">
        <v>47</v>
      </c>
      <c r="I443" s="310">
        <v>980</v>
      </c>
      <c r="J443" s="310">
        <v>0</v>
      </c>
      <c r="K443" s="310">
        <v>98</v>
      </c>
      <c r="L443" s="310">
        <f t="shared" si="91"/>
        <v>10</v>
      </c>
      <c r="M443" s="334">
        <v>45967</v>
      </c>
      <c r="N443" s="334">
        <v>45964</v>
      </c>
      <c r="O443" s="334">
        <v>45968</v>
      </c>
      <c r="P443" s="333" t="s">
        <v>49</v>
      </c>
      <c r="Q443" s="334"/>
      <c r="R443" s="334"/>
      <c r="S443" s="342" t="s">
        <v>50</v>
      </c>
      <c r="T443" s="343" t="s">
        <v>1135</v>
      </c>
      <c r="U443" s="342" t="s">
        <v>1853</v>
      </c>
      <c r="V443" s="334"/>
      <c r="W443" s="334"/>
      <c r="X443" s="344" t="s">
        <v>1878</v>
      </c>
      <c r="Y443" s="315" t="s">
        <v>844</v>
      </c>
      <c r="Z443" s="353">
        <v>217.228</v>
      </c>
      <c r="AA443" s="354">
        <f t="shared" si="102"/>
        <v>2172.28</v>
      </c>
      <c r="AB443" s="313" t="s">
        <v>1882</v>
      </c>
      <c r="AC443" s="316" t="s">
        <v>46</v>
      </c>
      <c r="AD443" s="218" t="s">
        <v>56</v>
      </c>
      <c r="AE443" s="310">
        <v>980</v>
      </c>
      <c r="AF443" s="310">
        <f t="shared" si="100"/>
        <v>0</v>
      </c>
      <c r="AI443" s="316" t="s">
        <v>57</v>
      </c>
      <c r="AJ443" s="310">
        <v>0</v>
      </c>
      <c r="AK443" s="316" t="s">
        <v>73</v>
      </c>
      <c r="AL443" s="310">
        <v>0</v>
      </c>
      <c r="AM443" s="313"/>
      <c r="AN443" s="251">
        <f t="shared" si="89"/>
        <v>980</v>
      </c>
      <c r="AO443" s="310">
        <f t="shared" si="96"/>
        <v>980</v>
      </c>
      <c r="AP443" s="310" t="b">
        <f t="shared" si="101"/>
        <v>0</v>
      </c>
      <c r="AQ443" s="310">
        <f t="shared" si="99"/>
        <v>980</v>
      </c>
    </row>
    <row r="444" s="218" customFormat="1" ht="39" hidden="1" customHeight="1" spans="1:43">
      <c r="A444" s="311">
        <v>45926</v>
      </c>
      <c r="B444" s="312" t="s">
        <v>838</v>
      </c>
      <c r="C444" s="217" t="s">
        <v>44</v>
      </c>
      <c r="D444" s="313">
        <v>4500180675</v>
      </c>
      <c r="E444" s="314" t="s">
        <v>1883</v>
      </c>
      <c r="F444" s="313" t="s">
        <v>1884</v>
      </c>
      <c r="G444" s="315" t="s">
        <v>46</v>
      </c>
      <c r="H444" s="316" t="s">
        <v>47</v>
      </c>
      <c r="I444" s="310">
        <v>588</v>
      </c>
      <c r="J444" s="310">
        <v>0</v>
      </c>
      <c r="K444" s="310">
        <v>98</v>
      </c>
      <c r="L444" s="310">
        <f t="shared" si="91"/>
        <v>6</v>
      </c>
      <c r="M444" s="334">
        <v>45967</v>
      </c>
      <c r="N444" s="334">
        <v>45964</v>
      </c>
      <c r="O444" s="334">
        <v>45968</v>
      </c>
      <c r="P444" s="333" t="s">
        <v>49</v>
      </c>
      <c r="Q444" s="334"/>
      <c r="R444" s="334"/>
      <c r="S444" s="342" t="s">
        <v>50</v>
      </c>
      <c r="T444" s="343" t="s">
        <v>1135</v>
      </c>
      <c r="U444" s="342" t="s">
        <v>1853</v>
      </c>
      <c r="V444" s="334"/>
      <c r="W444" s="334"/>
      <c r="X444" s="344" t="s">
        <v>1878</v>
      </c>
      <c r="Y444" s="315" t="s">
        <v>844</v>
      </c>
      <c r="Z444" s="353">
        <v>217.2267</v>
      </c>
      <c r="AA444" s="354">
        <f t="shared" si="102"/>
        <v>1303.3602</v>
      </c>
      <c r="AB444" s="313" t="s">
        <v>1885</v>
      </c>
      <c r="AC444" s="316" t="s">
        <v>46</v>
      </c>
      <c r="AD444" s="218" t="s">
        <v>56</v>
      </c>
      <c r="AE444" s="310">
        <v>588</v>
      </c>
      <c r="AF444" s="310">
        <f t="shared" si="100"/>
        <v>0</v>
      </c>
      <c r="AI444" s="316" t="s">
        <v>57</v>
      </c>
      <c r="AJ444" s="310">
        <v>0</v>
      </c>
      <c r="AK444" s="316" t="s">
        <v>73</v>
      </c>
      <c r="AL444" s="310">
        <v>0</v>
      </c>
      <c r="AM444" s="313"/>
      <c r="AN444" s="251">
        <f t="shared" si="89"/>
        <v>588</v>
      </c>
      <c r="AO444" s="310">
        <f t="shared" si="96"/>
        <v>588</v>
      </c>
      <c r="AP444" s="310" t="b">
        <f t="shared" si="101"/>
        <v>0</v>
      </c>
      <c r="AQ444" s="310">
        <f t="shared" si="99"/>
        <v>588</v>
      </c>
    </row>
    <row r="445" s="218" customFormat="1" ht="39" hidden="1" customHeight="1" spans="1:43">
      <c r="A445" s="311">
        <v>45926</v>
      </c>
      <c r="B445" s="312" t="s">
        <v>838</v>
      </c>
      <c r="C445" s="217" t="s">
        <v>44</v>
      </c>
      <c r="D445" s="313">
        <v>4500180675</v>
      </c>
      <c r="E445" s="314" t="s">
        <v>1886</v>
      </c>
      <c r="F445" s="313" t="s">
        <v>1887</v>
      </c>
      <c r="G445" s="315" t="s">
        <v>46</v>
      </c>
      <c r="H445" s="316" t="s">
        <v>47</v>
      </c>
      <c r="I445" s="310">
        <v>588</v>
      </c>
      <c r="J445" s="310">
        <v>0</v>
      </c>
      <c r="K445" s="310">
        <v>98</v>
      </c>
      <c r="L445" s="310">
        <f t="shared" si="91"/>
        <v>6</v>
      </c>
      <c r="M445" s="334">
        <v>45967</v>
      </c>
      <c r="N445" s="334">
        <v>45964</v>
      </c>
      <c r="O445" s="334">
        <v>45968</v>
      </c>
      <c r="P445" s="333" t="s">
        <v>49</v>
      </c>
      <c r="Q445" s="334"/>
      <c r="R445" s="334"/>
      <c r="S445" s="342" t="s">
        <v>50</v>
      </c>
      <c r="T445" s="343" t="s">
        <v>1135</v>
      </c>
      <c r="U445" s="342" t="s">
        <v>1853</v>
      </c>
      <c r="V445" s="334"/>
      <c r="W445" s="334"/>
      <c r="X445" s="344" t="s">
        <v>1878</v>
      </c>
      <c r="Y445" s="315" t="s">
        <v>844</v>
      </c>
      <c r="Z445" s="353">
        <v>217.2267</v>
      </c>
      <c r="AA445" s="354">
        <f t="shared" si="102"/>
        <v>1303.3602</v>
      </c>
      <c r="AB445" s="313" t="s">
        <v>1888</v>
      </c>
      <c r="AC445" s="316" t="s">
        <v>46</v>
      </c>
      <c r="AD445" s="218" t="s">
        <v>56</v>
      </c>
      <c r="AE445" s="310">
        <v>588</v>
      </c>
      <c r="AF445" s="310">
        <f t="shared" si="100"/>
        <v>0</v>
      </c>
      <c r="AI445" s="316" t="s">
        <v>57</v>
      </c>
      <c r="AJ445" s="310">
        <v>0</v>
      </c>
      <c r="AK445" s="316" t="s">
        <v>73</v>
      </c>
      <c r="AL445" s="310">
        <v>0</v>
      </c>
      <c r="AM445" s="313"/>
      <c r="AN445" s="251">
        <f t="shared" si="89"/>
        <v>588</v>
      </c>
      <c r="AO445" s="310">
        <f t="shared" si="96"/>
        <v>588</v>
      </c>
      <c r="AP445" s="310" t="b">
        <f t="shared" si="101"/>
        <v>0</v>
      </c>
      <c r="AQ445" s="310">
        <f t="shared" si="99"/>
        <v>588</v>
      </c>
    </row>
    <row r="446" s="218" customFormat="1" ht="39" hidden="1" customHeight="1" spans="1:43">
      <c r="A446" s="311">
        <v>45926</v>
      </c>
      <c r="B446" s="312" t="s">
        <v>838</v>
      </c>
      <c r="C446" s="217" t="s">
        <v>44</v>
      </c>
      <c r="D446" s="313">
        <v>4500180675</v>
      </c>
      <c r="E446" s="314" t="s">
        <v>1889</v>
      </c>
      <c r="F446" s="313" t="s">
        <v>1890</v>
      </c>
      <c r="G446" s="315" t="s">
        <v>46</v>
      </c>
      <c r="H446" s="316" t="s">
        <v>47</v>
      </c>
      <c r="I446" s="310">
        <v>980</v>
      </c>
      <c r="J446" s="310">
        <v>0</v>
      </c>
      <c r="K446" s="310">
        <v>98</v>
      </c>
      <c r="L446" s="310">
        <f t="shared" si="91"/>
        <v>10</v>
      </c>
      <c r="M446" s="334">
        <v>45967</v>
      </c>
      <c r="N446" s="334">
        <v>45964</v>
      </c>
      <c r="O446" s="334">
        <v>45968</v>
      </c>
      <c r="P446" s="333" t="s">
        <v>49</v>
      </c>
      <c r="Q446" s="334"/>
      <c r="R446" s="334"/>
      <c r="S446" s="342" t="s">
        <v>50</v>
      </c>
      <c r="T446" s="343" t="s">
        <v>1135</v>
      </c>
      <c r="U446" s="342" t="s">
        <v>1853</v>
      </c>
      <c r="V446" s="334"/>
      <c r="W446" s="334"/>
      <c r="X446" s="344" t="s">
        <v>1878</v>
      </c>
      <c r="Y446" s="315" t="s">
        <v>844</v>
      </c>
      <c r="Z446" s="353">
        <v>217.228</v>
      </c>
      <c r="AA446" s="354">
        <f t="shared" si="102"/>
        <v>2172.28</v>
      </c>
      <c r="AB446" s="313" t="s">
        <v>1891</v>
      </c>
      <c r="AC446" s="316" t="s">
        <v>46</v>
      </c>
      <c r="AD446" s="218" t="s">
        <v>56</v>
      </c>
      <c r="AE446" s="310">
        <v>980</v>
      </c>
      <c r="AF446" s="310">
        <f t="shared" si="100"/>
        <v>0</v>
      </c>
      <c r="AI446" s="316" t="s">
        <v>57</v>
      </c>
      <c r="AJ446" s="310">
        <v>0</v>
      </c>
      <c r="AK446" s="316" t="s">
        <v>73</v>
      </c>
      <c r="AL446" s="310">
        <v>0</v>
      </c>
      <c r="AM446" s="313"/>
      <c r="AN446" s="251">
        <f t="shared" si="89"/>
        <v>980</v>
      </c>
      <c r="AO446" s="310">
        <f t="shared" si="96"/>
        <v>980</v>
      </c>
      <c r="AP446" s="310" t="b">
        <f t="shared" si="101"/>
        <v>0</v>
      </c>
      <c r="AQ446" s="310">
        <f t="shared" si="99"/>
        <v>980</v>
      </c>
    </row>
    <row r="447" s="218" customFormat="1" ht="39" hidden="1" customHeight="1" spans="1:43">
      <c r="A447" s="311">
        <v>45926</v>
      </c>
      <c r="B447" s="312" t="s">
        <v>838</v>
      </c>
      <c r="C447" s="217" t="s">
        <v>44</v>
      </c>
      <c r="D447" s="313">
        <v>4500180675</v>
      </c>
      <c r="E447" s="314" t="s">
        <v>1892</v>
      </c>
      <c r="F447" s="313" t="s">
        <v>1893</v>
      </c>
      <c r="G447" s="315" t="s">
        <v>46</v>
      </c>
      <c r="H447" s="316" t="s">
        <v>47</v>
      </c>
      <c r="I447" s="310">
        <v>588</v>
      </c>
      <c r="J447" s="310">
        <v>0</v>
      </c>
      <c r="K447" s="310">
        <v>98</v>
      </c>
      <c r="L447" s="310">
        <f t="shared" si="91"/>
        <v>6</v>
      </c>
      <c r="M447" s="334">
        <v>45967</v>
      </c>
      <c r="N447" s="334">
        <v>45964</v>
      </c>
      <c r="O447" s="334">
        <v>45968</v>
      </c>
      <c r="P447" s="333" t="s">
        <v>49</v>
      </c>
      <c r="Q447" s="334"/>
      <c r="R447" s="334"/>
      <c r="S447" s="342" t="s">
        <v>50</v>
      </c>
      <c r="T447" s="343" t="s">
        <v>1135</v>
      </c>
      <c r="U447" s="342" t="s">
        <v>1853</v>
      </c>
      <c r="V447" s="334"/>
      <c r="W447" s="334"/>
      <c r="X447" s="344" t="s">
        <v>1878</v>
      </c>
      <c r="Y447" s="315" t="s">
        <v>844</v>
      </c>
      <c r="Z447" s="353">
        <v>217.2267</v>
      </c>
      <c r="AA447" s="354">
        <f t="shared" si="102"/>
        <v>1303.3602</v>
      </c>
      <c r="AB447" s="313" t="s">
        <v>1894</v>
      </c>
      <c r="AC447" s="316" t="s">
        <v>46</v>
      </c>
      <c r="AD447" s="218" t="s">
        <v>56</v>
      </c>
      <c r="AE447" s="310">
        <v>588</v>
      </c>
      <c r="AF447" s="310">
        <f t="shared" si="100"/>
        <v>0</v>
      </c>
      <c r="AI447" s="316" t="s">
        <v>57</v>
      </c>
      <c r="AJ447" s="310">
        <v>0</v>
      </c>
      <c r="AK447" s="316" t="s">
        <v>73</v>
      </c>
      <c r="AL447" s="310">
        <v>0</v>
      </c>
      <c r="AM447" s="313"/>
      <c r="AN447" s="251">
        <f t="shared" si="89"/>
        <v>588</v>
      </c>
      <c r="AO447" s="310">
        <f t="shared" si="96"/>
        <v>588</v>
      </c>
      <c r="AP447" s="310" t="b">
        <f t="shared" si="101"/>
        <v>0</v>
      </c>
      <c r="AQ447" s="310">
        <f t="shared" si="99"/>
        <v>588</v>
      </c>
    </row>
    <row r="448" s="218" customFormat="1" ht="39" hidden="1" customHeight="1" spans="1:43">
      <c r="A448" s="311">
        <v>45926</v>
      </c>
      <c r="B448" s="312" t="s">
        <v>838</v>
      </c>
      <c r="C448" s="217" t="s">
        <v>44</v>
      </c>
      <c r="D448" s="313">
        <v>4500180675</v>
      </c>
      <c r="E448" s="314" t="s">
        <v>1895</v>
      </c>
      <c r="F448" s="313" t="s">
        <v>1896</v>
      </c>
      <c r="G448" s="315" t="s">
        <v>46</v>
      </c>
      <c r="H448" s="316" t="s">
        <v>47</v>
      </c>
      <c r="I448" s="310">
        <v>588</v>
      </c>
      <c r="J448" s="310">
        <v>0</v>
      </c>
      <c r="K448" s="310">
        <v>98</v>
      </c>
      <c r="L448" s="310">
        <f t="shared" si="91"/>
        <v>6</v>
      </c>
      <c r="M448" s="334">
        <v>45967</v>
      </c>
      <c r="N448" s="334">
        <v>45964</v>
      </c>
      <c r="O448" s="334">
        <v>45968</v>
      </c>
      <c r="P448" s="333" t="s">
        <v>49</v>
      </c>
      <c r="Q448" s="334"/>
      <c r="R448" s="334"/>
      <c r="S448" s="342" t="s">
        <v>50</v>
      </c>
      <c r="T448" s="343" t="s">
        <v>1135</v>
      </c>
      <c r="U448" s="342" t="s">
        <v>1853</v>
      </c>
      <c r="V448" s="334"/>
      <c r="W448" s="334"/>
      <c r="X448" s="344" t="s">
        <v>1878</v>
      </c>
      <c r="Y448" s="315" t="s">
        <v>844</v>
      </c>
      <c r="Z448" s="353">
        <v>217.2267</v>
      </c>
      <c r="AA448" s="354">
        <f t="shared" si="102"/>
        <v>1303.3602</v>
      </c>
      <c r="AB448" s="313" t="s">
        <v>1897</v>
      </c>
      <c r="AC448" s="316" t="s">
        <v>46</v>
      </c>
      <c r="AD448" s="218" t="s">
        <v>56</v>
      </c>
      <c r="AE448" s="310">
        <v>588</v>
      </c>
      <c r="AF448" s="310">
        <f t="shared" si="100"/>
        <v>0</v>
      </c>
      <c r="AI448" s="316" t="s">
        <v>57</v>
      </c>
      <c r="AJ448" s="310">
        <v>0</v>
      </c>
      <c r="AK448" s="316" t="s">
        <v>73</v>
      </c>
      <c r="AL448" s="310">
        <v>0</v>
      </c>
      <c r="AM448" s="313"/>
      <c r="AN448" s="251">
        <f t="shared" ref="AN448:AN502" si="103">I448</f>
        <v>588</v>
      </c>
      <c r="AO448" s="310">
        <f t="shared" si="96"/>
        <v>588</v>
      </c>
      <c r="AP448" s="310" t="b">
        <f t="shared" si="101"/>
        <v>0</v>
      </c>
      <c r="AQ448" s="310">
        <f t="shared" si="99"/>
        <v>588</v>
      </c>
    </row>
    <row r="449" s="218" customFormat="1" ht="39" customHeight="1" spans="1:43">
      <c r="A449" s="311">
        <v>45929</v>
      </c>
      <c r="B449" s="312" t="s">
        <v>1320</v>
      </c>
      <c r="C449" s="217" t="s">
        <v>214</v>
      </c>
      <c r="D449" s="313">
        <v>4500180804</v>
      </c>
      <c r="E449" s="314" t="s">
        <v>1898</v>
      </c>
      <c r="F449" s="313" t="s">
        <v>1899</v>
      </c>
      <c r="G449" s="315" t="s">
        <v>62</v>
      </c>
      <c r="H449" s="316" t="s">
        <v>63</v>
      </c>
      <c r="I449" s="310">
        <v>1002</v>
      </c>
      <c r="J449" s="310">
        <v>0</v>
      </c>
      <c r="K449" s="310">
        <v>6</v>
      </c>
      <c r="L449" s="310">
        <f t="shared" si="91"/>
        <v>167</v>
      </c>
      <c r="M449" s="334">
        <v>45967</v>
      </c>
      <c r="N449" s="334">
        <v>45964</v>
      </c>
      <c r="O449" s="334"/>
      <c r="P449" s="333" t="s">
        <v>49</v>
      </c>
      <c r="Q449" s="334"/>
      <c r="R449" s="334"/>
      <c r="S449" s="342" t="s">
        <v>50</v>
      </c>
      <c r="T449" s="342">
        <v>45941</v>
      </c>
      <c r="U449" s="342" t="s">
        <v>50</v>
      </c>
      <c r="V449" s="334"/>
      <c r="W449" s="334"/>
      <c r="X449" s="344" t="s">
        <v>1900</v>
      </c>
      <c r="Y449" s="315" t="s">
        <v>1292</v>
      </c>
      <c r="Z449" s="353">
        <v>3.5366</v>
      </c>
      <c r="AA449" s="354">
        <f t="shared" ref="AA449:AA457" si="104">I449*Z449</f>
        <v>3543.6732</v>
      </c>
      <c r="AB449" s="313"/>
      <c r="AC449" s="326" t="s">
        <v>71</v>
      </c>
      <c r="AD449" s="218" t="s">
        <v>56</v>
      </c>
      <c r="AE449" s="310">
        <v>1002</v>
      </c>
      <c r="AF449" s="310">
        <f t="shared" si="100"/>
        <v>0</v>
      </c>
      <c r="AI449" s="316" t="s">
        <v>72</v>
      </c>
      <c r="AJ449" s="310">
        <v>2</v>
      </c>
      <c r="AK449" s="316" t="s">
        <v>73</v>
      </c>
      <c r="AL449" s="310">
        <v>0</v>
      </c>
      <c r="AM449" s="313"/>
      <c r="AN449" s="251">
        <f t="shared" si="103"/>
        <v>1002</v>
      </c>
      <c r="AO449" s="310">
        <f t="shared" si="96"/>
        <v>0</v>
      </c>
      <c r="AP449" s="310">
        <f t="shared" si="101"/>
        <v>1002</v>
      </c>
      <c r="AQ449" s="310">
        <f t="shared" si="99"/>
        <v>1002</v>
      </c>
    </row>
    <row r="450" s="218" customFormat="1" ht="39" customHeight="1" spans="1:43">
      <c r="A450" s="311">
        <v>45918</v>
      </c>
      <c r="B450" s="312" t="s">
        <v>1901</v>
      </c>
      <c r="C450" s="217" t="s">
        <v>1178</v>
      </c>
      <c r="D450" s="313">
        <v>4500179692</v>
      </c>
      <c r="E450" s="314" t="s">
        <v>1902</v>
      </c>
      <c r="F450" s="313" t="s">
        <v>1903</v>
      </c>
      <c r="G450" s="315" t="s">
        <v>62</v>
      </c>
      <c r="H450" s="316" t="s">
        <v>63</v>
      </c>
      <c r="I450" s="310">
        <v>906</v>
      </c>
      <c r="J450" s="310">
        <v>0</v>
      </c>
      <c r="K450" s="310">
        <v>6</v>
      </c>
      <c r="L450" s="310">
        <f t="shared" si="91"/>
        <v>151</v>
      </c>
      <c r="M450" s="334">
        <v>45968</v>
      </c>
      <c r="N450" s="334">
        <v>45966</v>
      </c>
      <c r="O450" s="334"/>
      <c r="P450" s="333" t="s">
        <v>49</v>
      </c>
      <c r="Q450" s="334"/>
      <c r="R450" s="334"/>
      <c r="S450" s="342" t="s">
        <v>77</v>
      </c>
      <c r="T450" s="342" t="s">
        <v>709</v>
      </c>
      <c r="U450" s="343" t="s">
        <v>1904</v>
      </c>
      <c r="V450" s="334"/>
      <c r="W450" s="334"/>
      <c r="X450" s="344" t="s">
        <v>1905</v>
      </c>
      <c r="Y450" s="315" t="s">
        <v>1906</v>
      </c>
      <c r="Z450" s="353">
        <v>3.9839</v>
      </c>
      <c r="AA450" s="354">
        <f t="shared" si="104"/>
        <v>3609.4134</v>
      </c>
      <c r="AB450" s="313"/>
      <c r="AC450" s="326" t="s">
        <v>71</v>
      </c>
      <c r="AD450" s="218" t="s">
        <v>56</v>
      </c>
      <c r="AE450" s="310">
        <f>396+510</f>
        <v>906</v>
      </c>
      <c r="AF450" s="310">
        <f t="shared" si="100"/>
        <v>0</v>
      </c>
      <c r="AI450" s="316" t="s">
        <v>72</v>
      </c>
      <c r="AJ450" s="310">
        <v>2</v>
      </c>
      <c r="AK450" s="316" t="s">
        <v>73</v>
      </c>
      <c r="AL450" s="310">
        <v>0</v>
      </c>
      <c r="AM450" s="313"/>
      <c r="AN450" s="251">
        <f t="shared" si="103"/>
        <v>906</v>
      </c>
      <c r="AO450" s="310">
        <f t="shared" si="96"/>
        <v>0</v>
      </c>
      <c r="AP450" s="310">
        <f t="shared" si="101"/>
        <v>906</v>
      </c>
      <c r="AQ450" s="310">
        <f t="shared" si="99"/>
        <v>906</v>
      </c>
    </row>
    <row r="451" s="218" customFormat="1" ht="39" customHeight="1" spans="1:43">
      <c r="A451" s="311">
        <v>45925</v>
      </c>
      <c r="B451" s="312" t="s">
        <v>1741</v>
      </c>
      <c r="C451" s="218" t="s">
        <v>1156</v>
      </c>
      <c r="D451" s="313">
        <v>4500180345</v>
      </c>
      <c r="E451" s="314">
        <v>5000002005</v>
      </c>
      <c r="F451" s="313" t="s">
        <v>1907</v>
      </c>
      <c r="G451" s="315" t="s">
        <v>62</v>
      </c>
      <c r="H451" s="316" t="s">
        <v>63</v>
      </c>
      <c r="I451" s="310">
        <v>600</v>
      </c>
      <c r="J451" s="310">
        <v>0</v>
      </c>
      <c r="K451" s="310">
        <v>6</v>
      </c>
      <c r="L451" s="310">
        <f t="shared" si="91"/>
        <v>100</v>
      </c>
      <c r="M451" s="334">
        <v>45968</v>
      </c>
      <c r="N451" s="334">
        <v>45966</v>
      </c>
      <c r="O451" s="334"/>
      <c r="P451" s="333" t="s">
        <v>49</v>
      </c>
      <c r="Q451" s="334"/>
      <c r="R451" s="334"/>
      <c r="S451" s="342" t="s">
        <v>50</v>
      </c>
      <c r="T451" s="342" t="s">
        <v>1743</v>
      </c>
      <c r="U451" s="342" t="s">
        <v>1743</v>
      </c>
      <c r="V451" s="343" t="s">
        <v>1908</v>
      </c>
      <c r="W451" s="334"/>
      <c r="X451" s="389" t="s">
        <v>1909</v>
      </c>
      <c r="Y451" s="315" t="s">
        <v>1159</v>
      </c>
      <c r="Z451" s="353">
        <v>3.3453</v>
      </c>
      <c r="AA451" s="354">
        <f t="shared" si="104"/>
        <v>2007.18</v>
      </c>
      <c r="AB451" s="313" t="s">
        <v>1910</v>
      </c>
      <c r="AC451" s="358" t="s">
        <v>1161</v>
      </c>
      <c r="AD451" s="218" t="s">
        <v>56</v>
      </c>
      <c r="AE451" s="310">
        <v>600</v>
      </c>
      <c r="AF451" s="310">
        <f t="shared" si="100"/>
        <v>0</v>
      </c>
      <c r="AI451" s="316" t="s">
        <v>57</v>
      </c>
      <c r="AJ451" s="310">
        <v>0</v>
      </c>
      <c r="AK451" s="316" t="s">
        <v>1162</v>
      </c>
      <c r="AL451" s="310">
        <v>1</v>
      </c>
      <c r="AM451" s="313"/>
      <c r="AN451" s="251">
        <f t="shared" si="103"/>
        <v>600</v>
      </c>
      <c r="AO451" s="310">
        <f t="shared" si="96"/>
        <v>600</v>
      </c>
      <c r="AP451" s="310" t="b">
        <f t="shared" si="101"/>
        <v>0</v>
      </c>
      <c r="AQ451" s="310">
        <f t="shared" si="99"/>
        <v>0</v>
      </c>
    </row>
    <row r="452" s="218" customFormat="1" ht="39" customHeight="1" spans="1:43">
      <c r="A452" s="311">
        <v>45928</v>
      </c>
      <c r="B452" s="312" t="s">
        <v>245</v>
      </c>
      <c r="C452" s="218" t="s">
        <v>214</v>
      </c>
      <c r="D452" s="313">
        <v>4500180739</v>
      </c>
      <c r="E452" s="314" t="s">
        <v>1911</v>
      </c>
      <c r="F452" s="313" t="s">
        <v>1912</v>
      </c>
      <c r="G452" s="315" t="s">
        <v>62</v>
      </c>
      <c r="H452" s="316" t="s">
        <v>63</v>
      </c>
      <c r="I452" s="310">
        <v>498</v>
      </c>
      <c r="J452" s="310">
        <v>0</v>
      </c>
      <c r="K452" s="310">
        <v>6</v>
      </c>
      <c r="L452" s="310">
        <f t="shared" si="91"/>
        <v>83</v>
      </c>
      <c r="M452" s="334">
        <v>45968</v>
      </c>
      <c r="N452" s="334">
        <v>45966</v>
      </c>
      <c r="O452" s="334"/>
      <c r="P452" s="333" t="s">
        <v>49</v>
      </c>
      <c r="Q452" s="334"/>
      <c r="R452" s="334"/>
      <c r="S452" s="342" t="s">
        <v>50</v>
      </c>
      <c r="T452" s="342" t="s">
        <v>248</v>
      </c>
      <c r="U452" s="343" t="s">
        <v>1913</v>
      </c>
      <c r="V452" s="343" t="s">
        <v>1914</v>
      </c>
      <c r="W452" s="334"/>
      <c r="X452" s="344" t="s">
        <v>1915</v>
      </c>
      <c r="Y452" s="315" t="s">
        <v>252</v>
      </c>
      <c r="Z452" s="353">
        <v>3.5625</v>
      </c>
      <c r="AA452" s="354">
        <f t="shared" si="104"/>
        <v>1774.125</v>
      </c>
      <c r="AB452" s="313"/>
      <c r="AC452" s="326" t="s">
        <v>71</v>
      </c>
      <c r="AD452" s="218" t="s">
        <v>56</v>
      </c>
      <c r="AE452" s="310">
        <v>498</v>
      </c>
      <c r="AF452" s="310">
        <f t="shared" si="100"/>
        <v>0</v>
      </c>
      <c r="AI452" s="316" t="s">
        <v>72</v>
      </c>
      <c r="AJ452" s="310">
        <v>2</v>
      </c>
      <c r="AK452" s="316" t="s">
        <v>73</v>
      </c>
      <c r="AL452" s="310">
        <v>0</v>
      </c>
      <c r="AM452" s="313"/>
      <c r="AN452" s="251">
        <f t="shared" si="103"/>
        <v>498</v>
      </c>
      <c r="AO452" s="310">
        <f t="shared" si="96"/>
        <v>0</v>
      </c>
      <c r="AP452" s="310">
        <f t="shared" si="101"/>
        <v>498</v>
      </c>
      <c r="AQ452" s="310">
        <f t="shared" si="99"/>
        <v>498</v>
      </c>
    </row>
    <row r="453" s="218" customFormat="1" ht="39" customHeight="1" spans="1:43">
      <c r="A453" s="311">
        <v>45905</v>
      </c>
      <c r="B453" s="312" t="s">
        <v>1916</v>
      </c>
      <c r="C453" s="217" t="s">
        <v>44</v>
      </c>
      <c r="D453" s="313">
        <v>4500178974</v>
      </c>
      <c r="E453" s="480" t="s">
        <v>1917</v>
      </c>
      <c r="F453" s="313" t="s">
        <v>1918</v>
      </c>
      <c r="G453" s="315" t="s">
        <v>62</v>
      </c>
      <c r="H453" s="316" t="s">
        <v>63</v>
      </c>
      <c r="I453" s="310">
        <v>516</v>
      </c>
      <c r="J453" s="310">
        <v>0</v>
      </c>
      <c r="K453" s="310">
        <v>6</v>
      </c>
      <c r="L453" s="310">
        <f t="shared" si="91"/>
        <v>86</v>
      </c>
      <c r="M453" s="334">
        <v>45968</v>
      </c>
      <c r="N453" s="334">
        <v>45964</v>
      </c>
      <c r="O453" s="334"/>
      <c r="P453" s="333" t="s">
        <v>49</v>
      </c>
      <c r="Q453" s="334"/>
      <c r="R453" s="334"/>
      <c r="S453" s="342" t="s">
        <v>50</v>
      </c>
      <c r="T453" s="342">
        <v>45917</v>
      </c>
      <c r="U453" s="342" t="s">
        <v>50</v>
      </c>
      <c r="V453" s="334"/>
      <c r="W453" s="334" t="s">
        <v>1919</v>
      </c>
      <c r="X453" s="344" t="s">
        <v>1920</v>
      </c>
      <c r="Y453" s="315" t="s">
        <v>1048</v>
      </c>
      <c r="Z453" s="353">
        <v>2.1303</v>
      </c>
      <c r="AA453" s="354">
        <f t="shared" si="104"/>
        <v>1099.2348</v>
      </c>
      <c r="AB453" s="313" t="s">
        <v>1921</v>
      </c>
      <c r="AC453" s="326" t="s">
        <v>62</v>
      </c>
      <c r="AD453" s="218" t="s">
        <v>56</v>
      </c>
      <c r="AE453" s="310">
        <v>516</v>
      </c>
      <c r="AF453" s="310">
        <f t="shared" si="100"/>
        <v>0</v>
      </c>
      <c r="AI453" s="316" t="s">
        <v>57</v>
      </c>
      <c r="AJ453" s="310">
        <v>0</v>
      </c>
      <c r="AK453" s="316" t="s">
        <v>73</v>
      </c>
      <c r="AL453" s="310">
        <v>0</v>
      </c>
      <c r="AM453" s="313"/>
      <c r="AN453" s="251">
        <f t="shared" si="103"/>
        <v>516</v>
      </c>
      <c r="AO453" s="310">
        <f t="shared" si="96"/>
        <v>516</v>
      </c>
      <c r="AP453" s="310" t="b">
        <f t="shared" si="101"/>
        <v>0</v>
      </c>
      <c r="AQ453" s="310">
        <f t="shared" si="99"/>
        <v>516</v>
      </c>
    </row>
    <row r="454" s="220" customFormat="1" ht="39" hidden="1" customHeight="1" spans="1:43">
      <c r="A454" s="367">
        <v>45929</v>
      </c>
      <c r="B454" s="368" t="s">
        <v>1043</v>
      </c>
      <c r="C454" s="220" t="s">
        <v>44</v>
      </c>
      <c r="D454" s="369">
        <v>4500180967</v>
      </c>
      <c r="E454" s="370" t="s">
        <v>1922</v>
      </c>
      <c r="F454" s="371" t="s">
        <v>1923</v>
      </c>
      <c r="G454" s="372" t="s">
        <v>148</v>
      </c>
      <c r="H454" s="373" t="s">
        <v>63</v>
      </c>
      <c r="I454" s="309">
        <v>662</v>
      </c>
      <c r="J454" s="309">
        <v>0</v>
      </c>
      <c r="K454" s="309">
        <v>2</v>
      </c>
      <c r="L454" s="309">
        <f t="shared" si="91"/>
        <v>331</v>
      </c>
      <c r="M454" s="383">
        <v>45973</v>
      </c>
      <c r="N454" s="383">
        <v>45969</v>
      </c>
      <c r="O454" s="383" t="s">
        <v>1924</v>
      </c>
      <c r="P454" s="384" t="s">
        <v>49</v>
      </c>
      <c r="Q454" s="383"/>
      <c r="R454" s="383"/>
      <c r="S454" s="390" t="s">
        <v>50</v>
      </c>
      <c r="T454" s="390">
        <v>45941</v>
      </c>
      <c r="U454" s="390" t="s">
        <v>50</v>
      </c>
      <c r="V454" s="383"/>
      <c r="W454" s="383"/>
      <c r="X454" s="391" t="s">
        <v>1925</v>
      </c>
      <c r="Y454" s="372" t="s">
        <v>1048</v>
      </c>
      <c r="Z454" s="401">
        <v>2.1702</v>
      </c>
      <c r="AA454" s="402">
        <f t="shared" si="104"/>
        <v>1436.6724</v>
      </c>
      <c r="AB454" s="371"/>
      <c r="AC454" s="403" t="s">
        <v>148</v>
      </c>
      <c r="AD454" s="220" t="s">
        <v>56</v>
      </c>
      <c r="AE454" s="309">
        <v>662</v>
      </c>
      <c r="AF454" s="309">
        <f t="shared" si="100"/>
        <v>0</v>
      </c>
      <c r="AI454" s="373" t="s">
        <v>57</v>
      </c>
      <c r="AJ454" s="309">
        <v>0</v>
      </c>
      <c r="AK454" s="373" t="s">
        <v>73</v>
      </c>
      <c r="AL454" s="411">
        <v>0</v>
      </c>
      <c r="AM454" s="371"/>
      <c r="AN454" s="251">
        <f t="shared" si="103"/>
        <v>662</v>
      </c>
      <c r="AO454" s="309">
        <f t="shared" si="96"/>
        <v>662</v>
      </c>
      <c r="AP454" s="309" t="b">
        <f t="shared" si="101"/>
        <v>0</v>
      </c>
      <c r="AQ454" s="309">
        <f t="shared" si="99"/>
        <v>662</v>
      </c>
    </row>
    <row r="455" s="220" customFormat="1" ht="39" customHeight="1" spans="1:43">
      <c r="A455" s="367">
        <v>45930</v>
      </c>
      <c r="B455" s="368" t="s">
        <v>1050</v>
      </c>
      <c r="C455" s="220" t="s">
        <v>44</v>
      </c>
      <c r="D455" s="371">
        <v>4500181018</v>
      </c>
      <c r="E455" s="370" t="s">
        <v>1926</v>
      </c>
      <c r="F455" s="371" t="s">
        <v>1927</v>
      </c>
      <c r="G455" s="372" t="s">
        <v>62</v>
      </c>
      <c r="H455" s="372" t="s">
        <v>63</v>
      </c>
      <c r="I455" s="371">
        <v>600</v>
      </c>
      <c r="J455" s="371">
        <v>0</v>
      </c>
      <c r="K455" s="371">
        <v>6</v>
      </c>
      <c r="L455" s="371">
        <f t="shared" si="91"/>
        <v>100</v>
      </c>
      <c r="M455" s="383">
        <v>45978</v>
      </c>
      <c r="N455" s="383">
        <v>45974</v>
      </c>
      <c r="O455" s="383"/>
      <c r="P455" s="384" t="s">
        <v>49</v>
      </c>
      <c r="Q455" s="383"/>
      <c r="R455" s="383"/>
      <c r="S455" s="390" t="s">
        <v>50</v>
      </c>
      <c r="T455" s="390">
        <v>45947</v>
      </c>
      <c r="U455" s="390" t="s">
        <v>50</v>
      </c>
      <c r="V455" s="383"/>
      <c r="W455" s="383"/>
      <c r="X455" s="391" t="s">
        <v>1053</v>
      </c>
      <c r="Y455" s="372" t="s">
        <v>1928</v>
      </c>
      <c r="Z455" s="404">
        <v>3.346</v>
      </c>
      <c r="AA455" s="405">
        <f t="shared" si="104"/>
        <v>2007.6</v>
      </c>
      <c r="AB455" s="371" t="s">
        <v>1929</v>
      </c>
      <c r="AC455" s="403" t="s">
        <v>62</v>
      </c>
      <c r="AD455" s="220" t="s">
        <v>56</v>
      </c>
      <c r="AE455" s="309">
        <f>I455</f>
        <v>600</v>
      </c>
      <c r="AF455" s="309">
        <f t="shared" si="100"/>
        <v>0</v>
      </c>
      <c r="AI455" s="373" t="s">
        <v>57</v>
      </c>
      <c r="AJ455" s="309">
        <v>0</v>
      </c>
      <c r="AK455" s="373" t="s">
        <v>73</v>
      </c>
      <c r="AL455" s="309">
        <v>0</v>
      </c>
      <c r="AM455" s="371"/>
      <c r="AN455" s="251">
        <f t="shared" si="103"/>
        <v>600</v>
      </c>
      <c r="AO455" s="309">
        <f t="shared" si="96"/>
        <v>600</v>
      </c>
      <c r="AP455" s="309" t="b">
        <f t="shared" si="101"/>
        <v>0</v>
      </c>
      <c r="AQ455" s="309">
        <f t="shared" si="99"/>
        <v>600</v>
      </c>
    </row>
    <row r="456" s="220" customFormat="1" ht="39" customHeight="1" spans="1:43">
      <c r="A456" s="367">
        <v>45928</v>
      </c>
      <c r="B456" s="368" t="s">
        <v>238</v>
      </c>
      <c r="C456" s="374" t="s">
        <v>239</v>
      </c>
      <c r="D456" s="371">
        <v>4500180575</v>
      </c>
      <c r="E456" s="370" t="s">
        <v>1930</v>
      </c>
      <c r="F456" s="371" t="s">
        <v>1931</v>
      </c>
      <c r="G456" s="372" t="s">
        <v>62</v>
      </c>
      <c r="H456" s="372" t="s">
        <v>63</v>
      </c>
      <c r="I456" s="371">
        <v>312</v>
      </c>
      <c r="J456" s="371">
        <v>0</v>
      </c>
      <c r="K456" s="371">
        <v>6</v>
      </c>
      <c r="L456" s="371">
        <f t="shared" si="91"/>
        <v>52</v>
      </c>
      <c r="M456" s="383">
        <v>45979</v>
      </c>
      <c r="N456" s="383">
        <v>45975</v>
      </c>
      <c r="O456" s="383"/>
      <c r="P456" s="384" t="s">
        <v>49</v>
      </c>
      <c r="Q456" s="383"/>
      <c r="R456" s="383"/>
      <c r="S456" s="392" t="s">
        <v>50</v>
      </c>
      <c r="T456" s="392">
        <v>45929</v>
      </c>
      <c r="U456" s="393" t="s">
        <v>1932</v>
      </c>
      <c r="V456" s="383" t="s">
        <v>1933</v>
      </c>
      <c r="W456" s="383"/>
      <c r="X456" s="391" t="s">
        <v>1934</v>
      </c>
      <c r="Y456" s="372" t="s">
        <v>836</v>
      </c>
      <c r="Z456" s="404">
        <v>3.5625</v>
      </c>
      <c r="AA456" s="405">
        <f t="shared" si="104"/>
        <v>1111.5</v>
      </c>
      <c r="AB456" s="306" t="s">
        <v>1935</v>
      </c>
      <c r="AC456" s="370" t="s">
        <v>858</v>
      </c>
      <c r="AD456" s="220" t="s">
        <v>56</v>
      </c>
      <c r="AE456" s="309">
        <f t="shared" ref="AE456:AE476" si="105">I456</f>
        <v>312</v>
      </c>
      <c r="AF456" s="309">
        <f t="shared" si="100"/>
        <v>0</v>
      </c>
      <c r="AI456" s="373" t="s">
        <v>72</v>
      </c>
      <c r="AJ456" s="309">
        <v>2</v>
      </c>
      <c r="AK456" s="373" t="s">
        <v>1936</v>
      </c>
      <c r="AL456" s="371">
        <v>1</v>
      </c>
      <c r="AM456" s="371"/>
      <c r="AN456" s="251">
        <f t="shared" si="103"/>
        <v>312</v>
      </c>
      <c r="AO456" s="309">
        <f t="shared" si="96"/>
        <v>0</v>
      </c>
      <c r="AP456" s="309">
        <f t="shared" si="101"/>
        <v>312</v>
      </c>
      <c r="AQ456" s="309">
        <f t="shared" si="99"/>
        <v>0</v>
      </c>
    </row>
    <row r="457" s="221" customFormat="1" ht="39" hidden="1" customHeight="1" spans="1:43">
      <c r="A457" s="375">
        <v>45956</v>
      </c>
      <c r="B457" s="376" t="s">
        <v>838</v>
      </c>
      <c r="C457" s="222" t="s">
        <v>44</v>
      </c>
      <c r="D457" s="377">
        <v>4500183179</v>
      </c>
      <c r="E457" s="481" t="s">
        <v>1937</v>
      </c>
      <c r="F457" s="377" t="s">
        <v>1938</v>
      </c>
      <c r="G457" s="379" t="s">
        <v>46</v>
      </c>
      <c r="H457" s="380" t="s">
        <v>47</v>
      </c>
      <c r="I457" s="306">
        <v>588</v>
      </c>
      <c r="J457" s="306">
        <v>0</v>
      </c>
      <c r="K457" s="306">
        <v>98</v>
      </c>
      <c r="L457" s="306">
        <f t="shared" si="91"/>
        <v>6</v>
      </c>
      <c r="M457" s="385">
        <v>45978</v>
      </c>
      <c r="N457" s="385">
        <v>45974</v>
      </c>
      <c r="O457" s="386" t="s">
        <v>1939</v>
      </c>
      <c r="P457" s="386" t="s">
        <v>49</v>
      </c>
      <c r="Q457" s="386"/>
      <c r="R457" s="386"/>
      <c r="S457" s="394" t="s">
        <v>50</v>
      </c>
      <c r="T457" s="395" t="s">
        <v>1135</v>
      </c>
      <c r="U457" s="396" t="s">
        <v>1940</v>
      </c>
      <c r="V457" s="387" t="s">
        <v>1941</v>
      </c>
      <c r="W457" s="386"/>
      <c r="X457" s="397" t="s">
        <v>1878</v>
      </c>
      <c r="Y457" s="379" t="s">
        <v>844</v>
      </c>
      <c r="Z457" s="406">
        <v>217.2267</v>
      </c>
      <c r="AA457" s="407">
        <f>Z457*L457</f>
        <v>1303.3602</v>
      </c>
      <c r="AB457" s="306"/>
      <c r="AC457" s="380" t="s">
        <v>46</v>
      </c>
      <c r="AD457" s="222" t="s">
        <v>56</v>
      </c>
      <c r="AE457" s="309">
        <f t="shared" si="105"/>
        <v>588</v>
      </c>
      <c r="AF457" s="306">
        <f t="shared" si="100"/>
        <v>0</v>
      </c>
      <c r="AI457" s="380" t="s">
        <v>57</v>
      </c>
      <c r="AJ457" s="306">
        <v>0</v>
      </c>
      <c r="AK457" s="380" t="s">
        <v>73</v>
      </c>
      <c r="AL457" s="306">
        <v>0</v>
      </c>
      <c r="AM457" s="306"/>
      <c r="AN457" s="251">
        <f t="shared" si="103"/>
        <v>588</v>
      </c>
      <c r="AO457" s="306">
        <f t="shared" si="96"/>
        <v>588</v>
      </c>
      <c r="AP457" s="306" t="b">
        <f t="shared" si="101"/>
        <v>0</v>
      </c>
      <c r="AQ457" s="306">
        <f t="shared" si="99"/>
        <v>588</v>
      </c>
    </row>
    <row r="458" s="222" customFormat="1" ht="39" customHeight="1" spans="1:43">
      <c r="A458" s="375">
        <v>45875</v>
      </c>
      <c r="B458" s="376" t="s">
        <v>923</v>
      </c>
      <c r="C458" s="222" t="s">
        <v>887</v>
      </c>
      <c r="D458" s="381">
        <v>4500175911</v>
      </c>
      <c r="E458" s="382"/>
      <c r="F458" s="377" t="s">
        <v>1942</v>
      </c>
      <c r="G458" s="379" t="s">
        <v>62</v>
      </c>
      <c r="H458" s="379" t="s">
        <v>63</v>
      </c>
      <c r="I458" s="377">
        <v>504</v>
      </c>
      <c r="J458" s="377">
        <v>0</v>
      </c>
      <c r="K458" s="377">
        <v>6</v>
      </c>
      <c r="L458" s="377">
        <f t="shared" si="91"/>
        <v>84</v>
      </c>
      <c r="M458" s="387">
        <v>45973</v>
      </c>
      <c r="N458" s="387">
        <v>45969</v>
      </c>
      <c r="O458" s="387"/>
      <c r="P458" s="386" t="s">
        <v>49</v>
      </c>
      <c r="Q458" s="387"/>
      <c r="R458" s="387" t="s">
        <v>871</v>
      </c>
      <c r="S458" s="395" t="s">
        <v>50</v>
      </c>
      <c r="T458" s="395">
        <v>45915</v>
      </c>
      <c r="U458" s="398" t="s">
        <v>1932</v>
      </c>
      <c r="V458" s="387" t="s">
        <v>1933</v>
      </c>
      <c r="W458" s="387"/>
      <c r="X458" s="397" t="s">
        <v>1943</v>
      </c>
      <c r="Y458" s="379" t="s">
        <v>836</v>
      </c>
      <c r="Z458" s="408">
        <v>3.346</v>
      </c>
      <c r="AA458" s="409">
        <f>I458*Z458</f>
        <v>1686.384</v>
      </c>
      <c r="AB458" s="377" t="s">
        <v>1944</v>
      </c>
      <c r="AC458" s="382" t="s">
        <v>858</v>
      </c>
      <c r="AD458" s="222" t="s">
        <v>56</v>
      </c>
      <c r="AE458" s="309">
        <f t="shared" si="105"/>
        <v>504</v>
      </c>
      <c r="AF458" s="306">
        <f t="shared" si="100"/>
        <v>0</v>
      </c>
      <c r="AI458" s="380" t="s">
        <v>72</v>
      </c>
      <c r="AJ458" s="306">
        <v>2</v>
      </c>
      <c r="AK458" s="380" t="s">
        <v>1936</v>
      </c>
      <c r="AL458" s="377">
        <v>1</v>
      </c>
      <c r="AM458" s="377"/>
      <c r="AN458" s="251">
        <f t="shared" si="103"/>
        <v>504</v>
      </c>
      <c r="AO458" s="306">
        <f t="shared" si="96"/>
        <v>0</v>
      </c>
      <c r="AP458" s="306">
        <f t="shared" si="101"/>
        <v>504</v>
      </c>
      <c r="AQ458" s="306">
        <f t="shared" si="99"/>
        <v>0</v>
      </c>
    </row>
    <row r="459" s="222" customFormat="1" ht="39" hidden="1" customHeight="1" spans="1:43">
      <c r="A459" s="375">
        <v>45944</v>
      </c>
      <c r="B459" s="376" t="s">
        <v>838</v>
      </c>
      <c r="C459" s="221" t="s">
        <v>44</v>
      </c>
      <c r="D459" s="377">
        <v>4500181902</v>
      </c>
      <c r="E459" s="382" t="s">
        <v>1945</v>
      </c>
      <c r="F459" s="377" t="s">
        <v>1946</v>
      </c>
      <c r="G459" s="379" t="s">
        <v>46</v>
      </c>
      <c r="H459" s="380" t="s">
        <v>47</v>
      </c>
      <c r="I459" s="306">
        <v>588</v>
      </c>
      <c r="J459" s="306">
        <v>0</v>
      </c>
      <c r="K459" s="306">
        <v>98</v>
      </c>
      <c r="L459" s="306">
        <f t="shared" si="91"/>
        <v>6</v>
      </c>
      <c r="M459" s="387">
        <v>45980</v>
      </c>
      <c r="N459" s="387">
        <v>45976</v>
      </c>
      <c r="O459" s="387" t="s">
        <v>1749</v>
      </c>
      <c r="P459" s="386" t="s">
        <v>49</v>
      </c>
      <c r="Q459" s="387"/>
      <c r="R459" s="387"/>
      <c r="S459" s="394" t="s">
        <v>50</v>
      </c>
      <c r="T459" s="395" t="s">
        <v>313</v>
      </c>
      <c r="U459" s="394" t="s">
        <v>50</v>
      </c>
      <c r="V459" s="387" t="s">
        <v>1853</v>
      </c>
      <c r="W459" s="387"/>
      <c r="X459" s="397" t="s">
        <v>1138</v>
      </c>
      <c r="Y459" s="379" t="s">
        <v>844</v>
      </c>
      <c r="Z459" s="406">
        <v>217.2267</v>
      </c>
      <c r="AA459" s="407">
        <f>Z459*L459</f>
        <v>1303.3602</v>
      </c>
      <c r="AB459" s="377"/>
      <c r="AC459" s="380" t="s">
        <v>46</v>
      </c>
      <c r="AD459" s="222" t="s">
        <v>56</v>
      </c>
      <c r="AE459" s="309">
        <f t="shared" si="105"/>
        <v>588</v>
      </c>
      <c r="AF459" s="306">
        <f t="shared" si="100"/>
        <v>0</v>
      </c>
      <c r="AI459" s="380" t="s">
        <v>57</v>
      </c>
      <c r="AJ459" s="306">
        <v>0</v>
      </c>
      <c r="AK459" s="380" t="s">
        <v>73</v>
      </c>
      <c r="AL459" s="306">
        <v>0</v>
      </c>
      <c r="AM459" s="377"/>
      <c r="AN459" s="251">
        <f t="shared" si="103"/>
        <v>588</v>
      </c>
      <c r="AO459" s="306">
        <f t="shared" si="96"/>
        <v>588</v>
      </c>
      <c r="AP459" s="306" t="b">
        <f t="shared" si="101"/>
        <v>0</v>
      </c>
      <c r="AQ459" s="306">
        <f t="shared" si="99"/>
        <v>588</v>
      </c>
    </row>
    <row r="460" s="222" customFormat="1" ht="39" customHeight="1" spans="1:43">
      <c r="A460" s="375">
        <v>45945</v>
      </c>
      <c r="B460" s="376" t="s">
        <v>1947</v>
      </c>
      <c r="C460" s="221" t="s">
        <v>833</v>
      </c>
      <c r="D460" s="377">
        <v>4500181980</v>
      </c>
      <c r="E460" s="382">
        <v>20119</v>
      </c>
      <c r="F460" s="377" t="s">
        <v>1948</v>
      </c>
      <c r="G460" s="379" t="s">
        <v>62</v>
      </c>
      <c r="H460" s="379" t="s">
        <v>63</v>
      </c>
      <c r="I460" s="377">
        <v>300</v>
      </c>
      <c r="J460" s="377">
        <v>0</v>
      </c>
      <c r="K460" s="377">
        <v>6</v>
      </c>
      <c r="L460" s="377">
        <f>I460/K460</f>
        <v>50</v>
      </c>
      <c r="M460" s="387">
        <v>45981</v>
      </c>
      <c r="N460" s="387">
        <v>45978</v>
      </c>
      <c r="O460" s="387"/>
      <c r="P460" s="386" t="s">
        <v>49</v>
      </c>
      <c r="Q460" s="387"/>
      <c r="R460" s="387"/>
      <c r="S460" s="394" t="s">
        <v>50</v>
      </c>
      <c r="T460" s="395">
        <v>45945</v>
      </c>
      <c r="U460" s="394" t="s">
        <v>50</v>
      </c>
      <c r="V460" s="387"/>
      <c r="W460" s="387"/>
      <c r="X460" s="397" t="s">
        <v>1949</v>
      </c>
      <c r="Y460" s="379" t="s">
        <v>597</v>
      </c>
      <c r="Z460" s="408">
        <v>3.5625</v>
      </c>
      <c r="AA460" s="409">
        <f t="shared" ref="AA460:AA470" si="106">I460*Z460</f>
        <v>1068.75</v>
      </c>
      <c r="AB460" s="377" t="s">
        <v>1950</v>
      </c>
      <c r="AC460" s="382" t="s">
        <v>858</v>
      </c>
      <c r="AD460" s="222" t="s">
        <v>56</v>
      </c>
      <c r="AE460" s="309">
        <f t="shared" si="105"/>
        <v>300</v>
      </c>
      <c r="AF460" s="306">
        <f t="shared" si="100"/>
        <v>0</v>
      </c>
      <c r="AI460" s="380" t="s">
        <v>72</v>
      </c>
      <c r="AJ460" s="306">
        <v>2</v>
      </c>
      <c r="AK460" s="380" t="s">
        <v>1936</v>
      </c>
      <c r="AL460" s="306">
        <v>1</v>
      </c>
      <c r="AM460" s="377"/>
      <c r="AN460" s="251">
        <f t="shared" si="103"/>
        <v>300</v>
      </c>
      <c r="AO460" s="306">
        <f t="shared" si="96"/>
        <v>0</v>
      </c>
      <c r="AP460" s="306">
        <f t="shared" si="101"/>
        <v>300</v>
      </c>
      <c r="AQ460" s="306">
        <f t="shared" si="99"/>
        <v>0</v>
      </c>
    </row>
    <row r="461" s="222" customFormat="1" ht="39" hidden="1" customHeight="1" spans="1:43">
      <c r="A461" s="375">
        <v>45946</v>
      </c>
      <c r="B461" s="376" t="s">
        <v>145</v>
      </c>
      <c r="C461" s="222" t="s">
        <v>44</v>
      </c>
      <c r="D461" s="377">
        <v>4500182080</v>
      </c>
      <c r="E461" s="382" t="s">
        <v>1951</v>
      </c>
      <c r="F461" s="377" t="s">
        <v>1952</v>
      </c>
      <c r="G461" s="379" t="s">
        <v>148</v>
      </c>
      <c r="H461" s="380" t="s">
        <v>63</v>
      </c>
      <c r="I461" s="306">
        <v>534</v>
      </c>
      <c r="J461" s="306">
        <v>0</v>
      </c>
      <c r="K461" s="306">
        <v>2</v>
      </c>
      <c r="L461" s="306">
        <f>I461/K461</f>
        <v>267</v>
      </c>
      <c r="M461" s="387">
        <v>45985</v>
      </c>
      <c r="N461" s="387">
        <v>45981</v>
      </c>
      <c r="O461" s="387"/>
      <c r="P461" s="386" t="s">
        <v>49</v>
      </c>
      <c r="Q461" s="387"/>
      <c r="R461" s="387"/>
      <c r="S461" s="394" t="s">
        <v>50</v>
      </c>
      <c r="T461" s="395">
        <v>45946</v>
      </c>
      <c r="U461" s="394" t="s">
        <v>50</v>
      </c>
      <c r="V461" s="387"/>
      <c r="W461" s="387"/>
      <c r="X461" s="397" t="s">
        <v>1953</v>
      </c>
      <c r="Y461" s="379" t="s">
        <v>1534</v>
      </c>
      <c r="Z461" s="406">
        <v>2.1702</v>
      </c>
      <c r="AA461" s="407">
        <f t="shared" si="106"/>
        <v>1158.8868</v>
      </c>
      <c r="AB461" s="377"/>
      <c r="AC461" s="410" t="s">
        <v>148</v>
      </c>
      <c r="AD461" s="222" t="s">
        <v>56</v>
      </c>
      <c r="AE461" s="309">
        <f t="shared" si="105"/>
        <v>534</v>
      </c>
      <c r="AF461" s="306">
        <f t="shared" si="100"/>
        <v>0</v>
      </c>
      <c r="AI461" s="380" t="s">
        <v>57</v>
      </c>
      <c r="AJ461" s="306">
        <v>0</v>
      </c>
      <c r="AK461" s="380" t="s">
        <v>73</v>
      </c>
      <c r="AL461" s="306">
        <v>0</v>
      </c>
      <c r="AM461" s="377"/>
      <c r="AN461" s="251">
        <f t="shared" si="103"/>
        <v>534</v>
      </c>
      <c r="AO461" s="306">
        <f t="shared" si="96"/>
        <v>534</v>
      </c>
      <c r="AP461" s="306" t="b">
        <f t="shared" si="101"/>
        <v>0</v>
      </c>
      <c r="AQ461" s="306">
        <f t="shared" si="99"/>
        <v>534</v>
      </c>
    </row>
    <row r="462" s="222" customFormat="1" ht="39" hidden="1" customHeight="1" spans="1:43">
      <c r="A462" s="375">
        <v>45946</v>
      </c>
      <c r="B462" s="376" t="s">
        <v>145</v>
      </c>
      <c r="C462" s="222" t="s">
        <v>44</v>
      </c>
      <c r="D462" s="377">
        <v>4500182080</v>
      </c>
      <c r="E462" s="382" t="s">
        <v>1954</v>
      </c>
      <c r="F462" s="377" t="s">
        <v>1955</v>
      </c>
      <c r="G462" s="379" t="s">
        <v>148</v>
      </c>
      <c r="H462" s="380" t="s">
        <v>63</v>
      </c>
      <c r="I462" s="306">
        <v>534</v>
      </c>
      <c r="J462" s="306">
        <v>0</v>
      </c>
      <c r="K462" s="306">
        <v>2</v>
      </c>
      <c r="L462" s="306">
        <f>I462/K462</f>
        <v>267</v>
      </c>
      <c r="M462" s="387">
        <v>45985</v>
      </c>
      <c r="N462" s="387">
        <v>45981</v>
      </c>
      <c r="O462" s="387"/>
      <c r="P462" s="386" t="s">
        <v>49</v>
      </c>
      <c r="Q462" s="387"/>
      <c r="R462" s="387"/>
      <c r="S462" s="394" t="s">
        <v>50</v>
      </c>
      <c r="T462" s="395">
        <v>45946</v>
      </c>
      <c r="U462" s="394" t="s">
        <v>50</v>
      </c>
      <c r="V462" s="387"/>
      <c r="W462" s="387"/>
      <c r="X462" s="397" t="s">
        <v>1953</v>
      </c>
      <c r="Y462" s="379" t="s">
        <v>1534</v>
      </c>
      <c r="Z462" s="406">
        <v>2.1702</v>
      </c>
      <c r="AA462" s="407">
        <f t="shared" si="106"/>
        <v>1158.8868</v>
      </c>
      <c r="AB462" s="377"/>
      <c r="AC462" s="410" t="s">
        <v>148</v>
      </c>
      <c r="AD462" s="222" t="s">
        <v>56</v>
      </c>
      <c r="AE462" s="309">
        <f t="shared" si="105"/>
        <v>534</v>
      </c>
      <c r="AF462" s="306">
        <f t="shared" si="100"/>
        <v>0</v>
      </c>
      <c r="AI462" s="380" t="s">
        <v>57</v>
      </c>
      <c r="AJ462" s="306">
        <v>0</v>
      </c>
      <c r="AK462" s="380" t="s">
        <v>73</v>
      </c>
      <c r="AL462" s="306">
        <v>0</v>
      </c>
      <c r="AM462" s="377"/>
      <c r="AN462" s="251">
        <f t="shared" si="103"/>
        <v>534</v>
      </c>
      <c r="AO462" s="306">
        <f t="shared" si="96"/>
        <v>534</v>
      </c>
      <c r="AP462" s="306" t="b">
        <f t="shared" si="101"/>
        <v>0</v>
      </c>
      <c r="AQ462" s="306">
        <f t="shared" si="99"/>
        <v>534</v>
      </c>
    </row>
    <row r="463" s="222" customFormat="1" ht="39" hidden="1" customHeight="1" spans="1:43">
      <c r="A463" s="375">
        <v>45946</v>
      </c>
      <c r="B463" s="376" t="s">
        <v>145</v>
      </c>
      <c r="C463" s="222" t="s">
        <v>44</v>
      </c>
      <c r="D463" s="377">
        <v>4500182080</v>
      </c>
      <c r="E463" s="382" t="s">
        <v>1956</v>
      </c>
      <c r="F463" s="377" t="s">
        <v>1957</v>
      </c>
      <c r="G463" s="379" t="s">
        <v>148</v>
      </c>
      <c r="H463" s="380" t="s">
        <v>63</v>
      </c>
      <c r="I463" s="306">
        <v>534</v>
      </c>
      <c r="J463" s="306">
        <v>0</v>
      </c>
      <c r="K463" s="306">
        <v>2</v>
      </c>
      <c r="L463" s="306">
        <f t="shared" ref="L463:L484" si="107">I463/K463</f>
        <v>267</v>
      </c>
      <c r="M463" s="387">
        <v>45985</v>
      </c>
      <c r="N463" s="387">
        <v>45981</v>
      </c>
      <c r="O463" s="387"/>
      <c r="P463" s="386" t="s">
        <v>49</v>
      </c>
      <c r="Q463" s="387"/>
      <c r="R463" s="387"/>
      <c r="S463" s="394" t="s">
        <v>50</v>
      </c>
      <c r="T463" s="395">
        <v>45946</v>
      </c>
      <c r="U463" s="394" t="s">
        <v>50</v>
      </c>
      <c r="V463" s="387"/>
      <c r="W463" s="387"/>
      <c r="X463" s="397" t="s">
        <v>1953</v>
      </c>
      <c r="Y463" s="379" t="s">
        <v>1534</v>
      </c>
      <c r="Z463" s="406">
        <v>2.1702</v>
      </c>
      <c r="AA463" s="407">
        <f t="shared" si="106"/>
        <v>1158.8868</v>
      </c>
      <c r="AB463" s="377"/>
      <c r="AC463" s="410" t="s">
        <v>148</v>
      </c>
      <c r="AD463" s="222" t="s">
        <v>56</v>
      </c>
      <c r="AE463" s="309">
        <f t="shared" si="105"/>
        <v>534</v>
      </c>
      <c r="AF463" s="306">
        <f t="shared" si="100"/>
        <v>0</v>
      </c>
      <c r="AI463" s="380" t="s">
        <v>57</v>
      </c>
      <c r="AJ463" s="306">
        <v>0</v>
      </c>
      <c r="AK463" s="380" t="s">
        <v>73</v>
      </c>
      <c r="AL463" s="306">
        <v>0</v>
      </c>
      <c r="AM463" s="377"/>
      <c r="AN463" s="251">
        <f t="shared" si="103"/>
        <v>534</v>
      </c>
      <c r="AO463" s="306">
        <f t="shared" si="96"/>
        <v>534</v>
      </c>
      <c r="AP463" s="306" t="b">
        <f t="shared" si="101"/>
        <v>0</v>
      </c>
      <c r="AQ463" s="306">
        <f t="shared" si="99"/>
        <v>534</v>
      </c>
    </row>
    <row r="464" s="222" customFormat="1" ht="39" hidden="1" customHeight="1" spans="1:43">
      <c r="A464" s="375">
        <v>45946</v>
      </c>
      <c r="B464" s="376" t="s">
        <v>145</v>
      </c>
      <c r="C464" s="222" t="s">
        <v>44</v>
      </c>
      <c r="D464" s="377">
        <v>4500182080</v>
      </c>
      <c r="E464" s="382" t="s">
        <v>1958</v>
      </c>
      <c r="F464" s="377" t="s">
        <v>1959</v>
      </c>
      <c r="G464" s="379" t="s">
        <v>148</v>
      </c>
      <c r="H464" s="380" t="s">
        <v>63</v>
      </c>
      <c r="I464" s="306">
        <v>534</v>
      </c>
      <c r="J464" s="306">
        <v>0</v>
      </c>
      <c r="K464" s="306">
        <v>2</v>
      </c>
      <c r="L464" s="306">
        <f t="shared" si="107"/>
        <v>267</v>
      </c>
      <c r="M464" s="387">
        <v>45985</v>
      </c>
      <c r="N464" s="387">
        <v>45981</v>
      </c>
      <c r="O464" s="387"/>
      <c r="P464" s="386" t="s">
        <v>49</v>
      </c>
      <c r="Q464" s="387"/>
      <c r="R464" s="387"/>
      <c r="S464" s="394" t="s">
        <v>50</v>
      </c>
      <c r="T464" s="395">
        <v>45946</v>
      </c>
      <c r="U464" s="394" t="s">
        <v>50</v>
      </c>
      <c r="V464" s="387"/>
      <c r="W464" s="387"/>
      <c r="X464" s="397" t="s">
        <v>1953</v>
      </c>
      <c r="Y464" s="379" t="s">
        <v>1534</v>
      </c>
      <c r="Z464" s="406">
        <v>2.1702</v>
      </c>
      <c r="AA464" s="407">
        <f t="shared" si="106"/>
        <v>1158.8868</v>
      </c>
      <c r="AB464" s="377"/>
      <c r="AC464" s="410" t="s">
        <v>148</v>
      </c>
      <c r="AD464" s="222" t="s">
        <v>56</v>
      </c>
      <c r="AE464" s="309">
        <f t="shared" si="105"/>
        <v>534</v>
      </c>
      <c r="AF464" s="306">
        <f t="shared" si="100"/>
        <v>0</v>
      </c>
      <c r="AI464" s="380" t="s">
        <v>57</v>
      </c>
      <c r="AJ464" s="306">
        <v>0</v>
      </c>
      <c r="AK464" s="380" t="s">
        <v>73</v>
      </c>
      <c r="AL464" s="306">
        <v>0</v>
      </c>
      <c r="AM464" s="377"/>
      <c r="AN464" s="251">
        <f t="shared" si="103"/>
        <v>534</v>
      </c>
      <c r="AO464" s="306">
        <f t="shared" si="96"/>
        <v>534</v>
      </c>
      <c r="AP464" s="306" t="b">
        <f t="shared" si="101"/>
        <v>0</v>
      </c>
      <c r="AQ464" s="306">
        <f t="shared" si="99"/>
        <v>534</v>
      </c>
    </row>
    <row r="465" s="222" customFormat="1" ht="39" customHeight="1" spans="1:43">
      <c r="A465" s="375">
        <v>45952</v>
      </c>
      <c r="B465" s="376" t="s">
        <v>300</v>
      </c>
      <c r="C465" s="222" t="s">
        <v>301</v>
      </c>
      <c r="D465" s="377">
        <v>4500182634</v>
      </c>
      <c r="E465" s="382">
        <v>56571</v>
      </c>
      <c r="F465" s="377" t="s">
        <v>1960</v>
      </c>
      <c r="G465" s="379" t="s">
        <v>62</v>
      </c>
      <c r="H465" s="379" t="s">
        <v>63</v>
      </c>
      <c r="I465" s="377">
        <v>1002</v>
      </c>
      <c r="J465" s="377">
        <v>0</v>
      </c>
      <c r="K465" s="377">
        <v>6</v>
      </c>
      <c r="L465" s="377">
        <f t="shared" si="107"/>
        <v>167</v>
      </c>
      <c r="M465" s="387">
        <v>45989</v>
      </c>
      <c r="N465" s="387">
        <v>45985</v>
      </c>
      <c r="O465" s="387"/>
      <c r="P465" s="386" t="s">
        <v>49</v>
      </c>
      <c r="Q465" s="387"/>
      <c r="R465" s="387"/>
      <c r="S465" s="394" t="s">
        <v>50</v>
      </c>
      <c r="T465" s="395">
        <v>45975</v>
      </c>
      <c r="U465" s="394" t="s">
        <v>1961</v>
      </c>
      <c r="V465" s="387"/>
      <c r="W465" s="387"/>
      <c r="X465" s="399" t="s">
        <v>1962</v>
      </c>
      <c r="Y465" s="379" t="s">
        <v>1963</v>
      </c>
      <c r="Z465" s="408">
        <v>3.5366</v>
      </c>
      <c r="AA465" s="409">
        <f t="shared" si="106"/>
        <v>3543.6732</v>
      </c>
      <c r="AB465" s="377"/>
      <c r="AC465" s="410" t="s">
        <v>62</v>
      </c>
      <c r="AD465" s="222" t="s">
        <v>56</v>
      </c>
      <c r="AE465" s="309">
        <f t="shared" si="105"/>
        <v>1002</v>
      </c>
      <c r="AF465" s="306">
        <f t="shared" si="100"/>
        <v>0</v>
      </c>
      <c r="AI465" s="380" t="s">
        <v>57</v>
      </c>
      <c r="AJ465" s="306">
        <v>0</v>
      </c>
      <c r="AK465" s="380" t="s">
        <v>73</v>
      </c>
      <c r="AL465" s="306">
        <v>0</v>
      </c>
      <c r="AM465" s="377"/>
      <c r="AN465" s="306">
        <f t="shared" si="103"/>
        <v>1002</v>
      </c>
      <c r="AO465" s="306">
        <f t="shared" si="96"/>
        <v>1002</v>
      </c>
      <c r="AP465" s="306" t="b">
        <f t="shared" si="101"/>
        <v>0</v>
      </c>
      <c r="AQ465" s="306">
        <f t="shared" si="99"/>
        <v>1002</v>
      </c>
    </row>
    <row r="466" s="222" customFormat="1" ht="39" customHeight="1" spans="1:43">
      <c r="A466" s="375">
        <v>45947</v>
      </c>
      <c r="B466" s="376" t="s">
        <v>881</v>
      </c>
      <c r="C466" s="222" t="s">
        <v>157</v>
      </c>
      <c r="D466" s="377">
        <v>4500181881</v>
      </c>
      <c r="E466" s="382"/>
      <c r="F466" s="377" t="s">
        <v>1964</v>
      </c>
      <c r="G466" s="379" t="s">
        <v>62</v>
      </c>
      <c r="H466" s="379" t="s">
        <v>63</v>
      </c>
      <c r="I466" s="377">
        <v>354</v>
      </c>
      <c r="J466" s="377">
        <v>0</v>
      </c>
      <c r="K466" s="377">
        <v>6</v>
      </c>
      <c r="L466" s="377">
        <f t="shared" si="107"/>
        <v>59</v>
      </c>
      <c r="M466" s="387">
        <v>45991</v>
      </c>
      <c r="N466" s="387">
        <v>45987</v>
      </c>
      <c r="O466" s="387"/>
      <c r="P466" s="386" t="s">
        <v>49</v>
      </c>
      <c r="Q466" s="387"/>
      <c r="R466" s="387"/>
      <c r="S466" s="394" t="s">
        <v>50</v>
      </c>
      <c r="T466" s="395">
        <v>45950</v>
      </c>
      <c r="U466" s="394" t="s">
        <v>1965</v>
      </c>
      <c r="V466" s="387"/>
      <c r="W466" s="387"/>
      <c r="X466" s="399" t="s">
        <v>1966</v>
      </c>
      <c r="Y466" s="379" t="s">
        <v>884</v>
      </c>
      <c r="Z466" s="408">
        <v>3.5629</v>
      </c>
      <c r="AA466" s="409">
        <f t="shared" si="106"/>
        <v>1261.2666</v>
      </c>
      <c r="AB466" s="377" t="s">
        <v>1967</v>
      </c>
      <c r="AC466" s="410" t="s">
        <v>62</v>
      </c>
      <c r="AD466" s="222" t="s">
        <v>56</v>
      </c>
      <c r="AE466" s="309">
        <f t="shared" si="105"/>
        <v>354</v>
      </c>
      <c r="AF466" s="306">
        <f t="shared" si="100"/>
        <v>0</v>
      </c>
      <c r="AI466" s="380" t="s">
        <v>57</v>
      </c>
      <c r="AJ466" s="306">
        <v>0</v>
      </c>
      <c r="AK466" s="380" t="s">
        <v>73</v>
      </c>
      <c r="AL466" s="306">
        <v>0</v>
      </c>
      <c r="AM466" s="377"/>
      <c r="AN466" s="306">
        <f t="shared" si="103"/>
        <v>354</v>
      </c>
      <c r="AO466" s="306">
        <f t="shared" si="96"/>
        <v>354</v>
      </c>
      <c r="AP466" s="306" t="b">
        <f t="shared" si="101"/>
        <v>0</v>
      </c>
      <c r="AQ466" s="306">
        <f t="shared" si="99"/>
        <v>354</v>
      </c>
    </row>
    <row r="467" s="222" customFormat="1" ht="39" customHeight="1" spans="1:43">
      <c r="A467" s="375">
        <v>45959</v>
      </c>
      <c r="B467" s="376" t="s">
        <v>1968</v>
      </c>
      <c r="C467" s="222" t="s">
        <v>44</v>
      </c>
      <c r="D467" s="377">
        <v>4500182883</v>
      </c>
      <c r="E467" s="382" t="s">
        <v>1969</v>
      </c>
      <c r="F467" s="377" t="s">
        <v>1970</v>
      </c>
      <c r="G467" s="379" t="s">
        <v>62</v>
      </c>
      <c r="H467" s="379" t="s">
        <v>63</v>
      </c>
      <c r="I467" s="377">
        <v>144</v>
      </c>
      <c r="J467" s="377">
        <v>0</v>
      </c>
      <c r="K467" s="377">
        <v>6</v>
      </c>
      <c r="L467" s="377">
        <f t="shared" si="107"/>
        <v>24</v>
      </c>
      <c r="M467" s="387">
        <v>45992</v>
      </c>
      <c r="N467" s="387">
        <f>M467-4</f>
        <v>45988</v>
      </c>
      <c r="O467" s="387"/>
      <c r="P467" s="386" t="s">
        <v>49</v>
      </c>
      <c r="Q467" s="387"/>
      <c r="R467" s="387"/>
      <c r="S467" s="394" t="s">
        <v>50</v>
      </c>
      <c r="T467" s="395">
        <v>45967</v>
      </c>
      <c r="U467" s="394" t="s">
        <v>50</v>
      </c>
      <c r="V467" s="387"/>
      <c r="W467" s="387"/>
      <c r="X467" s="399" t="s">
        <v>992</v>
      </c>
      <c r="Y467" s="379" t="s">
        <v>87</v>
      </c>
      <c r="Z467" s="408">
        <v>2.1375</v>
      </c>
      <c r="AA467" s="409">
        <f t="shared" si="106"/>
        <v>307.8</v>
      </c>
      <c r="AB467" s="377"/>
      <c r="AC467" s="410" t="s">
        <v>62</v>
      </c>
      <c r="AD467" s="222" t="s">
        <v>56</v>
      </c>
      <c r="AE467" s="309">
        <f t="shared" si="105"/>
        <v>144</v>
      </c>
      <c r="AF467" s="306">
        <f t="shared" si="100"/>
        <v>0</v>
      </c>
      <c r="AI467" s="380" t="s">
        <v>57</v>
      </c>
      <c r="AJ467" s="306">
        <v>0</v>
      </c>
      <c r="AK467" s="380" t="s">
        <v>73</v>
      </c>
      <c r="AL467" s="306">
        <v>0</v>
      </c>
      <c r="AM467" s="377"/>
      <c r="AN467" s="306">
        <f t="shared" si="103"/>
        <v>144</v>
      </c>
      <c r="AO467" s="306">
        <f t="shared" si="96"/>
        <v>144</v>
      </c>
      <c r="AP467" s="306" t="b">
        <f t="shared" si="101"/>
        <v>0</v>
      </c>
      <c r="AQ467" s="306">
        <f t="shared" si="99"/>
        <v>144</v>
      </c>
    </row>
    <row r="468" s="222" customFormat="1" ht="39" customHeight="1" spans="1:43">
      <c r="A468" s="375">
        <v>45959</v>
      </c>
      <c r="B468" s="376" t="s">
        <v>1968</v>
      </c>
      <c r="C468" s="222" t="s">
        <v>44</v>
      </c>
      <c r="D468" s="377">
        <v>4500182883</v>
      </c>
      <c r="E468" s="382" t="s">
        <v>1971</v>
      </c>
      <c r="F468" s="377" t="s">
        <v>1972</v>
      </c>
      <c r="G468" s="379" t="s">
        <v>62</v>
      </c>
      <c r="H468" s="379" t="s">
        <v>63</v>
      </c>
      <c r="I468" s="377">
        <v>60</v>
      </c>
      <c r="J468" s="377">
        <v>0</v>
      </c>
      <c r="K468" s="377">
        <v>6</v>
      </c>
      <c r="L468" s="377">
        <f t="shared" si="107"/>
        <v>10</v>
      </c>
      <c r="M468" s="387">
        <v>45992</v>
      </c>
      <c r="N468" s="387">
        <f>M468-4</f>
        <v>45988</v>
      </c>
      <c r="O468" s="387"/>
      <c r="P468" s="386" t="s">
        <v>49</v>
      </c>
      <c r="Q468" s="387" t="s">
        <v>1973</v>
      </c>
      <c r="R468" s="387"/>
      <c r="S468" s="394" t="s">
        <v>50</v>
      </c>
      <c r="T468" s="395">
        <v>45971</v>
      </c>
      <c r="U468" s="394" t="s">
        <v>50</v>
      </c>
      <c r="V468" s="387"/>
      <c r="W468" s="387"/>
      <c r="X468" s="399" t="s">
        <v>992</v>
      </c>
      <c r="Y468" s="379" t="s">
        <v>87</v>
      </c>
      <c r="Z468" s="408">
        <v>2.1375</v>
      </c>
      <c r="AA468" s="409">
        <f t="shared" si="106"/>
        <v>128.25</v>
      </c>
      <c r="AB468" s="377"/>
      <c r="AC468" s="410" t="s">
        <v>62</v>
      </c>
      <c r="AD468" s="222" t="s">
        <v>56</v>
      </c>
      <c r="AE468" s="309">
        <f t="shared" si="105"/>
        <v>60</v>
      </c>
      <c r="AF468" s="306">
        <f t="shared" si="100"/>
        <v>0</v>
      </c>
      <c r="AI468" s="380" t="s">
        <v>57</v>
      </c>
      <c r="AJ468" s="306">
        <v>0</v>
      </c>
      <c r="AK468" s="380" t="s">
        <v>73</v>
      </c>
      <c r="AL468" s="306">
        <v>0</v>
      </c>
      <c r="AM468" s="377"/>
      <c r="AN468" s="306">
        <f t="shared" si="103"/>
        <v>60</v>
      </c>
      <c r="AO468" s="306">
        <f t="shared" si="96"/>
        <v>60</v>
      </c>
      <c r="AP468" s="306" t="b">
        <f t="shared" si="101"/>
        <v>0</v>
      </c>
      <c r="AQ468" s="306">
        <f t="shared" si="99"/>
        <v>60</v>
      </c>
    </row>
    <row r="469" s="222" customFormat="1" ht="39" hidden="1" customHeight="1" spans="1:43">
      <c r="A469" s="375">
        <v>45956</v>
      </c>
      <c r="B469" s="376" t="s">
        <v>838</v>
      </c>
      <c r="C469" s="222" t="s">
        <v>44</v>
      </c>
      <c r="D469" s="377">
        <v>4500183179</v>
      </c>
      <c r="E469" s="482" t="s">
        <v>1974</v>
      </c>
      <c r="F469" s="377" t="s">
        <v>1975</v>
      </c>
      <c r="G469" s="379" t="s">
        <v>46</v>
      </c>
      <c r="H469" s="379" t="s">
        <v>47</v>
      </c>
      <c r="I469" s="377">
        <v>784</v>
      </c>
      <c r="J469" s="377">
        <v>0</v>
      </c>
      <c r="K469" s="377">
        <v>98</v>
      </c>
      <c r="L469" s="377">
        <f t="shared" si="107"/>
        <v>8</v>
      </c>
      <c r="M469" s="387">
        <v>45995</v>
      </c>
      <c r="N469" s="387">
        <v>45992</v>
      </c>
      <c r="O469" s="387" t="s">
        <v>1976</v>
      </c>
      <c r="P469" s="386" t="s">
        <v>49</v>
      </c>
      <c r="Q469" s="387"/>
      <c r="R469" s="387"/>
      <c r="S469" s="394" t="s">
        <v>50</v>
      </c>
      <c r="T469" s="395" t="s">
        <v>1135</v>
      </c>
      <c r="U469" s="400" t="s">
        <v>1940</v>
      </c>
      <c r="V469" s="387" t="s">
        <v>1941</v>
      </c>
      <c r="W469" s="387"/>
      <c r="X469" s="399" t="s">
        <v>1878</v>
      </c>
      <c r="Y469" s="379" t="s">
        <v>844</v>
      </c>
      <c r="Z469" s="408">
        <v>217.2267</v>
      </c>
      <c r="AA469" s="409">
        <f>Z469*L469</f>
        <v>1737.8136</v>
      </c>
      <c r="AB469" s="377"/>
      <c r="AC469" s="410" t="s">
        <v>46</v>
      </c>
      <c r="AD469" s="222" t="s">
        <v>56</v>
      </c>
      <c r="AE469" s="309">
        <f t="shared" si="105"/>
        <v>784</v>
      </c>
      <c r="AF469" s="306">
        <f t="shared" si="100"/>
        <v>0</v>
      </c>
      <c r="AI469" s="380" t="s">
        <v>57</v>
      </c>
      <c r="AJ469" s="306">
        <v>0</v>
      </c>
      <c r="AK469" s="380" t="s">
        <v>73</v>
      </c>
      <c r="AL469" s="306">
        <v>0</v>
      </c>
      <c r="AM469" s="377"/>
      <c r="AN469" s="306">
        <f t="shared" si="103"/>
        <v>784</v>
      </c>
      <c r="AO469" s="306">
        <f t="shared" si="96"/>
        <v>784</v>
      </c>
      <c r="AP469" s="306" t="b">
        <f t="shared" si="101"/>
        <v>0</v>
      </c>
      <c r="AQ469" s="306">
        <f t="shared" si="99"/>
        <v>784</v>
      </c>
    </row>
    <row r="470" s="222" customFormat="1" ht="39" hidden="1" customHeight="1" spans="1:43">
      <c r="A470" s="375">
        <v>45956</v>
      </c>
      <c r="B470" s="376" t="s">
        <v>838</v>
      </c>
      <c r="C470" s="222" t="s">
        <v>44</v>
      </c>
      <c r="D470" s="377">
        <v>4500183179</v>
      </c>
      <c r="E470" s="482" t="s">
        <v>1977</v>
      </c>
      <c r="F470" s="377" t="s">
        <v>1978</v>
      </c>
      <c r="G470" s="379" t="s">
        <v>46</v>
      </c>
      <c r="H470" s="379" t="s">
        <v>47</v>
      </c>
      <c r="I470" s="377">
        <v>588</v>
      </c>
      <c r="J470" s="377">
        <v>0</v>
      </c>
      <c r="K470" s="377">
        <v>98</v>
      </c>
      <c r="L470" s="377">
        <f t="shared" si="107"/>
        <v>6</v>
      </c>
      <c r="M470" s="387">
        <v>45995</v>
      </c>
      <c r="N470" s="387">
        <v>45992</v>
      </c>
      <c r="O470" s="387" t="s">
        <v>1976</v>
      </c>
      <c r="P470" s="386" t="s">
        <v>49</v>
      </c>
      <c r="Q470" s="387"/>
      <c r="R470" s="387"/>
      <c r="S470" s="394" t="s">
        <v>50</v>
      </c>
      <c r="T470" s="395" t="s">
        <v>1135</v>
      </c>
      <c r="U470" s="400" t="s">
        <v>1940</v>
      </c>
      <c r="V470" s="387" t="s">
        <v>1941</v>
      </c>
      <c r="W470" s="387"/>
      <c r="X470" s="399" t="s">
        <v>1878</v>
      </c>
      <c r="Y470" s="379" t="s">
        <v>844</v>
      </c>
      <c r="Z470" s="408">
        <v>217.2267</v>
      </c>
      <c r="AA470" s="409">
        <f>Z470*L470</f>
        <v>1303.3602</v>
      </c>
      <c r="AB470" s="377"/>
      <c r="AC470" s="410" t="s">
        <v>46</v>
      </c>
      <c r="AD470" s="222" t="s">
        <v>56</v>
      </c>
      <c r="AE470" s="309">
        <f t="shared" si="105"/>
        <v>588</v>
      </c>
      <c r="AF470" s="306">
        <f t="shared" si="100"/>
        <v>0</v>
      </c>
      <c r="AI470" s="380" t="s">
        <v>57</v>
      </c>
      <c r="AJ470" s="306">
        <v>0</v>
      </c>
      <c r="AK470" s="380" t="s">
        <v>73</v>
      </c>
      <c r="AL470" s="306">
        <v>0</v>
      </c>
      <c r="AM470" s="377"/>
      <c r="AN470" s="306">
        <f t="shared" si="103"/>
        <v>588</v>
      </c>
      <c r="AO470" s="306">
        <f t="shared" si="96"/>
        <v>588</v>
      </c>
      <c r="AP470" s="306" t="b">
        <f t="shared" si="101"/>
        <v>0</v>
      </c>
      <c r="AQ470" s="306">
        <f t="shared" si="99"/>
        <v>588</v>
      </c>
    </row>
    <row r="471" s="222" customFormat="1" ht="39" customHeight="1" spans="1:43">
      <c r="A471" s="375">
        <v>45952</v>
      </c>
      <c r="B471" s="376" t="s">
        <v>1320</v>
      </c>
      <c r="C471" s="222" t="s">
        <v>214</v>
      </c>
      <c r="D471" s="377">
        <v>4500182620</v>
      </c>
      <c r="E471" s="382" t="s">
        <v>1979</v>
      </c>
      <c r="F471" s="377" t="s">
        <v>1980</v>
      </c>
      <c r="G471" s="379" t="s">
        <v>62</v>
      </c>
      <c r="H471" s="379" t="s">
        <v>63</v>
      </c>
      <c r="I471" s="377">
        <v>804</v>
      </c>
      <c r="J471" s="377">
        <v>0</v>
      </c>
      <c r="K471" s="377">
        <v>6</v>
      </c>
      <c r="L471" s="377">
        <f t="shared" si="107"/>
        <v>134</v>
      </c>
      <c r="M471" s="387">
        <v>46007</v>
      </c>
      <c r="N471" s="387">
        <v>46003</v>
      </c>
      <c r="O471" s="387"/>
      <c r="P471" s="386" t="s">
        <v>49</v>
      </c>
      <c r="Q471" s="387"/>
      <c r="R471" s="387"/>
      <c r="S471" s="394" t="s">
        <v>50</v>
      </c>
      <c r="T471" s="395">
        <v>45959</v>
      </c>
      <c r="U471" s="394" t="s">
        <v>50</v>
      </c>
      <c r="V471" s="387"/>
      <c r="W471" s="387"/>
      <c r="X471" s="399" t="s">
        <v>1981</v>
      </c>
      <c r="Y471" s="379" t="s">
        <v>1292</v>
      </c>
      <c r="Z471" s="408">
        <v>3.5498</v>
      </c>
      <c r="AA471" s="409">
        <f>I471*Z471</f>
        <v>2854.0392</v>
      </c>
      <c r="AB471" s="377"/>
      <c r="AC471" s="410" t="s">
        <v>858</v>
      </c>
      <c r="AD471" s="222" t="s">
        <v>56</v>
      </c>
      <c r="AE471" s="309">
        <f t="shared" si="105"/>
        <v>804</v>
      </c>
      <c r="AF471" s="306">
        <f t="shared" si="100"/>
        <v>0</v>
      </c>
      <c r="AI471" s="380" t="s">
        <v>72</v>
      </c>
      <c r="AJ471" s="306">
        <v>2</v>
      </c>
      <c r="AK471" s="380" t="s">
        <v>73</v>
      </c>
      <c r="AL471" s="306">
        <v>0</v>
      </c>
      <c r="AM471" s="377"/>
      <c r="AN471" s="306">
        <f t="shared" si="103"/>
        <v>804</v>
      </c>
      <c r="AO471" s="306">
        <f t="shared" si="96"/>
        <v>0</v>
      </c>
      <c r="AP471" s="306">
        <f t="shared" si="101"/>
        <v>804</v>
      </c>
      <c r="AQ471" s="306">
        <f t="shared" si="99"/>
        <v>804</v>
      </c>
    </row>
    <row r="472" s="222" customFormat="1" ht="39" customHeight="1" spans="1:43">
      <c r="A472" s="375">
        <v>45959</v>
      </c>
      <c r="B472" s="376" t="s">
        <v>1968</v>
      </c>
      <c r="C472" s="222" t="s">
        <v>44</v>
      </c>
      <c r="D472" s="377">
        <v>4500182883</v>
      </c>
      <c r="E472" s="382" t="s">
        <v>1982</v>
      </c>
      <c r="F472" s="377" t="s">
        <v>1983</v>
      </c>
      <c r="G472" s="379" t="s">
        <v>62</v>
      </c>
      <c r="H472" s="379" t="s">
        <v>63</v>
      </c>
      <c r="I472" s="377">
        <v>138</v>
      </c>
      <c r="J472" s="377">
        <v>0</v>
      </c>
      <c r="K472" s="377">
        <v>6</v>
      </c>
      <c r="L472" s="377">
        <f t="shared" si="107"/>
        <v>23</v>
      </c>
      <c r="M472" s="387">
        <v>45992</v>
      </c>
      <c r="N472" s="387">
        <f>M472-4</f>
        <v>45988</v>
      </c>
      <c r="O472" s="387"/>
      <c r="P472" s="386" t="s">
        <v>49</v>
      </c>
      <c r="Q472" s="387"/>
      <c r="R472" s="387"/>
      <c r="S472" s="394" t="s">
        <v>50</v>
      </c>
      <c r="T472" s="395">
        <v>45971</v>
      </c>
      <c r="U472" s="394" t="s">
        <v>50</v>
      </c>
      <c r="V472" s="387"/>
      <c r="W472" s="387"/>
      <c r="X472" s="399" t="s">
        <v>992</v>
      </c>
      <c r="Y472" s="379" t="s">
        <v>87</v>
      </c>
      <c r="Z472" s="408">
        <v>2.1375</v>
      </c>
      <c r="AA472" s="409">
        <f>I472*Z472</f>
        <v>294.975</v>
      </c>
      <c r="AB472" s="377"/>
      <c r="AC472" s="410" t="s">
        <v>62</v>
      </c>
      <c r="AD472" s="222" t="s">
        <v>56</v>
      </c>
      <c r="AE472" s="309">
        <f t="shared" si="105"/>
        <v>138</v>
      </c>
      <c r="AF472" s="306">
        <f t="shared" si="100"/>
        <v>0</v>
      </c>
      <c r="AI472" s="380" t="s">
        <v>57</v>
      </c>
      <c r="AJ472" s="306">
        <v>0</v>
      </c>
      <c r="AK472" s="380" t="s">
        <v>73</v>
      </c>
      <c r="AL472" s="306">
        <v>0</v>
      </c>
      <c r="AM472" s="377"/>
      <c r="AN472" s="306">
        <f t="shared" si="103"/>
        <v>138</v>
      </c>
      <c r="AO472" s="306">
        <f t="shared" si="96"/>
        <v>138</v>
      </c>
      <c r="AP472" s="306" t="b">
        <f t="shared" si="101"/>
        <v>0</v>
      </c>
      <c r="AQ472" s="306">
        <f t="shared" si="99"/>
        <v>138</v>
      </c>
    </row>
    <row r="473" s="222" customFormat="1" ht="39" customHeight="1" spans="1:43">
      <c r="A473" s="375">
        <v>45909</v>
      </c>
      <c r="B473" s="376" t="s">
        <v>1984</v>
      </c>
      <c r="C473" s="222" t="s">
        <v>833</v>
      </c>
      <c r="D473" s="377">
        <v>4500177965</v>
      </c>
      <c r="E473" s="382">
        <v>28004</v>
      </c>
      <c r="F473" s="377" t="s">
        <v>1985</v>
      </c>
      <c r="G473" s="379" t="s">
        <v>62</v>
      </c>
      <c r="H473" s="379" t="s">
        <v>63</v>
      </c>
      <c r="I473" s="377">
        <v>360</v>
      </c>
      <c r="J473" s="377">
        <v>0</v>
      </c>
      <c r="K473" s="377">
        <v>6</v>
      </c>
      <c r="L473" s="377">
        <f t="shared" si="107"/>
        <v>60</v>
      </c>
      <c r="M473" s="387">
        <v>45994</v>
      </c>
      <c r="N473" s="387">
        <v>45990</v>
      </c>
      <c r="O473" s="387"/>
      <c r="P473" s="386" t="s">
        <v>49</v>
      </c>
      <c r="Q473" s="387"/>
      <c r="R473" s="387"/>
      <c r="S473" s="394" t="s">
        <v>50</v>
      </c>
      <c r="T473" s="395">
        <v>45947</v>
      </c>
      <c r="U473" s="394">
        <v>45946</v>
      </c>
      <c r="V473" s="387" t="s">
        <v>1986</v>
      </c>
      <c r="W473" s="387"/>
      <c r="X473" s="399" t="s">
        <v>1987</v>
      </c>
      <c r="Y473" s="379" t="s">
        <v>223</v>
      </c>
      <c r="Z473" s="408">
        <v>3.3587</v>
      </c>
      <c r="AA473" s="409">
        <f>I473*Z473</f>
        <v>1209.132</v>
      </c>
      <c r="AB473" s="377"/>
      <c r="AC473" s="410" t="s">
        <v>858</v>
      </c>
      <c r="AD473" s="222" t="s">
        <v>56</v>
      </c>
      <c r="AE473" s="309">
        <f t="shared" si="105"/>
        <v>360</v>
      </c>
      <c r="AF473" s="306">
        <f t="shared" si="100"/>
        <v>0</v>
      </c>
      <c r="AI473" s="380" t="s">
        <v>72</v>
      </c>
      <c r="AJ473" s="306">
        <v>2</v>
      </c>
      <c r="AK473" s="380" t="s">
        <v>1936</v>
      </c>
      <c r="AL473" s="306">
        <v>1</v>
      </c>
      <c r="AM473" s="377"/>
      <c r="AN473" s="306">
        <f t="shared" si="103"/>
        <v>360</v>
      </c>
      <c r="AO473" s="306">
        <f t="shared" si="96"/>
        <v>0</v>
      </c>
      <c r="AP473" s="306">
        <f t="shared" si="101"/>
        <v>360</v>
      </c>
      <c r="AQ473" s="306">
        <f t="shared" si="99"/>
        <v>0</v>
      </c>
    </row>
    <row r="474" s="222" customFormat="1" ht="39" hidden="1" customHeight="1" spans="1:43">
      <c r="A474" s="375">
        <v>45972</v>
      </c>
      <c r="B474" s="376" t="s">
        <v>838</v>
      </c>
      <c r="C474" s="222" t="s">
        <v>44</v>
      </c>
      <c r="D474" s="377">
        <v>4500185179</v>
      </c>
      <c r="E474" s="382" t="s">
        <v>1988</v>
      </c>
      <c r="F474" s="377" t="s">
        <v>1989</v>
      </c>
      <c r="G474" s="379" t="s">
        <v>46</v>
      </c>
      <c r="H474" s="379" t="s">
        <v>47</v>
      </c>
      <c r="I474" s="377">
        <v>588</v>
      </c>
      <c r="J474" s="377">
        <v>0</v>
      </c>
      <c r="K474" s="377">
        <v>98</v>
      </c>
      <c r="L474" s="377">
        <f t="shared" si="107"/>
        <v>6</v>
      </c>
      <c r="M474" s="387">
        <v>46009</v>
      </c>
      <c r="N474" s="387">
        <v>46006</v>
      </c>
      <c r="O474" s="387" t="s">
        <v>1990</v>
      </c>
      <c r="P474" s="386" t="s">
        <v>49</v>
      </c>
      <c r="Q474" s="387"/>
      <c r="R474" s="387"/>
      <c r="S474" s="394" t="s">
        <v>50</v>
      </c>
      <c r="T474" s="395" t="s">
        <v>1135</v>
      </c>
      <c r="U474" s="400" t="s">
        <v>1940</v>
      </c>
      <c r="V474" s="387" t="s">
        <v>1941</v>
      </c>
      <c r="W474" s="387"/>
      <c r="X474" s="399" t="s">
        <v>1991</v>
      </c>
      <c r="Y474" s="379" t="s">
        <v>844</v>
      </c>
      <c r="Z474" s="408">
        <v>217.2267</v>
      </c>
      <c r="AA474" s="409">
        <f>Z474*L474</f>
        <v>1303.3602</v>
      </c>
      <c r="AB474" s="377"/>
      <c r="AC474" s="410" t="s">
        <v>46</v>
      </c>
      <c r="AD474" s="222" t="s">
        <v>56</v>
      </c>
      <c r="AE474" s="309">
        <f t="shared" si="105"/>
        <v>588</v>
      </c>
      <c r="AF474" s="306">
        <f t="shared" si="100"/>
        <v>0</v>
      </c>
      <c r="AI474" s="380" t="s">
        <v>57</v>
      </c>
      <c r="AJ474" s="306">
        <v>0</v>
      </c>
      <c r="AK474" s="380" t="s">
        <v>73</v>
      </c>
      <c r="AL474" s="306">
        <v>0</v>
      </c>
      <c r="AM474" s="377"/>
      <c r="AN474" s="306">
        <f t="shared" si="103"/>
        <v>588</v>
      </c>
      <c r="AO474" s="306">
        <f t="shared" si="96"/>
        <v>588</v>
      </c>
      <c r="AP474" s="306" t="b">
        <f t="shared" si="101"/>
        <v>0</v>
      </c>
      <c r="AQ474" s="306">
        <f t="shared" si="99"/>
        <v>588</v>
      </c>
    </row>
    <row r="475" s="222" customFormat="1" ht="39" hidden="1" customHeight="1" spans="1:43">
      <c r="A475" s="375">
        <v>45972</v>
      </c>
      <c r="B475" s="376" t="s">
        <v>838</v>
      </c>
      <c r="C475" s="222" t="s">
        <v>44</v>
      </c>
      <c r="D475" s="377">
        <v>4500185179</v>
      </c>
      <c r="E475" s="382" t="s">
        <v>1992</v>
      </c>
      <c r="F475" s="377" t="s">
        <v>1993</v>
      </c>
      <c r="G475" s="379" t="s">
        <v>46</v>
      </c>
      <c r="H475" s="379" t="s">
        <v>47</v>
      </c>
      <c r="I475" s="377">
        <v>588</v>
      </c>
      <c r="J475" s="377">
        <v>0</v>
      </c>
      <c r="K475" s="377">
        <v>98</v>
      </c>
      <c r="L475" s="377">
        <f t="shared" si="107"/>
        <v>6</v>
      </c>
      <c r="M475" s="387">
        <v>46009</v>
      </c>
      <c r="N475" s="387">
        <v>46006</v>
      </c>
      <c r="O475" s="387" t="s">
        <v>1990</v>
      </c>
      <c r="P475" s="386" t="s">
        <v>49</v>
      </c>
      <c r="Q475" s="387"/>
      <c r="R475" s="387"/>
      <c r="S475" s="394" t="s">
        <v>50</v>
      </c>
      <c r="T475" s="395" t="s">
        <v>1135</v>
      </c>
      <c r="U475" s="400" t="s">
        <v>1940</v>
      </c>
      <c r="V475" s="387" t="s">
        <v>1941</v>
      </c>
      <c r="W475" s="387"/>
      <c r="X475" s="399" t="s">
        <v>1991</v>
      </c>
      <c r="Y475" s="379" t="s">
        <v>844</v>
      </c>
      <c r="Z475" s="408">
        <v>217.2267</v>
      </c>
      <c r="AA475" s="409">
        <f>Z475*L475</f>
        <v>1303.3602</v>
      </c>
      <c r="AB475" s="377"/>
      <c r="AC475" s="410" t="s">
        <v>46</v>
      </c>
      <c r="AD475" s="222" t="s">
        <v>56</v>
      </c>
      <c r="AE475" s="309">
        <f t="shared" si="105"/>
        <v>588</v>
      </c>
      <c r="AF475" s="306">
        <f t="shared" si="100"/>
        <v>0</v>
      </c>
      <c r="AI475" s="380" t="s">
        <v>57</v>
      </c>
      <c r="AJ475" s="306">
        <v>0</v>
      </c>
      <c r="AK475" s="380" t="s">
        <v>73</v>
      </c>
      <c r="AL475" s="306">
        <v>0</v>
      </c>
      <c r="AM475" s="377"/>
      <c r="AN475" s="306">
        <f t="shared" si="103"/>
        <v>588</v>
      </c>
      <c r="AO475" s="306">
        <f t="shared" si="96"/>
        <v>588</v>
      </c>
      <c r="AP475" s="306" t="b">
        <f t="shared" si="101"/>
        <v>0</v>
      </c>
      <c r="AQ475" s="306">
        <f t="shared" si="99"/>
        <v>588</v>
      </c>
    </row>
    <row r="476" s="222" customFormat="1" ht="39" hidden="1" customHeight="1" spans="1:43">
      <c r="A476" s="375">
        <v>45972</v>
      </c>
      <c r="B476" s="376" t="s">
        <v>838</v>
      </c>
      <c r="C476" s="222" t="s">
        <v>44</v>
      </c>
      <c r="D476" s="377">
        <v>4500185179</v>
      </c>
      <c r="E476" s="382" t="s">
        <v>1994</v>
      </c>
      <c r="F476" s="377" t="s">
        <v>1995</v>
      </c>
      <c r="G476" s="379" t="s">
        <v>46</v>
      </c>
      <c r="H476" s="379" t="s">
        <v>47</v>
      </c>
      <c r="I476" s="377">
        <v>588</v>
      </c>
      <c r="J476" s="377">
        <v>0</v>
      </c>
      <c r="K476" s="377">
        <v>98</v>
      </c>
      <c r="L476" s="377">
        <f t="shared" si="107"/>
        <v>6</v>
      </c>
      <c r="M476" s="387">
        <v>46009</v>
      </c>
      <c r="N476" s="387">
        <v>46006</v>
      </c>
      <c r="O476" s="387" t="s">
        <v>1990</v>
      </c>
      <c r="P476" s="386" t="s">
        <v>49</v>
      </c>
      <c r="Q476" s="387"/>
      <c r="R476" s="387"/>
      <c r="S476" s="394" t="s">
        <v>50</v>
      </c>
      <c r="T476" s="395" t="s">
        <v>1135</v>
      </c>
      <c r="U476" s="400" t="s">
        <v>1940</v>
      </c>
      <c r="V476" s="387" t="s">
        <v>1941</v>
      </c>
      <c r="W476" s="387"/>
      <c r="X476" s="399" t="s">
        <v>1991</v>
      </c>
      <c r="Y476" s="379" t="s">
        <v>844</v>
      </c>
      <c r="Z476" s="408">
        <v>217.2267</v>
      </c>
      <c r="AA476" s="409">
        <f>Z476*L476</f>
        <v>1303.3602</v>
      </c>
      <c r="AB476" s="377"/>
      <c r="AC476" s="410" t="s">
        <v>46</v>
      </c>
      <c r="AD476" s="222" t="s">
        <v>56</v>
      </c>
      <c r="AE476" s="309">
        <f t="shared" si="105"/>
        <v>588</v>
      </c>
      <c r="AF476" s="306">
        <f t="shared" si="100"/>
        <v>0</v>
      </c>
      <c r="AI476" s="380" t="s">
        <v>57</v>
      </c>
      <c r="AJ476" s="306">
        <v>0</v>
      </c>
      <c r="AK476" s="380" t="s">
        <v>73</v>
      </c>
      <c r="AL476" s="306">
        <v>0</v>
      </c>
      <c r="AM476" s="377"/>
      <c r="AN476" s="306">
        <f t="shared" si="103"/>
        <v>588</v>
      </c>
      <c r="AO476" s="306">
        <f t="shared" si="96"/>
        <v>588</v>
      </c>
      <c r="AP476" s="306" t="b">
        <f t="shared" si="101"/>
        <v>0</v>
      </c>
      <c r="AQ476" s="306">
        <f t="shared" si="99"/>
        <v>588</v>
      </c>
    </row>
    <row r="477" s="222" customFormat="1" ht="39" customHeight="1" spans="1:43">
      <c r="A477" s="375">
        <v>45978</v>
      </c>
      <c r="B477" s="376" t="s">
        <v>1996</v>
      </c>
      <c r="C477" s="222" t="s">
        <v>226</v>
      </c>
      <c r="D477" s="377">
        <v>4500184485</v>
      </c>
      <c r="E477" s="482" t="s">
        <v>1997</v>
      </c>
      <c r="F477" s="377" t="s">
        <v>1998</v>
      </c>
      <c r="G477" s="379" t="s">
        <v>62</v>
      </c>
      <c r="H477" s="379" t="s">
        <v>63</v>
      </c>
      <c r="I477" s="377">
        <v>2106</v>
      </c>
      <c r="J477" s="377">
        <v>0</v>
      </c>
      <c r="K477" s="377">
        <v>6</v>
      </c>
      <c r="L477" s="377">
        <f t="shared" si="107"/>
        <v>351</v>
      </c>
      <c r="M477" s="387">
        <v>46013</v>
      </c>
      <c r="N477" s="387">
        <v>46009</v>
      </c>
      <c r="O477" s="387"/>
      <c r="P477" s="386" t="s">
        <v>49</v>
      </c>
      <c r="Q477" s="387"/>
      <c r="R477" s="387"/>
      <c r="S477" s="394" t="s">
        <v>50</v>
      </c>
      <c r="T477" s="395">
        <v>45978</v>
      </c>
      <c r="U477" s="394" t="s">
        <v>1999</v>
      </c>
      <c r="V477" s="387"/>
      <c r="W477" s="387"/>
      <c r="X477" s="399" t="s">
        <v>2000</v>
      </c>
      <c r="Y477" s="379" t="s">
        <v>685</v>
      </c>
      <c r="Z477" s="408">
        <v>3.5366</v>
      </c>
      <c r="AA477" s="409">
        <f t="shared" ref="AA477:AA483" si="108">I477*Z477</f>
        <v>7448.0796</v>
      </c>
      <c r="AB477" s="377"/>
      <c r="AC477" s="410" t="s">
        <v>71</v>
      </c>
      <c r="AD477" s="222" t="s">
        <v>56</v>
      </c>
      <c r="AE477" s="309">
        <f t="shared" ref="AE477:AE507" si="109">I477</f>
        <v>2106</v>
      </c>
      <c r="AF477" s="306">
        <f t="shared" si="100"/>
        <v>0</v>
      </c>
      <c r="AI477" s="380" t="s">
        <v>72</v>
      </c>
      <c r="AJ477" s="306">
        <v>2</v>
      </c>
      <c r="AK477" s="380" t="s">
        <v>73</v>
      </c>
      <c r="AL477" s="306">
        <v>0</v>
      </c>
      <c r="AM477" s="377"/>
      <c r="AN477" s="306">
        <f t="shared" si="103"/>
        <v>2106</v>
      </c>
      <c r="AO477" s="306">
        <f t="shared" si="96"/>
        <v>0</v>
      </c>
      <c r="AP477" s="306">
        <f t="shared" si="101"/>
        <v>2106</v>
      </c>
      <c r="AQ477" s="306">
        <f t="shared" si="99"/>
        <v>2106</v>
      </c>
    </row>
    <row r="478" s="222" customFormat="1" ht="39" customHeight="1" spans="1:43">
      <c r="A478" s="375">
        <v>45973</v>
      </c>
      <c r="B478" s="376" t="s">
        <v>288</v>
      </c>
      <c r="C478" s="222" t="s">
        <v>44</v>
      </c>
      <c r="D478" s="377">
        <v>4500185399</v>
      </c>
      <c r="E478" s="482" t="s">
        <v>2001</v>
      </c>
      <c r="F478" s="377" t="s">
        <v>2002</v>
      </c>
      <c r="G478" s="379" t="s">
        <v>62</v>
      </c>
      <c r="H478" s="379" t="s">
        <v>63</v>
      </c>
      <c r="I478" s="377">
        <v>600</v>
      </c>
      <c r="J478" s="377">
        <v>0</v>
      </c>
      <c r="K478" s="377">
        <v>6</v>
      </c>
      <c r="L478" s="377">
        <f t="shared" si="107"/>
        <v>100</v>
      </c>
      <c r="M478" s="387">
        <v>46014</v>
      </c>
      <c r="N478" s="387">
        <v>46010</v>
      </c>
      <c r="O478" s="387"/>
      <c r="P478" s="386" t="s">
        <v>49</v>
      </c>
      <c r="Q478" s="387" t="s">
        <v>2003</v>
      </c>
      <c r="R478" s="387"/>
      <c r="S478" s="394" t="s">
        <v>50</v>
      </c>
      <c r="T478" s="395">
        <v>45973</v>
      </c>
      <c r="U478" s="394" t="s">
        <v>50</v>
      </c>
      <c r="V478" s="387"/>
      <c r="W478" s="387"/>
      <c r="X478" s="399" t="s">
        <v>2004</v>
      </c>
      <c r="Y478" s="379" t="s">
        <v>293</v>
      </c>
      <c r="Z478" s="408">
        <v>2.1299</v>
      </c>
      <c r="AA478" s="409">
        <f t="shared" si="108"/>
        <v>1277.94</v>
      </c>
      <c r="AB478" s="377"/>
      <c r="AC478" s="410" t="s">
        <v>62</v>
      </c>
      <c r="AD478" s="222" t="s">
        <v>56</v>
      </c>
      <c r="AE478" s="309">
        <f t="shared" si="109"/>
        <v>600</v>
      </c>
      <c r="AF478" s="306">
        <f t="shared" si="100"/>
        <v>0</v>
      </c>
      <c r="AI478" s="380" t="s">
        <v>57</v>
      </c>
      <c r="AJ478" s="306">
        <v>0</v>
      </c>
      <c r="AK478" s="380" t="s">
        <v>73</v>
      </c>
      <c r="AL478" s="306">
        <v>0</v>
      </c>
      <c r="AM478" s="377"/>
      <c r="AN478" s="306">
        <f t="shared" si="103"/>
        <v>600</v>
      </c>
      <c r="AO478" s="306">
        <f t="shared" si="96"/>
        <v>600</v>
      </c>
      <c r="AP478" s="306" t="b">
        <f t="shared" si="101"/>
        <v>0</v>
      </c>
      <c r="AQ478" s="306">
        <f t="shared" si="99"/>
        <v>600</v>
      </c>
    </row>
    <row r="479" s="222" customFormat="1" ht="39" customHeight="1" spans="1:43">
      <c r="A479" s="375">
        <v>45967</v>
      </c>
      <c r="B479" s="376" t="s">
        <v>457</v>
      </c>
      <c r="C479" s="222" t="s">
        <v>458</v>
      </c>
      <c r="D479" s="377">
        <v>4500184553</v>
      </c>
      <c r="E479" s="382" t="s">
        <v>2005</v>
      </c>
      <c r="F479" s="377" t="s">
        <v>2006</v>
      </c>
      <c r="G479" s="379" t="s">
        <v>62</v>
      </c>
      <c r="H479" s="379" t="s">
        <v>63</v>
      </c>
      <c r="I479" s="377">
        <v>720</v>
      </c>
      <c r="J479" s="377">
        <v>0</v>
      </c>
      <c r="K479" s="377">
        <v>6</v>
      </c>
      <c r="L479" s="377">
        <f t="shared" si="107"/>
        <v>120</v>
      </c>
      <c r="M479" s="388">
        <v>46021</v>
      </c>
      <c r="N479" s="388">
        <v>46017</v>
      </c>
      <c r="O479" s="387"/>
      <c r="P479" s="386" t="s">
        <v>49</v>
      </c>
      <c r="Q479" s="387"/>
      <c r="R479" s="387"/>
      <c r="S479" s="394" t="s">
        <v>50</v>
      </c>
      <c r="T479" s="395">
        <v>45967</v>
      </c>
      <c r="U479" s="394" t="s">
        <v>2007</v>
      </c>
      <c r="V479" s="387"/>
      <c r="W479" s="387"/>
      <c r="X479" s="399" t="s">
        <v>2008</v>
      </c>
      <c r="Y479" s="379" t="s">
        <v>454</v>
      </c>
      <c r="Z479" s="408">
        <v>3.9839</v>
      </c>
      <c r="AA479" s="409">
        <f t="shared" si="108"/>
        <v>2868.408</v>
      </c>
      <c r="AB479" s="377"/>
      <c r="AC479" s="410" t="s">
        <v>62</v>
      </c>
      <c r="AD479" s="222" t="s">
        <v>56</v>
      </c>
      <c r="AE479" s="309">
        <f t="shared" si="109"/>
        <v>720</v>
      </c>
      <c r="AF479" s="306">
        <f t="shared" si="100"/>
        <v>0</v>
      </c>
      <c r="AI479" s="380" t="s">
        <v>57</v>
      </c>
      <c r="AJ479" s="306">
        <v>0</v>
      </c>
      <c r="AK479" s="380" t="s">
        <v>73</v>
      </c>
      <c r="AL479" s="306">
        <v>0</v>
      </c>
      <c r="AM479" s="377"/>
      <c r="AN479" s="306">
        <f t="shared" si="103"/>
        <v>720</v>
      </c>
      <c r="AO479" s="306">
        <f t="shared" si="96"/>
        <v>720</v>
      </c>
      <c r="AP479" s="306" t="b">
        <f t="shared" si="101"/>
        <v>0</v>
      </c>
      <c r="AQ479" s="306">
        <f t="shared" si="99"/>
        <v>720</v>
      </c>
    </row>
    <row r="480" s="222" customFormat="1" ht="39" hidden="1" customHeight="1" spans="1:43">
      <c r="A480" s="375">
        <v>45969</v>
      </c>
      <c r="B480" s="376" t="s">
        <v>2009</v>
      </c>
      <c r="C480" s="222" t="s">
        <v>44</v>
      </c>
      <c r="D480" s="377">
        <v>4500185001</v>
      </c>
      <c r="E480" s="482" t="s">
        <v>2010</v>
      </c>
      <c r="F480" s="377" t="s">
        <v>2011</v>
      </c>
      <c r="G480" s="379" t="s">
        <v>84</v>
      </c>
      <c r="H480" s="379" t="s">
        <v>63</v>
      </c>
      <c r="I480" s="377">
        <v>2733</v>
      </c>
      <c r="J480" s="377">
        <v>0</v>
      </c>
      <c r="K480" s="377">
        <v>3</v>
      </c>
      <c r="L480" s="377">
        <f t="shared" si="107"/>
        <v>911</v>
      </c>
      <c r="M480" s="387">
        <v>46021</v>
      </c>
      <c r="N480" s="387">
        <v>46017</v>
      </c>
      <c r="O480" s="387" t="s">
        <v>2012</v>
      </c>
      <c r="P480" s="386" t="s">
        <v>49</v>
      </c>
      <c r="Q480" s="387"/>
      <c r="R480" s="387"/>
      <c r="S480" s="394" t="s">
        <v>50</v>
      </c>
      <c r="T480" s="395">
        <v>45975</v>
      </c>
      <c r="U480" s="394" t="s">
        <v>50</v>
      </c>
      <c r="V480" s="387" t="s">
        <v>2013</v>
      </c>
      <c r="W480" s="387"/>
      <c r="X480" s="399" t="s">
        <v>2014</v>
      </c>
      <c r="Y480" s="379" t="s">
        <v>87</v>
      </c>
      <c r="Z480" s="408">
        <v>2.1448</v>
      </c>
      <c r="AA480" s="409">
        <f t="shared" si="108"/>
        <v>5861.7384</v>
      </c>
      <c r="AB480" s="377"/>
      <c r="AC480" s="410" t="s">
        <v>84</v>
      </c>
      <c r="AD480" s="222" t="s">
        <v>56</v>
      </c>
      <c r="AE480" s="309">
        <f t="shared" si="109"/>
        <v>2733</v>
      </c>
      <c r="AF480" s="306">
        <f t="shared" si="100"/>
        <v>0</v>
      </c>
      <c r="AI480" s="380" t="s">
        <v>57</v>
      </c>
      <c r="AJ480" s="306">
        <v>0</v>
      </c>
      <c r="AK480" s="380" t="s">
        <v>73</v>
      </c>
      <c r="AL480" s="306">
        <v>0</v>
      </c>
      <c r="AM480" s="377"/>
      <c r="AN480" s="306">
        <f t="shared" si="103"/>
        <v>2733</v>
      </c>
      <c r="AO480" s="306">
        <f t="shared" si="96"/>
        <v>2733</v>
      </c>
      <c r="AP480" s="306" t="b">
        <f t="shared" si="101"/>
        <v>0</v>
      </c>
      <c r="AQ480" s="306">
        <f t="shared" si="99"/>
        <v>2733</v>
      </c>
    </row>
    <row r="481" s="222" customFormat="1" ht="39" hidden="1" customHeight="1" spans="1:43">
      <c r="A481" s="375">
        <v>45969</v>
      </c>
      <c r="B481" s="376" t="s">
        <v>2009</v>
      </c>
      <c r="C481" s="222" t="s">
        <v>44</v>
      </c>
      <c r="D481" s="377">
        <v>4500185001</v>
      </c>
      <c r="E481" s="482" t="s">
        <v>2015</v>
      </c>
      <c r="F481" s="377" t="s">
        <v>2016</v>
      </c>
      <c r="G481" s="379" t="s">
        <v>84</v>
      </c>
      <c r="H481" s="379" t="s">
        <v>63</v>
      </c>
      <c r="I481" s="377">
        <v>4083</v>
      </c>
      <c r="J481" s="377">
        <v>0</v>
      </c>
      <c r="K481" s="377">
        <v>3</v>
      </c>
      <c r="L481" s="377">
        <f t="shared" si="107"/>
        <v>1361</v>
      </c>
      <c r="M481" s="387">
        <v>46021</v>
      </c>
      <c r="N481" s="387">
        <v>46017</v>
      </c>
      <c r="O481" s="387" t="s">
        <v>2012</v>
      </c>
      <c r="P481" s="386" t="s">
        <v>49</v>
      </c>
      <c r="Q481" s="387"/>
      <c r="R481" s="387"/>
      <c r="S481" s="394" t="s">
        <v>50</v>
      </c>
      <c r="T481" s="395">
        <v>45975</v>
      </c>
      <c r="U481" s="394" t="s">
        <v>50</v>
      </c>
      <c r="V481" s="387" t="s">
        <v>2013</v>
      </c>
      <c r="W481" s="387"/>
      <c r="X481" s="399" t="s">
        <v>2014</v>
      </c>
      <c r="Y481" s="379" t="s">
        <v>87</v>
      </c>
      <c r="Z481" s="408">
        <v>2.1263</v>
      </c>
      <c r="AA481" s="409">
        <f t="shared" si="108"/>
        <v>8681.6829</v>
      </c>
      <c r="AB481" s="377"/>
      <c r="AC481" s="410" t="s">
        <v>84</v>
      </c>
      <c r="AD481" s="222" t="s">
        <v>56</v>
      </c>
      <c r="AE481" s="309">
        <f t="shared" si="109"/>
        <v>4083</v>
      </c>
      <c r="AF481" s="306">
        <f t="shared" si="100"/>
        <v>0</v>
      </c>
      <c r="AI481" s="380" t="s">
        <v>57</v>
      </c>
      <c r="AJ481" s="306">
        <v>0</v>
      </c>
      <c r="AK481" s="380" t="s">
        <v>73</v>
      </c>
      <c r="AL481" s="306">
        <v>0</v>
      </c>
      <c r="AM481" s="377"/>
      <c r="AN481" s="306">
        <f t="shared" si="103"/>
        <v>4083</v>
      </c>
      <c r="AO481" s="306">
        <f t="shared" si="96"/>
        <v>4083</v>
      </c>
      <c r="AP481" s="306" t="b">
        <f t="shared" si="101"/>
        <v>0</v>
      </c>
      <c r="AQ481" s="306">
        <f t="shared" si="99"/>
        <v>4083</v>
      </c>
    </row>
    <row r="482" s="222" customFormat="1" ht="39" hidden="1" customHeight="1" spans="1:43">
      <c r="A482" s="375">
        <v>45969</v>
      </c>
      <c r="B482" s="376" t="s">
        <v>2009</v>
      </c>
      <c r="C482" s="222" t="s">
        <v>44</v>
      </c>
      <c r="D482" s="377">
        <v>4500185001</v>
      </c>
      <c r="E482" s="482" t="s">
        <v>2017</v>
      </c>
      <c r="F482" s="377" t="s">
        <v>2018</v>
      </c>
      <c r="G482" s="379" t="s">
        <v>84</v>
      </c>
      <c r="H482" s="379" t="s">
        <v>63</v>
      </c>
      <c r="I482" s="377">
        <v>3189</v>
      </c>
      <c r="J482" s="377">
        <v>0</v>
      </c>
      <c r="K482" s="377">
        <v>3</v>
      </c>
      <c r="L482" s="377">
        <f t="shared" si="107"/>
        <v>1063</v>
      </c>
      <c r="M482" s="387">
        <v>46021</v>
      </c>
      <c r="N482" s="387">
        <v>46017</v>
      </c>
      <c r="O482" s="387"/>
      <c r="P482" s="386" t="s">
        <v>49</v>
      </c>
      <c r="Q482" s="387"/>
      <c r="R482" s="387"/>
      <c r="S482" s="394" t="s">
        <v>50</v>
      </c>
      <c r="T482" s="395">
        <v>45975</v>
      </c>
      <c r="U482" s="394" t="s">
        <v>50</v>
      </c>
      <c r="V482" s="387" t="s">
        <v>2013</v>
      </c>
      <c r="W482" s="387"/>
      <c r="X482" s="399" t="s">
        <v>2014</v>
      </c>
      <c r="Y482" s="379" t="s">
        <v>87</v>
      </c>
      <c r="Z482" s="408">
        <v>2.1263</v>
      </c>
      <c r="AA482" s="409">
        <f t="shared" si="108"/>
        <v>6780.7707</v>
      </c>
      <c r="AB482" s="377"/>
      <c r="AC482" s="410" t="s">
        <v>84</v>
      </c>
      <c r="AD482" s="222" t="s">
        <v>56</v>
      </c>
      <c r="AE482" s="309">
        <f t="shared" si="109"/>
        <v>3189</v>
      </c>
      <c r="AF482" s="306">
        <f t="shared" ref="AF482:AF493" si="110">AE482-I482</f>
        <v>0</v>
      </c>
      <c r="AI482" s="380" t="s">
        <v>57</v>
      </c>
      <c r="AJ482" s="306">
        <v>0</v>
      </c>
      <c r="AK482" s="380" t="s">
        <v>73</v>
      </c>
      <c r="AL482" s="306">
        <v>0</v>
      </c>
      <c r="AM482" s="377"/>
      <c r="AN482" s="306">
        <f t="shared" si="103"/>
        <v>3189</v>
      </c>
      <c r="AO482" s="306">
        <f t="shared" ref="AO482:AO493" si="111">IF($AJ482=0,$AN482,IF($AJ482&gt;0,0))</f>
        <v>3189</v>
      </c>
      <c r="AP482" s="306" t="b">
        <f t="shared" ref="AP482:AP493" si="112">IF($AJ482=2,$AN482,IF($AJ482&gt;0,0))</f>
        <v>0</v>
      </c>
      <c r="AQ482" s="306">
        <f t="shared" ref="AQ482:AQ493" si="113">IF($AL482=0,$AN482,IF($AL482&gt;0,0))</f>
        <v>3189</v>
      </c>
    </row>
    <row r="483" s="222" customFormat="1" ht="39" hidden="1" customHeight="1" spans="1:43">
      <c r="A483" s="375">
        <v>45969</v>
      </c>
      <c r="B483" s="376" t="s">
        <v>2009</v>
      </c>
      <c r="C483" s="222" t="s">
        <v>44</v>
      </c>
      <c r="D483" s="377">
        <v>4500185001</v>
      </c>
      <c r="E483" s="482" t="s">
        <v>2019</v>
      </c>
      <c r="F483" s="377" t="s">
        <v>2020</v>
      </c>
      <c r="G483" s="379" t="s">
        <v>84</v>
      </c>
      <c r="H483" s="379" t="s">
        <v>63</v>
      </c>
      <c r="I483" s="377">
        <v>3558</v>
      </c>
      <c r="J483" s="377">
        <v>0</v>
      </c>
      <c r="K483" s="377">
        <v>3</v>
      </c>
      <c r="L483" s="377">
        <f t="shared" si="107"/>
        <v>1186</v>
      </c>
      <c r="M483" s="387">
        <v>46021</v>
      </c>
      <c r="N483" s="387">
        <v>46017</v>
      </c>
      <c r="O483" s="387"/>
      <c r="P483" s="386" t="s">
        <v>49</v>
      </c>
      <c r="Q483" s="387"/>
      <c r="R483" s="387"/>
      <c r="S483" s="394" t="s">
        <v>50</v>
      </c>
      <c r="T483" s="395">
        <v>45975</v>
      </c>
      <c r="U483" s="394" t="s">
        <v>50</v>
      </c>
      <c r="V483" s="387" t="s">
        <v>2013</v>
      </c>
      <c r="W483" s="387"/>
      <c r="X483" s="399" t="s">
        <v>2014</v>
      </c>
      <c r="Y483" s="379" t="s">
        <v>87</v>
      </c>
      <c r="Z483" s="408">
        <v>2.1263</v>
      </c>
      <c r="AA483" s="409">
        <f t="shared" si="108"/>
        <v>7565.3754</v>
      </c>
      <c r="AB483" s="377"/>
      <c r="AC483" s="410" t="s">
        <v>84</v>
      </c>
      <c r="AD483" s="222" t="s">
        <v>56</v>
      </c>
      <c r="AE483" s="309">
        <f t="shared" si="109"/>
        <v>3558</v>
      </c>
      <c r="AF483" s="306">
        <f t="shared" si="110"/>
        <v>0</v>
      </c>
      <c r="AI483" s="380" t="s">
        <v>57</v>
      </c>
      <c r="AJ483" s="306">
        <v>0</v>
      </c>
      <c r="AK483" s="380" t="s">
        <v>73</v>
      </c>
      <c r="AL483" s="306">
        <v>0</v>
      </c>
      <c r="AM483" s="377"/>
      <c r="AN483" s="306">
        <f t="shared" si="103"/>
        <v>3558</v>
      </c>
      <c r="AO483" s="306">
        <f t="shared" si="111"/>
        <v>3558</v>
      </c>
      <c r="AP483" s="306" t="b">
        <f t="shared" si="112"/>
        <v>0</v>
      </c>
      <c r="AQ483" s="306">
        <f t="shared" si="113"/>
        <v>3558</v>
      </c>
    </row>
    <row r="484" s="222" customFormat="1" ht="39" hidden="1" customHeight="1" spans="1:43">
      <c r="A484" s="375">
        <v>45969</v>
      </c>
      <c r="B484" s="376" t="s">
        <v>2009</v>
      </c>
      <c r="C484" s="222" t="s">
        <v>44</v>
      </c>
      <c r="D484" s="377">
        <v>4500185001</v>
      </c>
      <c r="E484" s="482" t="s">
        <v>2021</v>
      </c>
      <c r="F484" s="377" t="s">
        <v>2022</v>
      </c>
      <c r="G484" s="379" t="s">
        <v>84</v>
      </c>
      <c r="H484" s="379" t="s">
        <v>63</v>
      </c>
      <c r="I484" s="377">
        <v>4116</v>
      </c>
      <c r="J484" s="377">
        <v>0</v>
      </c>
      <c r="K484" s="377">
        <v>3</v>
      </c>
      <c r="L484" s="377">
        <f t="shared" ref="L482:L511" si="114">I484/K484</f>
        <v>1372</v>
      </c>
      <c r="M484" s="387">
        <v>46021</v>
      </c>
      <c r="N484" s="387">
        <v>46017</v>
      </c>
      <c r="O484" s="387"/>
      <c r="P484" s="386" t="s">
        <v>49</v>
      </c>
      <c r="Q484" s="387"/>
      <c r="R484" s="387"/>
      <c r="S484" s="394" t="s">
        <v>50</v>
      </c>
      <c r="T484" s="395">
        <v>45975</v>
      </c>
      <c r="U484" s="394" t="s">
        <v>50</v>
      </c>
      <c r="V484" s="387" t="s">
        <v>2013</v>
      </c>
      <c r="W484" s="387"/>
      <c r="X484" s="399" t="s">
        <v>2014</v>
      </c>
      <c r="Y484" s="379" t="s">
        <v>87</v>
      </c>
      <c r="Z484" s="408">
        <v>2.1263</v>
      </c>
      <c r="AA484" s="409">
        <f t="shared" ref="AA482:AA494" si="115">I484*Z484</f>
        <v>8751.8508</v>
      </c>
      <c r="AB484" s="377"/>
      <c r="AC484" s="410" t="s">
        <v>84</v>
      </c>
      <c r="AD484" s="222" t="s">
        <v>56</v>
      </c>
      <c r="AE484" s="309">
        <f t="shared" si="109"/>
        <v>4116</v>
      </c>
      <c r="AF484" s="306">
        <f t="shared" si="110"/>
        <v>0</v>
      </c>
      <c r="AI484" s="380" t="s">
        <v>57</v>
      </c>
      <c r="AJ484" s="306">
        <v>0</v>
      </c>
      <c r="AK484" s="380" t="s">
        <v>73</v>
      </c>
      <c r="AL484" s="306">
        <v>0</v>
      </c>
      <c r="AM484" s="377"/>
      <c r="AN484" s="306">
        <f t="shared" si="103"/>
        <v>4116</v>
      </c>
      <c r="AO484" s="306">
        <f t="shared" si="111"/>
        <v>4116</v>
      </c>
      <c r="AP484" s="306" t="b">
        <f t="shared" si="112"/>
        <v>0</v>
      </c>
      <c r="AQ484" s="306">
        <f t="shared" si="113"/>
        <v>4116</v>
      </c>
    </row>
    <row r="485" s="222" customFormat="1" ht="39" hidden="1" customHeight="1" spans="1:43">
      <c r="A485" s="375">
        <v>45969</v>
      </c>
      <c r="B485" s="376" t="s">
        <v>2009</v>
      </c>
      <c r="C485" s="222" t="s">
        <v>44</v>
      </c>
      <c r="D485" s="377">
        <v>4500185001</v>
      </c>
      <c r="E485" s="482" t="s">
        <v>2023</v>
      </c>
      <c r="F485" s="377" t="s">
        <v>2024</v>
      </c>
      <c r="G485" s="379" t="s">
        <v>84</v>
      </c>
      <c r="H485" s="379" t="s">
        <v>63</v>
      </c>
      <c r="I485" s="377">
        <v>846</v>
      </c>
      <c r="J485" s="377">
        <v>0</v>
      </c>
      <c r="K485" s="377">
        <v>3</v>
      </c>
      <c r="L485" s="377">
        <f t="shared" si="114"/>
        <v>282</v>
      </c>
      <c r="M485" s="387">
        <v>46021</v>
      </c>
      <c r="N485" s="387">
        <v>46017</v>
      </c>
      <c r="O485" s="387"/>
      <c r="P485" s="386" t="s">
        <v>49</v>
      </c>
      <c r="Q485" s="387"/>
      <c r="R485" s="387"/>
      <c r="S485" s="394" t="s">
        <v>50</v>
      </c>
      <c r="T485" s="395">
        <v>45975</v>
      </c>
      <c r="U485" s="394" t="s">
        <v>50</v>
      </c>
      <c r="V485" s="387" t="s">
        <v>2013</v>
      </c>
      <c r="W485" s="387"/>
      <c r="X485" s="399" t="s">
        <v>2014</v>
      </c>
      <c r="Y485" s="379" t="s">
        <v>87</v>
      </c>
      <c r="Z485" s="408">
        <v>2.1527</v>
      </c>
      <c r="AA485" s="409">
        <f t="shared" si="115"/>
        <v>1821.1842</v>
      </c>
      <c r="AB485" s="377"/>
      <c r="AC485" s="410" t="s">
        <v>84</v>
      </c>
      <c r="AD485" s="222" t="s">
        <v>56</v>
      </c>
      <c r="AE485" s="309">
        <f t="shared" si="109"/>
        <v>846</v>
      </c>
      <c r="AF485" s="306">
        <f t="shared" si="110"/>
        <v>0</v>
      </c>
      <c r="AI485" s="380" t="s">
        <v>57</v>
      </c>
      <c r="AJ485" s="306">
        <v>0</v>
      </c>
      <c r="AK485" s="380" t="s">
        <v>73</v>
      </c>
      <c r="AL485" s="306">
        <v>0</v>
      </c>
      <c r="AM485" s="377"/>
      <c r="AN485" s="306">
        <f t="shared" si="103"/>
        <v>846</v>
      </c>
      <c r="AO485" s="306">
        <f t="shared" si="111"/>
        <v>846</v>
      </c>
      <c r="AP485" s="306" t="b">
        <f t="shared" si="112"/>
        <v>0</v>
      </c>
      <c r="AQ485" s="306">
        <f t="shared" si="113"/>
        <v>846</v>
      </c>
    </row>
    <row r="486" s="222" customFormat="1" ht="39" hidden="1" customHeight="1" spans="1:43">
      <c r="A486" s="375">
        <v>45969</v>
      </c>
      <c r="B486" s="376" t="s">
        <v>2009</v>
      </c>
      <c r="C486" s="222" t="s">
        <v>44</v>
      </c>
      <c r="D486" s="377">
        <v>4500185001</v>
      </c>
      <c r="E486" s="482" t="s">
        <v>2025</v>
      </c>
      <c r="F486" s="377" t="s">
        <v>2026</v>
      </c>
      <c r="G486" s="379" t="s">
        <v>84</v>
      </c>
      <c r="H486" s="379" t="s">
        <v>63</v>
      </c>
      <c r="I486" s="377">
        <v>5088</v>
      </c>
      <c r="J486" s="377">
        <v>0</v>
      </c>
      <c r="K486" s="377">
        <v>3</v>
      </c>
      <c r="L486" s="377">
        <f t="shared" si="114"/>
        <v>1696</v>
      </c>
      <c r="M486" s="387">
        <v>46021</v>
      </c>
      <c r="N486" s="387">
        <v>46017</v>
      </c>
      <c r="O486" s="387"/>
      <c r="P486" s="386" t="s">
        <v>49</v>
      </c>
      <c r="Q486" s="387"/>
      <c r="R486" s="387"/>
      <c r="S486" s="394" t="s">
        <v>50</v>
      </c>
      <c r="T486" s="395">
        <v>45975</v>
      </c>
      <c r="U486" s="394" t="s">
        <v>50</v>
      </c>
      <c r="V486" s="387" t="s">
        <v>2013</v>
      </c>
      <c r="W486" s="387"/>
      <c r="X486" s="399" t="s">
        <v>2014</v>
      </c>
      <c r="Y486" s="379" t="s">
        <v>87</v>
      </c>
      <c r="Z486" s="408">
        <v>2.0937</v>
      </c>
      <c r="AA486" s="409">
        <f t="shared" si="115"/>
        <v>10652.7456</v>
      </c>
      <c r="AB486" s="377"/>
      <c r="AC486" s="410" t="s">
        <v>84</v>
      </c>
      <c r="AD486" s="222" t="s">
        <v>56</v>
      </c>
      <c r="AE486" s="309">
        <f t="shared" si="109"/>
        <v>5088</v>
      </c>
      <c r="AF486" s="306">
        <f t="shared" si="110"/>
        <v>0</v>
      </c>
      <c r="AI486" s="380" t="s">
        <v>57</v>
      </c>
      <c r="AJ486" s="306">
        <v>0</v>
      </c>
      <c r="AK486" s="380" t="s">
        <v>73</v>
      </c>
      <c r="AL486" s="306">
        <v>0</v>
      </c>
      <c r="AM486" s="377"/>
      <c r="AN486" s="306">
        <f t="shared" si="103"/>
        <v>5088</v>
      </c>
      <c r="AO486" s="306">
        <f t="shared" si="111"/>
        <v>5088</v>
      </c>
      <c r="AP486" s="306" t="b">
        <f t="shared" si="112"/>
        <v>0</v>
      </c>
      <c r="AQ486" s="306">
        <f t="shared" si="113"/>
        <v>5088</v>
      </c>
    </row>
    <row r="487" s="222" customFormat="1" ht="39" hidden="1" customHeight="1" spans="1:43">
      <c r="A487" s="375">
        <v>45969</v>
      </c>
      <c r="B487" s="376" t="s">
        <v>2009</v>
      </c>
      <c r="C487" s="222" t="s">
        <v>44</v>
      </c>
      <c r="D487" s="377">
        <v>4500185001</v>
      </c>
      <c r="E487" s="482" t="s">
        <v>2027</v>
      </c>
      <c r="F487" s="377" t="s">
        <v>2028</v>
      </c>
      <c r="G487" s="379" t="s">
        <v>84</v>
      </c>
      <c r="H487" s="379" t="s">
        <v>63</v>
      </c>
      <c r="I487" s="377">
        <v>3579</v>
      </c>
      <c r="J487" s="377">
        <v>0</v>
      </c>
      <c r="K487" s="377">
        <v>3</v>
      </c>
      <c r="L487" s="377">
        <f t="shared" si="114"/>
        <v>1193</v>
      </c>
      <c r="M487" s="387">
        <v>46021</v>
      </c>
      <c r="N487" s="387">
        <v>46017</v>
      </c>
      <c r="O487" s="387"/>
      <c r="P487" s="386" t="s">
        <v>49</v>
      </c>
      <c r="Q487" s="387"/>
      <c r="R487" s="387"/>
      <c r="S487" s="394" t="s">
        <v>50</v>
      </c>
      <c r="T487" s="395">
        <v>45975</v>
      </c>
      <c r="U487" s="394" t="s">
        <v>50</v>
      </c>
      <c r="V487" s="387" t="s">
        <v>2013</v>
      </c>
      <c r="W487" s="387"/>
      <c r="X487" s="399" t="s">
        <v>2014</v>
      </c>
      <c r="Y487" s="379" t="s">
        <v>87</v>
      </c>
      <c r="Z487" s="408">
        <v>2.1263</v>
      </c>
      <c r="AA487" s="409">
        <f t="shared" si="115"/>
        <v>7610.0277</v>
      </c>
      <c r="AB487" s="377"/>
      <c r="AC487" s="410" t="s">
        <v>84</v>
      </c>
      <c r="AD487" s="222" t="s">
        <v>56</v>
      </c>
      <c r="AE487" s="309">
        <f t="shared" si="109"/>
        <v>3579</v>
      </c>
      <c r="AF487" s="306">
        <f t="shared" si="110"/>
        <v>0</v>
      </c>
      <c r="AI487" s="380" t="s">
        <v>57</v>
      </c>
      <c r="AJ487" s="306">
        <v>0</v>
      </c>
      <c r="AK487" s="380" t="s">
        <v>73</v>
      </c>
      <c r="AL487" s="306">
        <v>0</v>
      </c>
      <c r="AM487" s="377"/>
      <c r="AN487" s="306">
        <f t="shared" si="103"/>
        <v>3579</v>
      </c>
      <c r="AO487" s="306">
        <f t="shared" si="111"/>
        <v>3579</v>
      </c>
      <c r="AP487" s="306" t="b">
        <f t="shared" si="112"/>
        <v>0</v>
      </c>
      <c r="AQ487" s="306">
        <f t="shared" si="113"/>
        <v>3579</v>
      </c>
    </row>
    <row r="488" s="222" customFormat="1" ht="39" hidden="1" customHeight="1" spans="1:43">
      <c r="A488" s="375">
        <v>45969</v>
      </c>
      <c r="B488" s="376" t="s">
        <v>2009</v>
      </c>
      <c r="C488" s="222" t="s">
        <v>44</v>
      </c>
      <c r="D488" s="377">
        <v>4500185001</v>
      </c>
      <c r="E488" s="482" t="s">
        <v>2029</v>
      </c>
      <c r="F488" s="377" t="s">
        <v>2030</v>
      </c>
      <c r="G488" s="379" t="s">
        <v>84</v>
      </c>
      <c r="H488" s="379" t="s">
        <v>63</v>
      </c>
      <c r="I488" s="377">
        <v>3444</v>
      </c>
      <c r="J488" s="377">
        <v>0</v>
      </c>
      <c r="K488" s="377">
        <v>3</v>
      </c>
      <c r="L488" s="377">
        <f t="shared" si="114"/>
        <v>1148</v>
      </c>
      <c r="M488" s="387">
        <v>46021</v>
      </c>
      <c r="N488" s="387">
        <v>46017</v>
      </c>
      <c r="O488" s="387"/>
      <c r="P488" s="386" t="s">
        <v>49</v>
      </c>
      <c r="Q488" s="387"/>
      <c r="R488" s="387"/>
      <c r="S488" s="394" t="s">
        <v>50</v>
      </c>
      <c r="T488" s="395">
        <v>45975</v>
      </c>
      <c r="U488" s="394" t="s">
        <v>50</v>
      </c>
      <c r="V488" s="387" t="s">
        <v>2013</v>
      </c>
      <c r="W488" s="387"/>
      <c r="X488" s="399" t="s">
        <v>2014</v>
      </c>
      <c r="Y488" s="379" t="s">
        <v>87</v>
      </c>
      <c r="Z488" s="408">
        <v>2.1263</v>
      </c>
      <c r="AA488" s="409">
        <f t="shared" si="115"/>
        <v>7322.9772</v>
      </c>
      <c r="AB488" s="377"/>
      <c r="AC488" s="410" t="s">
        <v>84</v>
      </c>
      <c r="AD488" s="222" t="s">
        <v>56</v>
      </c>
      <c r="AE488" s="309">
        <f t="shared" si="109"/>
        <v>3444</v>
      </c>
      <c r="AF488" s="306">
        <f t="shared" si="110"/>
        <v>0</v>
      </c>
      <c r="AI488" s="380" t="s">
        <v>57</v>
      </c>
      <c r="AJ488" s="306">
        <v>0</v>
      </c>
      <c r="AK488" s="380" t="s">
        <v>73</v>
      </c>
      <c r="AL488" s="306">
        <v>0</v>
      </c>
      <c r="AM488" s="377"/>
      <c r="AN488" s="306">
        <f t="shared" si="103"/>
        <v>3444</v>
      </c>
      <c r="AO488" s="306">
        <f t="shared" si="111"/>
        <v>3444</v>
      </c>
      <c r="AP488" s="306" t="b">
        <f t="shared" si="112"/>
        <v>0</v>
      </c>
      <c r="AQ488" s="306">
        <f t="shared" si="113"/>
        <v>3444</v>
      </c>
    </row>
    <row r="489" s="222" customFormat="1" ht="39" hidden="1" customHeight="1" spans="1:43">
      <c r="A489" s="375">
        <v>45969</v>
      </c>
      <c r="B489" s="376" t="s">
        <v>2009</v>
      </c>
      <c r="C489" s="222" t="s">
        <v>44</v>
      </c>
      <c r="D489" s="377">
        <v>4500185001</v>
      </c>
      <c r="E489" s="482" t="s">
        <v>2031</v>
      </c>
      <c r="F489" s="377" t="s">
        <v>2032</v>
      </c>
      <c r="G489" s="379" t="s">
        <v>84</v>
      </c>
      <c r="H489" s="379" t="s">
        <v>63</v>
      </c>
      <c r="I489" s="377">
        <v>3285</v>
      </c>
      <c r="J489" s="377">
        <v>0</v>
      </c>
      <c r="K489" s="377">
        <v>3</v>
      </c>
      <c r="L489" s="377">
        <f t="shared" si="114"/>
        <v>1095</v>
      </c>
      <c r="M489" s="387">
        <v>46021</v>
      </c>
      <c r="N489" s="387">
        <v>46017</v>
      </c>
      <c r="O489" s="387"/>
      <c r="P489" s="386" t="s">
        <v>49</v>
      </c>
      <c r="Q489" s="387"/>
      <c r="R489" s="387"/>
      <c r="S489" s="394" t="s">
        <v>50</v>
      </c>
      <c r="T489" s="395">
        <v>45975</v>
      </c>
      <c r="U489" s="394" t="s">
        <v>50</v>
      </c>
      <c r="V489" s="387" t="s">
        <v>2013</v>
      </c>
      <c r="W489" s="387"/>
      <c r="X489" s="399" t="s">
        <v>2014</v>
      </c>
      <c r="Y489" s="379" t="s">
        <v>87</v>
      </c>
      <c r="Z489" s="408">
        <v>2.1263</v>
      </c>
      <c r="AA489" s="409">
        <f t="shared" si="115"/>
        <v>6984.8955</v>
      </c>
      <c r="AB489" s="377"/>
      <c r="AC489" s="410" t="s">
        <v>84</v>
      </c>
      <c r="AD489" s="222" t="s">
        <v>56</v>
      </c>
      <c r="AE489" s="309">
        <f t="shared" si="109"/>
        <v>3285</v>
      </c>
      <c r="AF489" s="306">
        <f t="shared" si="110"/>
        <v>0</v>
      </c>
      <c r="AI489" s="380" t="s">
        <v>57</v>
      </c>
      <c r="AJ489" s="306">
        <v>0</v>
      </c>
      <c r="AK489" s="380" t="s">
        <v>73</v>
      </c>
      <c r="AL489" s="306">
        <v>0</v>
      </c>
      <c r="AM489" s="377"/>
      <c r="AN489" s="306">
        <f t="shared" si="103"/>
        <v>3285</v>
      </c>
      <c r="AO489" s="306">
        <f t="shared" si="111"/>
        <v>3285</v>
      </c>
      <c r="AP489" s="306" t="b">
        <f t="shared" si="112"/>
        <v>0</v>
      </c>
      <c r="AQ489" s="306">
        <f t="shared" si="113"/>
        <v>3285</v>
      </c>
    </row>
    <row r="490" s="222" customFormat="1" ht="39" customHeight="1" spans="1:43">
      <c r="A490" s="375">
        <v>45972</v>
      </c>
      <c r="B490" s="376" t="s">
        <v>200</v>
      </c>
      <c r="C490" s="222" t="s">
        <v>201</v>
      </c>
      <c r="D490" s="377">
        <v>4500185070</v>
      </c>
      <c r="E490" s="382"/>
      <c r="F490" s="377" t="s">
        <v>2033</v>
      </c>
      <c r="G490" s="379" t="s">
        <v>62</v>
      </c>
      <c r="H490" s="379" t="s">
        <v>63</v>
      </c>
      <c r="I490" s="377">
        <v>900</v>
      </c>
      <c r="J490" s="377">
        <v>0</v>
      </c>
      <c r="K490" s="377">
        <v>6</v>
      </c>
      <c r="L490" s="377">
        <f t="shared" si="114"/>
        <v>150</v>
      </c>
      <c r="M490" s="387">
        <v>46021</v>
      </c>
      <c r="N490" s="387">
        <v>46017</v>
      </c>
      <c r="O490" s="387"/>
      <c r="P490" s="386" t="s">
        <v>49</v>
      </c>
      <c r="Q490" s="387"/>
      <c r="R490" s="387"/>
      <c r="S490" s="394" t="s">
        <v>50</v>
      </c>
      <c r="T490" s="395">
        <v>45988</v>
      </c>
      <c r="U490" s="394" t="s">
        <v>2034</v>
      </c>
      <c r="V490" s="387"/>
      <c r="W490" s="387"/>
      <c r="X490" s="399" t="s">
        <v>2035</v>
      </c>
      <c r="Y490" s="379" t="s">
        <v>1331</v>
      </c>
      <c r="Z490" s="408">
        <v>3.5498</v>
      </c>
      <c r="AA490" s="409">
        <f t="shared" si="115"/>
        <v>3194.82</v>
      </c>
      <c r="AB490" s="377"/>
      <c r="AC490" s="410" t="s">
        <v>71</v>
      </c>
      <c r="AD490" s="222" t="s">
        <v>56</v>
      </c>
      <c r="AE490" s="309">
        <f t="shared" si="109"/>
        <v>900</v>
      </c>
      <c r="AF490" s="306">
        <f t="shared" si="110"/>
        <v>0</v>
      </c>
      <c r="AI490" s="380" t="s">
        <v>72</v>
      </c>
      <c r="AJ490" s="306">
        <v>2</v>
      </c>
      <c r="AK490" s="380" t="s">
        <v>73</v>
      </c>
      <c r="AL490" s="306">
        <v>0</v>
      </c>
      <c r="AM490" s="377"/>
      <c r="AN490" s="306">
        <f t="shared" si="103"/>
        <v>900</v>
      </c>
      <c r="AO490" s="306">
        <f t="shared" si="111"/>
        <v>0</v>
      </c>
      <c r="AP490" s="306">
        <f t="shared" si="112"/>
        <v>900</v>
      </c>
      <c r="AQ490" s="306">
        <f t="shared" si="113"/>
        <v>900</v>
      </c>
    </row>
    <row r="491" s="222" customFormat="1" ht="39" hidden="1" customHeight="1" spans="1:43">
      <c r="A491" s="375">
        <v>45988</v>
      </c>
      <c r="B491" s="376" t="s">
        <v>838</v>
      </c>
      <c r="C491" s="222" t="s">
        <v>44</v>
      </c>
      <c r="D491" s="377">
        <v>4500187126</v>
      </c>
      <c r="E491" s="382" t="s">
        <v>2036</v>
      </c>
      <c r="F491" s="377" t="s">
        <v>2037</v>
      </c>
      <c r="G491" s="379" t="s">
        <v>46</v>
      </c>
      <c r="H491" s="379" t="s">
        <v>47</v>
      </c>
      <c r="I491" s="377">
        <v>588</v>
      </c>
      <c r="J491" s="377">
        <v>0</v>
      </c>
      <c r="K491" s="377">
        <v>98</v>
      </c>
      <c r="L491" s="377">
        <f t="shared" si="114"/>
        <v>6</v>
      </c>
      <c r="M491" s="387">
        <v>46022</v>
      </c>
      <c r="N491" s="387">
        <f t="shared" ref="N491:N504" si="116">M491-4</f>
        <v>46018</v>
      </c>
      <c r="O491" s="387"/>
      <c r="P491" s="386" t="s">
        <v>49</v>
      </c>
      <c r="Q491" s="387"/>
      <c r="R491" s="387"/>
      <c r="S491" s="394" t="s">
        <v>50</v>
      </c>
      <c r="T491" s="395" t="s">
        <v>2038</v>
      </c>
      <c r="U491" s="400" t="s">
        <v>1940</v>
      </c>
      <c r="V491" s="387" t="s">
        <v>1941</v>
      </c>
      <c r="W491" s="387"/>
      <c r="X491" s="397" t="s">
        <v>2039</v>
      </c>
      <c r="Y491" s="379" t="s">
        <v>2040</v>
      </c>
      <c r="Z491" s="408">
        <v>204.7433</v>
      </c>
      <c r="AA491" s="409">
        <f t="shared" ref="AA491:AA504" si="117">Z491*L491</f>
        <v>1228.4598</v>
      </c>
      <c r="AB491" s="377"/>
      <c r="AC491" s="410" t="s">
        <v>46</v>
      </c>
      <c r="AD491" s="222" t="s">
        <v>56</v>
      </c>
      <c r="AE491" s="309">
        <f t="shared" si="109"/>
        <v>588</v>
      </c>
      <c r="AF491" s="306">
        <f t="shared" ref="AF491:AF501" si="118">AE491-I491</f>
        <v>0</v>
      </c>
      <c r="AI491" s="380" t="s">
        <v>57</v>
      </c>
      <c r="AJ491" s="306">
        <v>0</v>
      </c>
      <c r="AK491" s="380" t="s">
        <v>73</v>
      </c>
      <c r="AL491" s="306">
        <v>0</v>
      </c>
      <c r="AM491" s="377"/>
      <c r="AN491" s="306">
        <f t="shared" ref="AN491:AN511" si="119">I491</f>
        <v>588</v>
      </c>
      <c r="AO491" s="306">
        <f t="shared" ref="AO491:AO511" si="120">IF($AJ491=0,$AN491,IF($AJ491&gt;0,0))</f>
        <v>588</v>
      </c>
      <c r="AP491" s="306" t="b">
        <f t="shared" ref="AP491:AP511" si="121">IF($AJ491=2,$AN491,IF($AJ491&gt;0,0))</f>
        <v>0</v>
      </c>
      <c r="AQ491" s="306">
        <f t="shared" ref="AQ491:AQ511" si="122">IF($AL491=0,$AN491,IF($AL491&gt;0,0))</f>
        <v>588</v>
      </c>
    </row>
    <row r="492" s="222" customFormat="1" ht="39" hidden="1" customHeight="1" spans="1:43">
      <c r="A492" s="375">
        <v>45988</v>
      </c>
      <c r="B492" s="376" t="s">
        <v>838</v>
      </c>
      <c r="C492" s="222" t="s">
        <v>44</v>
      </c>
      <c r="D492" s="377">
        <v>4500187129</v>
      </c>
      <c r="E492" s="382" t="s">
        <v>2041</v>
      </c>
      <c r="F492" s="377" t="s">
        <v>2042</v>
      </c>
      <c r="G492" s="379" t="s">
        <v>46</v>
      </c>
      <c r="H492" s="379" t="s">
        <v>47</v>
      </c>
      <c r="I492" s="377">
        <v>588</v>
      </c>
      <c r="J492" s="377">
        <v>0</v>
      </c>
      <c r="K492" s="377">
        <v>98</v>
      </c>
      <c r="L492" s="377">
        <f t="shared" si="114"/>
        <v>6</v>
      </c>
      <c r="M492" s="387">
        <v>46022</v>
      </c>
      <c r="N492" s="387">
        <f t="shared" si="116"/>
        <v>46018</v>
      </c>
      <c r="O492" s="387"/>
      <c r="P492" s="386" t="s">
        <v>49</v>
      </c>
      <c r="Q492" s="387"/>
      <c r="R492" s="387"/>
      <c r="S492" s="394" t="s">
        <v>50</v>
      </c>
      <c r="T492" s="395" t="s">
        <v>2038</v>
      </c>
      <c r="U492" s="400" t="s">
        <v>1940</v>
      </c>
      <c r="V492" s="387" t="s">
        <v>1941</v>
      </c>
      <c r="W492" s="387"/>
      <c r="X492" s="397" t="s">
        <v>2043</v>
      </c>
      <c r="Y492" s="379" t="s">
        <v>2040</v>
      </c>
      <c r="Z492" s="408">
        <v>204.7433</v>
      </c>
      <c r="AA492" s="409">
        <f t="shared" si="117"/>
        <v>1228.4598</v>
      </c>
      <c r="AB492" s="377"/>
      <c r="AC492" s="410" t="s">
        <v>46</v>
      </c>
      <c r="AD492" s="222" t="s">
        <v>56</v>
      </c>
      <c r="AE492" s="309">
        <f t="shared" si="109"/>
        <v>588</v>
      </c>
      <c r="AF492" s="306">
        <f t="shared" si="118"/>
        <v>0</v>
      </c>
      <c r="AI492" s="380" t="s">
        <v>57</v>
      </c>
      <c r="AJ492" s="306">
        <v>0</v>
      </c>
      <c r="AK492" s="380" t="s">
        <v>73</v>
      </c>
      <c r="AL492" s="306">
        <v>0</v>
      </c>
      <c r="AM492" s="377"/>
      <c r="AN492" s="306">
        <f t="shared" si="119"/>
        <v>588</v>
      </c>
      <c r="AO492" s="306">
        <f t="shared" si="120"/>
        <v>588</v>
      </c>
      <c r="AP492" s="306" t="b">
        <f t="shared" si="121"/>
        <v>0</v>
      </c>
      <c r="AQ492" s="306">
        <f t="shared" si="122"/>
        <v>588</v>
      </c>
    </row>
    <row r="493" s="222" customFormat="1" ht="39" hidden="1" customHeight="1" spans="1:43">
      <c r="A493" s="375">
        <v>45988</v>
      </c>
      <c r="B493" s="376" t="s">
        <v>838</v>
      </c>
      <c r="C493" s="222" t="s">
        <v>44</v>
      </c>
      <c r="D493" s="377">
        <v>4500187131</v>
      </c>
      <c r="E493" s="382" t="s">
        <v>2044</v>
      </c>
      <c r="F493" s="377" t="s">
        <v>2045</v>
      </c>
      <c r="G493" s="379" t="s">
        <v>46</v>
      </c>
      <c r="H493" s="379" t="s">
        <v>47</v>
      </c>
      <c r="I493" s="377">
        <v>1764</v>
      </c>
      <c r="J493" s="377">
        <v>0</v>
      </c>
      <c r="K493" s="377">
        <v>98</v>
      </c>
      <c r="L493" s="377">
        <f t="shared" si="114"/>
        <v>18</v>
      </c>
      <c r="M493" s="387">
        <v>46022</v>
      </c>
      <c r="N493" s="387">
        <f t="shared" si="116"/>
        <v>46018</v>
      </c>
      <c r="O493" s="387" t="s">
        <v>2046</v>
      </c>
      <c r="P493" s="386" t="s">
        <v>49</v>
      </c>
      <c r="Q493" s="387"/>
      <c r="R493" s="387"/>
      <c r="S493" s="394" t="s">
        <v>50</v>
      </c>
      <c r="T493" s="395" t="s">
        <v>2038</v>
      </c>
      <c r="U493" s="400" t="s">
        <v>1940</v>
      </c>
      <c r="V493" s="387" t="s">
        <v>1941</v>
      </c>
      <c r="W493" s="387"/>
      <c r="X493" s="397" t="s">
        <v>2043</v>
      </c>
      <c r="Y493" s="379" t="s">
        <v>2040</v>
      </c>
      <c r="Z493" s="408">
        <v>203.9661</v>
      </c>
      <c r="AA493" s="409">
        <f t="shared" si="117"/>
        <v>3671.3898</v>
      </c>
      <c r="AB493" s="377"/>
      <c r="AC493" s="410" t="s">
        <v>46</v>
      </c>
      <c r="AD493" s="222" t="s">
        <v>56</v>
      </c>
      <c r="AE493" s="309">
        <f t="shared" si="109"/>
        <v>1764</v>
      </c>
      <c r="AF493" s="306">
        <f t="shared" si="118"/>
        <v>0</v>
      </c>
      <c r="AI493" s="380" t="s">
        <v>57</v>
      </c>
      <c r="AJ493" s="306">
        <v>0</v>
      </c>
      <c r="AK493" s="380" t="s">
        <v>73</v>
      </c>
      <c r="AL493" s="306">
        <v>0</v>
      </c>
      <c r="AM493" s="377"/>
      <c r="AN493" s="306">
        <f t="shared" si="119"/>
        <v>1764</v>
      </c>
      <c r="AO493" s="306">
        <f t="shared" si="120"/>
        <v>1764</v>
      </c>
      <c r="AP493" s="306" t="b">
        <f t="shared" si="121"/>
        <v>0</v>
      </c>
      <c r="AQ493" s="306">
        <f t="shared" si="122"/>
        <v>1764</v>
      </c>
    </row>
    <row r="494" s="222" customFormat="1" ht="39" hidden="1" customHeight="1" spans="1:43">
      <c r="A494" s="375">
        <v>45988</v>
      </c>
      <c r="B494" s="376" t="s">
        <v>838</v>
      </c>
      <c r="C494" s="222" t="s">
        <v>44</v>
      </c>
      <c r="D494" s="377">
        <v>4500187133</v>
      </c>
      <c r="E494" s="382" t="s">
        <v>2047</v>
      </c>
      <c r="F494" s="377" t="s">
        <v>2048</v>
      </c>
      <c r="G494" s="379" t="s">
        <v>46</v>
      </c>
      <c r="H494" s="379" t="s">
        <v>47</v>
      </c>
      <c r="I494" s="377">
        <v>1568</v>
      </c>
      <c r="J494" s="377">
        <v>0</v>
      </c>
      <c r="K494" s="377">
        <v>98</v>
      </c>
      <c r="L494" s="377">
        <f t="shared" si="114"/>
        <v>16</v>
      </c>
      <c r="M494" s="387">
        <v>46022</v>
      </c>
      <c r="N494" s="387">
        <f t="shared" si="116"/>
        <v>46018</v>
      </c>
      <c r="O494" s="387"/>
      <c r="P494" s="386" t="s">
        <v>49</v>
      </c>
      <c r="Q494" s="387"/>
      <c r="R494" s="387"/>
      <c r="S494" s="394" t="s">
        <v>50</v>
      </c>
      <c r="T494" s="395" t="s">
        <v>2038</v>
      </c>
      <c r="U494" s="400" t="s">
        <v>1940</v>
      </c>
      <c r="V494" s="387" t="s">
        <v>1941</v>
      </c>
      <c r="W494" s="387"/>
      <c r="X494" s="397" t="s">
        <v>2043</v>
      </c>
      <c r="Y494" s="379" t="s">
        <v>2040</v>
      </c>
      <c r="Z494" s="408">
        <v>203.9669</v>
      </c>
      <c r="AA494" s="409">
        <f t="shared" si="117"/>
        <v>3263.4704</v>
      </c>
      <c r="AB494" s="377"/>
      <c r="AC494" s="410" t="s">
        <v>46</v>
      </c>
      <c r="AD494" s="222" t="s">
        <v>56</v>
      </c>
      <c r="AE494" s="309">
        <f t="shared" si="109"/>
        <v>1568</v>
      </c>
      <c r="AF494" s="306">
        <f t="shared" si="118"/>
        <v>0</v>
      </c>
      <c r="AI494" s="380" t="s">
        <v>57</v>
      </c>
      <c r="AJ494" s="306">
        <v>0</v>
      </c>
      <c r="AK494" s="380" t="s">
        <v>73</v>
      </c>
      <c r="AL494" s="306">
        <v>0</v>
      </c>
      <c r="AM494" s="377"/>
      <c r="AN494" s="306">
        <f t="shared" si="119"/>
        <v>1568</v>
      </c>
      <c r="AO494" s="306">
        <f t="shared" si="120"/>
        <v>1568</v>
      </c>
      <c r="AP494" s="306" t="b">
        <f t="shared" si="121"/>
        <v>0</v>
      </c>
      <c r="AQ494" s="306">
        <f t="shared" si="122"/>
        <v>1568</v>
      </c>
    </row>
    <row r="495" s="222" customFormat="1" ht="39" hidden="1" customHeight="1" spans="1:43">
      <c r="A495" s="375">
        <v>45988</v>
      </c>
      <c r="B495" s="376" t="s">
        <v>838</v>
      </c>
      <c r="C495" s="222" t="s">
        <v>44</v>
      </c>
      <c r="D495" s="377">
        <v>4500187136</v>
      </c>
      <c r="E495" s="382" t="s">
        <v>2049</v>
      </c>
      <c r="F495" s="377" t="s">
        <v>2050</v>
      </c>
      <c r="G495" s="379" t="s">
        <v>46</v>
      </c>
      <c r="H495" s="379" t="s">
        <v>47</v>
      </c>
      <c r="I495" s="377">
        <v>588</v>
      </c>
      <c r="J495" s="377">
        <v>0</v>
      </c>
      <c r="K495" s="377">
        <v>98</v>
      </c>
      <c r="L495" s="377">
        <f t="shared" si="114"/>
        <v>6</v>
      </c>
      <c r="M495" s="387">
        <v>46022</v>
      </c>
      <c r="N495" s="387">
        <f t="shared" si="116"/>
        <v>46018</v>
      </c>
      <c r="O495" s="387"/>
      <c r="P495" s="386" t="s">
        <v>49</v>
      </c>
      <c r="Q495" s="387"/>
      <c r="R495" s="387"/>
      <c r="S495" s="394" t="s">
        <v>50</v>
      </c>
      <c r="T495" s="395" t="s">
        <v>2038</v>
      </c>
      <c r="U495" s="400" t="s">
        <v>1940</v>
      </c>
      <c r="V495" s="387" t="s">
        <v>1941</v>
      </c>
      <c r="W495" s="387"/>
      <c r="X495" s="397" t="s">
        <v>2051</v>
      </c>
      <c r="Y495" s="379" t="s">
        <v>2040</v>
      </c>
      <c r="Z495" s="408">
        <v>204.7433</v>
      </c>
      <c r="AA495" s="409">
        <f t="shared" si="117"/>
        <v>1228.4598</v>
      </c>
      <c r="AB495" s="377"/>
      <c r="AC495" s="410" t="s">
        <v>46</v>
      </c>
      <c r="AD495" s="222" t="s">
        <v>56</v>
      </c>
      <c r="AE495" s="309">
        <f t="shared" si="109"/>
        <v>588</v>
      </c>
      <c r="AF495" s="306">
        <f t="shared" si="118"/>
        <v>0</v>
      </c>
      <c r="AI495" s="380" t="s">
        <v>57</v>
      </c>
      <c r="AJ495" s="306">
        <v>0</v>
      </c>
      <c r="AK495" s="380" t="s">
        <v>73</v>
      </c>
      <c r="AL495" s="306">
        <v>0</v>
      </c>
      <c r="AM495" s="377"/>
      <c r="AN495" s="306">
        <f t="shared" si="119"/>
        <v>588</v>
      </c>
      <c r="AO495" s="306">
        <f t="shared" si="120"/>
        <v>588</v>
      </c>
      <c r="AP495" s="306" t="b">
        <f t="shared" si="121"/>
        <v>0</v>
      </c>
      <c r="AQ495" s="306">
        <f t="shared" si="122"/>
        <v>588</v>
      </c>
    </row>
    <row r="496" s="222" customFormat="1" ht="39" hidden="1" customHeight="1" spans="1:43">
      <c r="A496" s="375">
        <v>45988</v>
      </c>
      <c r="B496" s="376" t="s">
        <v>838</v>
      </c>
      <c r="C496" s="222" t="s">
        <v>44</v>
      </c>
      <c r="D496" s="377">
        <v>4500187137</v>
      </c>
      <c r="E496" s="382" t="s">
        <v>2052</v>
      </c>
      <c r="F496" s="377" t="s">
        <v>2053</v>
      </c>
      <c r="G496" s="379" t="s">
        <v>46</v>
      </c>
      <c r="H496" s="379" t="s">
        <v>47</v>
      </c>
      <c r="I496" s="377">
        <v>588</v>
      </c>
      <c r="J496" s="377">
        <v>0</v>
      </c>
      <c r="K496" s="377">
        <v>98</v>
      </c>
      <c r="L496" s="377">
        <f t="shared" si="114"/>
        <v>6</v>
      </c>
      <c r="M496" s="387">
        <v>46022</v>
      </c>
      <c r="N496" s="387">
        <f t="shared" si="116"/>
        <v>46018</v>
      </c>
      <c r="O496" s="387"/>
      <c r="P496" s="386" t="s">
        <v>49</v>
      </c>
      <c r="Q496" s="387"/>
      <c r="R496" s="387"/>
      <c r="S496" s="394" t="s">
        <v>50</v>
      </c>
      <c r="T496" s="395" t="s">
        <v>2038</v>
      </c>
      <c r="U496" s="400" t="s">
        <v>1940</v>
      </c>
      <c r="V496" s="387" t="s">
        <v>1941</v>
      </c>
      <c r="W496" s="387"/>
      <c r="X496" s="397" t="s">
        <v>2051</v>
      </c>
      <c r="Y496" s="379" t="s">
        <v>2040</v>
      </c>
      <c r="Z496" s="408">
        <v>204.7433</v>
      </c>
      <c r="AA496" s="409">
        <f t="shared" si="117"/>
        <v>1228.4598</v>
      </c>
      <c r="AB496" s="377"/>
      <c r="AC496" s="410" t="s">
        <v>46</v>
      </c>
      <c r="AD496" s="222" t="s">
        <v>56</v>
      </c>
      <c r="AE496" s="309">
        <f t="shared" si="109"/>
        <v>588</v>
      </c>
      <c r="AF496" s="306">
        <f t="shared" si="118"/>
        <v>0</v>
      </c>
      <c r="AI496" s="380" t="s">
        <v>57</v>
      </c>
      <c r="AJ496" s="306">
        <v>0</v>
      </c>
      <c r="AK496" s="380" t="s">
        <v>73</v>
      </c>
      <c r="AL496" s="306">
        <v>0</v>
      </c>
      <c r="AM496" s="377"/>
      <c r="AN496" s="306">
        <f t="shared" si="119"/>
        <v>588</v>
      </c>
      <c r="AO496" s="306">
        <f t="shared" si="120"/>
        <v>588</v>
      </c>
      <c r="AP496" s="306" t="b">
        <f t="shared" si="121"/>
        <v>0</v>
      </c>
      <c r="AQ496" s="306">
        <f t="shared" si="122"/>
        <v>588</v>
      </c>
    </row>
    <row r="497" s="222" customFormat="1" ht="39" hidden="1" customHeight="1" spans="1:43">
      <c r="A497" s="375">
        <v>45988</v>
      </c>
      <c r="B497" s="376" t="s">
        <v>838</v>
      </c>
      <c r="C497" s="222" t="s">
        <v>44</v>
      </c>
      <c r="D497" s="377">
        <v>4500187138</v>
      </c>
      <c r="E497" s="382" t="s">
        <v>2054</v>
      </c>
      <c r="F497" s="377" t="s">
        <v>2055</v>
      </c>
      <c r="G497" s="379" t="s">
        <v>46</v>
      </c>
      <c r="H497" s="379" t="s">
        <v>47</v>
      </c>
      <c r="I497" s="377">
        <v>588</v>
      </c>
      <c r="J497" s="377">
        <v>0</v>
      </c>
      <c r="K497" s="377">
        <v>98</v>
      </c>
      <c r="L497" s="377">
        <f t="shared" si="114"/>
        <v>6</v>
      </c>
      <c r="M497" s="387">
        <v>46022</v>
      </c>
      <c r="N497" s="387">
        <f t="shared" si="116"/>
        <v>46018</v>
      </c>
      <c r="O497" s="387"/>
      <c r="P497" s="386" t="s">
        <v>49</v>
      </c>
      <c r="Q497" s="387"/>
      <c r="R497" s="387"/>
      <c r="S497" s="394" t="s">
        <v>50</v>
      </c>
      <c r="T497" s="395" t="s">
        <v>2038</v>
      </c>
      <c r="U497" s="400" t="s">
        <v>1940</v>
      </c>
      <c r="V497" s="387" t="s">
        <v>1941</v>
      </c>
      <c r="W497" s="387"/>
      <c r="X497" s="397" t="s">
        <v>2056</v>
      </c>
      <c r="Y497" s="379" t="s">
        <v>2040</v>
      </c>
      <c r="Z497" s="408">
        <v>217.2267</v>
      </c>
      <c r="AA497" s="409">
        <f t="shared" si="117"/>
        <v>1303.3602</v>
      </c>
      <c r="AB497" s="377"/>
      <c r="AC497" s="410" t="s">
        <v>46</v>
      </c>
      <c r="AD497" s="222" t="s">
        <v>56</v>
      </c>
      <c r="AE497" s="309">
        <f t="shared" si="109"/>
        <v>588</v>
      </c>
      <c r="AF497" s="306">
        <f t="shared" si="118"/>
        <v>0</v>
      </c>
      <c r="AI497" s="380" t="s">
        <v>57</v>
      </c>
      <c r="AJ497" s="306">
        <v>0</v>
      </c>
      <c r="AK497" s="380" t="s">
        <v>73</v>
      </c>
      <c r="AL497" s="306">
        <v>0</v>
      </c>
      <c r="AM497" s="377"/>
      <c r="AN497" s="306">
        <f t="shared" si="119"/>
        <v>588</v>
      </c>
      <c r="AO497" s="306">
        <f t="shared" si="120"/>
        <v>588</v>
      </c>
      <c r="AP497" s="306" t="b">
        <f t="shared" si="121"/>
        <v>0</v>
      </c>
      <c r="AQ497" s="306">
        <f t="shared" si="122"/>
        <v>588</v>
      </c>
    </row>
    <row r="498" s="222" customFormat="1" ht="39" customHeight="1" spans="1:43">
      <c r="A498" s="375">
        <v>45985</v>
      </c>
      <c r="B498" s="376" t="s">
        <v>385</v>
      </c>
      <c r="C498" s="222" t="s">
        <v>44</v>
      </c>
      <c r="D498" s="377">
        <v>4500185343</v>
      </c>
      <c r="E498" s="482" t="s">
        <v>2057</v>
      </c>
      <c r="F498" s="377" t="s">
        <v>2058</v>
      </c>
      <c r="G498" s="379" t="s">
        <v>62</v>
      </c>
      <c r="H498" s="379" t="s">
        <v>63</v>
      </c>
      <c r="I498" s="377">
        <v>1200</v>
      </c>
      <c r="J498" s="377">
        <v>0</v>
      </c>
      <c r="K498" s="377">
        <v>6</v>
      </c>
      <c r="L498" s="377">
        <f t="shared" si="114"/>
        <v>200</v>
      </c>
      <c r="M498" s="387">
        <v>46028</v>
      </c>
      <c r="N498" s="387">
        <v>46024</v>
      </c>
      <c r="O498" s="387"/>
      <c r="P498" s="386" t="s">
        <v>49</v>
      </c>
      <c r="Q498" s="387"/>
      <c r="R498" s="387"/>
      <c r="S498" s="394" t="s">
        <v>50</v>
      </c>
      <c r="T498" s="395">
        <v>45985</v>
      </c>
      <c r="U498" s="394" t="s">
        <v>2059</v>
      </c>
      <c r="V498" s="387"/>
      <c r="W498" s="387"/>
      <c r="X498" s="397" t="s">
        <v>1276</v>
      </c>
      <c r="Y498" s="379" t="s">
        <v>2060</v>
      </c>
      <c r="Z498" s="408">
        <v>2.122</v>
      </c>
      <c r="AA498" s="409">
        <f>I498*Z498</f>
        <v>2546.4</v>
      </c>
      <c r="AB498" s="377"/>
      <c r="AC498" s="410" t="s">
        <v>62</v>
      </c>
      <c r="AD498" s="222" t="s">
        <v>56</v>
      </c>
      <c r="AE498" s="309">
        <f t="shared" si="109"/>
        <v>1200</v>
      </c>
      <c r="AF498" s="306">
        <f t="shared" si="118"/>
        <v>0</v>
      </c>
      <c r="AI498" s="380" t="s">
        <v>57</v>
      </c>
      <c r="AJ498" s="306">
        <v>0</v>
      </c>
      <c r="AK498" s="380" t="s">
        <v>73</v>
      </c>
      <c r="AL498" s="306">
        <v>0</v>
      </c>
      <c r="AM498" s="377"/>
      <c r="AN498" s="306">
        <f t="shared" si="119"/>
        <v>1200</v>
      </c>
      <c r="AO498" s="306">
        <f t="shared" si="120"/>
        <v>1200</v>
      </c>
      <c r="AP498" s="306" t="b">
        <f t="shared" si="121"/>
        <v>0</v>
      </c>
      <c r="AQ498" s="306">
        <f t="shared" si="122"/>
        <v>1200</v>
      </c>
    </row>
    <row r="499" s="222" customFormat="1" ht="39" customHeight="1" spans="1:43">
      <c r="A499" s="375">
        <v>45968</v>
      </c>
      <c r="B499" s="376" t="s">
        <v>1123</v>
      </c>
      <c r="C499" s="222" t="s">
        <v>688</v>
      </c>
      <c r="D499" s="377">
        <v>4500183616</v>
      </c>
      <c r="E499" s="382" t="s">
        <v>2061</v>
      </c>
      <c r="F499" s="377" t="s">
        <v>2062</v>
      </c>
      <c r="G499" s="379" t="s">
        <v>62</v>
      </c>
      <c r="H499" s="379" t="s">
        <v>63</v>
      </c>
      <c r="I499" s="377">
        <v>288</v>
      </c>
      <c r="J499" s="377">
        <v>0</v>
      </c>
      <c r="K499" s="377">
        <v>6</v>
      </c>
      <c r="L499" s="377">
        <f t="shared" si="114"/>
        <v>48</v>
      </c>
      <c r="M499" s="387">
        <v>46031</v>
      </c>
      <c r="N499" s="387">
        <v>46027</v>
      </c>
      <c r="O499" s="387"/>
      <c r="P499" s="386" t="s">
        <v>49</v>
      </c>
      <c r="Q499" s="387"/>
      <c r="R499" s="387"/>
      <c r="S499" s="394" t="s">
        <v>50</v>
      </c>
      <c r="T499" s="395">
        <v>45982</v>
      </c>
      <c r="U499" s="394" t="s">
        <v>2063</v>
      </c>
      <c r="V499" s="387"/>
      <c r="W499" s="387"/>
      <c r="X499" s="399" t="s">
        <v>2064</v>
      </c>
      <c r="Y499" s="379" t="s">
        <v>205</v>
      </c>
      <c r="Z499" s="408">
        <v>3.5625</v>
      </c>
      <c r="AA499" s="409">
        <f>I499*Z499</f>
        <v>1026</v>
      </c>
      <c r="AB499" s="377"/>
      <c r="AC499" s="410" t="s">
        <v>71</v>
      </c>
      <c r="AD499" s="222" t="s">
        <v>56</v>
      </c>
      <c r="AE499" s="309">
        <f t="shared" si="109"/>
        <v>288</v>
      </c>
      <c r="AF499" s="306">
        <f t="shared" si="118"/>
        <v>0</v>
      </c>
      <c r="AI499" s="380" t="s">
        <v>72</v>
      </c>
      <c r="AJ499" s="306">
        <v>2</v>
      </c>
      <c r="AK499" s="380" t="s">
        <v>73</v>
      </c>
      <c r="AL499" s="306">
        <v>0</v>
      </c>
      <c r="AM499" s="377"/>
      <c r="AN499" s="306">
        <f t="shared" si="119"/>
        <v>288</v>
      </c>
      <c r="AO499" s="306">
        <f t="shared" si="120"/>
        <v>0</v>
      </c>
      <c r="AP499" s="306">
        <f t="shared" si="121"/>
        <v>288</v>
      </c>
      <c r="AQ499" s="306">
        <f t="shared" si="122"/>
        <v>288</v>
      </c>
    </row>
    <row r="500" s="222" customFormat="1" ht="39" customHeight="1" spans="1:43">
      <c r="A500" s="375">
        <v>45990</v>
      </c>
      <c r="B500" s="376" t="s">
        <v>1320</v>
      </c>
      <c r="C500" s="222" t="s">
        <v>214</v>
      </c>
      <c r="D500" s="377">
        <v>4500187427</v>
      </c>
      <c r="E500" s="382">
        <v>4400522622</v>
      </c>
      <c r="F500" s="377" t="s">
        <v>2065</v>
      </c>
      <c r="G500" s="379" t="s">
        <v>62</v>
      </c>
      <c r="H500" s="379" t="s">
        <v>63</v>
      </c>
      <c r="I500" s="377">
        <v>900</v>
      </c>
      <c r="J500" s="377">
        <v>0</v>
      </c>
      <c r="K500" s="377">
        <v>6</v>
      </c>
      <c r="L500" s="377">
        <f t="shared" si="114"/>
        <v>150</v>
      </c>
      <c r="M500" s="387">
        <v>46031</v>
      </c>
      <c r="N500" s="387">
        <v>46027</v>
      </c>
      <c r="O500" s="387"/>
      <c r="P500" s="386" t="s">
        <v>49</v>
      </c>
      <c r="Q500" s="387"/>
      <c r="R500" s="387"/>
      <c r="S500" s="394" t="s">
        <v>50</v>
      </c>
      <c r="T500" s="395">
        <v>45990</v>
      </c>
      <c r="U500" s="394" t="s">
        <v>50</v>
      </c>
      <c r="V500" s="387"/>
      <c r="W500" s="387"/>
      <c r="X500" s="397" t="s">
        <v>2066</v>
      </c>
      <c r="Y500" s="379" t="s">
        <v>1292</v>
      </c>
      <c r="Z500" s="406">
        <v>3.5498</v>
      </c>
      <c r="AA500" s="409">
        <f>I500*Z500</f>
        <v>3194.82</v>
      </c>
      <c r="AB500" s="377"/>
      <c r="AC500" s="410" t="s">
        <v>71</v>
      </c>
      <c r="AD500" s="222" t="s">
        <v>56</v>
      </c>
      <c r="AE500" s="309">
        <f t="shared" si="109"/>
        <v>900</v>
      </c>
      <c r="AF500" s="306">
        <f t="shared" si="118"/>
        <v>0</v>
      </c>
      <c r="AI500" s="380" t="s">
        <v>72</v>
      </c>
      <c r="AJ500" s="306">
        <v>2</v>
      </c>
      <c r="AK500" s="380" t="s">
        <v>73</v>
      </c>
      <c r="AL500" s="306">
        <v>0</v>
      </c>
      <c r="AM500" s="377"/>
      <c r="AN500" s="306">
        <f t="shared" si="119"/>
        <v>900</v>
      </c>
      <c r="AO500" s="306">
        <f t="shared" si="120"/>
        <v>0</v>
      </c>
      <c r="AP500" s="306">
        <f t="shared" si="121"/>
        <v>900</v>
      </c>
      <c r="AQ500" s="306">
        <f t="shared" si="122"/>
        <v>900</v>
      </c>
    </row>
    <row r="501" s="222" customFormat="1" ht="39" customHeight="1" spans="1:43">
      <c r="A501" s="375">
        <v>45994</v>
      </c>
      <c r="B501" s="376" t="s">
        <v>341</v>
      </c>
      <c r="C501" s="222" t="s">
        <v>66</v>
      </c>
      <c r="D501" s="377">
        <v>4500187838</v>
      </c>
      <c r="E501" s="382"/>
      <c r="F501" s="377" t="s">
        <v>2067</v>
      </c>
      <c r="G501" s="379" t="s">
        <v>62</v>
      </c>
      <c r="H501" s="379" t="s">
        <v>63</v>
      </c>
      <c r="I501" s="377">
        <v>240</v>
      </c>
      <c r="J501" s="377">
        <v>0</v>
      </c>
      <c r="K501" s="377">
        <v>6</v>
      </c>
      <c r="L501" s="377">
        <f t="shared" si="114"/>
        <v>40</v>
      </c>
      <c r="M501" s="387">
        <v>46031</v>
      </c>
      <c r="N501" s="387">
        <v>46027</v>
      </c>
      <c r="O501" s="387"/>
      <c r="P501" s="386" t="s">
        <v>49</v>
      </c>
      <c r="Q501" s="387"/>
      <c r="R501" s="387"/>
      <c r="S501" s="394" t="s">
        <v>50</v>
      </c>
      <c r="T501" s="395">
        <v>45994</v>
      </c>
      <c r="U501" s="394" t="s">
        <v>2068</v>
      </c>
      <c r="V501" s="387"/>
      <c r="W501" s="387"/>
      <c r="X501" s="397" t="s">
        <v>2069</v>
      </c>
      <c r="Y501" s="379" t="s">
        <v>586</v>
      </c>
      <c r="Z501" s="406">
        <v>3.5625</v>
      </c>
      <c r="AA501" s="409">
        <f>I501*Z501</f>
        <v>855</v>
      </c>
      <c r="AB501" s="377"/>
      <c r="AC501" s="410" t="s">
        <v>71</v>
      </c>
      <c r="AD501" s="222" t="s">
        <v>56</v>
      </c>
      <c r="AE501" s="309">
        <f t="shared" si="109"/>
        <v>240</v>
      </c>
      <c r="AF501" s="306">
        <f t="shared" si="118"/>
        <v>0</v>
      </c>
      <c r="AI501" s="380" t="s">
        <v>72</v>
      </c>
      <c r="AJ501" s="306">
        <v>2</v>
      </c>
      <c r="AK501" s="380" t="s">
        <v>73</v>
      </c>
      <c r="AL501" s="306">
        <v>0</v>
      </c>
      <c r="AM501" s="377"/>
      <c r="AN501" s="306">
        <f t="shared" si="119"/>
        <v>240</v>
      </c>
      <c r="AO501" s="306">
        <f t="shared" si="120"/>
        <v>0</v>
      </c>
      <c r="AP501" s="306">
        <f t="shared" si="121"/>
        <v>240</v>
      </c>
      <c r="AQ501" s="306">
        <f t="shared" si="122"/>
        <v>240</v>
      </c>
    </row>
    <row r="502" s="222" customFormat="1" ht="39" hidden="1" customHeight="1" spans="1:43">
      <c r="A502" s="375">
        <v>45996</v>
      </c>
      <c r="B502" s="376" t="s">
        <v>838</v>
      </c>
      <c r="C502" s="222" t="s">
        <v>44</v>
      </c>
      <c r="D502" s="377">
        <v>4500188139</v>
      </c>
      <c r="E502" s="382">
        <v>963300571</v>
      </c>
      <c r="F502" s="377" t="s">
        <v>2070</v>
      </c>
      <c r="G502" s="379" t="s">
        <v>46</v>
      </c>
      <c r="H502" s="379" t="s">
        <v>47</v>
      </c>
      <c r="I502" s="377">
        <v>1372</v>
      </c>
      <c r="J502" s="377">
        <v>0</v>
      </c>
      <c r="K502" s="377">
        <v>98</v>
      </c>
      <c r="L502" s="377">
        <f t="shared" ref="L502:L546" si="123">I502/K502</f>
        <v>14</v>
      </c>
      <c r="M502" s="387">
        <v>46031</v>
      </c>
      <c r="N502" s="387">
        <v>46027</v>
      </c>
      <c r="O502" s="387" t="s">
        <v>2071</v>
      </c>
      <c r="P502" s="386" t="s">
        <v>49</v>
      </c>
      <c r="Q502" s="387"/>
      <c r="R502" s="387"/>
      <c r="S502" s="394" t="s">
        <v>50</v>
      </c>
      <c r="T502" s="395" t="s">
        <v>2072</v>
      </c>
      <c r="U502" s="394" t="s">
        <v>2073</v>
      </c>
      <c r="V502" s="387" t="s">
        <v>2074</v>
      </c>
      <c r="W502" s="387"/>
      <c r="X502" s="397" t="s">
        <v>2075</v>
      </c>
      <c r="Y502" s="379" t="s">
        <v>2040</v>
      </c>
      <c r="Z502" s="406">
        <v>202.1493</v>
      </c>
      <c r="AA502" s="409">
        <f>Z502*L502</f>
        <v>2830.0902</v>
      </c>
      <c r="AB502" s="377"/>
      <c r="AC502" s="410" t="s">
        <v>46</v>
      </c>
      <c r="AD502" s="222" t="s">
        <v>56</v>
      </c>
      <c r="AE502" s="309">
        <f t="shared" si="109"/>
        <v>1372</v>
      </c>
      <c r="AF502" s="306">
        <f t="shared" ref="AF502:AF543" si="124">AE502-I502</f>
        <v>0</v>
      </c>
      <c r="AI502" s="380" t="s">
        <v>57</v>
      </c>
      <c r="AJ502" s="306">
        <v>0</v>
      </c>
      <c r="AK502" s="380" t="s">
        <v>73</v>
      </c>
      <c r="AL502" s="306">
        <v>0</v>
      </c>
      <c r="AM502" s="377"/>
      <c r="AN502" s="306">
        <f t="shared" ref="AN502:AN546" si="125">I502</f>
        <v>1372</v>
      </c>
      <c r="AO502" s="306">
        <f t="shared" ref="AO502:AO545" si="126">IF($AJ502=0,$AN502,IF($AJ502&gt;0,0))</f>
        <v>1372</v>
      </c>
      <c r="AP502" s="306" t="b">
        <f t="shared" ref="AP502:AP545" si="127">IF($AJ502=2,$AN502,IF($AJ502&gt;0,0))</f>
        <v>0</v>
      </c>
      <c r="AQ502" s="306">
        <f t="shared" ref="AQ502:AQ545" si="128">IF($AL502=0,$AN502,IF($AL502&gt;0,0))</f>
        <v>1372</v>
      </c>
    </row>
    <row r="503" s="222" customFormat="1" ht="39" hidden="1" customHeight="1" spans="1:43">
      <c r="A503" s="375">
        <v>45996</v>
      </c>
      <c r="B503" s="376" t="s">
        <v>838</v>
      </c>
      <c r="C503" s="222" t="s">
        <v>44</v>
      </c>
      <c r="D503" s="377">
        <v>4500188139</v>
      </c>
      <c r="E503" s="382">
        <v>963300593</v>
      </c>
      <c r="F503" s="377" t="s">
        <v>2076</v>
      </c>
      <c r="G503" s="379" t="s">
        <v>46</v>
      </c>
      <c r="H503" s="379" t="s">
        <v>47</v>
      </c>
      <c r="I503" s="377">
        <v>882</v>
      </c>
      <c r="J503" s="377">
        <v>0</v>
      </c>
      <c r="K503" s="377">
        <v>98</v>
      </c>
      <c r="L503" s="377">
        <f t="shared" si="123"/>
        <v>9</v>
      </c>
      <c r="M503" s="387">
        <v>46031</v>
      </c>
      <c r="N503" s="387">
        <v>46027</v>
      </c>
      <c r="O503" s="387" t="s">
        <v>2071</v>
      </c>
      <c r="P503" s="386" t="s">
        <v>49</v>
      </c>
      <c r="Q503" s="387"/>
      <c r="R503" s="387"/>
      <c r="S503" s="394" t="s">
        <v>50</v>
      </c>
      <c r="T503" s="395" t="s">
        <v>2072</v>
      </c>
      <c r="U503" s="394" t="s">
        <v>2073</v>
      </c>
      <c r="V503" s="387" t="s">
        <v>2074</v>
      </c>
      <c r="W503" s="387"/>
      <c r="X503" s="397" t="s">
        <v>2075</v>
      </c>
      <c r="Y503" s="379" t="s">
        <v>2040</v>
      </c>
      <c r="Z503" s="406">
        <v>202.1489</v>
      </c>
      <c r="AA503" s="409">
        <f t="shared" ref="AA502:AA507" si="129">Z503*L503</f>
        <v>1819.3401</v>
      </c>
      <c r="AB503" s="377"/>
      <c r="AC503" s="410" t="s">
        <v>46</v>
      </c>
      <c r="AD503" s="222" t="s">
        <v>56</v>
      </c>
      <c r="AE503" s="309">
        <f t="shared" si="109"/>
        <v>882</v>
      </c>
      <c r="AF503" s="306">
        <f t="shared" si="124"/>
        <v>0</v>
      </c>
      <c r="AI503" s="380" t="s">
        <v>57</v>
      </c>
      <c r="AJ503" s="306">
        <v>0</v>
      </c>
      <c r="AK503" s="380" t="s">
        <v>73</v>
      </c>
      <c r="AL503" s="306">
        <v>0</v>
      </c>
      <c r="AM503" s="377"/>
      <c r="AN503" s="306">
        <f t="shared" si="125"/>
        <v>882</v>
      </c>
      <c r="AO503" s="306">
        <f t="shared" si="126"/>
        <v>882</v>
      </c>
      <c r="AP503" s="306" t="b">
        <f t="shared" si="127"/>
        <v>0</v>
      </c>
      <c r="AQ503" s="306">
        <f t="shared" si="128"/>
        <v>882</v>
      </c>
    </row>
    <row r="504" s="222" customFormat="1" ht="39" hidden="1" customHeight="1" spans="1:43">
      <c r="A504" s="375">
        <v>45996</v>
      </c>
      <c r="B504" s="376" t="s">
        <v>838</v>
      </c>
      <c r="C504" s="222" t="s">
        <v>44</v>
      </c>
      <c r="D504" s="377">
        <v>4500188139</v>
      </c>
      <c r="E504" s="382">
        <v>963300595</v>
      </c>
      <c r="F504" s="377" t="s">
        <v>2077</v>
      </c>
      <c r="G504" s="379" t="s">
        <v>46</v>
      </c>
      <c r="H504" s="379" t="s">
        <v>47</v>
      </c>
      <c r="I504" s="377">
        <v>588</v>
      </c>
      <c r="J504" s="377">
        <v>0</v>
      </c>
      <c r="K504" s="377">
        <v>98</v>
      </c>
      <c r="L504" s="377">
        <f t="shared" si="123"/>
        <v>6</v>
      </c>
      <c r="M504" s="387">
        <v>46031</v>
      </c>
      <c r="N504" s="387">
        <v>46027</v>
      </c>
      <c r="O504" s="387" t="s">
        <v>2071</v>
      </c>
      <c r="P504" s="386" t="s">
        <v>49</v>
      </c>
      <c r="Q504" s="387"/>
      <c r="R504" s="387"/>
      <c r="S504" s="394" t="s">
        <v>50</v>
      </c>
      <c r="T504" s="395" t="s">
        <v>2072</v>
      </c>
      <c r="U504" s="394" t="s">
        <v>2073</v>
      </c>
      <c r="V504" s="387" t="s">
        <v>2074</v>
      </c>
      <c r="W504" s="387"/>
      <c r="X504" s="397" t="s">
        <v>2075</v>
      </c>
      <c r="Y504" s="379" t="s">
        <v>2040</v>
      </c>
      <c r="Z504" s="406">
        <v>202.15</v>
      </c>
      <c r="AA504" s="409">
        <f t="shared" si="129"/>
        <v>1212.9</v>
      </c>
      <c r="AB504" s="377"/>
      <c r="AC504" s="410" t="s">
        <v>46</v>
      </c>
      <c r="AD504" s="222" t="s">
        <v>56</v>
      </c>
      <c r="AE504" s="309">
        <f t="shared" si="109"/>
        <v>588</v>
      </c>
      <c r="AF504" s="306">
        <f t="shared" si="124"/>
        <v>0</v>
      </c>
      <c r="AI504" s="380" t="s">
        <v>57</v>
      </c>
      <c r="AJ504" s="306">
        <v>0</v>
      </c>
      <c r="AK504" s="380" t="s">
        <v>73</v>
      </c>
      <c r="AL504" s="306">
        <v>0</v>
      </c>
      <c r="AM504" s="377"/>
      <c r="AN504" s="306">
        <f t="shared" si="125"/>
        <v>588</v>
      </c>
      <c r="AO504" s="306">
        <f t="shared" si="126"/>
        <v>588</v>
      </c>
      <c r="AP504" s="306" t="b">
        <f t="shared" si="127"/>
        <v>0</v>
      </c>
      <c r="AQ504" s="306">
        <f t="shared" si="128"/>
        <v>588</v>
      </c>
    </row>
    <row r="505" s="222" customFormat="1" ht="39" hidden="1" customHeight="1" spans="1:43">
      <c r="A505" s="375">
        <v>45996</v>
      </c>
      <c r="B505" s="376" t="s">
        <v>838</v>
      </c>
      <c r="C505" s="222" t="s">
        <v>44</v>
      </c>
      <c r="D505" s="377">
        <v>4500188139</v>
      </c>
      <c r="E505" s="382">
        <v>963300601</v>
      </c>
      <c r="F505" s="377" t="s">
        <v>2078</v>
      </c>
      <c r="G505" s="379" t="s">
        <v>46</v>
      </c>
      <c r="H505" s="379" t="s">
        <v>47</v>
      </c>
      <c r="I505" s="377">
        <v>686</v>
      </c>
      <c r="J505" s="377">
        <v>0</v>
      </c>
      <c r="K505" s="377">
        <v>98</v>
      </c>
      <c r="L505" s="377">
        <f t="shared" si="123"/>
        <v>7</v>
      </c>
      <c r="M505" s="387">
        <v>46031</v>
      </c>
      <c r="N505" s="387">
        <v>46027</v>
      </c>
      <c r="O505" s="387" t="s">
        <v>2071</v>
      </c>
      <c r="P505" s="386" t="s">
        <v>49</v>
      </c>
      <c r="Q505" s="387"/>
      <c r="R505" s="387"/>
      <c r="S505" s="394" t="s">
        <v>50</v>
      </c>
      <c r="T505" s="395" t="s">
        <v>2072</v>
      </c>
      <c r="U505" s="394" t="s">
        <v>2073</v>
      </c>
      <c r="V505" s="387" t="s">
        <v>2074</v>
      </c>
      <c r="W505" s="387"/>
      <c r="X505" s="397" t="s">
        <v>2075</v>
      </c>
      <c r="Y505" s="379" t="s">
        <v>2040</v>
      </c>
      <c r="Z505" s="406">
        <v>202.15</v>
      </c>
      <c r="AA505" s="409">
        <f t="shared" si="129"/>
        <v>1415.05</v>
      </c>
      <c r="AB505" s="377"/>
      <c r="AC505" s="410" t="s">
        <v>46</v>
      </c>
      <c r="AD505" s="222" t="s">
        <v>56</v>
      </c>
      <c r="AE505" s="309">
        <f t="shared" si="109"/>
        <v>686</v>
      </c>
      <c r="AF505" s="306">
        <f t="shared" si="124"/>
        <v>0</v>
      </c>
      <c r="AI505" s="380" t="s">
        <v>57</v>
      </c>
      <c r="AJ505" s="306">
        <v>0</v>
      </c>
      <c r="AK505" s="380" t="s">
        <v>73</v>
      </c>
      <c r="AL505" s="306">
        <v>0</v>
      </c>
      <c r="AM505" s="377"/>
      <c r="AN505" s="306">
        <f t="shared" si="125"/>
        <v>686</v>
      </c>
      <c r="AO505" s="306">
        <f t="shared" si="126"/>
        <v>686</v>
      </c>
      <c r="AP505" s="306" t="b">
        <f t="shared" si="127"/>
        <v>0</v>
      </c>
      <c r="AQ505" s="306">
        <f t="shared" si="128"/>
        <v>686</v>
      </c>
    </row>
    <row r="506" s="222" customFormat="1" ht="39" hidden="1" customHeight="1" spans="1:43">
      <c r="A506" s="375">
        <v>45996</v>
      </c>
      <c r="B506" s="376" t="s">
        <v>838</v>
      </c>
      <c r="C506" s="222" t="s">
        <v>44</v>
      </c>
      <c r="D506" s="377">
        <v>4500188139</v>
      </c>
      <c r="E506" s="382">
        <v>963300606</v>
      </c>
      <c r="F506" s="377" t="s">
        <v>2079</v>
      </c>
      <c r="G506" s="379" t="s">
        <v>46</v>
      </c>
      <c r="H506" s="379" t="s">
        <v>47</v>
      </c>
      <c r="I506" s="377">
        <v>882</v>
      </c>
      <c r="J506" s="377">
        <v>0</v>
      </c>
      <c r="K506" s="377">
        <v>98</v>
      </c>
      <c r="L506" s="377">
        <f t="shared" si="123"/>
        <v>9</v>
      </c>
      <c r="M506" s="387">
        <v>46031</v>
      </c>
      <c r="N506" s="387">
        <v>46027</v>
      </c>
      <c r="O506" s="387" t="s">
        <v>2071</v>
      </c>
      <c r="P506" s="386" t="s">
        <v>49</v>
      </c>
      <c r="Q506" s="387"/>
      <c r="R506" s="387"/>
      <c r="S506" s="394" t="s">
        <v>50</v>
      </c>
      <c r="T506" s="395" t="s">
        <v>2072</v>
      </c>
      <c r="U506" s="394" t="s">
        <v>2073</v>
      </c>
      <c r="V506" s="387" t="s">
        <v>2074</v>
      </c>
      <c r="W506" s="387"/>
      <c r="X506" s="397" t="s">
        <v>2075</v>
      </c>
      <c r="Y506" s="379" t="s">
        <v>2040</v>
      </c>
      <c r="Z506" s="406">
        <v>214.6344</v>
      </c>
      <c r="AA506" s="409">
        <f t="shared" si="129"/>
        <v>1931.7096</v>
      </c>
      <c r="AB506" s="377"/>
      <c r="AC506" s="410" t="s">
        <v>46</v>
      </c>
      <c r="AD506" s="222" t="s">
        <v>56</v>
      </c>
      <c r="AE506" s="309">
        <f t="shared" si="109"/>
        <v>882</v>
      </c>
      <c r="AF506" s="306">
        <f t="shared" si="124"/>
        <v>0</v>
      </c>
      <c r="AI506" s="380" t="s">
        <v>57</v>
      </c>
      <c r="AJ506" s="306">
        <v>0</v>
      </c>
      <c r="AK506" s="380" t="s">
        <v>73</v>
      </c>
      <c r="AL506" s="306">
        <v>0</v>
      </c>
      <c r="AM506" s="377"/>
      <c r="AN506" s="306">
        <f t="shared" si="125"/>
        <v>882</v>
      </c>
      <c r="AO506" s="306">
        <f t="shared" si="126"/>
        <v>882</v>
      </c>
      <c r="AP506" s="306" t="b">
        <f t="shared" si="127"/>
        <v>0</v>
      </c>
      <c r="AQ506" s="306">
        <f t="shared" si="128"/>
        <v>882</v>
      </c>
    </row>
    <row r="507" s="222" customFormat="1" ht="39" hidden="1" customHeight="1" spans="1:43">
      <c r="A507" s="375">
        <v>45996</v>
      </c>
      <c r="B507" s="376" t="s">
        <v>838</v>
      </c>
      <c r="C507" s="222" t="s">
        <v>44</v>
      </c>
      <c r="D507" s="377">
        <v>4500188139</v>
      </c>
      <c r="E507" s="382">
        <v>963300625</v>
      </c>
      <c r="F507" s="377" t="s">
        <v>2080</v>
      </c>
      <c r="G507" s="379" t="s">
        <v>46</v>
      </c>
      <c r="H507" s="379" t="s">
        <v>47</v>
      </c>
      <c r="I507" s="377">
        <v>588</v>
      </c>
      <c r="J507" s="377">
        <v>0</v>
      </c>
      <c r="K507" s="377">
        <v>98</v>
      </c>
      <c r="L507" s="377">
        <f t="shared" si="123"/>
        <v>6</v>
      </c>
      <c r="M507" s="387">
        <v>46031</v>
      </c>
      <c r="N507" s="387">
        <v>46027</v>
      </c>
      <c r="O507" s="387" t="s">
        <v>2071</v>
      </c>
      <c r="P507" s="386" t="s">
        <v>49</v>
      </c>
      <c r="Q507" s="387"/>
      <c r="R507" s="387"/>
      <c r="S507" s="394" t="s">
        <v>50</v>
      </c>
      <c r="T507" s="395" t="s">
        <v>2072</v>
      </c>
      <c r="U507" s="394" t="s">
        <v>2073</v>
      </c>
      <c r="V507" s="387" t="s">
        <v>2074</v>
      </c>
      <c r="W507" s="387"/>
      <c r="X507" s="397" t="s">
        <v>2075</v>
      </c>
      <c r="Y507" s="379" t="s">
        <v>2040</v>
      </c>
      <c r="Z507" s="406">
        <v>202.15</v>
      </c>
      <c r="AA507" s="409">
        <f t="shared" si="129"/>
        <v>1212.9</v>
      </c>
      <c r="AB507" s="377"/>
      <c r="AC507" s="410" t="s">
        <v>46</v>
      </c>
      <c r="AD507" s="222" t="s">
        <v>56</v>
      </c>
      <c r="AE507" s="309">
        <f t="shared" si="109"/>
        <v>588</v>
      </c>
      <c r="AF507" s="306">
        <f t="shared" si="124"/>
        <v>0</v>
      </c>
      <c r="AI507" s="380" t="s">
        <v>57</v>
      </c>
      <c r="AJ507" s="306">
        <v>0</v>
      </c>
      <c r="AK507" s="380" t="s">
        <v>73</v>
      </c>
      <c r="AL507" s="306">
        <v>0</v>
      </c>
      <c r="AM507" s="377"/>
      <c r="AN507" s="306">
        <f t="shared" si="125"/>
        <v>588</v>
      </c>
      <c r="AO507" s="306">
        <f t="shared" si="126"/>
        <v>588</v>
      </c>
      <c r="AP507" s="306" t="b">
        <f t="shared" si="127"/>
        <v>0</v>
      </c>
      <c r="AQ507" s="306">
        <f t="shared" si="128"/>
        <v>588</v>
      </c>
    </row>
    <row r="508" s="222" customFormat="1" ht="39" hidden="1" customHeight="1" spans="1:43">
      <c r="A508" s="375">
        <v>45993</v>
      </c>
      <c r="B508" s="376" t="s">
        <v>145</v>
      </c>
      <c r="C508" s="222" t="s">
        <v>44</v>
      </c>
      <c r="D508" s="377">
        <v>4500187656</v>
      </c>
      <c r="E508" s="382" t="s">
        <v>2081</v>
      </c>
      <c r="F508" s="377" t="s">
        <v>2082</v>
      </c>
      <c r="G508" s="379" t="s">
        <v>148</v>
      </c>
      <c r="H508" s="379" t="s">
        <v>63</v>
      </c>
      <c r="I508" s="377">
        <v>724</v>
      </c>
      <c r="J508" s="377">
        <v>0</v>
      </c>
      <c r="K508" s="377">
        <v>2</v>
      </c>
      <c r="L508" s="377">
        <f t="shared" si="123"/>
        <v>362</v>
      </c>
      <c r="M508" s="387">
        <v>46035</v>
      </c>
      <c r="N508" s="387">
        <v>46031</v>
      </c>
      <c r="O508" s="387"/>
      <c r="P508" s="386" t="s">
        <v>49</v>
      </c>
      <c r="Q508" s="387"/>
      <c r="R508" s="387"/>
      <c r="S508" s="394" t="s">
        <v>50</v>
      </c>
      <c r="T508" s="395">
        <v>45993</v>
      </c>
      <c r="U508" s="394" t="s">
        <v>50</v>
      </c>
      <c r="V508" s="387"/>
      <c r="W508" s="387"/>
      <c r="X508" s="397" t="s">
        <v>2083</v>
      </c>
      <c r="Y508" s="379" t="s">
        <v>1534</v>
      </c>
      <c r="Z508" s="406">
        <v>2.1702</v>
      </c>
      <c r="AA508" s="409">
        <f t="shared" ref="AA508:AA546" si="130">I508*Z508</f>
        <v>1571.2248</v>
      </c>
      <c r="AB508" s="377"/>
      <c r="AC508" s="410" t="s">
        <v>148</v>
      </c>
      <c r="AD508" s="222" t="s">
        <v>56</v>
      </c>
      <c r="AE508" s="309"/>
      <c r="AF508" s="306">
        <f t="shared" si="124"/>
        <v>-724</v>
      </c>
      <c r="AI508" s="380" t="s">
        <v>57</v>
      </c>
      <c r="AJ508" s="306">
        <v>0</v>
      </c>
      <c r="AK508" s="380" t="s">
        <v>73</v>
      </c>
      <c r="AL508" s="306">
        <v>0</v>
      </c>
      <c r="AM508" s="377"/>
      <c r="AN508" s="306">
        <f t="shared" si="125"/>
        <v>724</v>
      </c>
      <c r="AO508" s="306">
        <f t="shared" si="126"/>
        <v>724</v>
      </c>
      <c r="AP508" s="306" t="b">
        <f t="shared" si="127"/>
        <v>0</v>
      </c>
      <c r="AQ508" s="306">
        <f t="shared" si="128"/>
        <v>724</v>
      </c>
    </row>
    <row r="509" s="222" customFormat="1" ht="39" hidden="1" customHeight="1" spans="1:43">
      <c r="A509" s="375">
        <v>45993</v>
      </c>
      <c r="B509" s="376" t="s">
        <v>145</v>
      </c>
      <c r="C509" s="222" t="s">
        <v>44</v>
      </c>
      <c r="D509" s="377">
        <v>4500187656</v>
      </c>
      <c r="E509" s="382" t="s">
        <v>2084</v>
      </c>
      <c r="F509" s="377" t="s">
        <v>2085</v>
      </c>
      <c r="G509" s="379" t="s">
        <v>148</v>
      </c>
      <c r="H509" s="379" t="s">
        <v>63</v>
      </c>
      <c r="I509" s="377">
        <v>706</v>
      </c>
      <c r="J509" s="377">
        <v>0</v>
      </c>
      <c r="K509" s="377">
        <v>2</v>
      </c>
      <c r="L509" s="377">
        <f t="shared" si="123"/>
        <v>353</v>
      </c>
      <c r="M509" s="387">
        <v>46035</v>
      </c>
      <c r="N509" s="387">
        <v>46031</v>
      </c>
      <c r="O509" s="387"/>
      <c r="P509" s="386" t="s">
        <v>49</v>
      </c>
      <c r="Q509" s="387"/>
      <c r="R509" s="387"/>
      <c r="S509" s="394" t="s">
        <v>50</v>
      </c>
      <c r="T509" s="395">
        <v>45993</v>
      </c>
      <c r="U509" s="394" t="s">
        <v>50</v>
      </c>
      <c r="V509" s="387"/>
      <c r="W509" s="387"/>
      <c r="X509" s="397" t="s">
        <v>2083</v>
      </c>
      <c r="Y509" s="379" t="s">
        <v>1534</v>
      </c>
      <c r="Z509" s="406">
        <v>2.1702</v>
      </c>
      <c r="AA509" s="409">
        <f t="shared" si="130"/>
        <v>1532.1612</v>
      </c>
      <c r="AB509" s="377"/>
      <c r="AC509" s="410" t="s">
        <v>148</v>
      </c>
      <c r="AD509" s="222" t="s">
        <v>56</v>
      </c>
      <c r="AE509" s="309"/>
      <c r="AF509" s="306">
        <f t="shared" si="124"/>
        <v>-706</v>
      </c>
      <c r="AI509" s="380" t="s">
        <v>57</v>
      </c>
      <c r="AJ509" s="306">
        <v>0</v>
      </c>
      <c r="AK509" s="380" t="s">
        <v>73</v>
      </c>
      <c r="AL509" s="306">
        <v>0</v>
      </c>
      <c r="AM509" s="377"/>
      <c r="AN509" s="306">
        <f t="shared" si="125"/>
        <v>706</v>
      </c>
      <c r="AO509" s="306">
        <f t="shared" si="126"/>
        <v>706</v>
      </c>
      <c r="AP509" s="306" t="b">
        <f t="shared" si="127"/>
        <v>0</v>
      </c>
      <c r="AQ509" s="306">
        <f t="shared" si="128"/>
        <v>706</v>
      </c>
    </row>
    <row r="510" s="222" customFormat="1" ht="39" hidden="1" customHeight="1" spans="1:43">
      <c r="A510" s="375">
        <v>45993</v>
      </c>
      <c r="B510" s="376" t="s">
        <v>145</v>
      </c>
      <c r="C510" s="222" t="s">
        <v>44</v>
      </c>
      <c r="D510" s="377">
        <v>4500187656</v>
      </c>
      <c r="E510" s="382" t="s">
        <v>2086</v>
      </c>
      <c r="F510" s="377" t="s">
        <v>2087</v>
      </c>
      <c r="G510" s="379" t="s">
        <v>148</v>
      </c>
      <c r="H510" s="379" t="s">
        <v>63</v>
      </c>
      <c r="I510" s="377">
        <v>702</v>
      </c>
      <c r="J510" s="377">
        <v>0</v>
      </c>
      <c r="K510" s="377">
        <v>2</v>
      </c>
      <c r="L510" s="377">
        <f t="shared" si="123"/>
        <v>351</v>
      </c>
      <c r="M510" s="387">
        <v>46035</v>
      </c>
      <c r="N510" s="387">
        <v>46031</v>
      </c>
      <c r="O510" s="387"/>
      <c r="P510" s="386" t="s">
        <v>49</v>
      </c>
      <c r="Q510" s="387"/>
      <c r="R510" s="387"/>
      <c r="S510" s="394" t="s">
        <v>50</v>
      </c>
      <c r="T510" s="395">
        <v>45993</v>
      </c>
      <c r="U510" s="394" t="s">
        <v>50</v>
      </c>
      <c r="V510" s="387"/>
      <c r="W510" s="387"/>
      <c r="X510" s="397" t="s">
        <v>2083</v>
      </c>
      <c r="Y510" s="379" t="s">
        <v>1534</v>
      </c>
      <c r="Z510" s="406">
        <v>2.1702</v>
      </c>
      <c r="AA510" s="409">
        <f t="shared" si="130"/>
        <v>1523.4804</v>
      </c>
      <c r="AB510" s="377"/>
      <c r="AC510" s="410" t="s">
        <v>148</v>
      </c>
      <c r="AD510" s="222" t="s">
        <v>56</v>
      </c>
      <c r="AE510" s="309"/>
      <c r="AF510" s="306">
        <f t="shared" si="124"/>
        <v>-702</v>
      </c>
      <c r="AI510" s="380" t="s">
        <v>57</v>
      </c>
      <c r="AJ510" s="306">
        <v>0</v>
      </c>
      <c r="AK510" s="380" t="s">
        <v>73</v>
      </c>
      <c r="AL510" s="306">
        <v>0</v>
      </c>
      <c r="AM510" s="377"/>
      <c r="AN510" s="306">
        <f t="shared" si="125"/>
        <v>702</v>
      </c>
      <c r="AO510" s="306">
        <f t="shared" si="126"/>
        <v>702</v>
      </c>
      <c r="AP510" s="306" t="b">
        <f t="shared" si="127"/>
        <v>0</v>
      </c>
      <c r="AQ510" s="306">
        <f t="shared" si="128"/>
        <v>702</v>
      </c>
    </row>
    <row r="511" s="222" customFormat="1" ht="39" hidden="1" customHeight="1" spans="1:43">
      <c r="A511" s="375">
        <v>45993</v>
      </c>
      <c r="B511" s="376" t="s">
        <v>145</v>
      </c>
      <c r="C511" s="222" t="s">
        <v>44</v>
      </c>
      <c r="D511" s="377">
        <v>4500187656</v>
      </c>
      <c r="E511" s="382" t="s">
        <v>2088</v>
      </c>
      <c r="F511" s="377" t="s">
        <v>2089</v>
      </c>
      <c r="G511" s="379" t="s">
        <v>148</v>
      </c>
      <c r="H511" s="379" t="s">
        <v>63</v>
      </c>
      <c r="I511" s="377">
        <v>700</v>
      </c>
      <c r="J511" s="377">
        <v>0</v>
      </c>
      <c r="K511" s="377">
        <v>2</v>
      </c>
      <c r="L511" s="377">
        <f t="shared" si="123"/>
        <v>350</v>
      </c>
      <c r="M511" s="387">
        <v>46035</v>
      </c>
      <c r="N511" s="387">
        <v>46031</v>
      </c>
      <c r="O511" s="387"/>
      <c r="P511" s="386" t="s">
        <v>49</v>
      </c>
      <c r="Q511" s="387"/>
      <c r="R511" s="387"/>
      <c r="S511" s="394" t="s">
        <v>50</v>
      </c>
      <c r="T511" s="395">
        <v>45993</v>
      </c>
      <c r="U511" s="394" t="s">
        <v>50</v>
      </c>
      <c r="V511" s="387"/>
      <c r="W511" s="387"/>
      <c r="X511" s="397" t="s">
        <v>2083</v>
      </c>
      <c r="Y511" s="379" t="s">
        <v>1534</v>
      </c>
      <c r="Z511" s="406">
        <v>2.1702</v>
      </c>
      <c r="AA511" s="409">
        <f t="shared" si="130"/>
        <v>1519.14</v>
      </c>
      <c r="AB511" s="377"/>
      <c r="AC511" s="410" t="s">
        <v>148</v>
      </c>
      <c r="AD511" s="222" t="s">
        <v>56</v>
      </c>
      <c r="AE511" s="309"/>
      <c r="AF511" s="306">
        <f t="shared" si="124"/>
        <v>-700</v>
      </c>
      <c r="AI511" s="380" t="s">
        <v>57</v>
      </c>
      <c r="AJ511" s="306">
        <v>0</v>
      </c>
      <c r="AK511" s="380" t="s">
        <v>73</v>
      </c>
      <c r="AL511" s="306">
        <v>0</v>
      </c>
      <c r="AM511" s="377"/>
      <c r="AN511" s="306">
        <f t="shared" si="125"/>
        <v>700</v>
      </c>
      <c r="AO511" s="306">
        <f t="shared" si="126"/>
        <v>700</v>
      </c>
      <c r="AP511" s="306" t="b">
        <f t="shared" si="127"/>
        <v>0</v>
      </c>
      <c r="AQ511" s="306">
        <f t="shared" si="128"/>
        <v>700</v>
      </c>
    </row>
    <row r="512" s="222" customFormat="1" ht="39" hidden="1" customHeight="1" spans="1:43">
      <c r="A512" s="375">
        <v>45968</v>
      </c>
      <c r="B512" s="376" t="s">
        <v>1043</v>
      </c>
      <c r="C512" s="222" t="s">
        <v>44</v>
      </c>
      <c r="D512" s="377">
        <v>4500184978</v>
      </c>
      <c r="E512" s="382" t="s">
        <v>2090</v>
      </c>
      <c r="F512" s="377" t="s">
        <v>2091</v>
      </c>
      <c r="G512" s="379" t="s">
        <v>148</v>
      </c>
      <c r="H512" s="379" t="s">
        <v>63</v>
      </c>
      <c r="I512" s="377">
        <v>662</v>
      </c>
      <c r="J512" s="377">
        <v>0</v>
      </c>
      <c r="K512" s="377">
        <v>2</v>
      </c>
      <c r="L512" s="377">
        <f t="shared" si="123"/>
        <v>331</v>
      </c>
      <c r="M512" s="387">
        <v>46036</v>
      </c>
      <c r="N512" s="387">
        <v>46032</v>
      </c>
      <c r="O512" s="387" t="s">
        <v>2092</v>
      </c>
      <c r="P512" s="386" t="s">
        <v>49</v>
      </c>
      <c r="Q512" s="387"/>
      <c r="R512" s="387"/>
      <c r="S512" s="394" t="s">
        <v>50</v>
      </c>
      <c r="T512" s="395">
        <v>45985</v>
      </c>
      <c r="U512" s="394" t="s">
        <v>50</v>
      </c>
      <c r="V512" s="387"/>
      <c r="W512" s="387"/>
      <c r="X512" s="397" t="s">
        <v>2093</v>
      </c>
      <c r="Y512" s="379" t="s">
        <v>1048</v>
      </c>
      <c r="Z512" s="406">
        <v>2.1702</v>
      </c>
      <c r="AA512" s="409">
        <f t="shared" si="130"/>
        <v>1436.6724</v>
      </c>
      <c r="AB512" s="377"/>
      <c r="AC512" s="410" t="s">
        <v>148</v>
      </c>
      <c r="AD512" s="222" t="s">
        <v>56</v>
      </c>
      <c r="AE512" s="309"/>
      <c r="AF512" s="306">
        <f t="shared" si="124"/>
        <v>-662</v>
      </c>
      <c r="AI512" s="380" t="s">
        <v>57</v>
      </c>
      <c r="AJ512" s="306">
        <v>0</v>
      </c>
      <c r="AK512" s="380" t="s">
        <v>73</v>
      </c>
      <c r="AL512" s="306">
        <v>0</v>
      </c>
      <c r="AM512" s="377"/>
      <c r="AN512" s="306">
        <f t="shared" si="125"/>
        <v>662</v>
      </c>
      <c r="AO512" s="306">
        <f t="shared" si="126"/>
        <v>662</v>
      </c>
      <c r="AP512" s="306" t="b">
        <f t="shared" si="127"/>
        <v>0</v>
      </c>
      <c r="AQ512" s="306">
        <f t="shared" si="128"/>
        <v>662</v>
      </c>
    </row>
    <row r="513" s="222" customFormat="1" ht="39" customHeight="1" spans="1:43">
      <c r="A513" s="375">
        <v>45999</v>
      </c>
      <c r="B513" s="376" t="s">
        <v>565</v>
      </c>
      <c r="C513" s="222" t="s">
        <v>214</v>
      </c>
      <c r="D513" s="377">
        <v>4500188385</v>
      </c>
      <c r="E513" s="382"/>
      <c r="F513" s="377" t="s">
        <v>2094</v>
      </c>
      <c r="G513" s="379" t="s">
        <v>62</v>
      </c>
      <c r="H513" s="379" t="s">
        <v>63</v>
      </c>
      <c r="I513" s="377">
        <v>2004</v>
      </c>
      <c r="J513" s="377">
        <v>0</v>
      </c>
      <c r="K513" s="377">
        <v>6</v>
      </c>
      <c r="L513" s="377">
        <f t="shared" si="123"/>
        <v>334</v>
      </c>
      <c r="M513" s="387">
        <v>46036</v>
      </c>
      <c r="N513" s="387">
        <v>46032</v>
      </c>
      <c r="O513" s="387"/>
      <c r="P513" s="386" t="s">
        <v>49</v>
      </c>
      <c r="Q513" s="387"/>
      <c r="R513" s="387"/>
      <c r="S513" s="394" t="s">
        <v>50</v>
      </c>
      <c r="T513" s="395">
        <v>46001</v>
      </c>
      <c r="U513" s="394" t="s">
        <v>2095</v>
      </c>
      <c r="V513" s="387"/>
      <c r="W513" s="387"/>
      <c r="X513" s="397" t="s">
        <v>2096</v>
      </c>
      <c r="Y513" s="379" t="s">
        <v>133</v>
      </c>
      <c r="Z513" s="406">
        <v>3.5366</v>
      </c>
      <c r="AA513" s="409">
        <f t="shared" si="130"/>
        <v>7087.3464</v>
      </c>
      <c r="AB513" s="377"/>
      <c r="AC513" s="410" t="s">
        <v>62</v>
      </c>
      <c r="AD513" s="222" t="s">
        <v>56</v>
      </c>
      <c r="AE513" s="309"/>
      <c r="AF513" s="306">
        <f t="shared" si="124"/>
        <v>-2004</v>
      </c>
      <c r="AI513" s="380" t="s">
        <v>57</v>
      </c>
      <c r="AJ513" s="306">
        <v>0</v>
      </c>
      <c r="AK513" s="380" t="s">
        <v>73</v>
      </c>
      <c r="AL513" s="306">
        <v>0</v>
      </c>
      <c r="AM513" s="377"/>
      <c r="AN513" s="306">
        <f t="shared" si="125"/>
        <v>2004</v>
      </c>
      <c r="AO513" s="306">
        <f t="shared" si="126"/>
        <v>2004</v>
      </c>
      <c r="AP513" s="306" t="b">
        <f t="shared" si="127"/>
        <v>0</v>
      </c>
      <c r="AQ513" s="306">
        <f t="shared" si="128"/>
        <v>2004</v>
      </c>
    </row>
    <row r="514" s="222" customFormat="1" ht="39" customHeight="1" spans="1:43">
      <c r="A514" s="375">
        <v>45995</v>
      </c>
      <c r="B514" s="376" t="s">
        <v>2097</v>
      </c>
      <c r="C514" s="222" t="s">
        <v>66</v>
      </c>
      <c r="D514" s="377">
        <v>4500188043</v>
      </c>
      <c r="E514" s="382" t="s">
        <v>2098</v>
      </c>
      <c r="F514" s="377" t="s">
        <v>2099</v>
      </c>
      <c r="G514" s="379" t="s">
        <v>62</v>
      </c>
      <c r="H514" s="379" t="s">
        <v>63</v>
      </c>
      <c r="I514" s="377">
        <v>2190</v>
      </c>
      <c r="J514" s="377">
        <v>0</v>
      </c>
      <c r="K514" s="377">
        <v>6</v>
      </c>
      <c r="L514" s="377">
        <f t="shared" si="123"/>
        <v>365</v>
      </c>
      <c r="M514" s="387">
        <v>46038</v>
      </c>
      <c r="N514" s="387">
        <v>46034</v>
      </c>
      <c r="O514" s="387"/>
      <c r="P514" s="386" t="s">
        <v>49</v>
      </c>
      <c r="Q514" s="387"/>
      <c r="R514" s="387"/>
      <c r="S514" s="394" t="s">
        <v>50</v>
      </c>
      <c r="T514" s="395">
        <v>46009</v>
      </c>
      <c r="U514" s="394" t="s">
        <v>2100</v>
      </c>
      <c r="V514" s="387"/>
      <c r="W514" s="387"/>
      <c r="X514" s="397" t="s">
        <v>2101</v>
      </c>
      <c r="Y514" s="379" t="s">
        <v>945</v>
      </c>
      <c r="Z514" s="406">
        <v>3.3321</v>
      </c>
      <c r="AA514" s="409">
        <f t="shared" si="130"/>
        <v>7297.299</v>
      </c>
      <c r="AB514" s="377"/>
      <c r="AC514" s="410" t="s">
        <v>71</v>
      </c>
      <c r="AD514" s="222" t="s">
        <v>56</v>
      </c>
      <c r="AE514" s="309"/>
      <c r="AF514" s="306">
        <f t="shared" si="124"/>
        <v>-2190</v>
      </c>
      <c r="AI514" s="380" t="s">
        <v>72</v>
      </c>
      <c r="AJ514" s="306">
        <v>2</v>
      </c>
      <c r="AK514" s="380" t="s">
        <v>73</v>
      </c>
      <c r="AL514" s="306">
        <v>0</v>
      </c>
      <c r="AM514" s="377"/>
      <c r="AN514" s="306">
        <f t="shared" si="125"/>
        <v>2190</v>
      </c>
      <c r="AO514" s="306">
        <f t="shared" si="126"/>
        <v>0</v>
      </c>
      <c r="AP514" s="306">
        <f t="shared" si="127"/>
        <v>2190</v>
      </c>
      <c r="AQ514" s="306">
        <f t="shared" si="128"/>
        <v>2190</v>
      </c>
    </row>
    <row r="515" s="222" customFormat="1" ht="39" customHeight="1" spans="1:43">
      <c r="A515" s="375">
        <v>45996</v>
      </c>
      <c r="B515" s="376" t="s">
        <v>2102</v>
      </c>
      <c r="C515" s="222" t="s">
        <v>66</v>
      </c>
      <c r="D515" s="377">
        <v>4500188181</v>
      </c>
      <c r="E515" s="382"/>
      <c r="F515" s="377" t="s">
        <v>2103</v>
      </c>
      <c r="G515" s="379" t="s">
        <v>62</v>
      </c>
      <c r="H515" s="379" t="s">
        <v>63</v>
      </c>
      <c r="I515" s="377">
        <v>480</v>
      </c>
      <c r="J515" s="377">
        <v>0</v>
      </c>
      <c r="K515" s="377">
        <v>6</v>
      </c>
      <c r="L515" s="377">
        <f t="shared" si="123"/>
        <v>80</v>
      </c>
      <c r="M515" s="387">
        <v>46039</v>
      </c>
      <c r="N515" s="387">
        <v>46030</v>
      </c>
      <c r="O515" s="387"/>
      <c r="P515" s="386" t="s">
        <v>49</v>
      </c>
      <c r="Q515" s="387"/>
      <c r="R515" s="387"/>
      <c r="S515" s="394" t="s">
        <v>50</v>
      </c>
      <c r="T515" s="395">
        <v>45996</v>
      </c>
      <c r="U515" s="394" t="s">
        <v>2104</v>
      </c>
      <c r="V515" s="387"/>
      <c r="W515" s="387"/>
      <c r="X515" s="397" t="s">
        <v>2105</v>
      </c>
      <c r="Y515" s="379" t="s">
        <v>945</v>
      </c>
      <c r="Z515" s="406">
        <v>3.5625</v>
      </c>
      <c r="AA515" s="409">
        <f t="shared" si="130"/>
        <v>1710</v>
      </c>
      <c r="AB515" s="377"/>
      <c r="AC515" s="410" t="s">
        <v>71</v>
      </c>
      <c r="AD515" s="222" t="s">
        <v>56</v>
      </c>
      <c r="AE515" s="309"/>
      <c r="AF515" s="306">
        <f t="shared" si="124"/>
        <v>-480</v>
      </c>
      <c r="AI515" s="380" t="s">
        <v>72</v>
      </c>
      <c r="AJ515" s="306">
        <v>2</v>
      </c>
      <c r="AK515" s="380" t="s">
        <v>73</v>
      </c>
      <c r="AL515" s="306">
        <v>0</v>
      </c>
      <c r="AM515" s="377"/>
      <c r="AN515" s="306">
        <f t="shared" si="125"/>
        <v>480</v>
      </c>
      <c r="AO515" s="306">
        <f t="shared" si="126"/>
        <v>0</v>
      </c>
      <c r="AP515" s="306">
        <f t="shared" si="127"/>
        <v>480</v>
      </c>
      <c r="AQ515" s="306">
        <f t="shared" si="128"/>
        <v>480</v>
      </c>
    </row>
    <row r="516" s="222" customFormat="1" ht="39" customHeight="1" spans="1:43">
      <c r="A516" s="375">
        <v>45993</v>
      </c>
      <c r="B516" s="376" t="s">
        <v>994</v>
      </c>
      <c r="C516" s="222" t="s">
        <v>995</v>
      </c>
      <c r="D516" s="377">
        <v>4500187640</v>
      </c>
      <c r="E516" s="382" t="s">
        <v>2106</v>
      </c>
      <c r="F516" s="377" t="s">
        <v>2107</v>
      </c>
      <c r="G516" s="379" t="s">
        <v>62</v>
      </c>
      <c r="H516" s="379" t="s">
        <v>63</v>
      </c>
      <c r="I516" s="377">
        <v>804</v>
      </c>
      <c r="J516" s="377">
        <v>0</v>
      </c>
      <c r="K516" s="377">
        <v>6</v>
      </c>
      <c r="L516" s="377">
        <f t="shared" si="123"/>
        <v>134</v>
      </c>
      <c r="M516" s="387">
        <v>46042</v>
      </c>
      <c r="N516" s="387">
        <v>46038</v>
      </c>
      <c r="O516" s="387"/>
      <c r="P516" s="386" t="s">
        <v>49</v>
      </c>
      <c r="Q516" s="387"/>
      <c r="R516" s="387"/>
      <c r="S516" s="394" t="s">
        <v>50</v>
      </c>
      <c r="T516" s="395">
        <v>45999</v>
      </c>
      <c r="U516" s="394" t="s">
        <v>2063</v>
      </c>
      <c r="V516" s="387"/>
      <c r="W516" s="387"/>
      <c r="X516" s="397" t="s">
        <v>2108</v>
      </c>
      <c r="Y516" s="379" t="s">
        <v>205</v>
      </c>
      <c r="Z516" s="406">
        <v>3.5498</v>
      </c>
      <c r="AA516" s="409">
        <f t="shared" si="130"/>
        <v>2854.0392</v>
      </c>
      <c r="AB516" s="377"/>
      <c r="AC516" s="410" t="s">
        <v>71</v>
      </c>
      <c r="AD516" s="222" t="s">
        <v>56</v>
      </c>
      <c r="AE516" s="309"/>
      <c r="AF516" s="306">
        <f t="shared" si="124"/>
        <v>-804</v>
      </c>
      <c r="AI516" s="380" t="s">
        <v>72</v>
      </c>
      <c r="AJ516" s="306">
        <v>2</v>
      </c>
      <c r="AK516" s="380" t="s">
        <v>73</v>
      </c>
      <c r="AL516" s="306">
        <v>0</v>
      </c>
      <c r="AM516" s="377"/>
      <c r="AN516" s="306">
        <f t="shared" si="125"/>
        <v>804</v>
      </c>
      <c r="AO516" s="306">
        <f t="shared" si="126"/>
        <v>0</v>
      </c>
      <c r="AP516" s="306">
        <f t="shared" si="127"/>
        <v>804</v>
      </c>
      <c r="AQ516" s="306">
        <f t="shared" si="128"/>
        <v>804</v>
      </c>
    </row>
    <row r="517" s="222" customFormat="1" ht="39" customHeight="1" spans="1:43">
      <c r="A517" s="375">
        <v>46006</v>
      </c>
      <c r="B517" s="376" t="s">
        <v>207</v>
      </c>
      <c r="C517" s="222" t="s">
        <v>119</v>
      </c>
      <c r="D517" s="377">
        <v>4500189030</v>
      </c>
      <c r="E517" s="382">
        <v>4400528776</v>
      </c>
      <c r="F517" s="377" t="s">
        <v>2109</v>
      </c>
      <c r="G517" s="379" t="s">
        <v>62</v>
      </c>
      <c r="H517" s="379" t="s">
        <v>63</v>
      </c>
      <c r="I517" s="377">
        <v>210</v>
      </c>
      <c r="J517" s="377">
        <v>0</v>
      </c>
      <c r="K517" s="377">
        <v>6</v>
      </c>
      <c r="L517" s="377">
        <f t="shared" si="123"/>
        <v>35</v>
      </c>
      <c r="M517" s="387">
        <v>46042</v>
      </c>
      <c r="N517" s="387">
        <v>46038</v>
      </c>
      <c r="O517" s="387"/>
      <c r="P517" s="386" t="s">
        <v>49</v>
      </c>
      <c r="Q517" s="387"/>
      <c r="R517" s="387"/>
      <c r="S517" s="394" t="s">
        <v>50</v>
      </c>
      <c r="T517" s="395">
        <v>46006</v>
      </c>
      <c r="U517" s="394" t="s">
        <v>50</v>
      </c>
      <c r="V517" s="387"/>
      <c r="W517" s="387"/>
      <c r="X517" s="397" t="s">
        <v>2110</v>
      </c>
      <c r="Y517" s="379" t="s">
        <v>1292</v>
      </c>
      <c r="Z517" s="406">
        <v>3.358</v>
      </c>
      <c r="AA517" s="409">
        <f t="shared" si="130"/>
        <v>705.18</v>
      </c>
      <c r="AB517" s="377"/>
      <c r="AC517" s="410" t="s">
        <v>71</v>
      </c>
      <c r="AD517" s="222" t="s">
        <v>56</v>
      </c>
      <c r="AE517" s="309"/>
      <c r="AF517" s="306">
        <f t="shared" si="124"/>
        <v>-210</v>
      </c>
      <c r="AI517" s="380" t="s">
        <v>72</v>
      </c>
      <c r="AJ517" s="306">
        <v>2</v>
      </c>
      <c r="AK517" s="380" t="s">
        <v>73</v>
      </c>
      <c r="AL517" s="306">
        <v>0</v>
      </c>
      <c r="AM517" s="377"/>
      <c r="AN517" s="306">
        <f t="shared" si="125"/>
        <v>210</v>
      </c>
      <c r="AO517" s="306">
        <f t="shared" si="126"/>
        <v>0</v>
      </c>
      <c r="AP517" s="306">
        <f t="shared" si="127"/>
        <v>210</v>
      </c>
      <c r="AQ517" s="306">
        <f t="shared" si="128"/>
        <v>210</v>
      </c>
    </row>
    <row r="518" s="222" customFormat="1" ht="39" customHeight="1" spans="1:43">
      <c r="A518" s="375">
        <v>46006</v>
      </c>
      <c r="B518" s="376" t="s">
        <v>207</v>
      </c>
      <c r="C518" s="222" t="s">
        <v>119</v>
      </c>
      <c r="D518" s="377">
        <v>4500189030</v>
      </c>
      <c r="E518" s="382">
        <v>4400528777</v>
      </c>
      <c r="F518" s="377" t="s">
        <v>2111</v>
      </c>
      <c r="G518" s="379" t="s">
        <v>62</v>
      </c>
      <c r="H518" s="379" t="s">
        <v>63</v>
      </c>
      <c r="I518" s="377">
        <v>90</v>
      </c>
      <c r="J518" s="377">
        <v>0</v>
      </c>
      <c r="K518" s="377">
        <v>6</v>
      </c>
      <c r="L518" s="377">
        <f t="shared" si="123"/>
        <v>15</v>
      </c>
      <c r="M518" s="387">
        <v>46042</v>
      </c>
      <c r="N518" s="387">
        <v>46038</v>
      </c>
      <c r="O518" s="387"/>
      <c r="P518" s="386" t="s">
        <v>49</v>
      </c>
      <c r="Q518" s="387"/>
      <c r="R518" s="387"/>
      <c r="S518" s="394" t="s">
        <v>50</v>
      </c>
      <c r="T518" s="395">
        <v>46006</v>
      </c>
      <c r="U518" s="394" t="s">
        <v>50</v>
      </c>
      <c r="V518" s="387"/>
      <c r="W518" s="387"/>
      <c r="X518" s="397" t="s">
        <v>2110</v>
      </c>
      <c r="Y518" s="379" t="s">
        <v>1292</v>
      </c>
      <c r="Z518" s="406">
        <v>3.358</v>
      </c>
      <c r="AA518" s="409">
        <f t="shared" si="130"/>
        <v>302.22</v>
      </c>
      <c r="AB518" s="377"/>
      <c r="AC518" s="410" t="s">
        <v>71</v>
      </c>
      <c r="AD518" s="222" t="s">
        <v>56</v>
      </c>
      <c r="AE518" s="309"/>
      <c r="AF518" s="306">
        <f t="shared" si="124"/>
        <v>-90</v>
      </c>
      <c r="AI518" s="380" t="s">
        <v>72</v>
      </c>
      <c r="AJ518" s="306">
        <v>2</v>
      </c>
      <c r="AK518" s="380" t="s">
        <v>73</v>
      </c>
      <c r="AL518" s="306">
        <v>0</v>
      </c>
      <c r="AM518" s="377"/>
      <c r="AN518" s="306">
        <f t="shared" si="125"/>
        <v>90</v>
      </c>
      <c r="AO518" s="306">
        <f t="shared" si="126"/>
        <v>0</v>
      </c>
      <c r="AP518" s="306">
        <f t="shared" si="127"/>
        <v>90</v>
      </c>
      <c r="AQ518" s="306">
        <f t="shared" si="128"/>
        <v>90</v>
      </c>
    </row>
    <row r="519" s="222" customFormat="1" ht="39" customHeight="1" spans="1:43">
      <c r="A519" s="375">
        <v>46006</v>
      </c>
      <c r="B519" s="376" t="s">
        <v>588</v>
      </c>
      <c r="C519" s="222" t="s">
        <v>66</v>
      </c>
      <c r="D519" s="377">
        <v>4500189088</v>
      </c>
      <c r="E519" s="382"/>
      <c r="F519" s="377" t="s">
        <v>2112</v>
      </c>
      <c r="G519" s="379" t="s">
        <v>62</v>
      </c>
      <c r="H519" s="379" t="s">
        <v>63</v>
      </c>
      <c r="I519" s="377">
        <v>120</v>
      </c>
      <c r="J519" s="377">
        <v>0</v>
      </c>
      <c r="K519" s="377">
        <v>6</v>
      </c>
      <c r="L519" s="377">
        <f t="shared" si="123"/>
        <v>20</v>
      </c>
      <c r="M519" s="387">
        <v>46044</v>
      </c>
      <c r="N519" s="387">
        <v>46041</v>
      </c>
      <c r="O519" s="387"/>
      <c r="P519" s="386" t="s">
        <v>49</v>
      </c>
      <c r="Q519" s="387"/>
      <c r="R519" s="387"/>
      <c r="S519" s="394" t="s">
        <v>50</v>
      </c>
      <c r="T519" s="395">
        <v>46009</v>
      </c>
      <c r="U519" s="394" t="s">
        <v>2113</v>
      </c>
      <c r="V519" s="387"/>
      <c r="W519" s="387"/>
      <c r="X519" s="397" t="s">
        <v>2114</v>
      </c>
      <c r="Y519" s="379" t="s">
        <v>586</v>
      </c>
      <c r="Z519" s="406">
        <v>3.5625</v>
      </c>
      <c r="AA519" s="409">
        <f t="shared" si="130"/>
        <v>427.5</v>
      </c>
      <c r="AB519" s="377"/>
      <c r="AC519" s="410" t="s">
        <v>71</v>
      </c>
      <c r="AD519" s="222" t="s">
        <v>56</v>
      </c>
      <c r="AE519" s="309"/>
      <c r="AF519" s="306">
        <f t="shared" si="124"/>
        <v>-120</v>
      </c>
      <c r="AI519" s="380" t="s">
        <v>72</v>
      </c>
      <c r="AJ519" s="306">
        <v>2</v>
      </c>
      <c r="AK519" s="380" t="s">
        <v>73</v>
      </c>
      <c r="AL519" s="306">
        <v>0</v>
      </c>
      <c r="AM519" s="377"/>
      <c r="AN519" s="306">
        <f t="shared" si="125"/>
        <v>120</v>
      </c>
      <c r="AO519" s="306">
        <f t="shared" si="126"/>
        <v>0</v>
      </c>
      <c r="AP519" s="306">
        <f t="shared" si="127"/>
        <v>120</v>
      </c>
      <c r="AQ519" s="306">
        <f t="shared" si="128"/>
        <v>120</v>
      </c>
    </row>
    <row r="520" s="222" customFormat="1" ht="39" hidden="1" customHeight="1" spans="1:43">
      <c r="A520" s="375">
        <v>46010</v>
      </c>
      <c r="B520" s="376" t="s">
        <v>2115</v>
      </c>
      <c r="C520" s="222" t="s">
        <v>119</v>
      </c>
      <c r="D520" s="377">
        <v>4500189484</v>
      </c>
      <c r="E520" s="382">
        <v>5200008435</v>
      </c>
      <c r="F520" s="377" t="s">
        <v>2116</v>
      </c>
      <c r="G520" s="379" t="s">
        <v>258</v>
      </c>
      <c r="H520" s="379" t="s">
        <v>63</v>
      </c>
      <c r="I520" s="377">
        <v>744</v>
      </c>
      <c r="J520" s="377">
        <v>0</v>
      </c>
      <c r="K520" s="377">
        <v>6</v>
      </c>
      <c r="L520" s="377">
        <f t="shared" si="123"/>
        <v>124</v>
      </c>
      <c r="M520" s="387">
        <v>46052</v>
      </c>
      <c r="N520" s="387">
        <v>46048</v>
      </c>
      <c r="O520" s="387"/>
      <c r="P520" s="386" t="s">
        <v>49</v>
      </c>
      <c r="Q520" s="387"/>
      <c r="R520" s="387"/>
      <c r="S520" s="394" t="s">
        <v>50</v>
      </c>
      <c r="T520" s="395">
        <v>46021</v>
      </c>
      <c r="U520" s="394" t="s">
        <v>50</v>
      </c>
      <c r="V520" s="387"/>
      <c r="W520" s="387"/>
      <c r="X520" s="397" t="s">
        <v>2117</v>
      </c>
      <c r="Y520" s="379" t="s">
        <v>2118</v>
      </c>
      <c r="Z520" s="406">
        <v>3.5498</v>
      </c>
      <c r="AA520" s="409">
        <f t="shared" si="130"/>
        <v>2641.0512</v>
      </c>
      <c r="AB520" s="377"/>
      <c r="AC520" s="410" t="s">
        <v>71</v>
      </c>
      <c r="AD520" s="222" t="s">
        <v>56</v>
      </c>
      <c r="AE520" s="309"/>
      <c r="AF520" s="306">
        <f t="shared" si="124"/>
        <v>-744</v>
      </c>
      <c r="AI520" s="380" t="s">
        <v>72</v>
      </c>
      <c r="AJ520" s="306">
        <v>2</v>
      </c>
      <c r="AK520" s="380" t="s">
        <v>73</v>
      </c>
      <c r="AL520" s="306">
        <v>0</v>
      </c>
      <c r="AM520" s="377"/>
      <c r="AN520" s="306">
        <f t="shared" si="125"/>
        <v>744</v>
      </c>
      <c r="AO520" s="306">
        <f t="shared" si="126"/>
        <v>0</v>
      </c>
      <c r="AP520" s="306">
        <f t="shared" si="127"/>
        <v>744</v>
      </c>
      <c r="AQ520" s="306">
        <f t="shared" si="128"/>
        <v>744</v>
      </c>
    </row>
    <row r="521" s="222" customFormat="1" ht="39" customHeight="1" spans="1:43">
      <c r="A521" s="375">
        <v>46014</v>
      </c>
      <c r="B521" s="376" t="s">
        <v>1325</v>
      </c>
      <c r="C521" s="222" t="s">
        <v>1326</v>
      </c>
      <c r="D521" s="377">
        <v>4500188307</v>
      </c>
      <c r="E521" s="382"/>
      <c r="F521" s="377" t="s">
        <v>2119</v>
      </c>
      <c r="G521" s="379" t="s">
        <v>62</v>
      </c>
      <c r="H521" s="379" t="s">
        <v>63</v>
      </c>
      <c r="I521" s="377">
        <v>108</v>
      </c>
      <c r="J521" s="377">
        <v>0</v>
      </c>
      <c r="K521" s="377">
        <v>6</v>
      </c>
      <c r="L521" s="377">
        <f t="shared" si="123"/>
        <v>18</v>
      </c>
      <c r="M521" s="387">
        <v>46052</v>
      </c>
      <c r="N521" s="387">
        <v>46048</v>
      </c>
      <c r="O521" s="387"/>
      <c r="P521" s="386" t="s">
        <v>49</v>
      </c>
      <c r="Q521" s="387"/>
      <c r="R521" s="387"/>
      <c r="S521" s="394" t="s">
        <v>50</v>
      </c>
      <c r="T521" s="395">
        <v>46021</v>
      </c>
      <c r="U521" s="394" t="s">
        <v>2120</v>
      </c>
      <c r="V521" s="387"/>
      <c r="W521" s="387"/>
      <c r="X521" s="397" t="s">
        <v>2121</v>
      </c>
      <c r="Y521" s="379" t="s">
        <v>1331</v>
      </c>
      <c r="Z521" s="406">
        <v>3.5625</v>
      </c>
      <c r="AA521" s="409">
        <f t="shared" si="130"/>
        <v>384.75</v>
      </c>
      <c r="AB521" s="377"/>
      <c r="AC521" s="410" t="s">
        <v>71</v>
      </c>
      <c r="AD521" s="222" t="s">
        <v>56</v>
      </c>
      <c r="AE521" s="309"/>
      <c r="AF521" s="306">
        <f t="shared" si="124"/>
        <v>-108</v>
      </c>
      <c r="AI521" s="380" t="s">
        <v>72</v>
      </c>
      <c r="AJ521" s="306">
        <v>2</v>
      </c>
      <c r="AK521" s="380" t="s">
        <v>73</v>
      </c>
      <c r="AL521" s="306">
        <v>0</v>
      </c>
      <c r="AM521" s="377"/>
      <c r="AN521" s="306">
        <f t="shared" si="125"/>
        <v>108</v>
      </c>
      <c r="AO521" s="306">
        <f t="shared" si="126"/>
        <v>0</v>
      </c>
      <c r="AP521" s="306">
        <f t="shared" si="127"/>
        <v>108</v>
      </c>
      <c r="AQ521" s="306">
        <f t="shared" si="128"/>
        <v>108</v>
      </c>
    </row>
    <row r="522" s="222" customFormat="1" ht="39" customHeight="1" spans="1:43">
      <c r="A522" s="375">
        <v>46021</v>
      </c>
      <c r="B522" s="376" t="s">
        <v>1325</v>
      </c>
      <c r="C522" s="222" t="s">
        <v>1326</v>
      </c>
      <c r="D522" s="377">
        <v>4500190234</v>
      </c>
      <c r="E522" s="382"/>
      <c r="F522" s="377" t="s">
        <v>2122</v>
      </c>
      <c r="G522" s="379" t="s">
        <v>62</v>
      </c>
      <c r="H522" s="379" t="s">
        <v>63</v>
      </c>
      <c r="I522" s="377">
        <v>60</v>
      </c>
      <c r="J522" s="377">
        <v>0</v>
      </c>
      <c r="K522" s="377">
        <v>6</v>
      </c>
      <c r="L522" s="377">
        <f t="shared" si="123"/>
        <v>10</v>
      </c>
      <c r="M522" s="387">
        <v>46052</v>
      </c>
      <c r="N522" s="387">
        <v>46048</v>
      </c>
      <c r="O522" s="387"/>
      <c r="P522" s="386" t="s">
        <v>49</v>
      </c>
      <c r="Q522" s="387"/>
      <c r="R522" s="387"/>
      <c r="S522" s="394" t="s">
        <v>50</v>
      </c>
      <c r="T522" s="395">
        <v>46021</v>
      </c>
      <c r="U522" s="394" t="s">
        <v>50</v>
      </c>
      <c r="V522" s="387"/>
      <c r="W522" s="387"/>
      <c r="X522" s="397" t="s">
        <v>2123</v>
      </c>
      <c r="Y522" s="379" t="s">
        <v>1331</v>
      </c>
      <c r="Z522" s="406">
        <v>3.5625</v>
      </c>
      <c r="AA522" s="409">
        <f t="shared" si="130"/>
        <v>213.75</v>
      </c>
      <c r="AB522" s="377"/>
      <c r="AC522" s="410" t="s">
        <v>71</v>
      </c>
      <c r="AD522" s="222" t="s">
        <v>56</v>
      </c>
      <c r="AE522" s="309"/>
      <c r="AF522" s="306">
        <f t="shared" si="124"/>
        <v>-60</v>
      </c>
      <c r="AI522" s="380" t="s">
        <v>72</v>
      </c>
      <c r="AJ522" s="306">
        <v>2</v>
      </c>
      <c r="AK522" s="380" t="s">
        <v>73</v>
      </c>
      <c r="AL522" s="306">
        <v>0</v>
      </c>
      <c r="AM522" s="377"/>
      <c r="AN522" s="306">
        <f t="shared" si="125"/>
        <v>60</v>
      </c>
      <c r="AO522" s="306">
        <f t="shared" si="126"/>
        <v>0</v>
      </c>
      <c r="AP522" s="306">
        <f t="shared" si="127"/>
        <v>60</v>
      </c>
      <c r="AQ522" s="306">
        <f t="shared" si="128"/>
        <v>60</v>
      </c>
    </row>
    <row r="523" s="222" customFormat="1" ht="39" customHeight="1" spans="1:43">
      <c r="A523" s="375">
        <v>46006</v>
      </c>
      <c r="B523" s="376" t="s">
        <v>2124</v>
      </c>
      <c r="C523" s="222" t="s">
        <v>787</v>
      </c>
      <c r="D523" s="377">
        <v>4500188900</v>
      </c>
      <c r="E523" s="382" t="s">
        <v>2125</v>
      </c>
      <c r="F523" s="377" t="s">
        <v>2126</v>
      </c>
      <c r="G523" s="379" t="s">
        <v>62</v>
      </c>
      <c r="H523" s="379" t="s">
        <v>63</v>
      </c>
      <c r="I523" s="377">
        <v>480</v>
      </c>
      <c r="J523" s="377">
        <v>0</v>
      </c>
      <c r="K523" s="377">
        <v>6</v>
      </c>
      <c r="L523" s="377">
        <f t="shared" si="123"/>
        <v>80</v>
      </c>
      <c r="M523" s="387">
        <v>46052</v>
      </c>
      <c r="N523" s="387">
        <v>46048</v>
      </c>
      <c r="O523" s="387"/>
      <c r="P523" s="386" t="s">
        <v>49</v>
      </c>
      <c r="Q523" s="387"/>
      <c r="R523" s="387" t="s">
        <v>2127</v>
      </c>
      <c r="S523" s="394" t="s">
        <v>50</v>
      </c>
      <c r="T523" s="395" t="s">
        <v>2128</v>
      </c>
      <c r="U523" s="394" t="s">
        <v>2129</v>
      </c>
      <c r="V523" s="387"/>
      <c r="W523" s="387"/>
      <c r="X523" s="397" t="s">
        <v>2130</v>
      </c>
      <c r="Y523" s="379" t="s">
        <v>1331</v>
      </c>
      <c r="Z523" s="406">
        <v>3.5625</v>
      </c>
      <c r="AA523" s="409">
        <f t="shared" si="130"/>
        <v>1710</v>
      </c>
      <c r="AB523" s="377"/>
      <c r="AC523" s="410" t="s">
        <v>71</v>
      </c>
      <c r="AD523" s="222" t="s">
        <v>56</v>
      </c>
      <c r="AE523" s="309"/>
      <c r="AF523" s="306">
        <f t="shared" si="124"/>
        <v>-480</v>
      </c>
      <c r="AI523" s="380" t="s">
        <v>72</v>
      </c>
      <c r="AJ523" s="306">
        <v>2</v>
      </c>
      <c r="AK523" s="380" t="s">
        <v>73</v>
      </c>
      <c r="AL523" s="306">
        <v>0</v>
      </c>
      <c r="AM523" s="377"/>
      <c r="AN523" s="306">
        <f t="shared" si="125"/>
        <v>480</v>
      </c>
      <c r="AO523" s="306">
        <f t="shared" si="126"/>
        <v>0</v>
      </c>
      <c r="AP523" s="306">
        <f t="shared" si="127"/>
        <v>480</v>
      </c>
      <c r="AQ523" s="306">
        <f t="shared" si="128"/>
        <v>480</v>
      </c>
    </row>
    <row r="524" s="222" customFormat="1" ht="39" customHeight="1" spans="1:43">
      <c r="A524" s="375">
        <v>46008</v>
      </c>
      <c r="B524" s="376" t="s">
        <v>1072</v>
      </c>
      <c r="C524" s="222" t="s">
        <v>66</v>
      </c>
      <c r="D524" s="377">
        <v>4500189267</v>
      </c>
      <c r="E524" s="382"/>
      <c r="F524" s="377" t="s">
        <v>2131</v>
      </c>
      <c r="G524" s="379" t="s">
        <v>62</v>
      </c>
      <c r="H524" s="379" t="s">
        <v>63</v>
      </c>
      <c r="I524" s="377">
        <v>180</v>
      </c>
      <c r="J524" s="377">
        <v>0</v>
      </c>
      <c r="K524" s="377">
        <v>6</v>
      </c>
      <c r="L524" s="377">
        <f t="shared" si="123"/>
        <v>30</v>
      </c>
      <c r="M524" s="387">
        <v>46055</v>
      </c>
      <c r="N524" s="387">
        <f>M524-4</f>
        <v>46051</v>
      </c>
      <c r="O524" s="387"/>
      <c r="P524" s="386" t="s">
        <v>49</v>
      </c>
      <c r="Q524" s="387"/>
      <c r="R524" s="387"/>
      <c r="S524" s="394" t="s">
        <v>50</v>
      </c>
      <c r="T524" s="395">
        <v>46008</v>
      </c>
      <c r="U524" s="394" t="s">
        <v>2068</v>
      </c>
      <c r="V524" s="387"/>
      <c r="W524" s="387"/>
      <c r="X524" s="397" t="s">
        <v>2132</v>
      </c>
      <c r="Y524" s="379" t="s">
        <v>945</v>
      </c>
      <c r="Z524" s="406">
        <v>3.5625</v>
      </c>
      <c r="AA524" s="409">
        <f t="shared" si="130"/>
        <v>641.25</v>
      </c>
      <c r="AB524" s="377"/>
      <c r="AC524" s="410" t="s">
        <v>71</v>
      </c>
      <c r="AD524" s="222" t="s">
        <v>56</v>
      </c>
      <c r="AE524" s="309"/>
      <c r="AF524" s="306">
        <f t="shared" si="124"/>
        <v>-180</v>
      </c>
      <c r="AI524" s="380" t="s">
        <v>72</v>
      </c>
      <c r="AJ524" s="306">
        <v>2</v>
      </c>
      <c r="AK524" s="380" t="s">
        <v>73</v>
      </c>
      <c r="AL524" s="306">
        <v>0</v>
      </c>
      <c r="AM524" s="377"/>
      <c r="AN524" s="306">
        <f t="shared" si="125"/>
        <v>180</v>
      </c>
      <c r="AO524" s="306">
        <f t="shared" si="126"/>
        <v>0</v>
      </c>
      <c r="AP524" s="306">
        <f t="shared" si="127"/>
        <v>180</v>
      </c>
      <c r="AQ524" s="306">
        <f t="shared" si="128"/>
        <v>180</v>
      </c>
    </row>
    <row r="525" s="222" customFormat="1" ht="39" customHeight="1" spans="1:43">
      <c r="A525" s="375">
        <v>46014</v>
      </c>
      <c r="B525" s="376" t="s">
        <v>1620</v>
      </c>
      <c r="C525" s="222" t="s">
        <v>44</v>
      </c>
      <c r="D525" s="377">
        <v>4500189637</v>
      </c>
      <c r="E525" s="382">
        <v>5087</v>
      </c>
      <c r="F525" s="377" t="s">
        <v>2133</v>
      </c>
      <c r="G525" s="379" t="s">
        <v>62</v>
      </c>
      <c r="H525" s="379" t="s">
        <v>63</v>
      </c>
      <c r="I525" s="377">
        <v>504</v>
      </c>
      <c r="J525" s="377">
        <v>0</v>
      </c>
      <c r="K525" s="377">
        <v>6</v>
      </c>
      <c r="L525" s="377">
        <f t="shared" si="123"/>
        <v>84</v>
      </c>
      <c r="M525" s="387">
        <v>46055</v>
      </c>
      <c r="N525" s="387">
        <f>M525-4</f>
        <v>46051</v>
      </c>
      <c r="O525" s="387"/>
      <c r="P525" s="386" t="s">
        <v>49</v>
      </c>
      <c r="Q525" s="387"/>
      <c r="R525" s="387"/>
      <c r="S525" s="394" t="s">
        <v>50</v>
      </c>
      <c r="T525" s="395">
        <v>46014</v>
      </c>
      <c r="U525" s="394" t="s">
        <v>50</v>
      </c>
      <c r="V525" s="387"/>
      <c r="W525" s="387"/>
      <c r="X525" s="397" t="s">
        <v>2134</v>
      </c>
      <c r="Y525" s="379" t="s">
        <v>2135</v>
      </c>
      <c r="Z525" s="406">
        <v>2.0072</v>
      </c>
      <c r="AA525" s="409">
        <f t="shared" si="130"/>
        <v>1011.6288</v>
      </c>
      <c r="AB525" s="377"/>
      <c r="AC525" s="410" t="s">
        <v>62</v>
      </c>
      <c r="AD525" s="222" t="s">
        <v>56</v>
      </c>
      <c r="AE525" s="309"/>
      <c r="AF525" s="306">
        <f t="shared" si="124"/>
        <v>-504</v>
      </c>
      <c r="AI525" s="380" t="s">
        <v>57</v>
      </c>
      <c r="AJ525" s="306">
        <v>0</v>
      </c>
      <c r="AK525" s="380" t="s">
        <v>73</v>
      </c>
      <c r="AL525" s="306">
        <v>0</v>
      </c>
      <c r="AM525" s="377"/>
      <c r="AN525" s="306">
        <f t="shared" si="125"/>
        <v>504</v>
      </c>
      <c r="AO525" s="306">
        <f t="shared" si="126"/>
        <v>504</v>
      </c>
      <c r="AP525" s="306" t="b">
        <f t="shared" si="127"/>
        <v>0</v>
      </c>
      <c r="AQ525" s="306">
        <f t="shared" si="128"/>
        <v>504</v>
      </c>
    </row>
    <row r="526" s="222" customFormat="1" ht="39" customHeight="1" spans="1:43">
      <c r="A526" s="375">
        <v>46017</v>
      </c>
      <c r="B526" s="376" t="s">
        <v>1741</v>
      </c>
      <c r="C526" s="222" t="s">
        <v>1156</v>
      </c>
      <c r="D526" s="377">
        <v>4500190102</v>
      </c>
      <c r="E526" s="382">
        <v>5000002099</v>
      </c>
      <c r="F526" s="377" t="s">
        <v>2136</v>
      </c>
      <c r="G526" s="379" t="s">
        <v>62</v>
      </c>
      <c r="H526" s="379" t="s">
        <v>63</v>
      </c>
      <c r="I526" s="377">
        <v>900</v>
      </c>
      <c r="J526" s="377">
        <v>0</v>
      </c>
      <c r="K526" s="377">
        <v>6</v>
      </c>
      <c r="L526" s="377">
        <f t="shared" si="123"/>
        <v>150</v>
      </c>
      <c r="M526" s="387">
        <v>46055</v>
      </c>
      <c r="N526" s="387">
        <v>46051</v>
      </c>
      <c r="O526" s="387"/>
      <c r="P526" s="386" t="s">
        <v>49</v>
      </c>
      <c r="Q526" s="387"/>
      <c r="R526" s="387"/>
      <c r="S526" s="394" t="s">
        <v>2137</v>
      </c>
      <c r="T526" s="395" t="s">
        <v>2138</v>
      </c>
      <c r="U526" s="394" t="s">
        <v>2139</v>
      </c>
      <c r="V526" s="387"/>
      <c r="W526" s="387"/>
      <c r="X526" s="397" t="s">
        <v>2140</v>
      </c>
      <c r="Y526" s="379" t="s">
        <v>1159</v>
      </c>
      <c r="Z526" s="406">
        <v>3.3453</v>
      </c>
      <c r="AA526" s="409">
        <f t="shared" si="130"/>
        <v>3010.77</v>
      </c>
      <c r="AB526" s="377"/>
      <c r="AC526" s="410" t="s">
        <v>1161</v>
      </c>
      <c r="AD526" s="222" t="s">
        <v>56</v>
      </c>
      <c r="AE526" s="309"/>
      <c r="AF526" s="306">
        <f t="shared" si="124"/>
        <v>-900</v>
      </c>
      <c r="AI526" s="380" t="s">
        <v>57</v>
      </c>
      <c r="AJ526" s="306">
        <v>0</v>
      </c>
      <c r="AK526" s="380" t="s">
        <v>1162</v>
      </c>
      <c r="AL526" s="306">
        <v>1</v>
      </c>
      <c r="AM526" s="377"/>
      <c r="AN526" s="306">
        <f t="shared" si="125"/>
        <v>900</v>
      </c>
      <c r="AO526" s="306">
        <f t="shared" si="126"/>
        <v>900</v>
      </c>
      <c r="AP526" s="306" t="b">
        <f t="shared" si="127"/>
        <v>0</v>
      </c>
      <c r="AQ526" s="306">
        <f t="shared" si="128"/>
        <v>0</v>
      </c>
    </row>
    <row r="527" s="222" customFormat="1" ht="39" customHeight="1" spans="1:43">
      <c r="A527" s="375">
        <v>46016</v>
      </c>
      <c r="B527" s="376" t="s">
        <v>1679</v>
      </c>
      <c r="C527" s="222" t="s">
        <v>226</v>
      </c>
      <c r="D527" s="377">
        <v>4500190045</v>
      </c>
      <c r="E527" s="382"/>
      <c r="F527" s="377" t="s">
        <v>2141</v>
      </c>
      <c r="G527" s="379" t="s">
        <v>62</v>
      </c>
      <c r="H527" s="379" t="s">
        <v>63</v>
      </c>
      <c r="I527" s="377">
        <v>204</v>
      </c>
      <c r="J527" s="377">
        <v>0</v>
      </c>
      <c r="K527" s="377">
        <v>6</v>
      </c>
      <c r="L527" s="377">
        <f t="shared" si="123"/>
        <v>34</v>
      </c>
      <c r="M527" s="387">
        <v>46055</v>
      </c>
      <c r="N527" s="387">
        <f>M527-4</f>
        <v>46051</v>
      </c>
      <c r="O527" s="387"/>
      <c r="P527" s="386" t="s">
        <v>49</v>
      </c>
      <c r="Q527" s="387"/>
      <c r="R527" s="387"/>
      <c r="S527" s="394" t="s">
        <v>50</v>
      </c>
      <c r="T527" s="395">
        <v>46021</v>
      </c>
      <c r="U527" s="394" t="s">
        <v>2142</v>
      </c>
      <c r="V527" s="387"/>
      <c r="W527" s="387"/>
      <c r="X527" s="397" t="s">
        <v>2143</v>
      </c>
      <c r="Y527" s="379" t="s">
        <v>685</v>
      </c>
      <c r="Z527" s="406">
        <v>3.358</v>
      </c>
      <c r="AA527" s="409">
        <f t="shared" si="130"/>
        <v>685.032</v>
      </c>
      <c r="AB527" s="377"/>
      <c r="AC527" s="410" t="s">
        <v>71</v>
      </c>
      <c r="AD527" s="222" t="s">
        <v>56</v>
      </c>
      <c r="AE527" s="309"/>
      <c r="AF527" s="306">
        <f t="shared" si="124"/>
        <v>-204</v>
      </c>
      <c r="AI527" s="380" t="s">
        <v>72</v>
      </c>
      <c r="AJ527" s="306">
        <v>2</v>
      </c>
      <c r="AK527" s="380" t="s">
        <v>73</v>
      </c>
      <c r="AL527" s="306">
        <v>0</v>
      </c>
      <c r="AM527" s="377"/>
      <c r="AN527" s="306">
        <f t="shared" si="125"/>
        <v>204</v>
      </c>
      <c r="AO527" s="306">
        <f t="shared" si="126"/>
        <v>0</v>
      </c>
      <c r="AP527" s="306">
        <f t="shared" si="127"/>
        <v>204</v>
      </c>
      <c r="AQ527" s="306">
        <f t="shared" si="128"/>
        <v>204</v>
      </c>
    </row>
    <row r="528" s="223" customFormat="1" ht="39" customHeight="1" spans="1:43">
      <c r="A528" s="412">
        <v>45975</v>
      </c>
      <c r="B528" s="228" t="s">
        <v>2144</v>
      </c>
      <c r="C528" s="223" t="s">
        <v>66</v>
      </c>
      <c r="D528" s="413">
        <v>4500185670</v>
      </c>
      <c r="E528" s="414"/>
      <c r="F528" s="413" t="s">
        <v>2145</v>
      </c>
      <c r="G528" s="415" t="s">
        <v>62</v>
      </c>
      <c r="H528" s="415" t="s">
        <v>63</v>
      </c>
      <c r="I528" s="413">
        <v>420</v>
      </c>
      <c r="J528" s="413">
        <v>0</v>
      </c>
      <c r="K528" s="413">
        <v>6</v>
      </c>
      <c r="L528" s="413">
        <f t="shared" si="123"/>
        <v>70</v>
      </c>
      <c r="M528" s="435">
        <v>46048</v>
      </c>
      <c r="N528" s="435">
        <f>M528-4</f>
        <v>46044</v>
      </c>
      <c r="O528" s="436"/>
      <c r="P528" s="436"/>
      <c r="Q528" s="436"/>
      <c r="R528" s="436"/>
      <c r="S528" s="236" t="s">
        <v>50</v>
      </c>
      <c r="T528" s="445">
        <v>45986</v>
      </c>
      <c r="U528" s="236" t="s">
        <v>2146</v>
      </c>
      <c r="V528" s="436"/>
      <c r="W528" s="436"/>
      <c r="X528" s="446" t="s">
        <v>2147</v>
      </c>
      <c r="Y528" s="415" t="s">
        <v>945</v>
      </c>
      <c r="Z528" s="454">
        <v>3.5625</v>
      </c>
      <c r="AA528" s="455">
        <f t="shared" si="130"/>
        <v>1496.25</v>
      </c>
      <c r="AB528" s="413"/>
      <c r="AC528" s="431" t="s">
        <v>71</v>
      </c>
      <c r="AD528" s="223" t="s">
        <v>56</v>
      </c>
      <c r="AE528" s="290"/>
      <c r="AF528" s="290">
        <f t="shared" si="124"/>
        <v>-420</v>
      </c>
      <c r="AI528" s="289" t="s">
        <v>72</v>
      </c>
      <c r="AJ528" s="290">
        <v>2</v>
      </c>
      <c r="AK528" s="289" t="s">
        <v>73</v>
      </c>
      <c r="AL528" s="290">
        <v>0</v>
      </c>
      <c r="AM528" s="413"/>
      <c r="AN528" s="251">
        <f t="shared" si="125"/>
        <v>420</v>
      </c>
      <c r="AO528" s="290">
        <f t="shared" si="126"/>
        <v>0</v>
      </c>
      <c r="AP528" s="290">
        <f t="shared" si="127"/>
        <v>420</v>
      </c>
      <c r="AQ528" s="290">
        <f t="shared" si="128"/>
        <v>420</v>
      </c>
    </row>
    <row r="529" s="223" customFormat="1" ht="39" hidden="1" customHeight="1" spans="1:43">
      <c r="A529" s="412">
        <v>45996</v>
      </c>
      <c r="B529" s="228" t="s">
        <v>2148</v>
      </c>
      <c r="C529" s="223" t="s">
        <v>104</v>
      </c>
      <c r="D529" s="413">
        <v>4500188280</v>
      </c>
      <c r="E529" s="414">
        <v>5200008252</v>
      </c>
      <c r="F529" s="413" t="s">
        <v>2149</v>
      </c>
      <c r="G529" s="415" t="s">
        <v>258</v>
      </c>
      <c r="H529" s="289" t="s">
        <v>63</v>
      </c>
      <c r="I529" s="290">
        <v>1644</v>
      </c>
      <c r="J529" s="290">
        <v>0</v>
      </c>
      <c r="K529" s="290">
        <v>6</v>
      </c>
      <c r="L529" s="290">
        <f t="shared" si="123"/>
        <v>274</v>
      </c>
      <c r="M529" s="436">
        <v>46050</v>
      </c>
      <c r="N529" s="436">
        <v>46077</v>
      </c>
      <c r="O529" s="436"/>
      <c r="P529" s="436"/>
      <c r="Q529" s="436"/>
      <c r="R529" s="436"/>
      <c r="S529" s="236" t="s">
        <v>50</v>
      </c>
      <c r="T529" s="445">
        <v>46000</v>
      </c>
      <c r="U529" s="236" t="s">
        <v>2150</v>
      </c>
      <c r="V529" s="436"/>
      <c r="W529" s="436"/>
      <c r="X529" s="447" t="s">
        <v>2151</v>
      </c>
      <c r="Y529" s="415" t="s">
        <v>2152</v>
      </c>
      <c r="Z529" s="456">
        <v>3.5366</v>
      </c>
      <c r="AA529" s="457">
        <f t="shared" si="130"/>
        <v>5814.1704</v>
      </c>
      <c r="AB529" s="413"/>
      <c r="AC529" s="431" t="s">
        <v>71</v>
      </c>
      <c r="AD529" s="223" t="s">
        <v>56</v>
      </c>
      <c r="AE529" s="290"/>
      <c r="AF529" s="290">
        <f t="shared" si="124"/>
        <v>-1644</v>
      </c>
      <c r="AI529" s="289" t="s">
        <v>72</v>
      </c>
      <c r="AJ529" s="290">
        <v>2</v>
      </c>
      <c r="AK529" s="289" t="s">
        <v>73</v>
      </c>
      <c r="AL529" s="290">
        <v>0</v>
      </c>
      <c r="AM529" s="413"/>
      <c r="AN529" s="290">
        <f t="shared" si="125"/>
        <v>1644</v>
      </c>
      <c r="AO529" s="290">
        <f t="shared" si="126"/>
        <v>0</v>
      </c>
      <c r="AP529" s="290">
        <f t="shared" si="127"/>
        <v>1644</v>
      </c>
      <c r="AQ529" s="290">
        <f t="shared" si="128"/>
        <v>1644</v>
      </c>
    </row>
    <row r="530" s="223" customFormat="1" ht="39" customHeight="1" spans="1:43">
      <c r="A530" s="412">
        <v>46020</v>
      </c>
      <c r="B530" s="228" t="s">
        <v>74</v>
      </c>
      <c r="C530" s="223" t="s">
        <v>44</v>
      </c>
      <c r="D530" s="413">
        <v>4500190280</v>
      </c>
      <c r="E530" s="414" t="s">
        <v>2153</v>
      </c>
      <c r="F530" s="413" t="s">
        <v>2154</v>
      </c>
      <c r="G530" s="415" t="s">
        <v>62</v>
      </c>
      <c r="H530" s="415" t="s">
        <v>63</v>
      </c>
      <c r="I530" s="437">
        <v>4176</v>
      </c>
      <c r="J530" s="413">
        <v>0</v>
      </c>
      <c r="K530" s="413">
        <v>6</v>
      </c>
      <c r="L530" s="413">
        <f t="shared" si="123"/>
        <v>696</v>
      </c>
      <c r="M530" s="436">
        <v>46055</v>
      </c>
      <c r="N530" s="436">
        <f>M530-4</f>
        <v>46051</v>
      </c>
      <c r="O530" s="436"/>
      <c r="P530" s="436"/>
      <c r="Q530" s="436"/>
      <c r="R530" s="436"/>
      <c r="S530" s="236" t="s">
        <v>77</v>
      </c>
      <c r="T530" s="445">
        <v>46020</v>
      </c>
      <c r="U530" s="236" t="s">
        <v>2155</v>
      </c>
      <c r="V530" s="436"/>
      <c r="W530" s="436"/>
      <c r="X530" s="447" t="s">
        <v>2156</v>
      </c>
      <c r="Y530" s="415" t="s">
        <v>116</v>
      </c>
      <c r="Z530" s="456">
        <v>1.9807</v>
      </c>
      <c r="AA530" s="455">
        <f t="shared" si="130"/>
        <v>8271.4032</v>
      </c>
      <c r="AB530" s="413"/>
      <c r="AC530" s="431" t="s">
        <v>62</v>
      </c>
      <c r="AD530" s="223" t="s">
        <v>56</v>
      </c>
      <c r="AE530" s="290"/>
      <c r="AF530" s="290">
        <f t="shared" si="124"/>
        <v>-4176</v>
      </c>
      <c r="AI530" s="289" t="s">
        <v>57</v>
      </c>
      <c r="AJ530" s="290">
        <v>0</v>
      </c>
      <c r="AK530" s="289" t="s">
        <v>73</v>
      </c>
      <c r="AL530" s="290">
        <v>0</v>
      </c>
      <c r="AM530" s="413"/>
      <c r="AN530" s="290">
        <f t="shared" si="125"/>
        <v>4176</v>
      </c>
      <c r="AO530" s="290">
        <f t="shared" si="126"/>
        <v>4176</v>
      </c>
      <c r="AP530" s="290" t="b">
        <f t="shared" si="127"/>
        <v>0</v>
      </c>
      <c r="AQ530" s="290">
        <f t="shared" si="128"/>
        <v>4176</v>
      </c>
    </row>
    <row r="531" s="223" customFormat="1" ht="39" customHeight="1" spans="1:43">
      <c r="A531" s="412">
        <v>46020</v>
      </c>
      <c r="B531" s="228" t="s">
        <v>74</v>
      </c>
      <c r="C531" s="223" t="s">
        <v>44</v>
      </c>
      <c r="D531" s="413">
        <v>4500190281</v>
      </c>
      <c r="E531" s="414" t="s">
        <v>2157</v>
      </c>
      <c r="F531" s="413" t="s">
        <v>2158</v>
      </c>
      <c r="G531" s="415" t="s">
        <v>62</v>
      </c>
      <c r="H531" s="415" t="s">
        <v>63</v>
      </c>
      <c r="I531" s="437">
        <v>5826</v>
      </c>
      <c r="J531" s="413">
        <v>0</v>
      </c>
      <c r="K531" s="413">
        <v>6</v>
      </c>
      <c r="L531" s="413">
        <f t="shared" si="123"/>
        <v>971</v>
      </c>
      <c r="M531" s="436">
        <v>46055</v>
      </c>
      <c r="N531" s="436">
        <f>M531-4</f>
        <v>46051</v>
      </c>
      <c r="O531" s="436"/>
      <c r="P531" s="436"/>
      <c r="Q531" s="436"/>
      <c r="R531" s="436"/>
      <c r="S531" s="236" t="s">
        <v>77</v>
      </c>
      <c r="T531" s="445">
        <v>46020</v>
      </c>
      <c r="U531" s="236" t="s">
        <v>2159</v>
      </c>
      <c r="V531" s="436"/>
      <c r="W531" s="436"/>
      <c r="X531" s="447" t="s">
        <v>2156</v>
      </c>
      <c r="Y531" s="415" t="s">
        <v>116</v>
      </c>
      <c r="Z531" s="456">
        <v>1.9481</v>
      </c>
      <c r="AA531" s="455">
        <f t="shared" si="130"/>
        <v>11349.6306</v>
      </c>
      <c r="AB531" s="413"/>
      <c r="AC531" s="431" t="s">
        <v>62</v>
      </c>
      <c r="AD531" s="223" t="s">
        <v>56</v>
      </c>
      <c r="AE531" s="290"/>
      <c r="AF531" s="290">
        <f t="shared" si="124"/>
        <v>-5826</v>
      </c>
      <c r="AI531" s="289" t="s">
        <v>57</v>
      </c>
      <c r="AJ531" s="290">
        <v>0</v>
      </c>
      <c r="AK531" s="289" t="s">
        <v>73</v>
      </c>
      <c r="AL531" s="290">
        <v>0</v>
      </c>
      <c r="AM531" s="413"/>
      <c r="AN531" s="290">
        <f t="shared" si="125"/>
        <v>5826</v>
      </c>
      <c r="AO531" s="290">
        <f t="shared" si="126"/>
        <v>5826</v>
      </c>
      <c r="AP531" s="290" t="b">
        <f t="shared" si="127"/>
        <v>0</v>
      </c>
      <c r="AQ531" s="290">
        <f t="shared" si="128"/>
        <v>5826</v>
      </c>
    </row>
    <row r="532" s="223" customFormat="1" ht="39" customHeight="1" spans="1:43">
      <c r="A532" s="412">
        <v>46387</v>
      </c>
      <c r="B532" s="228" t="s">
        <v>786</v>
      </c>
      <c r="C532" s="223" t="s">
        <v>787</v>
      </c>
      <c r="D532" s="413">
        <v>4500190081</v>
      </c>
      <c r="E532" s="414" t="s">
        <v>2160</v>
      </c>
      <c r="F532" s="413" t="s">
        <v>2161</v>
      </c>
      <c r="G532" s="415" t="s">
        <v>62</v>
      </c>
      <c r="H532" s="415" t="s">
        <v>63</v>
      </c>
      <c r="I532" s="437">
        <v>720</v>
      </c>
      <c r="J532" s="413">
        <v>0</v>
      </c>
      <c r="K532" s="413">
        <v>6</v>
      </c>
      <c r="L532" s="413">
        <f t="shared" si="123"/>
        <v>120</v>
      </c>
      <c r="M532" s="436">
        <v>46055</v>
      </c>
      <c r="N532" s="436">
        <f>M532-4</f>
        <v>46051</v>
      </c>
      <c r="O532" s="436"/>
      <c r="P532" s="436"/>
      <c r="Q532" s="436"/>
      <c r="R532" s="436"/>
      <c r="S532" s="236" t="s">
        <v>50</v>
      </c>
      <c r="T532" s="445">
        <v>46026</v>
      </c>
      <c r="U532" s="236" t="s">
        <v>2162</v>
      </c>
      <c r="V532" s="436"/>
      <c r="W532" s="436"/>
      <c r="X532" s="447" t="s">
        <v>2163</v>
      </c>
      <c r="Y532" s="415" t="s">
        <v>1331</v>
      </c>
      <c r="Z532" s="456">
        <v>3.5498</v>
      </c>
      <c r="AA532" s="455">
        <f t="shared" si="130"/>
        <v>2555.856</v>
      </c>
      <c r="AB532" s="413"/>
      <c r="AC532" s="431" t="s">
        <v>71</v>
      </c>
      <c r="AD532" s="223" t="s">
        <v>56</v>
      </c>
      <c r="AE532" s="290"/>
      <c r="AF532" s="290">
        <f t="shared" si="124"/>
        <v>-720</v>
      </c>
      <c r="AI532" s="289" t="s">
        <v>72</v>
      </c>
      <c r="AJ532" s="290">
        <v>2</v>
      </c>
      <c r="AK532" s="289" t="s">
        <v>73</v>
      </c>
      <c r="AL532" s="290">
        <v>0</v>
      </c>
      <c r="AM532" s="413"/>
      <c r="AN532" s="290">
        <f t="shared" si="125"/>
        <v>720</v>
      </c>
      <c r="AO532" s="290">
        <f t="shared" si="126"/>
        <v>0</v>
      </c>
      <c r="AP532" s="290">
        <f t="shared" si="127"/>
        <v>720</v>
      </c>
      <c r="AQ532" s="290">
        <f t="shared" si="128"/>
        <v>720</v>
      </c>
    </row>
    <row r="533" s="223" customFormat="1" ht="39" customHeight="1" spans="1:43">
      <c r="A533" s="412">
        <v>46016</v>
      </c>
      <c r="B533" s="228" t="s">
        <v>1199</v>
      </c>
      <c r="C533" s="223" t="s">
        <v>138</v>
      </c>
      <c r="D533" s="413">
        <v>4500190061</v>
      </c>
      <c r="E533" s="414" t="s">
        <v>2164</v>
      </c>
      <c r="F533" s="413" t="s">
        <v>2165</v>
      </c>
      <c r="G533" s="415" t="s">
        <v>62</v>
      </c>
      <c r="H533" s="415" t="s">
        <v>63</v>
      </c>
      <c r="I533" s="413">
        <v>6</v>
      </c>
      <c r="J533" s="413">
        <v>0</v>
      </c>
      <c r="K533" s="413">
        <v>6</v>
      </c>
      <c r="L533" s="413">
        <f t="shared" si="123"/>
        <v>1</v>
      </c>
      <c r="M533" s="436">
        <v>46059</v>
      </c>
      <c r="N533" s="436">
        <v>46055</v>
      </c>
      <c r="O533" s="436"/>
      <c r="P533" s="436"/>
      <c r="Q533" s="436"/>
      <c r="R533" s="436"/>
      <c r="S533" s="236" t="s">
        <v>2166</v>
      </c>
      <c r="T533" s="445">
        <v>46016</v>
      </c>
      <c r="U533" s="236" t="s">
        <v>2167</v>
      </c>
      <c r="V533" s="436"/>
      <c r="W533" s="436"/>
      <c r="X533" s="447" t="s">
        <v>286</v>
      </c>
      <c r="Y533" s="415" t="s">
        <v>1008</v>
      </c>
      <c r="Z533" s="456">
        <v>3.358</v>
      </c>
      <c r="AA533" s="455">
        <f t="shared" si="130"/>
        <v>20.148</v>
      </c>
      <c r="AB533" s="413"/>
      <c r="AC533" s="431" t="s">
        <v>71</v>
      </c>
      <c r="AD533" s="223" t="s">
        <v>56</v>
      </c>
      <c r="AE533" s="290"/>
      <c r="AF533" s="290">
        <f t="shared" si="124"/>
        <v>-6</v>
      </c>
      <c r="AI533" s="289" t="s">
        <v>72</v>
      </c>
      <c r="AJ533" s="290">
        <v>2</v>
      </c>
      <c r="AK533" s="289" t="s">
        <v>73</v>
      </c>
      <c r="AL533" s="290">
        <v>0</v>
      </c>
      <c r="AM533" s="413"/>
      <c r="AN533" s="290">
        <f t="shared" si="125"/>
        <v>6</v>
      </c>
      <c r="AO533" s="290">
        <f t="shared" si="126"/>
        <v>0</v>
      </c>
      <c r="AP533" s="290">
        <f t="shared" si="127"/>
        <v>6</v>
      </c>
      <c r="AQ533" s="290">
        <f t="shared" si="128"/>
        <v>6</v>
      </c>
    </row>
    <row r="534" s="223" customFormat="1" ht="39" customHeight="1" spans="1:43">
      <c r="A534" s="412">
        <v>46016</v>
      </c>
      <c r="B534" s="228" t="s">
        <v>1199</v>
      </c>
      <c r="C534" s="223" t="s">
        <v>138</v>
      </c>
      <c r="D534" s="413">
        <v>4500190061</v>
      </c>
      <c r="E534" s="414" t="s">
        <v>2168</v>
      </c>
      <c r="F534" s="413" t="s">
        <v>2169</v>
      </c>
      <c r="G534" s="415" t="s">
        <v>62</v>
      </c>
      <c r="H534" s="415" t="s">
        <v>63</v>
      </c>
      <c r="I534" s="413">
        <v>6</v>
      </c>
      <c r="J534" s="413">
        <v>0</v>
      </c>
      <c r="K534" s="413">
        <v>6</v>
      </c>
      <c r="L534" s="413">
        <f t="shared" si="123"/>
        <v>1</v>
      </c>
      <c r="M534" s="436">
        <v>46059</v>
      </c>
      <c r="N534" s="436">
        <v>46055</v>
      </c>
      <c r="O534" s="436"/>
      <c r="P534" s="436"/>
      <c r="Q534" s="436"/>
      <c r="R534" s="436"/>
      <c r="S534" s="236" t="s">
        <v>2166</v>
      </c>
      <c r="T534" s="445">
        <v>46016</v>
      </c>
      <c r="U534" s="236" t="s">
        <v>2167</v>
      </c>
      <c r="V534" s="436"/>
      <c r="W534" s="436"/>
      <c r="X534" s="447" t="s">
        <v>286</v>
      </c>
      <c r="Y534" s="415" t="s">
        <v>1008</v>
      </c>
      <c r="Z534" s="456">
        <v>3.358</v>
      </c>
      <c r="AA534" s="455">
        <f t="shared" si="130"/>
        <v>20.148</v>
      </c>
      <c r="AB534" s="413"/>
      <c r="AC534" s="431" t="s">
        <v>71</v>
      </c>
      <c r="AD534" s="223" t="s">
        <v>56</v>
      </c>
      <c r="AE534" s="290"/>
      <c r="AF534" s="290">
        <f t="shared" si="124"/>
        <v>-6</v>
      </c>
      <c r="AI534" s="289" t="s">
        <v>72</v>
      </c>
      <c r="AJ534" s="290">
        <v>2</v>
      </c>
      <c r="AK534" s="289" t="s">
        <v>73</v>
      </c>
      <c r="AL534" s="290">
        <v>0</v>
      </c>
      <c r="AM534" s="413"/>
      <c r="AN534" s="290">
        <f t="shared" si="125"/>
        <v>6</v>
      </c>
      <c r="AO534" s="290">
        <f t="shared" si="126"/>
        <v>0</v>
      </c>
      <c r="AP534" s="290">
        <f t="shared" si="127"/>
        <v>6</v>
      </c>
      <c r="AQ534" s="290">
        <f t="shared" si="128"/>
        <v>6</v>
      </c>
    </row>
    <row r="535" s="223" customFormat="1" ht="39" customHeight="1" spans="1:43">
      <c r="A535" s="412">
        <v>45981</v>
      </c>
      <c r="B535" s="228" t="s">
        <v>1320</v>
      </c>
      <c r="C535" s="223" t="s">
        <v>214</v>
      </c>
      <c r="D535" s="413">
        <v>4500186304</v>
      </c>
      <c r="E535" s="483" t="s">
        <v>2170</v>
      </c>
      <c r="F535" s="413" t="s">
        <v>2171</v>
      </c>
      <c r="G535" s="415" t="s">
        <v>62</v>
      </c>
      <c r="H535" s="415" t="s">
        <v>63</v>
      </c>
      <c r="I535" s="413">
        <v>1254</v>
      </c>
      <c r="J535" s="413">
        <v>0</v>
      </c>
      <c r="K535" s="413">
        <v>6</v>
      </c>
      <c r="L535" s="413">
        <f t="shared" si="123"/>
        <v>209</v>
      </c>
      <c r="M535" s="436">
        <v>46079</v>
      </c>
      <c r="N535" s="436">
        <v>46076</v>
      </c>
      <c r="O535" s="436"/>
      <c r="P535" s="436"/>
      <c r="Q535" s="436"/>
      <c r="R535" s="436"/>
      <c r="S535" s="448" t="s">
        <v>50</v>
      </c>
      <c r="T535" s="445">
        <v>45987</v>
      </c>
      <c r="U535" s="236" t="s">
        <v>50</v>
      </c>
      <c r="V535" s="436"/>
      <c r="W535" s="436"/>
      <c r="X535" s="446" t="s">
        <v>1900</v>
      </c>
      <c r="Y535" s="415" t="s">
        <v>1292</v>
      </c>
      <c r="Z535" s="456">
        <v>3.3321</v>
      </c>
      <c r="AA535" s="455">
        <f t="shared" si="130"/>
        <v>4178.4534</v>
      </c>
      <c r="AB535" s="413"/>
      <c r="AC535" s="431" t="s">
        <v>71</v>
      </c>
      <c r="AD535" s="223" t="s">
        <v>56</v>
      </c>
      <c r="AE535" s="290"/>
      <c r="AF535" s="458">
        <f t="shared" si="124"/>
        <v>-1254</v>
      </c>
      <c r="AI535" s="289" t="s">
        <v>72</v>
      </c>
      <c r="AJ535" s="290">
        <v>2</v>
      </c>
      <c r="AK535" s="289" t="s">
        <v>73</v>
      </c>
      <c r="AL535" s="290">
        <v>0</v>
      </c>
      <c r="AM535" s="413"/>
      <c r="AN535" s="290">
        <f t="shared" si="125"/>
        <v>1254</v>
      </c>
      <c r="AO535" s="290">
        <f t="shared" si="126"/>
        <v>0</v>
      </c>
      <c r="AP535" s="290">
        <f t="shared" si="127"/>
        <v>1254</v>
      </c>
      <c r="AQ535" s="290">
        <f t="shared" si="128"/>
        <v>1254</v>
      </c>
    </row>
    <row r="536" s="223" customFormat="1" ht="39" hidden="1" customHeight="1" spans="1:43">
      <c r="A536" s="412">
        <v>46029</v>
      </c>
      <c r="B536" s="228" t="s">
        <v>145</v>
      </c>
      <c r="C536" s="223" t="s">
        <v>44</v>
      </c>
      <c r="D536" s="413">
        <v>4500190818</v>
      </c>
      <c r="E536" s="414" t="s">
        <v>2172</v>
      </c>
      <c r="F536" s="413" t="s">
        <v>2173</v>
      </c>
      <c r="G536" s="415" t="s">
        <v>148</v>
      </c>
      <c r="H536" s="415" t="s">
        <v>63</v>
      </c>
      <c r="I536" s="413">
        <v>724</v>
      </c>
      <c r="J536" s="413">
        <v>0</v>
      </c>
      <c r="K536" s="413">
        <v>2</v>
      </c>
      <c r="L536" s="413">
        <f t="shared" si="123"/>
        <v>362</v>
      </c>
      <c r="M536" s="436">
        <v>46083</v>
      </c>
      <c r="N536" s="436">
        <v>46079</v>
      </c>
      <c r="O536" s="436"/>
      <c r="P536" s="436"/>
      <c r="Q536" s="436"/>
      <c r="R536" s="436"/>
      <c r="S536" s="236" t="s">
        <v>50</v>
      </c>
      <c r="T536" s="445">
        <v>46030</v>
      </c>
      <c r="U536" s="236" t="s">
        <v>50</v>
      </c>
      <c r="V536" s="436"/>
      <c r="W536" s="436"/>
      <c r="X536" s="447" t="s">
        <v>2083</v>
      </c>
      <c r="Y536" s="415" t="s">
        <v>1534</v>
      </c>
      <c r="Z536" s="454">
        <v>2.1698</v>
      </c>
      <c r="AA536" s="455">
        <f t="shared" si="130"/>
        <v>1570.9352</v>
      </c>
      <c r="AB536" s="413"/>
      <c r="AC536" s="431" t="s">
        <v>148</v>
      </c>
      <c r="AD536" s="223" t="s">
        <v>56</v>
      </c>
      <c r="AE536" s="290"/>
      <c r="AF536" s="290">
        <f t="shared" si="124"/>
        <v>-724</v>
      </c>
      <c r="AI536" s="289" t="s">
        <v>57</v>
      </c>
      <c r="AJ536" s="290">
        <v>0</v>
      </c>
      <c r="AK536" s="289" t="s">
        <v>73</v>
      </c>
      <c r="AL536" s="290">
        <v>0</v>
      </c>
      <c r="AM536" s="413"/>
      <c r="AN536" s="290">
        <f t="shared" si="125"/>
        <v>724</v>
      </c>
      <c r="AO536" s="290">
        <f t="shared" si="126"/>
        <v>724</v>
      </c>
      <c r="AP536" s="290" t="b">
        <f t="shared" si="127"/>
        <v>0</v>
      </c>
      <c r="AQ536" s="290">
        <f t="shared" si="128"/>
        <v>724</v>
      </c>
    </row>
    <row r="537" s="223" customFormat="1" ht="39" hidden="1" customHeight="1" spans="1:43">
      <c r="A537" s="412">
        <v>46029</v>
      </c>
      <c r="B537" s="228" t="s">
        <v>145</v>
      </c>
      <c r="C537" s="223" t="s">
        <v>44</v>
      </c>
      <c r="D537" s="413">
        <v>4500190818</v>
      </c>
      <c r="E537" s="414" t="s">
        <v>2174</v>
      </c>
      <c r="F537" s="413" t="s">
        <v>2175</v>
      </c>
      <c r="G537" s="415" t="s">
        <v>148</v>
      </c>
      <c r="H537" s="415" t="s">
        <v>63</v>
      </c>
      <c r="I537" s="413">
        <v>706</v>
      </c>
      <c r="J537" s="413">
        <v>0</v>
      </c>
      <c r="K537" s="413">
        <v>2</v>
      </c>
      <c r="L537" s="413">
        <f t="shared" si="123"/>
        <v>353</v>
      </c>
      <c r="M537" s="436">
        <v>46083</v>
      </c>
      <c r="N537" s="436">
        <f>M537-4</f>
        <v>46079</v>
      </c>
      <c r="O537" s="436"/>
      <c r="P537" s="436"/>
      <c r="Q537" s="436"/>
      <c r="R537" s="436"/>
      <c r="S537" s="236" t="s">
        <v>50</v>
      </c>
      <c r="T537" s="445">
        <v>46030</v>
      </c>
      <c r="U537" s="236" t="s">
        <v>50</v>
      </c>
      <c r="V537" s="436"/>
      <c r="W537" s="436"/>
      <c r="X537" s="447" t="s">
        <v>2083</v>
      </c>
      <c r="Y537" s="415" t="s">
        <v>1534</v>
      </c>
      <c r="Z537" s="454">
        <v>2.1698</v>
      </c>
      <c r="AA537" s="455">
        <f t="shared" si="130"/>
        <v>1531.8788</v>
      </c>
      <c r="AB537" s="413"/>
      <c r="AC537" s="431" t="s">
        <v>148</v>
      </c>
      <c r="AD537" s="223" t="s">
        <v>56</v>
      </c>
      <c r="AE537" s="290"/>
      <c r="AF537" s="290">
        <f t="shared" si="124"/>
        <v>-706</v>
      </c>
      <c r="AI537" s="289" t="s">
        <v>57</v>
      </c>
      <c r="AJ537" s="290">
        <v>0</v>
      </c>
      <c r="AK537" s="289" t="s">
        <v>73</v>
      </c>
      <c r="AL537" s="290">
        <v>0</v>
      </c>
      <c r="AM537" s="413"/>
      <c r="AN537" s="290">
        <f t="shared" si="125"/>
        <v>706</v>
      </c>
      <c r="AO537" s="290">
        <f t="shared" si="126"/>
        <v>706</v>
      </c>
      <c r="AP537" s="290" t="b">
        <f t="shared" si="127"/>
        <v>0</v>
      </c>
      <c r="AQ537" s="290">
        <f t="shared" si="128"/>
        <v>706</v>
      </c>
    </row>
    <row r="538" s="223" customFormat="1" ht="39" hidden="1" customHeight="1" spans="1:43">
      <c r="A538" s="412">
        <v>46029</v>
      </c>
      <c r="B538" s="228" t="s">
        <v>145</v>
      </c>
      <c r="C538" s="223" t="s">
        <v>44</v>
      </c>
      <c r="D538" s="413">
        <v>4500190818</v>
      </c>
      <c r="E538" s="414" t="s">
        <v>2176</v>
      </c>
      <c r="F538" s="413" t="s">
        <v>2177</v>
      </c>
      <c r="G538" s="415" t="s">
        <v>148</v>
      </c>
      <c r="H538" s="415" t="s">
        <v>63</v>
      </c>
      <c r="I538" s="413">
        <v>702</v>
      </c>
      <c r="J538" s="413">
        <v>0</v>
      </c>
      <c r="K538" s="413">
        <v>2</v>
      </c>
      <c r="L538" s="413">
        <f t="shared" si="123"/>
        <v>351</v>
      </c>
      <c r="M538" s="436">
        <v>46083</v>
      </c>
      <c r="N538" s="436">
        <f>M538-4</f>
        <v>46079</v>
      </c>
      <c r="O538" s="436"/>
      <c r="P538" s="436"/>
      <c r="Q538" s="436"/>
      <c r="R538" s="436"/>
      <c r="S538" s="236" t="s">
        <v>50</v>
      </c>
      <c r="T538" s="445">
        <v>46030</v>
      </c>
      <c r="U538" s="236" t="s">
        <v>50</v>
      </c>
      <c r="V538" s="436"/>
      <c r="W538" s="436"/>
      <c r="X538" s="447" t="s">
        <v>2083</v>
      </c>
      <c r="Y538" s="415" t="s">
        <v>1534</v>
      </c>
      <c r="Z538" s="454">
        <v>2.1698</v>
      </c>
      <c r="AA538" s="455">
        <f t="shared" si="130"/>
        <v>1523.1996</v>
      </c>
      <c r="AB538" s="413"/>
      <c r="AC538" s="431" t="s">
        <v>148</v>
      </c>
      <c r="AD538" s="223" t="s">
        <v>56</v>
      </c>
      <c r="AE538" s="290"/>
      <c r="AF538" s="290">
        <f t="shared" si="124"/>
        <v>-702</v>
      </c>
      <c r="AI538" s="289" t="s">
        <v>57</v>
      </c>
      <c r="AJ538" s="290">
        <v>0</v>
      </c>
      <c r="AK538" s="289" t="s">
        <v>73</v>
      </c>
      <c r="AL538" s="290">
        <v>0</v>
      </c>
      <c r="AM538" s="413"/>
      <c r="AN538" s="290">
        <f t="shared" si="125"/>
        <v>702</v>
      </c>
      <c r="AO538" s="290">
        <f t="shared" si="126"/>
        <v>702</v>
      </c>
      <c r="AP538" s="290" t="b">
        <f t="shared" si="127"/>
        <v>0</v>
      </c>
      <c r="AQ538" s="290">
        <f t="shared" si="128"/>
        <v>702</v>
      </c>
    </row>
    <row r="539" s="223" customFormat="1" ht="39" hidden="1" customHeight="1" spans="1:43">
      <c r="A539" s="412">
        <v>46029</v>
      </c>
      <c r="B539" s="228" t="s">
        <v>145</v>
      </c>
      <c r="C539" s="223" t="s">
        <v>44</v>
      </c>
      <c r="D539" s="413">
        <v>4500190818</v>
      </c>
      <c r="E539" s="414" t="s">
        <v>2178</v>
      </c>
      <c r="F539" s="413" t="s">
        <v>2179</v>
      </c>
      <c r="G539" s="415" t="s">
        <v>148</v>
      </c>
      <c r="H539" s="415" t="s">
        <v>63</v>
      </c>
      <c r="I539" s="413">
        <v>700</v>
      </c>
      <c r="J539" s="413">
        <v>0</v>
      </c>
      <c r="K539" s="413">
        <v>2</v>
      </c>
      <c r="L539" s="413">
        <f t="shared" si="123"/>
        <v>350</v>
      </c>
      <c r="M539" s="436">
        <v>46083</v>
      </c>
      <c r="N539" s="436">
        <f>M539-4</f>
        <v>46079</v>
      </c>
      <c r="O539" s="436"/>
      <c r="P539" s="436"/>
      <c r="Q539" s="436"/>
      <c r="R539" s="436"/>
      <c r="S539" s="236" t="s">
        <v>50</v>
      </c>
      <c r="T539" s="445">
        <v>46030</v>
      </c>
      <c r="U539" s="236" t="s">
        <v>50</v>
      </c>
      <c r="V539" s="436"/>
      <c r="W539" s="436"/>
      <c r="X539" s="447" t="s">
        <v>2083</v>
      </c>
      <c r="Y539" s="415" t="s">
        <v>1534</v>
      </c>
      <c r="Z539" s="454">
        <v>2.1698</v>
      </c>
      <c r="AA539" s="455">
        <f t="shared" si="130"/>
        <v>1518.86</v>
      </c>
      <c r="AB539" s="413"/>
      <c r="AC539" s="431" t="s">
        <v>148</v>
      </c>
      <c r="AD539" s="223" t="s">
        <v>56</v>
      </c>
      <c r="AE539" s="290"/>
      <c r="AF539" s="290">
        <f t="shared" si="124"/>
        <v>-700</v>
      </c>
      <c r="AI539" s="289" t="s">
        <v>57</v>
      </c>
      <c r="AJ539" s="290">
        <v>0</v>
      </c>
      <c r="AK539" s="289" t="s">
        <v>73</v>
      </c>
      <c r="AL539" s="290">
        <v>0</v>
      </c>
      <c r="AM539" s="413"/>
      <c r="AN539" s="290">
        <f t="shared" si="125"/>
        <v>700</v>
      </c>
      <c r="AO539" s="290">
        <f t="shared" si="126"/>
        <v>700</v>
      </c>
      <c r="AP539" s="290" t="b">
        <f t="shared" si="127"/>
        <v>0</v>
      </c>
      <c r="AQ539" s="290">
        <f t="shared" si="128"/>
        <v>700</v>
      </c>
    </row>
    <row r="540" s="223" customFormat="1" ht="39" hidden="1" customHeight="1" spans="1:43">
      <c r="A540" s="412">
        <v>46029</v>
      </c>
      <c r="B540" s="228" t="s">
        <v>145</v>
      </c>
      <c r="C540" s="223" t="s">
        <v>44</v>
      </c>
      <c r="D540" s="413">
        <v>4500190818</v>
      </c>
      <c r="E540" s="414" t="s">
        <v>2180</v>
      </c>
      <c r="F540" s="413" t="s">
        <v>2181</v>
      </c>
      <c r="G540" s="415" t="s">
        <v>148</v>
      </c>
      <c r="H540" s="415" t="s">
        <v>63</v>
      </c>
      <c r="I540" s="437">
        <v>1404</v>
      </c>
      <c r="J540" s="413">
        <v>0</v>
      </c>
      <c r="K540" s="413">
        <v>2</v>
      </c>
      <c r="L540" s="413">
        <f t="shared" si="123"/>
        <v>702</v>
      </c>
      <c r="M540" s="436">
        <v>46083</v>
      </c>
      <c r="N540" s="436">
        <f>M540-4</f>
        <v>46079</v>
      </c>
      <c r="O540" s="436"/>
      <c r="P540" s="436"/>
      <c r="Q540" s="436"/>
      <c r="R540" s="436"/>
      <c r="S540" s="236" t="s">
        <v>50</v>
      </c>
      <c r="T540" s="445">
        <v>46030</v>
      </c>
      <c r="U540" s="236" t="s">
        <v>50</v>
      </c>
      <c r="V540" s="436"/>
      <c r="W540" s="436"/>
      <c r="X540" s="447" t="s">
        <v>2083</v>
      </c>
      <c r="Y540" s="415" t="s">
        <v>1534</v>
      </c>
      <c r="Z540" s="454">
        <v>2.1619</v>
      </c>
      <c r="AA540" s="455">
        <f t="shared" si="130"/>
        <v>3035.3076</v>
      </c>
      <c r="AB540" s="413"/>
      <c r="AC540" s="431" t="s">
        <v>148</v>
      </c>
      <c r="AD540" s="223" t="s">
        <v>56</v>
      </c>
      <c r="AE540" s="290"/>
      <c r="AF540" s="290">
        <f t="shared" si="124"/>
        <v>-1404</v>
      </c>
      <c r="AI540" s="289" t="s">
        <v>57</v>
      </c>
      <c r="AJ540" s="290">
        <v>0</v>
      </c>
      <c r="AK540" s="289" t="s">
        <v>73</v>
      </c>
      <c r="AL540" s="290">
        <v>0</v>
      </c>
      <c r="AM540" s="413"/>
      <c r="AN540" s="290">
        <f t="shared" si="125"/>
        <v>1404</v>
      </c>
      <c r="AO540" s="290">
        <f t="shared" si="126"/>
        <v>1404</v>
      </c>
      <c r="AP540" s="290" t="b">
        <f t="shared" si="127"/>
        <v>0</v>
      </c>
      <c r="AQ540" s="290">
        <f t="shared" si="128"/>
        <v>1404</v>
      </c>
    </row>
    <row r="541" s="223" customFormat="1" ht="39" customHeight="1" spans="1:43">
      <c r="A541" s="412">
        <v>46387</v>
      </c>
      <c r="B541" s="228" t="s">
        <v>295</v>
      </c>
      <c r="C541" s="223" t="s">
        <v>66</v>
      </c>
      <c r="D541" s="413">
        <v>4500190510</v>
      </c>
      <c r="E541" s="414"/>
      <c r="F541" s="413" t="s">
        <v>2182</v>
      </c>
      <c r="G541" s="415" t="s">
        <v>62</v>
      </c>
      <c r="H541" s="415" t="s">
        <v>63</v>
      </c>
      <c r="I541" s="437">
        <v>240</v>
      </c>
      <c r="J541" s="413">
        <v>0</v>
      </c>
      <c r="K541" s="413">
        <v>6</v>
      </c>
      <c r="L541" s="413">
        <f t="shared" si="123"/>
        <v>40</v>
      </c>
      <c r="M541" s="435">
        <v>46084</v>
      </c>
      <c r="N541" s="435">
        <v>46080</v>
      </c>
      <c r="O541" s="436"/>
      <c r="P541" s="436"/>
      <c r="Q541" s="436"/>
      <c r="R541" s="436"/>
      <c r="S541" s="236" t="s">
        <v>50</v>
      </c>
      <c r="T541" s="445" t="s">
        <v>2128</v>
      </c>
      <c r="U541" s="236" t="s">
        <v>2183</v>
      </c>
      <c r="V541" s="436"/>
      <c r="W541" s="436"/>
      <c r="X541" s="447" t="s">
        <v>2184</v>
      </c>
      <c r="Y541" s="415" t="s">
        <v>945</v>
      </c>
      <c r="Z541" s="456">
        <v>3.5625</v>
      </c>
      <c r="AA541" s="455">
        <f t="shared" si="130"/>
        <v>855</v>
      </c>
      <c r="AB541" s="413"/>
      <c r="AC541" s="431" t="s">
        <v>71</v>
      </c>
      <c r="AD541" s="223" t="s">
        <v>56</v>
      </c>
      <c r="AE541" s="290"/>
      <c r="AF541" s="290">
        <f t="shared" si="124"/>
        <v>-240</v>
      </c>
      <c r="AI541" s="289" t="s">
        <v>72</v>
      </c>
      <c r="AJ541" s="290">
        <v>2</v>
      </c>
      <c r="AK541" s="289" t="s">
        <v>73</v>
      </c>
      <c r="AL541" s="290">
        <v>0</v>
      </c>
      <c r="AM541" s="413"/>
      <c r="AN541" s="290">
        <f t="shared" si="125"/>
        <v>240</v>
      </c>
      <c r="AO541" s="290">
        <f t="shared" si="126"/>
        <v>0</v>
      </c>
      <c r="AP541" s="290">
        <f t="shared" si="127"/>
        <v>240</v>
      </c>
      <c r="AQ541" s="290">
        <f t="shared" si="128"/>
        <v>240</v>
      </c>
    </row>
    <row r="542" s="223" customFormat="1" ht="39" customHeight="1" spans="1:43">
      <c r="A542" s="412">
        <v>46027</v>
      </c>
      <c r="B542" s="228" t="s">
        <v>74</v>
      </c>
      <c r="C542" s="223" t="s">
        <v>44</v>
      </c>
      <c r="D542" s="413">
        <v>4500190658</v>
      </c>
      <c r="E542" s="414" t="s">
        <v>2185</v>
      </c>
      <c r="F542" s="413" t="s">
        <v>2186</v>
      </c>
      <c r="G542" s="415" t="s">
        <v>62</v>
      </c>
      <c r="H542" s="415" t="s">
        <v>63</v>
      </c>
      <c r="I542" s="437">
        <v>1044</v>
      </c>
      <c r="J542" s="413">
        <v>0</v>
      </c>
      <c r="K542" s="413">
        <v>6</v>
      </c>
      <c r="L542" s="413">
        <f t="shared" si="123"/>
        <v>174</v>
      </c>
      <c r="M542" s="436">
        <v>46087</v>
      </c>
      <c r="N542" s="436">
        <v>46083</v>
      </c>
      <c r="O542" s="436"/>
      <c r="P542" s="436"/>
      <c r="Q542" s="436"/>
      <c r="R542" s="436"/>
      <c r="S542" s="236" t="s">
        <v>77</v>
      </c>
      <c r="T542" s="445" t="s">
        <v>2128</v>
      </c>
      <c r="U542" s="236" t="s">
        <v>2187</v>
      </c>
      <c r="V542" s="436"/>
      <c r="W542" s="436"/>
      <c r="X542" s="447" t="s">
        <v>1345</v>
      </c>
      <c r="Y542" s="415" t="s">
        <v>116</v>
      </c>
      <c r="Z542" s="456">
        <v>1.9993</v>
      </c>
      <c r="AA542" s="455">
        <f t="shared" si="130"/>
        <v>2087.2692</v>
      </c>
      <c r="AB542" s="413"/>
      <c r="AC542" s="431" t="s">
        <v>62</v>
      </c>
      <c r="AD542" s="223" t="s">
        <v>56</v>
      </c>
      <c r="AE542" s="290"/>
      <c r="AF542" s="290">
        <f t="shared" si="124"/>
        <v>-1044</v>
      </c>
      <c r="AI542" s="289" t="s">
        <v>57</v>
      </c>
      <c r="AJ542" s="290">
        <v>0</v>
      </c>
      <c r="AK542" s="289" t="s">
        <v>73</v>
      </c>
      <c r="AL542" s="290">
        <v>0</v>
      </c>
      <c r="AM542" s="413"/>
      <c r="AN542" s="290">
        <f t="shared" si="125"/>
        <v>1044</v>
      </c>
      <c r="AO542" s="290">
        <f t="shared" si="126"/>
        <v>1044</v>
      </c>
      <c r="AP542" s="290" t="b">
        <f t="shared" si="127"/>
        <v>0</v>
      </c>
      <c r="AQ542" s="290">
        <f t="shared" si="128"/>
        <v>1044</v>
      </c>
    </row>
    <row r="543" s="223" customFormat="1" ht="39" customHeight="1" spans="1:43">
      <c r="A543" s="412">
        <v>45995</v>
      </c>
      <c r="B543" s="228" t="s">
        <v>385</v>
      </c>
      <c r="C543" s="223" t="s">
        <v>44</v>
      </c>
      <c r="D543" s="413">
        <v>4500186750</v>
      </c>
      <c r="E543" s="414">
        <v>60263830</v>
      </c>
      <c r="F543" s="413" t="s">
        <v>2188</v>
      </c>
      <c r="G543" s="415" t="s">
        <v>62</v>
      </c>
      <c r="H543" s="415" t="s">
        <v>63</v>
      </c>
      <c r="I543" s="413">
        <v>1200</v>
      </c>
      <c r="J543" s="413">
        <v>0</v>
      </c>
      <c r="K543" s="413">
        <v>6</v>
      </c>
      <c r="L543" s="413">
        <f t="shared" si="123"/>
        <v>200</v>
      </c>
      <c r="M543" s="436">
        <v>46088</v>
      </c>
      <c r="N543" s="436">
        <v>46084</v>
      </c>
      <c r="O543" s="436"/>
      <c r="P543" s="436"/>
      <c r="Q543" s="436"/>
      <c r="R543" s="436"/>
      <c r="S543" s="236" t="s">
        <v>50</v>
      </c>
      <c r="T543" s="445">
        <v>45995</v>
      </c>
      <c r="U543" s="236" t="s">
        <v>2189</v>
      </c>
      <c r="V543" s="436"/>
      <c r="W543" s="436"/>
      <c r="X543" s="449" t="s">
        <v>2190</v>
      </c>
      <c r="Y543" s="415" t="s">
        <v>2060</v>
      </c>
      <c r="Z543" s="456">
        <v>2.122</v>
      </c>
      <c r="AA543" s="455">
        <f t="shared" si="130"/>
        <v>2546.4</v>
      </c>
      <c r="AB543" s="413"/>
      <c r="AC543" s="431" t="s">
        <v>62</v>
      </c>
      <c r="AD543" s="223" t="s">
        <v>56</v>
      </c>
      <c r="AE543" s="290"/>
      <c r="AF543" s="290">
        <f t="shared" si="124"/>
        <v>-1200</v>
      </c>
      <c r="AI543" s="289" t="s">
        <v>57</v>
      </c>
      <c r="AJ543" s="290">
        <v>0</v>
      </c>
      <c r="AK543" s="289" t="s">
        <v>73</v>
      </c>
      <c r="AL543" s="290">
        <v>0</v>
      </c>
      <c r="AM543" s="413"/>
      <c r="AN543" s="251">
        <f t="shared" si="125"/>
        <v>1200</v>
      </c>
      <c r="AO543" s="290">
        <f t="shared" si="126"/>
        <v>1200</v>
      </c>
      <c r="AP543" s="290" t="b">
        <f t="shared" si="127"/>
        <v>0</v>
      </c>
      <c r="AQ543" s="290">
        <f t="shared" si="128"/>
        <v>1200</v>
      </c>
    </row>
    <row r="544" s="223" customFormat="1" ht="39" customHeight="1" spans="1:43">
      <c r="A544" s="412">
        <v>46035</v>
      </c>
      <c r="B544" s="228" t="s">
        <v>1199</v>
      </c>
      <c r="C544" s="223" t="s">
        <v>138</v>
      </c>
      <c r="D544" s="413">
        <v>4500191202</v>
      </c>
      <c r="E544" s="414" t="s">
        <v>2191</v>
      </c>
      <c r="F544" s="413" t="s">
        <v>2192</v>
      </c>
      <c r="G544" s="415" t="s">
        <v>62</v>
      </c>
      <c r="H544" s="415" t="s">
        <v>63</v>
      </c>
      <c r="I544" s="413">
        <v>6</v>
      </c>
      <c r="J544" s="413">
        <v>0</v>
      </c>
      <c r="K544" s="413">
        <v>6</v>
      </c>
      <c r="L544" s="413">
        <f t="shared" ref="L544:L564" si="131">I544/K544</f>
        <v>1</v>
      </c>
      <c r="M544" s="436">
        <v>46092</v>
      </c>
      <c r="N544" s="436">
        <v>46088</v>
      </c>
      <c r="O544" s="436"/>
      <c r="P544" s="436"/>
      <c r="Q544" s="436"/>
      <c r="R544" s="436"/>
      <c r="S544" s="236" t="s">
        <v>77</v>
      </c>
      <c r="T544" s="445">
        <v>46035</v>
      </c>
      <c r="U544" s="236" t="s">
        <v>2193</v>
      </c>
      <c r="V544" s="436"/>
      <c r="W544" s="436"/>
      <c r="X544" s="447" t="s">
        <v>1193</v>
      </c>
      <c r="Y544" s="415" t="s">
        <v>1008</v>
      </c>
      <c r="Z544" s="456">
        <v>3.9966</v>
      </c>
      <c r="AA544" s="455">
        <f t="shared" ref="AA544:AA557" si="132">I544*Z544</f>
        <v>23.9796</v>
      </c>
      <c r="AB544" s="413"/>
      <c r="AC544" s="431" t="s">
        <v>71</v>
      </c>
      <c r="AD544" s="223" t="s">
        <v>56</v>
      </c>
      <c r="AE544" s="290"/>
      <c r="AF544" s="290">
        <f t="shared" ref="AF544:AF563" si="133">AE544-I544</f>
        <v>-6</v>
      </c>
      <c r="AI544" s="289" t="s">
        <v>72</v>
      </c>
      <c r="AJ544" s="290">
        <v>2</v>
      </c>
      <c r="AK544" s="289" t="s">
        <v>73</v>
      </c>
      <c r="AL544" s="290">
        <v>0</v>
      </c>
      <c r="AM544" s="413"/>
      <c r="AN544" s="290">
        <f t="shared" ref="AN544:AN564" si="134">I544</f>
        <v>6</v>
      </c>
      <c r="AO544" s="290">
        <f t="shared" ref="AO544:AO563" si="135">IF($AJ544=0,$AN544,IF($AJ544&gt;0,0))</f>
        <v>0</v>
      </c>
      <c r="AP544" s="290">
        <f t="shared" ref="AP544:AP563" si="136">IF($AJ544=2,$AN544,IF($AJ544&gt;0,0))</f>
        <v>6</v>
      </c>
      <c r="AQ544" s="290">
        <f t="shared" ref="AQ544:AQ563" si="137">IF($AL544=0,$AN544,IF($AL544&gt;0,0))</f>
        <v>6</v>
      </c>
    </row>
    <row r="545" s="223" customFormat="1" ht="39" customHeight="1" spans="1:43">
      <c r="A545" s="412">
        <v>46035</v>
      </c>
      <c r="B545" s="228" t="s">
        <v>1199</v>
      </c>
      <c r="C545" s="223" t="s">
        <v>138</v>
      </c>
      <c r="D545" s="413">
        <v>4500191202</v>
      </c>
      <c r="E545" s="414" t="s">
        <v>2194</v>
      </c>
      <c r="F545" s="413" t="s">
        <v>2195</v>
      </c>
      <c r="G545" s="415" t="s">
        <v>62</v>
      </c>
      <c r="H545" s="415" t="s">
        <v>63</v>
      </c>
      <c r="I545" s="413">
        <v>6</v>
      </c>
      <c r="J545" s="413">
        <v>0</v>
      </c>
      <c r="K545" s="413">
        <v>6</v>
      </c>
      <c r="L545" s="413">
        <f t="shared" si="131"/>
        <v>1</v>
      </c>
      <c r="M545" s="436">
        <v>46092</v>
      </c>
      <c r="N545" s="436">
        <v>46088</v>
      </c>
      <c r="O545" s="436"/>
      <c r="P545" s="436"/>
      <c r="Q545" s="436"/>
      <c r="R545" s="436"/>
      <c r="S545" s="236" t="s">
        <v>77</v>
      </c>
      <c r="T545" s="445">
        <v>46035</v>
      </c>
      <c r="U545" s="236" t="s">
        <v>2193</v>
      </c>
      <c r="V545" s="436"/>
      <c r="W545" s="436"/>
      <c r="X545" s="447" t="s">
        <v>1193</v>
      </c>
      <c r="Y545" s="415" t="s">
        <v>1008</v>
      </c>
      <c r="Z545" s="456">
        <v>3.9966</v>
      </c>
      <c r="AA545" s="455">
        <f t="shared" si="132"/>
        <v>23.9796</v>
      </c>
      <c r="AB545" s="413"/>
      <c r="AC545" s="431" t="s">
        <v>71</v>
      </c>
      <c r="AD545" s="223" t="s">
        <v>56</v>
      </c>
      <c r="AE545" s="290"/>
      <c r="AF545" s="290">
        <f t="shared" si="133"/>
        <v>-6</v>
      </c>
      <c r="AI545" s="289" t="s">
        <v>72</v>
      </c>
      <c r="AJ545" s="290">
        <v>2</v>
      </c>
      <c r="AK545" s="289" t="s">
        <v>73</v>
      </c>
      <c r="AL545" s="290">
        <v>0</v>
      </c>
      <c r="AM545" s="413"/>
      <c r="AN545" s="290">
        <f t="shared" si="134"/>
        <v>6</v>
      </c>
      <c r="AO545" s="290">
        <f t="shared" si="135"/>
        <v>0</v>
      </c>
      <c r="AP545" s="290">
        <f t="shared" si="136"/>
        <v>6</v>
      </c>
      <c r="AQ545" s="290">
        <f t="shared" si="137"/>
        <v>6</v>
      </c>
    </row>
    <row r="546" s="223" customFormat="1" ht="39" customHeight="1" spans="1:43">
      <c r="A546" s="412">
        <v>46035</v>
      </c>
      <c r="B546" s="228" t="s">
        <v>1199</v>
      </c>
      <c r="C546" s="223" t="s">
        <v>138</v>
      </c>
      <c r="D546" s="413">
        <v>4500191202</v>
      </c>
      <c r="E546" s="414" t="s">
        <v>2196</v>
      </c>
      <c r="F546" s="413" t="s">
        <v>2197</v>
      </c>
      <c r="G546" s="415" t="s">
        <v>62</v>
      </c>
      <c r="H546" s="415" t="s">
        <v>63</v>
      </c>
      <c r="I546" s="413">
        <v>12</v>
      </c>
      <c r="J546" s="413">
        <v>0</v>
      </c>
      <c r="K546" s="413">
        <v>6</v>
      </c>
      <c r="L546" s="413">
        <f t="shared" si="131"/>
        <v>2</v>
      </c>
      <c r="M546" s="436">
        <v>46092</v>
      </c>
      <c r="N546" s="436">
        <v>46088</v>
      </c>
      <c r="O546" s="436"/>
      <c r="P546" s="436"/>
      <c r="Q546" s="436"/>
      <c r="R546" s="436"/>
      <c r="S546" s="236" t="s">
        <v>77</v>
      </c>
      <c r="T546" s="445">
        <v>46035</v>
      </c>
      <c r="U546" s="236" t="s">
        <v>2193</v>
      </c>
      <c r="V546" s="436"/>
      <c r="W546" s="436"/>
      <c r="X546" s="447" t="s">
        <v>1193</v>
      </c>
      <c r="Y546" s="415" t="s">
        <v>1008</v>
      </c>
      <c r="Z546" s="456">
        <v>3.9966</v>
      </c>
      <c r="AA546" s="455">
        <f t="shared" si="132"/>
        <v>47.9592</v>
      </c>
      <c r="AB546" s="413"/>
      <c r="AC546" s="431" t="s">
        <v>71</v>
      </c>
      <c r="AD546" s="223" t="s">
        <v>56</v>
      </c>
      <c r="AE546" s="290"/>
      <c r="AF546" s="290">
        <f t="shared" si="133"/>
        <v>-12</v>
      </c>
      <c r="AI546" s="289" t="s">
        <v>72</v>
      </c>
      <c r="AJ546" s="290">
        <v>2</v>
      </c>
      <c r="AK546" s="289" t="s">
        <v>73</v>
      </c>
      <c r="AL546" s="290">
        <v>0</v>
      </c>
      <c r="AM546" s="413"/>
      <c r="AN546" s="290">
        <f t="shared" si="134"/>
        <v>12</v>
      </c>
      <c r="AO546" s="290">
        <f t="shared" si="135"/>
        <v>0</v>
      </c>
      <c r="AP546" s="290">
        <f t="shared" si="136"/>
        <v>12</v>
      </c>
      <c r="AQ546" s="290">
        <f t="shared" si="137"/>
        <v>12</v>
      </c>
    </row>
    <row r="547" s="223" customFormat="1" ht="39" customHeight="1" spans="1:43">
      <c r="A547" s="412">
        <v>46035</v>
      </c>
      <c r="B547" s="228" t="s">
        <v>1199</v>
      </c>
      <c r="C547" s="223" t="s">
        <v>138</v>
      </c>
      <c r="D547" s="413">
        <v>4500191202</v>
      </c>
      <c r="E547" s="414" t="s">
        <v>2198</v>
      </c>
      <c r="F547" s="413" t="s">
        <v>2199</v>
      </c>
      <c r="G547" s="415" t="s">
        <v>62</v>
      </c>
      <c r="H547" s="415" t="s">
        <v>63</v>
      </c>
      <c r="I547" s="413">
        <v>12</v>
      </c>
      <c r="J547" s="413">
        <v>0</v>
      </c>
      <c r="K547" s="413">
        <v>6</v>
      </c>
      <c r="L547" s="413">
        <f t="shared" si="131"/>
        <v>2</v>
      </c>
      <c r="M547" s="436">
        <v>46092</v>
      </c>
      <c r="N547" s="436">
        <v>46088</v>
      </c>
      <c r="O547" s="436"/>
      <c r="P547" s="436"/>
      <c r="Q547" s="436"/>
      <c r="R547" s="436"/>
      <c r="S547" s="236" t="s">
        <v>77</v>
      </c>
      <c r="T547" s="445">
        <v>46035</v>
      </c>
      <c r="U547" s="236" t="s">
        <v>2193</v>
      </c>
      <c r="V547" s="436"/>
      <c r="W547" s="436"/>
      <c r="X547" s="447" t="s">
        <v>1193</v>
      </c>
      <c r="Y547" s="415" t="s">
        <v>1008</v>
      </c>
      <c r="Z547" s="456">
        <v>3.9966</v>
      </c>
      <c r="AA547" s="455">
        <f t="shared" si="132"/>
        <v>47.9592</v>
      </c>
      <c r="AB547" s="413"/>
      <c r="AC547" s="431" t="s">
        <v>71</v>
      </c>
      <c r="AD547" s="223" t="s">
        <v>56</v>
      </c>
      <c r="AE547" s="290"/>
      <c r="AF547" s="290">
        <f t="shared" si="133"/>
        <v>-12</v>
      </c>
      <c r="AI547" s="289" t="s">
        <v>72</v>
      </c>
      <c r="AJ547" s="290">
        <v>2</v>
      </c>
      <c r="AK547" s="289" t="s">
        <v>73</v>
      </c>
      <c r="AL547" s="290">
        <v>0</v>
      </c>
      <c r="AM547" s="413"/>
      <c r="AN547" s="290">
        <f t="shared" si="134"/>
        <v>12</v>
      </c>
      <c r="AO547" s="290">
        <f t="shared" si="135"/>
        <v>0</v>
      </c>
      <c r="AP547" s="290">
        <f t="shared" si="136"/>
        <v>12</v>
      </c>
      <c r="AQ547" s="290">
        <f t="shared" si="137"/>
        <v>12</v>
      </c>
    </row>
    <row r="548" s="223" customFormat="1" ht="39" customHeight="1" spans="1:43">
      <c r="A548" s="412">
        <v>46035</v>
      </c>
      <c r="B548" s="228" t="s">
        <v>1199</v>
      </c>
      <c r="C548" s="223" t="s">
        <v>138</v>
      </c>
      <c r="D548" s="413">
        <v>4500191202</v>
      </c>
      <c r="E548" s="414" t="s">
        <v>2200</v>
      </c>
      <c r="F548" s="413" t="s">
        <v>2201</v>
      </c>
      <c r="G548" s="415" t="s">
        <v>62</v>
      </c>
      <c r="H548" s="415" t="s">
        <v>63</v>
      </c>
      <c r="I548" s="413">
        <v>6</v>
      </c>
      <c r="J548" s="413">
        <v>0</v>
      </c>
      <c r="K548" s="413">
        <v>6</v>
      </c>
      <c r="L548" s="413">
        <f t="shared" si="131"/>
        <v>1</v>
      </c>
      <c r="M548" s="436">
        <v>46092</v>
      </c>
      <c r="N548" s="436">
        <v>46088</v>
      </c>
      <c r="O548" s="436"/>
      <c r="P548" s="436"/>
      <c r="Q548" s="436"/>
      <c r="R548" s="436"/>
      <c r="S548" s="236" t="s">
        <v>77</v>
      </c>
      <c r="T548" s="445">
        <v>46035</v>
      </c>
      <c r="U548" s="236" t="s">
        <v>2193</v>
      </c>
      <c r="V548" s="436"/>
      <c r="W548" s="436"/>
      <c r="X548" s="447" t="s">
        <v>1193</v>
      </c>
      <c r="Y548" s="415" t="s">
        <v>1008</v>
      </c>
      <c r="Z548" s="456">
        <v>3.9966</v>
      </c>
      <c r="AA548" s="455">
        <f t="shared" si="132"/>
        <v>23.9796</v>
      </c>
      <c r="AB548" s="413"/>
      <c r="AC548" s="431" t="s">
        <v>71</v>
      </c>
      <c r="AD548" s="223" t="s">
        <v>56</v>
      </c>
      <c r="AE548" s="290"/>
      <c r="AF548" s="290">
        <f t="shared" si="133"/>
        <v>-6</v>
      </c>
      <c r="AI548" s="289" t="s">
        <v>72</v>
      </c>
      <c r="AJ548" s="290">
        <v>2</v>
      </c>
      <c r="AK548" s="289" t="s">
        <v>73</v>
      </c>
      <c r="AL548" s="290">
        <v>0</v>
      </c>
      <c r="AM548" s="413"/>
      <c r="AN548" s="290">
        <f t="shared" si="134"/>
        <v>6</v>
      </c>
      <c r="AO548" s="290">
        <f t="shared" si="135"/>
        <v>0</v>
      </c>
      <c r="AP548" s="290">
        <f t="shared" si="136"/>
        <v>6</v>
      </c>
      <c r="AQ548" s="290">
        <f t="shared" si="137"/>
        <v>6</v>
      </c>
    </row>
    <row r="549" s="223" customFormat="1" ht="39" customHeight="1" spans="1:43">
      <c r="A549" s="412">
        <v>46035</v>
      </c>
      <c r="B549" s="228" t="s">
        <v>1199</v>
      </c>
      <c r="C549" s="223" t="s">
        <v>138</v>
      </c>
      <c r="D549" s="413">
        <v>4500191202</v>
      </c>
      <c r="E549" s="414" t="s">
        <v>2202</v>
      </c>
      <c r="F549" s="413" t="s">
        <v>2203</v>
      </c>
      <c r="G549" s="415" t="s">
        <v>62</v>
      </c>
      <c r="H549" s="415" t="s">
        <v>63</v>
      </c>
      <c r="I549" s="413">
        <v>12</v>
      </c>
      <c r="J549" s="413">
        <v>0</v>
      </c>
      <c r="K549" s="413">
        <v>6</v>
      </c>
      <c r="L549" s="413">
        <f t="shared" si="131"/>
        <v>2</v>
      </c>
      <c r="M549" s="436">
        <v>46092</v>
      </c>
      <c r="N549" s="436">
        <v>46088</v>
      </c>
      <c r="O549" s="436"/>
      <c r="P549" s="436"/>
      <c r="Q549" s="436"/>
      <c r="R549" s="436"/>
      <c r="S549" s="236" t="s">
        <v>77</v>
      </c>
      <c r="T549" s="445">
        <v>46035</v>
      </c>
      <c r="U549" s="236" t="s">
        <v>2193</v>
      </c>
      <c r="V549" s="436"/>
      <c r="W549" s="436"/>
      <c r="X549" s="447" t="s">
        <v>1193</v>
      </c>
      <c r="Y549" s="415" t="s">
        <v>1008</v>
      </c>
      <c r="Z549" s="456">
        <v>3.9966</v>
      </c>
      <c r="AA549" s="455">
        <f t="shared" si="132"/>
        <v>47.9592</v>
      </c>
      <c r="AB549" s="413"/>
      <c r="AC549" s="431" t="s">
        <v>71</v>
      </c>
      <c r="AD549" s="223" t="s">
        <v>56</v>
      </c>
      <c r="AE549" s="290"/>
      <c r="AF549" s="290">
        <f t="shared" si="133"/>
        <v>-12</v>
      </c>
      <c r="AI549" s="289" t="s">
        <v>72</v>
      </c>
      <c r="AJ549" s="290">
        <v>2</v>
      </c>
      <c r="AK549" s="289" t="s">
        <v>73</v>
      </c>
      <c r="AL549" s="290">
        <v>0</v>
      </c>
      <c r="AM549" s="413"/>
      <c r="AN549" s="290">
        <f t="shared" si="134"/>
        <v>12</v>
      </c>
      <c r="AO549" s="290">
        <f t="shared" si="135"/>
        <v>0</v>
      </c>
      <c r="AP549" s="290">
        <f t="shared" si="136"/>
        <v>12</v>
      </c>
      <c r="AQ549" s="290">
        <f t="shared" si="137"/>
        <v>12</v>
      </c>
    </row>
    <row r="550" s="223" customFormat="1" ht="39" customHeight="1" spans="1:43">
      <c r="A550" s="412">
        <v>46034</v>
      </c>
      <c r="B550" s="228" t="s">
        <v>2204</v>
      </c>
      <c r="C550" s="223" t="s">
        <v>214</v>
      </c>
      <c r="D550" s="413">
        <v>4500190991</v>
      </c>
      <c r="E550" s="414" t="s">
        <v>2205</v>
      </c>
      <c r="F550" s="413" t="s">
        <v>2206</v>
      </c>
      <c r="G550" s="415" t="s">
        <v>62</v>
      </c>
      <c r="H550" s="415" t="s">
        <v>63</v>
      </c>
      <c r="I550" s="413">
        <v>600</v>
      </c>
      <c r="J550" s="413">
        <v>0</v>
      </c>
      <c r="K550" s="413">
        <v>6</v>
      </c>
      <c r="L550" s="413">
        <f t="shared" si="131"/>
        <v>100</v>
      </c>
      <c r="M550" s="436">
        <v>46093</v>
      </c>
      <c r="N550" s="436">
        <v>46088</v>
      </c>
      <c r="O550" s="436"/>
      <c r="P550" s="436"/>
      <c r="Q550" s="436"/>
      <c r="R550" s="436"/>
      <c r="S550" s="236" t="s">
        <v>50</v>
      </c>
      <c r="T550" s="445">
        <v>46037</v>
      </c>
      <c r="U550" s="236" t="s">
        <v>2207</v>
      </c>
      <c r="V550" s="436"/>
      <c r="W550" s="436"/>
      <c r="X550" s="447" t="s">
        <v>2208</v>
      </c>
      <c r="Y550" s="415" t="s">
        <v>597</v>
      </c>
      <c r="Z550" s="456">
        <v>3.5498</v>
      </c>
      <c r="AA550" s="455">
        <f t="shared" si="132"/>
        <v>2129.88</v>
      </c>
      <c r="AB550" s="413"/>
      <c r="AC550" s="431" t="s">
        <v>71</v>
      </c>
      <c r="AD550" s="223" t="s">
        <v>56</v>
      </c>
      <c r="AE550" s="290"/>
      <c r="AF550" s="290">
        <f t="shared" si="133"/>
        <v>-600</v>
      </c>
      <c r="AI550" s="289" t="s">
        <v>57</v>
      </c>
      <c r="AJ550" s="290">
        <v>0</v>
      </c>
      <c r="AK550" s="289" t="s">
        <v>73</v>
      </c>
      <c r="AL550" s="290">
        <v>0</v>
      </c>
      <c r="AM550" s="413"/>
      <c r="AN550" s="290">
        <f t="shared" si="134"/>
        <v>600</v>
      </c>
      <c r="AO550" s="290">
        <f t="shared" si="135"/>
        <v>600</v>
      </c>
      <c r="AP550" s="290" t="b">
        <f t="shared" si="136"/>
        <v>0</v>
      </c>
      <c r="AQ550" s="290">
        <f t="shared" si="137"/>
        <v>600</v>
      </c>
    </row>
    <row r="551" s="223" customFormat="1" ht="39" customHeight="1" spans="1:43">
      <c r="A551" s="412">
        <v>46028</v>
      </c>
      <c r="B551" s="228" t="s">
        <v>1356</v>
      </c>
      <c r="C551" s="223" t="s">
        <v>1357</v>
      </c>
      <c r="D551" s="413">
        <v>4500190752</v>
      </c>
      <c r="E551" s="414" t="s">
        <v>2209</v>
      </c>
      <c r="F551" s="413" t="s">
        <v>2210</v>
      </c>
      <c r="G551" s="415" t="s">
        <v>62</v>
      </c>
      <c r="H551" s="415" t="s">
        <v>63</v>
      </c>
      <c r="I551" s="413">
        <v>504</v>
      </c>
      <c r="J551" s="413">
        <v>0</v>
      </c>
      <c r="K551" s="413">
        <v>6</v>
      </c>
      <c r="L551" s="413">
        <f t="shared" si="131"/>
        <v>84</v>
      </c>
      <c r="M551" s="435">
        <v>46094</v>
      </c>
      <c r="N551" s="435">
        <v>46090</v>
      </c>
      <c r="O551" s="436"/>
      <c r="P551" s="436"/>
      <c r="Q551" s="436"/>
      <c r="R551" s="436"/>
      <c r="S551" s="236" t="s">
        <v>50</v>
      </c>
      <c r="T551" s="445">
        <v>46029</v>
      </c>
      <c r="U551" s="236" t="s">
        <v>50</v>
      </c>
      <c r="V551" s="436"/>
      <c r="W551" s="436"/>
      <c r="X551" s="447" t="s">
        <v>2211</v>
      </c>
      <c r="Y551" s="415" t="s">
        <v>1361</v>
      </c>
      <c r="Z551" s="456">
        <v>3.5498</v>
      </c>
      <c r="AA551" s="455">
        <f t="shared" si="132"/>
        <v>1789.0992</v>
      </c>
      <c r="AB551" s="413"/>
      <c r="AC551" s="431" t="s">
        <v>62</v>
      </c>
      <c r="AD551" s="223" t="s">
        <v>56</v>
      </c>
      <c r="AE551" s="290"/>
      <c r="AF551" s="290">
        <f t="shared" si="133"/>
        <v>-504</v>
      </c>
      <c r="AI551" s="289" t="s">
        <v>57</v>
      </c>
      <c r="AJ551" s="290">
        <v>0</v>
      </c>
      <c r="AK551" s="289" t="s">
        <v>73</v>
      </c>
      <c r="AL551" s="290">
        <v>0</v>
      </c>
      <c r="AM551" s="413"/>
      <c r="AN551" s="290">
        <f t="shared" si="134"/>
        <v>504</v>
      </c>
      <c r="AO551" s="290">
        <f t="shared" si="135"/>
        <v>504</v>
      </c>
      <c r="AP551" s="290" t="b">
        <f t="shared" si="136"/>
        <v>0</v>
      </c>
      <c r="AQ551" s="290">
        <f t="shared" si="137"/>
        <v>504</v>
      </c>
    </row>
    <row r="552" s="224" customFormat="1" ht="39" customHeight="1" spans="1:45">
      <c r="A552" s="416">
        <v>46043</v>
      </c>
      <c r="B552" s="417" t="s">
        <v>74</v>
      </c>
      <c r="C552" s="417" t="s">
        <v>44</v>
      </c>
      <c r="D552" s="417">
        <v>4500191932</v>
      </c>
      <c r="E552" s="414" t="s">
        <v>2212</v>
      </c>
      <c r="F552" s="417" t="s">
        <v>2213</v>
      </c>
      <c r="G552" s="415" t="s">
        <v>62</v>
      </c>
      <c r="H552" s="415" t="s">
        <v>63</v>
      </c>
      <c r="I552" s="437">
        <v>1458</v>
      </c>
      <c r="J552" s="413">
        <v>0</v>
      </c>
      <c r="K552" s="413">
        <v>6</v>
      </c>
      <c r="L552" s="413">
        <f t="shared" si="131"/>
        <v>243</v>
      </c>
      <c r="M552" s="436">
        <v>46097</v>
      </c>
      <c r="N552" s="436">
        <v>46093</v>
      </c>
      <c r="O552" s="436"/>
      <c r="P552" s="436"/>
      <c r="Q552" s="436"/>
      <c r="R552" s="436"/>
      <c r="S552" s="236" t="s">
        <v>77</v>
      </c>
      <c r="T552" s="445" t="s">
        <v>2128</v>
      </c>
      <c r="U552" s="236" t="s">
        <v>2128</v>
      </c>
      <c r="V552" s="436"/>
      <c r="W552" s="436"/>
      <c r="X552" s="447" t="s">
        <v>1345</v>
      </c>
      <c r="Y552" s="415" t="s">
        <v>116</v>
      </c>
      <c r="Z552" s="456">
        <v>1.9993</v>
      </c>
      <c r="AA552" s="455">
        <f t="shared" si="132"/>
        <v>2914.9794</v>
      </c>
      <c r="AB552" s="413"/>
      <c r="AC552" s="431" t="s">
        <v>62</v>
      </c>
      <c r="AD552" s="223" t="s">
        <v>56</v>
      </c>
      <c r="AE552" s="290"/>
      <c r="AF552" s="290">
        <f t="shared" si="133"/>
        <v>-1458</v>
      </c>
      <c r="AG552" s="223"/>
      <c r="AH552" s="223"/>
      <c r="AI552" s="289" t="s">
        <v>57</v>
      </c>
      <c r="AJ552" s="290">
        <v>0</v>
      </c>
      <c r="AK552" s="289" t="s">
        <v>73</v>
      </c>
      <c r="AL552" s="290">
        <v>0</v>
      </c>
      <c r="AM552" s="413"/>
      <c r="AN552" s="290">
        <f t="shared" si="134"/>
        <v>1458</v>
      </c>
      <c r="AO552" s="290">
        <f t="shared" si="135"/>
        <v>1458</v>
      </c>
      <c r="AP552" s="290" t="b">
        <f t="shared" si="136"/>
        <v>0</v>
      </c>
      <c r="AQ552" s="290">
        <f t="shared" si="137"/>
        <v>1458</v>
      </c>
      <c r="AR552" s="223"/>
      <c r="AS552" s="223"/>
    </row>
    <row r="553" s="223" customFormat="1" ht="39" customHeight="1" spans="1:43">
      <c r="A553" s="416">
        <v>46049</v>
      </c>
      <c r="B553" s="417" t="s">
        <v>457</v>
      </c>
      <c r="C553" s="417" t="s">
        <v>458</v>
      </c>
      <c r="D553" s="417">
        <v>4500192309</v>
      </c>
      <c r="E553" s="414" t="s">
        <v>2214</v>
      </c>
      <c r="F553" s="417" t="s">
        <v>2215</v>
      </c>
      <c r="G553" s="415" t="s">
        <v>62</v>
      </c>
      <c r="H553" s="415" t="s">
        <v>63</v>
      </c>
      <c r="I553" s="437">
        <v>720</v>
      </c>
      <c r="J553" s="413">
        <v>0</v>
      </c>
      <c r="K553" s="413">
        <v>6</v>
      </c>
      <c r="L553" s="413">
        <f t="shared" si="131"/>
        <v>120</v>
      </c>
      <c r="M553" s="436">
        <v>46097</v>
      </c>
      <c r="N553" s="436">
        <v>46093</v>
      </c>
      <c r="O553" s="436"/>
      <c r="P553" s="436"/>
      <c r="Q553" s="436"/>
      <c r="R553" s="436"/>
      <c r="S553" s="236" t="s">
        <v>50</v>
      </c>
      <c r="T553" s="445">
        <v>46049</v>
      </c>
      <c r="U553" s="236" t="s">
        <v>2216</v>
      </c>
      <c r="V553" s="436"/>
      <c r="W553" s="436" t="s">
        <v>2217</v>
      </c>
      <c r="X553" s="447" t="s">
        <v>2218</v>
      </c>
      <c r="Y553" s="415" t="s">
        <v>454</v>
      </c>
      <c r="Z553" s="456">
        <v>3.9839</v>
      </c>
      <c r="AA553" s="455">
        <f t="shared" si="132"/>
        <v>2868.408</v>
      </c>
      <c r="AB553" s="413"/>
      <c r="AC553" s="431" t="s">
        <v>62</v>
      </c>
      <c r="AD553" s="223" t="s">
        <v>56</v>
      </c>
      <c r="AE553" s="290"/>
      <c r="AF553" s="290">
        <f t="shared" si="133"/>
        <v>-720</v>
      </c>
      <c r="AI553" s="289" t="s">
        <v>57</v>
      </c>
      <c r="AJ553" s="290">
        <v>0</v>
      </c>
      <c r="AK553" s="289" t="s">
        <v>73</v>
      </c>
      <c r="AL553" s="290">
        <v>0</v>
      </c>
      <c r="AM553" s="413"/>
      <c r="AN553" s="290">
        <f t="shared" si="134"/>
        <v>720</v>
      </c>
      <c r="AO553" s="290">
        <f t="shared" si="135"/>
        <v>720</v>
      </c>
      <c r="AP553" s="290" t="b">
        <f t="shared" si="136"/>
        <v>0</v>
      </c>
      <c r="AQ553" s="290">
        <f t="shared" si="137"/>
        <v>720</v>
      </c>
    </row>
    <row r="554" s="224" customFormat="1" ht="39" customHeight="1" spans="1:45">
      <c r="A554" s="416">
        <v>46044</v>
      </c>
      <c r="B554" s="417" t="s">
        <v>1333</v>
      </c>
      <c r="C554" s="417" t="s">
        <v>104</v>
      </c>
      <c r="D554" s="417">
        <v>4500191835</v>
      </c>
      <c r="E554" s="414" t="s">
        <v>2219</v>
      </c>
      <c r="F554" s="417" t="s">
        <v>2220</v>
      </c>
      <c r="G554" s="415" t="s">
        <v>62</v>
      </c>
      <c r="H554" s="415" t="s">
        <v>63</v>
      </c>
      <c r="I554" s="437">
        <v>504</v>
      </c>
      <c r="J554" s="413">
        <v>0</v>
      </c>
      <c r="K554" s="413">
        <v>6</v>
      </c>
      <c r="L554" s="413">
        <f t="shared" si="131"/>
        <v>84</v>
      </c>
      <c r="M554" s="436">
        <v>46098</v>
      </c>
      <c r="N554" s="436">
        <v>46094</v>
      </c>
      <c r="O554" s="436"/>
      <c r="P554" s="436"/>
      <c r="Q554" s="436"/>
      <c r="R554" s="436"/>
      <c r="S554" s="236" t="s">
        <v>77</v>
      </c>
      <c r="T554" s="445" t="s">
        <v>2221</v>
      </c>
      <c r="U554" s="236" t="s">
        <v>2128</v>
      </c>
      <c r="V554" s="436"/>
      <c r="W554" s="436"/>
      <c r="X554" s="446" t="s">
        <v>2222</v>
      </c>
      <c r="Y554" s="415" t="s">
        <v>2223</v>
      </c>
      <c r="Z554" s="456">
        <v>3.5498</v>
      </c>
      <c r="AA554" s="455">
        <f t="shared" si="132"/>
        <v>1789.0992</v>
      </c>
      <c r="AB554" s="413"/>
      <c r="AC554" s="431" t="s">
        <v>71</v>
      </c>
      <c r="AD554" s="223" t="s">
        <v>56</v>
      </c>
      <c r="AE554" s="290"/>
      <c r="AF554" s="290">
        <f t="shared" si="133"/>
        <v>-504</v>
      </c>
      <c r="AG554" s="223"/>
      <c r="AH554" s="223"/>
      <c r="AI554" s="289" t="s">
        <v>72</v>
      </c>
      <c r="AJ554" s="290">
        <v>2</v>
      </c>
      <c r="AK554" s="289" t="s">
        <v>73</v>
      </c>
      <c r="AL554" s="290">
        <v>0</v>
      </c>
      <c r="AM554" s="413"/>
      <c r="AN554" s="290">
        <f t="shared" si="134"/>
        <v>504</v>
      </c>
      <c r="AO554" s="290">
        <f t="shared" si="135"/>
        <v>0</v>
      </c>
      <c r="AP554" s="290">
        <f t="shared" si="136"/>
        <v>504</v>
      </c>
      <c r="AQ554" s="290">
        <f t="shared" si="137"/>
        <v>504</v>
      </c>
      <c r="AR554" s="223"/>
      <c r="AS554" s="223"/>
    </row>
    <row r="555" s="223" customFormat="1" ht="39" customHeight="1" spans="1:43">
      <c r="A555" s="412">
        <v>46037</v>
      </c>
      <c r="B555" s="228" t="s">
        <v>2224</v>
      </c>
      <c r="C555" s="223" t="s">
        <v>688</v>
      </c>
      <c r="D555" s="413">
        <v>4500191577</v>
      </c>
      <c r="E555" s="414"/>
      <c r="F555" s="413" t="s">
        <v>2225</v>
      </c>
      <c r="G555" s="415" t="s">
        <v>62</v>
      </c>
      <c r="H555" s="415" t="s">
        <v>63</v>
      </c>
      <c r="I555" s="413">
        <v>240</v>
      </c>
      <c r="J555" s="413">
        <v>0</v>
      </c>
      <c r="K555" s="413">
        <v>6</v>
      </c>
      <c r="L555" s="413">
        <f t="shared" si="131"/>
        <v>40</v>
      </c>
      <c r="M555" s="436">
        <v>46101</v>
      </c>
      <c r="N555" s="436">
        <v>46097</v>
      </c>
      <c r="O555" s="436"/>
      <c r="P555" s="436"/>
      <c r="Q555" s="436"/>
      <c r="R555" s="436"/>
      <c r="S555" s="236" t="s">
        <v>50</v>
      </c>
      <c r="T555" s="445" t="s">
        <v>2128</v>
      </c>
      <c r="U555" s="236" t="s">
        <v>2128</v>
      </c>
      <c r="V555" s="436"/>
      <c r="W555" s="436"/>
      <c r="X555" s="447" t="s">
        <v>2226</v>
      </c>
      <c r="Y555" s="415" t="s">
        <v>205</v>
      </c>
      <c r="Z555" s="456">
        <v>3.5625</v>
      </c>
      <c r="AA555" s="455">
        <f t="shared" si="132"/>
        <v>855</v>
      </c>
      <c r="AB555" s="413"/>
      <c r="AC555" s="431" t="s">
        <v>71</v>
      </c>
      <c r="AD555" s="223" t="s">
        <v>56</v>
      </c>
      <c r="AE555" s="290"/>
      <c r="AF555" s="290">
        <f t="shared" si="133"/>
        <v>-240</v>
      </c>
      <c r="AI555" s="289" t="s">
        <v>72</v>
      </c>
      <c r="AJ555" s="290">
        <v>2</v>
      </c>
      <c r="AK555" s="289" t="s">
        <v>73</v>
      </c>
      <c r="AL555" s="290">
        <v>0</v>
      </c>
      <c r="AM555" s="413"/>
      <c r="AN555" s="290">
        <f t="shared" si="134"/>
        <v>240</v>
      </c>
      <c r="AO555" s="290">
        <f t="shared" si="135"/>
        <v>0</v>
      </c>
      <c r="AP555" s="290">
        <f t="shared" si="136"/>
        <v>240</v>
      </c>
      <c r="AQ555" s="290">
        <f t="shared" si="137"/>
        <v>240</v>
      </c>
    </row>
    <row r="556" s="223" customFormat="1" ht="39" customHeight="1" spans="1:43">
      <c r="A556" s="412">
        <v>46052</v>
      </c>
      <c r="B556" s="228" t="s">
        <v>2227</v>
      </c>
      <c r="C556" s="223" t="s">
        <v>119</v>
      </c>
      <c r="D556" s="413">
        <v>4500192751</v>
      </c>
      <c r="E556" s="414">
        <v>4400537509</v>
      </c>
      <c r="F556" s="413" t="s">
        <v>2228</v>
      </c>
      <c r="G556" s="415" t="s">
        <v>62</v>
      </c>
      <c r="H556" s="415" t="s">
        <v>63</v>
      </c>
      <c r="I556" s="413">
        <v>354</v>
      </c>
      <c r="J556" s="413">
        <v>0</v>
      </c>
      <c r="K556" s="413">
        <v>6</v>
      </c>
      <c r="L556" s="413">
        <f t="shared" si="131"/>
        <v>59</v>
      </c>
      <c r="M556" s="436">
        <v>46101</v>
      </c>
      <c r="N556" s="436">
        <v>46097</v>
      </c>
      <c r="O556" s="436"/>
      <c r="P556" s="436"/>
      <c r="Q556" s="436"/>
      <c r="R556" s="436"/>
      <c r="S556" s="236" t="s">
        <v>50</v>
      </c>
      <c r="T556" s="445">
        <v>46052</v>
      </c>
      <c r="U556" s="236" t="s">
        <v>50</v>
      </c>
      <c r="V556" s="436"/>
      <c r="W556" s="436"/>
      <c r="X556" s="447" t="s">
        <v>2110</v>
      </c>
      <c r="Y556" s="415" t="s">
        <v>1292</v>
      </c>
      <c r="Z556" s="456">
        <v>3.358</v>
      </c>
      <c r="AA556" s="457">
        <f t="shared" si="132"/>
        <v>1188.732</v>
      </c>
      <c r="AB556" s="413"/>
      <c r="AC556" s="431" t="s">
        <v>71</v>
      </c>
      <c r="AD556" s="223" t="s">
        <v>56</v>
      </c>
      <c r="AE556" s="290"/>
      <c r="AF556" s="290">
        <f t="shared" si="133"/>
        <v>-354</v>
      </c>
      <c r="AI556" s="289" t="s">
        <v>72</v>
      </c>
      <c r="AJ556" s="290">
        <v>2</v>
      </c>
      <c r="AK556" s="289" t="s">
        <v>73</v>
      </c>
      <c r="AL556" s="290">
        <v>0</v>
      </c>
      <c r="AM556" s="413"/>
      <c r="AN556" s="290">
        <f t="shared" si="134"/>
        <v>354</v>
      </c>
      <c r="AO556" s="290">
        <f t="shared" si="135"/>
        <v>0</v>
      </c>
      <c r="AP556" s="290">
        <f t="shared" si="136"/>
        <v>354</v>
      </c>
      <c r="AQ556" s="290">
        <f t="shared" si="137"/>
        <v>354</v>
      </c>
    </row>
    <row r="557" s="223" customFormat="1" ht="39" customHeight="1" spans="1:43">
      <c r="A557" s="412">
        <v>46052</v>
      </c>
      <c r="B557" s="228" t="s">
        <v>2227</v>
      </c>
      <c r="C557" s="223" t="s">
        <v>119</v>
      </c>
      <c r="D557" s="413">
        <v>4500192751</v>
      </c>
      <c r="E557" s="414">
        <v>4400537510</v>
      </c>
      <c r="F557" s="413" t="s">
        <v>2229</v>
      </c>
      <c r="G557" s="415" t="s">
        <v>62</v>
      </c>
      <c r="H557" s="415" t="s">
        <v>63</v>
      </c>
      <c r="I557" s="413">
        <v>150</v>
      </c>
      <c r="J557" s="413">
        <v>0</v>
      </c>
      <c r="K557" s="413">
        <v>6</v>
      </c>
      <c r="L557" s="413">
        <f t="shared" si="131"/>
        <v>25</v>
      </c>
      <c r="M557" s="436">
        <v>46101</v>
      </c>
      <c r="N557" s="436">
        <v>46097</v>
      </c>
      <c r="O557" s="436"/>
      <c r="P557" s="436"/>
      <c r="Q557" s="436"/>
      <c r="R557" s="436"/>
      <c r="S557" s="236" t="s">
        <v>50</v>
      </c>
      <c r="T557" s="445">
        <v>46052</v>
      </c>
      <c r="U557" s="236" t="s">
        <v>50</v>
      </c>
      <c r="V557" s="436"/>
      <c r="W557" s="436"/>
      <c r="X557" s="447" t="s">
        <v>2110</v>
      </c>
      <c r="Y557" s="415" t="s">
        <v>1292</v>
      </c>
      <c r="Z557" s="456">
        <v>3.5625</v>
      </c>
      <c r="AA557" s="457">
        <f t="shared" si="132"/>
        <v>534.375</v>
      </c>
      <c r="AB557" s="413"/>
      <c r="AC557" s="431" t="s">
        <v>71</v>
      </c>
      <c r="AD557" s="223" t="s">
        <v>56</v>
      </c>
      <c r="AE557" s="290"/>
      <c r="AF557" s="290">
        <f t="shared" si="133"/>
        <v>-150</v>
      </c>
      <c r="AI557" s="289" t="s">
        <v>72</v>
      </c>
      <c r="AJ557" s="290">
        <v>2</v>
      </c>
      <c r="AK557" s="289" t="s">
        <v>73</v>
      </c>
      <c r="AL557" s="290">
        <v>0</v>
      </c>
      <c r="AM557" s="413"/>
      <c r="AN557" s="290">
        <f t="shared" si="134"/>
        <v>150</v>
      </c>
      <c r="AO557" s="290">
        <f t="shared" si="135"/>
        <v>0</v>
      </c>
      <c r="AP557" s="290">
        <f t="shared" si="136"/>
        <v>150</v>
      </c>
      <c r="AQ557" s="290">
        <f t="shared" si="137"/>
        <v>150</v>
      </c>
    </row>
    <row r="558" s="224" customFormat="1" ht="39" customHeight="1" spans="1:45">
      <c r="A558" s="416">
        <v>46041</v>
      </c>
      <c r="B558" s="417"/>
      <c r="C558" s="417"/>
      <c r="D558" s="417" t="s">
        <v>2230</v>
      </c>
      <c r="E558" s="414"/>
      <c r="F558" s="417" t="s">
        <v>2231</v>
      </c>
      <c r="G558" s="415" t="s">
        <v>62</v>
      </c>
      <c r="H558" s="415" t="s">
        <v>63</v>
      </c>
      <c r="I558" s="437">
        <v>90</v>
      </c>
      <c r="J558" s="413">
        <v>0</v>
      </c>
      <c r="K558" s="413">
        <v>6</v>
      </c>
      <c r="L558" s="413">
        <f t="shared" si="131"/>
        <v>15</v>
      </c>
      <c r="M558" s="436">
        <v>46101</v>
      </c>
      <c r="N558" s="436">
        <v>46097</v>
      </c>
      <c r="O558" s="436"/>
      <c r="P558" s="436"/>
      <c r="Q558" s="436"/>
      <c r="R558" s="436"/>
      <c r="S558" s="236" t="s">
        <v>2232</v>
      </c>
      <c r="T558" s="445" t="s">
        <v>50</v>
      </c>
      <c r="U558" s="236" t="s">
        <v>50</v>
      </c>
      <c r="V558" s="436"/>
      <c r="W558" s="436"/>
      <c r="X558" s="447" t="s">
        <v>2233</v>
      </c>
      <c r="Y558" s="415" t="s">
        <v>2234</v>
      </c>
      <c r="Z558" s="456"/>
      <c r="AA558" s="457"/>
      <c r="AB558" s="413"/>
      <c r="AC558" s="431" t="s">
        <v>62</v>
      </c>
      <c r="AD558" s="223" t="s">
        <v>56</v>
      </c>
      <c r="AE558" s="290"/>
      <c r="AF558" s="290">
        <f t="shared" si="133"/>
        <v>-90</v>
      </c>
      <c r="AG558" s="223"/>
      <c r="AH558" s="223"/>
      <c r="AI558" s="289" t="s">
        <v>57</v>
      </c>
      <c r="AJ558" s="290">
        <v>0</v>
      </c>
      <c r="AK558" s="289" t="s">
        <v>73</v>
      </c>
      <c r="AL558" s="290">
        <v>0</v>
      </c>
      <c r="AM558" s="413"/>
      <c r="AN558" s="290">
        <f t="shared" si="134"/>
        <v>90</v>
      </c>
      <c r="AO558" s="290">
        <f t="shared" si="135"/>
        <v>90</v>
      </c>
      <c r="AP558" s="290" t="b">
        <f t="shared" si="136"/>
        <v>0</v>
      </c>
      <c r="AQ558" s="290">
        <f t="shared" si="137"/>
        <v>90</v>
      </c>
      <c r="AR558" s="223"/>
      <c r="AS558" s="223"/>
    </row>
    <row r="559" s="223" customFormat="1" ht="39" customHeight="1" spans="1:43">
      <c r="A559" s="244">
        <v>46030</v>
      </c>
      <c r="B559" s="418" t="s">
        <v>245</v>
      </c>
      <c r="C559" s="418" t="s">
        <v>104</v>
      </c>
      <c r="D559" s="418">
        <v>4500190805</v>
      </c>
      <c r="E559" s="414" t="s">
        <v>2235</v>
      </c>
      <c r="F559" s="418" t="s">
        <v>2236</v>
      </c>
      <c r="G559" s="415" t="s">
        <v>62</v>
      </c>
      <c r="H559" s="415" t="s">
        <v>63</v>
      </c>
      <c r="I559" s="437">
        <v>1536</v>
      </c>
      <c r="J559" s="413">
        <v>0</v>
      </c>
      <c r="K559" s="413">
        <v>6</v>
      </c>
      <c r="L559" s="413">
        <f t="shared" si="131"/>
        <v>256</v>
      </c>
      <c r="M559" s="436">
        <v>46106</v>
      </c>
      <c r="N559" s="436">
        <v>46102</v>
      </c>
      <c r="O559" s="436"/>
      <c r="P559" s="436"/>
      <c r="Q559" s="436"/>
      <c r="R559" s="436"/>
      <c r="S559" s="236" t="s">
        <v>77</v>
      </c>
      <c r="T559" s="445" t="s">
        <v>709</v>
      </c>
      <c r="U559" s="236" t="s">
        <v>2237</v>
      </c>
      <c r="V559" s="436"/>
      <c r="W559" s="436"/>
      <c r="X559" s="446" t="s">
        <v>2238</v>
      </c>
      <c r="Y559" s="415" t="s">
        <v>2223</v>
      </c>
      <c r="Z559" s="456">
        <v>3.5366</v>
      </c>
      <c r="AA559" s="457">
        <f>I559*Z559</f>
        <v>5432.2176</v>
      </c>
      <c r="AB559" s="413"/>
      <c r="AC559" s="431" t="s">
        <v>71</v>
      </c>
      <c r="AD559" s="223" t="s">
        <v>56</v>
      </c>
      <c r="AE559" s="290"/>
      <c r="AF559" s="290">
        <f t="shared" si="133"/>
        <v>-1536</v>
      </c>
      <c r="AI559" s="289" t="s">
        <v>72</v>
      </c>
      <c r="AJ559" s="290">
        <v>2</v>
      </c>
      <c r="AK559" s="289" t="s">
        <v>73</v>
      </c>
      <c r="AL559" s="290">
        <v>0</v>
      </c>
      <c r="AM559" s="413"/>
      <c r="AN559" s="290">
        <f t="shared" si="134"/>
        <v>1536</v>
      </c>
      <c r="AO559" s="290">
        <f t="shared" si="135"/>
        <v>0</v>
      </c>
      <c r="AP559" s="290">
        <f t="shared" si="136"/>
        <v>1536</v>
      </c>
      <c r="AQ559" s="290">
        <f t="shared" si="137"/>
        <v>1536</v>
      </c>
    </row>
    <row r="560" s="225" customFormat="1" ht="39" customHeight="1" spans="1:43">
      <c r="A560" s="419">
        <v>46067</v>
      </c>
      <c r="B560" s="420" t="s">
        <v>1320</v>
      </c>
      <c r="C560" s="420" t="s">
        <v>214</v>
      </c>
      <c r="D560" s="420">
        <v>4500194057</v>
      </c>
      <c r="E560" s="421">
        <v>4400539031</v>
      </c>
      <c r="F560" s="420" t="s">
        <v>2239</v>
      </c>
      <c r="G560" s="422" t="s">
        <v>62</v>
      </c>
      <c r="H560" s="423" t="s">
        <v>63</v>
      </c>
      <c r="I560" s="438">
        <v>3000</v>
      </c>
      <c r="J560" s="439">
        <v>0</v>
      </c>
      <c r="K560" s="439">
        <v>6</v>
      </c>
      <c r="L560" s="439">
        <f>I560/K560</f>
        <v>500</v>
      </c>
      <c r="M560" s="440">
        <v>46111</v>
      </c>
      <c r="N560" s="440">
        <v>46107</v>
      </c>
      <c r="O560" s="440"/>
      <c r="P560" s="440"/>
      <c r="Q560" s="440"/>
      <c r="R560" s="440"/>
      <c r="S560" s="450"/>
      <c r="T560" s="451"/>
      <c r="U560" s="450"/>
      <c r="V560" s="440"/>
      <c r="W560" s="440"/>
      <c r="X560" s="449" t="s">
        <v>2240</v>
      </c>
      <c r="Y560" s="422" t="s">
        <v>1292</v>
      </c>
      <c r="Z560" s="459">
        <v>3.5898</v>
      </c>
      <c r="AA560" s="460">
        <f>I560*Z560</f>
        <v>10769.4</v>
      </c>
      <c r="AB560" s="442"/>
      <c r="AC560" s="461"/>
      <c r="AE560" s="462"/>
      <c r="AF560" s="462"/>
      <c r="AI560" s="466"/>
      <c r="AJ560" s="462"/>
      <c r="AK560" s="466"/>
      <c r="AL560" s="462"/>
      <c r="AM560" s="442"/>
      <c r="AN560" s="467">
        <f>I560</f>
        <v>3000</v>
      </c>
      <c r="AO560" s="462"/>
      <c r="AP560" s="462"/>
      <c r="AQ560" s="462"/>
    </row>
    <row r="561" s="225" customFormat="1" ht="39" customHeight="1" spans="1:43">
      <c r="A561" s="419">
        <v>46067</v>
      </c>
      <c r="B561" s="420" t="s">
        <v>1391</v>
      </c>
      <c r="C561" s="424" t="s">
        <v>104</v>
      </c>
      <c r="D561" s="420">
        <v>4500194041</v>
      </c>
      <c r="E561" s="421">
        <v>4400539586</v>
      </c>
      <c r="F561" s="420" t="s">
        <v>2241</v>
      </c>
      <c r="G561" s="422" t="s">
        <v>62</v>
      </c>
      <c r="H561" s="423" t="s">
        <v>63</v>
      </c>
      <c r="I561" s="438">
        <v>1800</v>
      </c>
      <c r="J561" s="439">
        <v>0</v>
      </c>
      <c r="K561" s="439">
        <v>6</v>
      </c>
      <c r="L561" s="439">
        <f>I561/K561</f>
        <v>300</v>
      </c>
      <c r="M561" s="440">
        <v>46111</v>
      </c>
      <c r="N561" s="440">
        <v>46107</v>
      </c>
      <c r="O561" s="440"/>
      <c r="P561" s="440"/>
      <c r="Q561" s="440"/>
      <c r="R561" s="440"/>
      <c r="S561" s="450"/>
      <c r="T561" s="451"/>
      <c r="U561" s="450"/>
      <c r="V561" s="440"/>
      <c r="W561" s="440"/>
      <c r="X561" s="449" t="s">
        <v>2242</v>
      </c>
      <c r="Y561" s="422" t="s">
        <v>1292</v>
      </c>
      <c r="Z561" s="459">
        <v>3.5366</v>
      </c>
      <c r="AA561" s="460">
        <f>I561*Z561</f>
        <v>6365.88</v>
      </c>
      <c r="AB561" s="442"/>
      <c r="AC561" s="461"/>
      <c r="AE561" s="462"/>
      <c r="AF561" s="462"/>
      <c r="AI561" s="466"/>
      <c r="AJ561" s="462"/>
      <c r="AK561" s="466"/>
      <c r="AL561" s="462"/>
      <c r="AM561" s="442"/>
      <c r="AN561" s="467">
        <f>I561</f>
        <v>1800</v>
      </c>
      <c r="AO561" s="462"/>
      <c r="AP561" s="462"/>
      <c r="AQ561" s="462"/>
    </row>
    <row r="562" s="224" customFormat="1" ht="39" customHeight="1" spans="1:45">
      <c r="A562" s="416">
        <v>46042</v>
      </c>
      <c r="B562" s="417" t="s">
        <v>2243</v>
      </c>
      <c r="C562" s="417" t="s">
        <v>432</v>
      </c>
      <c r="D562" s="417">
        <v>4500191880</v>
      </c>
      <c r="E562" s="414"/>
      <c r="F562" s="417" t="s">
        <v>2244</v>
      </c>
      <c r="G562" s="415" t="s">
        <v>62</v>
      </c>
      <c r="H562" s="415" t="s">
        <v>63</v>
      </c>
      <c r="I562" s="437">
        <v>60</v>
      </c>
      <c r="J562" s="413">
        <v>0</v>
      </c>
      <c r="K562" s="413">
        <v>6</v>
      </c>
      <c r="L562" s="413">
        <f>I562/K562</f>
        <v>10</v>
      </c>
      <c r="M562" s="436">
        <v>46112</v>
      </c>
      <c r="N562" s="436">
        <v>46108</v>
      </c>
      <c r="O562" s="436"/>
      <c r="P562" s="436"/>
      <c r="Q562" s="436"/>
      <c r="R562" s="436"/>
      <c r="S562" s="236">
        <v>46045</v>
      </c>
      <c r="T562" s="445" t="s">
        <v>50</v>
      </c>
      <c r="U562" s="236" t="s">
        <v>2128</v>
      </c>
      <c r="V562" s="436"/>
      <c r="W562" s="436"/>
      <c r="X562" s="447" t="s">
        <v>2245</v>
      </c>
      <c r="Y562" s="415" t="s">
        <v>205</v>
      </c>
      <c r="Z562" s="456">
        <v>3.358</v>
      </c>
      <c r="AA562" s="457">
        <f>I562*Z562</f>
        <v>201.48</v>
      </c>
      <c r="AB562" s="413"/>
      <c r="AC562" s="431" t="s">
        <v>71</v>
      </c>
      <c r="AD562" s="223" t="s">
        <v>56</v>
      </c>
      <c r="AE562" s="290"/>
      <c r="AF562" s="290">
        <f>AE562-I562</f>
        <v>-60</v>
      </c>
      <c r="AG562" s="223"/>
      <c r="AH562" s="223"/>
      <c r="AI562" s="289" t="s">
        <v>72</v>
      </c>
      <c r="AJ562" s="290">
        <v>2</v>
      </c>
      <c r="AK562" s="289" t="s">
        <v>73</v>
      </c>
      <c r="AL562" s="290">
        <v>0</v>
      </c>
      <c r="AM562" s="413"/>
      <c r="AN562" s="290">
        <f>I562</f>
        <v>60</v>
      </c>
      <c r="AO562" s="290">
        <f>IF($AJ562=0,$AN562,IF($AJ562&gt;0,0))</f>
        <v>0</v>
      </c>
      <c r="AP562" s="290">
        <f>IF($AJ562=2,$AN562,IF($AJ562&gt;0,0))</f>
        <v>60</v>
      </c>
      <c r="AQ562" s="290">
        <f>IF($AL562=0,$AN562,IF($AL562&gt;0,0))</f>
        <v>60</v>
      </c>
      <c r="AR562" s="223"/>
      <c r="AS562" s="223"/>
    </row>
    <row r="563" s="223" customFormat="1" ht="39" customHeight="1" spans="1:43">
      <c r="A563" s="416">
        <v>46055</v>
      </c>
      <c r="B563" s="417" t="s">
        <v>1530</v>
      </c>
      <c r="C563" s="417" t="s">
        <v>44</v>
      </c>
      <c r="D563" s="417">
        <v>4500192693</v>
      </c>
      <c r="E563" s="414" t="s">
        <v>2246</v>
      </c>
      <c r="F563" s="417" t="s">
        <v>2247</v>
      </c>
      <c r="G563" s="415" t="s">
        <v>62</v>
      </c>
      <c r="H563" s="415" t="s">
        <v>63</v>
      </c>
      <c r="I563" s="437">
        <v>1200</v>
      </c>
      <c r="J563" s="413">
        <v>0</v>
      </c>
      <c r="K563" s="413">
        <v>6</v>
      </c>
      <c r="L563" s="413">
        <f>I563/K563</f>
        <v>200</v>
      </c>
      <c r="M563" s="436">
        <v>46115</v>
      </c>
      <c r="N563" s="436">
        <v>46111</v>
      </c>
      <c r="O563" s="436"/>
      <c r="P563" s="436"/>
      <c r="Q563" s="436"/>
      <c r="R563" s="436"/>
      <c r="S563" s="236" t="s">
        <v>77</v>
      </c>
      <c r="T563" s="445">
        <v>46059</v>
      </c>
      <c r="U563" s="236" t="s">
        <v>2248</v>
      </c>
      <c r="V563" s="436"/>
      <c r="W563" s="436"/>
      <c r="X563" s="447" t="s">
        <v>2249</v>
      </c>
      <c r="Y563" s="415" t="s">
        <v>517</v>
      </c>
      <c r="Z563" s="456">
        <v>2.122</v>
      </c>
      <c r="AA563" s="457">
        <f>I563*Z563</f>
        <v>2546.4</v>
      </c>
      <c r="AB563" s="413"/>
      <c r="AC563" s="431" t="s">
        <v>62</v>
      </c>
      <c r="AE563" s="290"/>
      <c r="AF563" s="290">
        <f>AE563-I563</f>
        <v>-1200</v>
      </c>
      <c r="AI563" s="289" t="s">
        <v>57</v>
      </c>
      <c r="AJ563" s="290">
        <v>0</v>
      </c>
      <c r="AK563" s="289" t="s">
        <v>73</v>
      </c>
      <c r="AL563" s="290">
        <v>0</v>
      </c>
      <c r="AM563" s="413"/>
      <c r="AN563" s="290">
        <f>I563</f>
        <v>1200</v>
      </c>
      <c r="AO563" s="290">
        <f>IF($AJ563=0,$AN563,IF($AJ563&gt;0,0))</f>
        <v>1200</v>
      </c>
      <c r="AP563" s="290" t="b">
        <f>IF($AJ563=2,$AN563,IF($AJ563&gt;0,0))</f>
        <v>0</v>
      </c>
      <c r="AQ563" s="290">
        <f>IF($AL563=0,$AN563,IF($AL563&gt;0,0))</f>
        <v>1200</v>
      </c>
    </row>
    <row r="564" s="223" customFormat="1" ht="39" customHeight="1" spans="1:43">
      <c r="A564" s="416">
        <v>46057</v>
      </c>
      <c r="B564" s="417" t="s">
        <v>2250</v>
      </c>
      <c r="C564" s="417" t="s">
        <v>104</v>
      </c>
      <c r="D564" s="417">
        <v>4500192972</v>
      </c>
      <c r="E564" s="414" t="s">
        <v>2251</v>
      </c>
      <c r="F564" s="417" t="s">
        <v>2252</v>
      </c>
      <c r="G564" s="415" t="s">
        <v>62</v>
      </c>
      <c r="H564" s="415" t="s">
        <v>63</v>
      </c>
      <c r="I564" s="437">
        <v>300</v>
      </c>
      <c r="J564" s="413">
        <v>0</v>
      </c>
      <c r="K564" s="413">
        <v>6</v>
      </c>
      <c r="L564" s="413">
        <f>I564/K564</f>
        <v>50</v>
      </c>
      <c r="M564" s="436">
        <v>46115</v>
      </c>
      <c r="N564" s="436">
        <v>46111</v>
      </c>
      <c r="O564" s="436"/>
      <c r="P564" s="436"/>
      <c r="Q564" s="436"/>
      <c r="R564" s="436"/>
      <c r="S564" s="236" t="s">
        <v>77</v>
      </c>
      <c r="T564" s="445">
        <v>46059</v>
      </c>
      <c r="U564" s="236" t="s">
        <v>2248</v>
      </c>
      <c r="V564" s="436"/>
      <c r="W564" s="436"/>
      <c r="X564" s="447" t="s">
        <v>2253</v>
      </c>
      <c r="Y564" s="415" t="s">
        <v>2254</v>
      </c>
      <c r="Z564" s="456">
        <v>3.5625</v>
      </c>
      <c r="AA564" s="457">
        <f>I564*Z564</f>
        <v>1068.75</v>
      </c>
      <c r="AB564" s="413"/>
      <c r="AC564" s="431" t="s">
        <v>71</v>
      </c>
      <c r="AE564" s="290"/>
      <c r="AF564" s="290">
        <f>AE564-I564</f>
        <v>-300</v>
      </c>
      <c r="AI564" s="289" t="s">
        <v>72</v>
      </c>
      <c r="AJ564" s="290">
        <v>2</v>
      </c>
      <c r="AK564" s="289" t="s">
        <v>73</v>
      </c>
      <c r="AL564" s="290">
        <v>0</v>
      </c>
      <c r="AM564" s="413"/>
      <c r="AN564" s="290">
        <f>I564</f>
        <v>300</v>
      </c>
      <c r="AO564" s="290">
        <f>IF($AJ564=0,$AN564,IF($AJ564&gt;0,0))</f>
        <v>0</v>
      </c>
      <c r="AP564" s="290">
        <f>IF($AJ564=2,$AN564,IF($AJ564&gt;0,0))</f>
        <v>300</v>
      </c>
      <c r="AQ564" s="290">
        <f>IF($AL564=0,$AN564,IF($AL564&gt;0,0))</f>
        <v>300</v>
      </c>
    </row>
    <row r="565" s="225" customFormat="1" ht="39" customHeight="1" spans="1:43">
      <c r="A565" s="425">
        <v>46062</v>
      </c>
      <c r="B565" s="426" t="s">
        <v>1163</v>
      </c>
      <c r="C565" s="426" t="s">
        <v>396</v>
      </c>
      <c r="D565" s="426">
        <v>4500193531</v>
      </c>
      <c r="E565" s="421">
        <v>4500193531</v>
      </c>
      <c r="F565" s="426" t="s">
        <v>2255</v>
      </c>
      <c r="G565" s="422" t="s">
        <v>62</v>
      </c>
      <c r="H565" s="422" t="s">
        <v>63</v>
      </c>
      <c r="I565" s="441">
        <v>300</v>
      </c>
      <c r="J565" s="442">
        <v>0</v>
      </c>
      <c r="K565" s="442">
        <v>6</v>
      </c>
      <c r="L565" s="442">
        <f>I565/K565</f>
        <v>50</v>
      </c>
      <c r="M565" s="440">
        <v>46118</v>
      </c>
      <c r="N565" s="440">
        <v>46114</v>
      </c>
      <c r="O565" s="440"/>
      <c r="P565" s="440"/>
      <c r="Q565" s="440"/>
      <c r="R565" s="440"/>
      <c r="S565" s="450"/>
      <c r="T565" s="451"/>
      <c r="U565" s="450"/>
      <c r="V565" s="440"/>
      <c r="W565" s="440"/>
      <c r="X565" s="449" t="s">
        <v>2256</v>
      </c>
      <c r="Y565" s="422" t="s">
        <v>1292</v>
      </c>
      <c r="Z565" s="463">
        <v>3.5625</v>
      </c>
      <c r="AA565" s="464">
        <f>I565*Z565</f>
        <v>1068.75</v>
      </c>
      <c r="AB565" s="442"/>
      <c r="AC565" s="461"/>
      <c r="AE565" s="462"/>
      <c r="AF565" s="462"/>
      <c r="AI565" s="466"/>
      <c r="AJ565" s="462"/>
      <c r="AK565" s="466"/>
      <c r="AL565" s="462"/>
      <c r="AM565" s="442"/>
      <c r="AN565" s="462">
        <f>I565</f>
        <v>300</v>
      </c>
      <c r="AO565" s="462"/>
      <c r="AP565" s="462"/>
      <c r="AQ565" s="462"/>
    </row>
    <row r="566" s="223" customFormat="1" ht="39" customHeight="1" spans="1:43">
      <c r="A566" s="416">
        <v>46056</v>
      </c>
      <c r="B566" s="417" t="s">
        <v>881</v>
      </c>
      <c r="C566" s="417" t="s">
        <v>157</v>
      </c>
      <c r="D566" s="417">
        <v>4500192880</v>
      </c>
      <c r="E566" s="414"/>
      <c r="F566" s="417" t="s">
        <v>2257</v>
      </c>
      <c r="G566" s="415" t="s">
        <v>62</v>
      </c>
      <c r="H566" s="415" t="s">
        <v>63</v>
      </c>
      <c r="I566" s="437">
        <v>300</v>
      </c>
      <c r="J566" s="413">
        <v>0</v>
      </c>
      <c r="K566" s="413">
        <v>6</v>
      </c>
      <c r="L566" s="413">
        <f>I566/K566</f>
        <v>50</v>
      </c>
      <c r="M566" s="440">
        <v>46121</v>
      </c>
      <c r="N566" s="440">
        <v>46118</v>
      </c>
      <c r="O566" s="436"/>
      <c r="P566" s="436"/>
      <c r="Q566" s="436"/>
      <c r="R566" s="436"/>
      <c r="S566" s="236" t="s">
        <v>50</v>
      </c>
      <c r="T566" s="445">
        <v>46057</v>
      </c>
      <c r="U566" s="236" t="s">
        <v>2128</v>
      </c>
      <c r="V566" s="436" t="s">
        <v>2258</v>
      </c>
      <c r="W566" s="436"/>
      <c r="X566" s="449" t="s">
        <v>2259</v>
      </c>
      <c r="Y566" s="415" t="s">
        <v>884</v>
      </c>
      <c r="Z566" s="456">
        <v>3.9966</v>
      </c>
      <c r="AA566" s="457">
        <f>I566*Z566</f>
        <v>1198.98</v>
      </c>
      <c r="AB566" s="413"/>
      <c r="AC566" s="431" t="s">
        <v>62</v>
      </c>
      <c r="AE566" s="290"/>
      <c r="AF566" s="290">
        <f>AE566-I566</f>
        <v>-300</v>
      </c>
      <c r="AI566" s="289" t="s">
        <v>57</v>
      </c>
      <c r="AJ566" s="290">
        <v>0</v>
      </c>
      <c r="AK566" s="289" t="s">
        <v>73</v>
      </c>
      <c r="AL566" s="290">
        <v>0</v>
      </c>
      <c r="AM566" s="413"/>
      <c r="AN566" s="290">
        <f>I566</f>
        <v>300</v>
      </c>
      <c r="AO566" s="290">
        <f>IF($AJ566=0,$AN566,IF($AJ566&gt;0,0))</f>
        <v>300</v>
      </c>
      <c r="AP566" s="290" t="b">
        <f>IF($AJ566=2,$AN566,IF($AJ566&gt;0,0))</f>
        <v>0</v>
      </c>
      <c r="AQ566" s="290">
        <f>IF($AL566=0,$AN566,IF($AL566&gt;0,0))</f>
        <v>300</v>
      </c>
    </row>
    <row r="567" s="225" customFormat="1" ht="39" customHeight="1" spans="1:43">
      <c r="A567" s="425">
        <v>46078</v>
      </c>
      <c r="B567" s="426" t="s">
        <v>2260</v>
      </c>
      <c r="C567" s="426" t="s">
        <v>698</v>
      </c>
      <c r="D567" s="426">
        <v>4500194168</v>
      </c>
      <c r="E567" s="421"/>
      <c r="F567" s="426" t="s">
        <v>2261</v>
      </c>
      <c r="G567" s="422" t="s">
        <v>62</v>
      </c>
      <c r="H567" s="423" t="s">
        <v>63</v>
      </c>
      <c r="I567" s="438">
        <v>72</v>
      </c>
      <c r="J567" s="439">
        <v>0</v>
      </c>
      <c r="K567" s="439">
        <v>6</v>
      </c>
      <c r="L567" s="439">
        <f>I567/K567</f>
        <v>12</v>
      </c>
      <c r="M567" s="440">
        <v>46122</v>
      </c>
      <c r="N567" s="440">
        <v>46118</v>
      </c>
      <c r="O567" s="440"/>
      <c r="P567" s="440"/>
      <c r="Q567" s="440"/>
      <c r="R567" s="440"/>
      <c r="S567" s="450"/>
      <c r="T567" s="451"/>
      <c r="U567" s="450"/>
      <c r="V567" s="440"/>
      <c r="W567" s="440"/>
      <c r="X567" s="449" t="s">
        <v>2262</v>
      </c>
      <c r="Y567" s="422" t="s">
        <v>205</v>
      </c>
      <c r="Z567" s="459">
        <v>3.648</v>
      </c>
      <c r="AA567" s="460">
        <f>I567*Z567</f>
        <v>262.656</v>
      </c>
      <c r="AB567" s="442"/>
      <c r="AC567" s="461"/>
      <c r="AE567" s="462"/>
      <c r="AF567" s="462"/>
      <c r="AI567" s="466"/>
      <c r="AJ567" s="462"/>
      <c r="AK567" s="466"/>
      <c r="AL567" s="462"/>
      <c r="AM567" s="442"/>
      <c r="AN567" s="467">
        <f>I567</f>
        <v>72</v>
      </c>
      <c r="AO567" s="462"/>
      <c r="AP567" s="462"/>
      <c r="AQ567" s="462"/>
    </row>
    <row r="568" s="225" customFormat="1" ht="39" customHeight="1" spans="1:43">
      <c r="A568" s="425">
        <v>46064</v>
      </c>
      <c r="B568" s="426" t="s">
        <v>1050</v>
      </c>
      <c r="C568" s="427" t="s">
        <v>44</v>
      </c>
      <c r="D568" s="426">
        <v>4500193668</v>
      </c>
      <c r="E568" s="421">
        <v>36363</v>
      </c>
      <c r="F568" s="426" t="s">
        <v>2263</v>
      </c>
      <c r="G568" s="422" t="s">
        <v>62</v>
      </c>
      <c r="H568" s="422" t="s">
        <v>63</v>
      </c>
      <c r="I568" s="441">
        <v>810</v>
      </c>
      <c r="J568" s="442">
        <v>0</v>
      </c>
      <c r="K568" s="442">
        <v>6</v>
      </c>
      <c r="L568" s="442">
        <f>I568/K568</f>
        <v>135</v>
      </c>
      <c r="M568" s="440">
        <v>46125</v>
      </c>
      <c r="N568" s="440">
        <v>46121</v>
      </c>
      <c r="O568" s="440"/>
      <c r="P568" s="440"/>
      <c r="Q568" s="440"/>
      <c r="R568" s="440"/>
      <c r="S568" s="450"/>
      <c r="T568" s="451"/>
      <c r="U568" s="450"/>
      <c r="V568" s="440"/>
      <c r="W568" s="440"/>
      <c r="X568" s="449" t="s">
        <v>1053</v>
      </c>
      <c r="Y568" s="422" t="s">
        <v>1928</v>
      </c>
      <c r="Z568" s="463">
        <v>2.1299</v>
      </c>
      <c r="AA568" s="464">
        <f>I568*Z568</f>
        <v>1725.219</v>
      </c>
      <c r="AB568" s="442"/>
      <c r="AC568" s="461"/>
      <c r="AE568" s="462"/>
      <c r="AF568" s="462"/>
      <c r="AI568" s="466"/>
      <c r="AJ568" s="462"/>
      <c r="AK568" s="466"/>
      <c r="AL568" s="462"/>
      <c r="AM568" s="442"/>
      <c r="AN568" s="462">
        <f>I568</f>
        <v>810</v>
      </c>
      <c r="AO568" s="462"/>
      <c r="AP568" s="462"/>
      <c r="AQ568" s="462"/>
    </row>
    <row r="569" s="225" customFormat="1" ht="39" customHeight="1" spans="1:43">
      <c r="A569" s="425">
        <v>46063</v>
      </c>
      <c r="B569" s="426" t="s">
        <v>1374</v>
      </c>
      <c r="C569" s="427" t="s">
        <v>764</v>
      </c>
      <c r="D569" s="426">
        <v>4500193377</v>
      </c>
      <c r="E569" s="421"/>
      <c r="F569" s="426" t="s">
        <v>2264</v>
      </c>
      <c r="G569" s="422" t="s">
        <v>62</v>
      </c>
      <c r="H569" s="422" t="s">
        <v>63</v>
      </c>
      <c r="I569" s="441">
        <v>204</v>
      </c>
      <c r="J569" s="442">
        <v>0</v>
      </c>
      <c r="K569" s="442">
        <v>6</v>
      </c>
      <c r="L569" s="442">
        <f>I569/K569</f>
        <v>34</v>
      </c>
      <c r="M569" s="440">
        <v>46125</v>
      </c>
      <c r="N569" s="440">
        <v>46121</v>
      </c>
      <c r="O569" s="440"/>
      <c r="P569" s="440"/>
      <c r="Q569" s="440"/>
      <c r="R569" s="440"/>
      <c r="S569" s="450"/>
      <c r="T569" s="451"/>
      <c r="U569" s="450"/>
      <c r="V569" s="440"/>
      <c r="W569" s="440"/>
      <c r="X569" s="449" t="s">
        <v>2265</v>
      </c>
      <c r="Y569" s="422" t="s">
        <v>1361</v>
      </c>
      <c r="Z569" s="463">
        <v>3.358</v>
      </c>
      <c r="AA569" s="464">
        <f>I569*Z569</f>
        <v>685.032</v>
      </c>
      <c r="AB569" s="442"/>
      <c r="AC569" s="461"/>
      <c r="AE569" s="462"/>
      <c r="AF569" s="462"/>
      <c r="AI569" s="466"/>
      <c r="AJ569" s="462"/>
      <c r="AK569" s="466"/>
      <c r="AL569" s="462"/>
      <c r="AM569" s="442"/>
      <c r="AN569" s="462">
        <f>I569</f>
        <v>204</v>
      </c>
      <c r="AO569" s="462"/>
      <c r="AP569" s="462"/>
      <c r="AQ569" s="462"/>
    </row>
    <row r="570" s="223" customFormat="1" ht="39" customHeight="1" spans="1:43">
      <c r="A570" s="412"/>
      <c r="B570" s="228"/>
      <c r="D570" s="413"/>
      <c r="E570" s="414"/>
      <c r="F570" s="413"/>
      <c r="G570" s="415"/>
      <c r="H570" s="415"/>
      <c r="I570" s="413"/>
      <c r="J570" s="413"/>
      <c r="K570" s="413"/>
      <c r="L570" s="413"/>
      <c r="M570" s="436"/>
      <c r="N570" s="436"/>
      <c r="O570" s="436"/>
      <c r="P570" s="436"/>
      <c r="Q570" s="436"/>
      <c r="R570" s="436"/>
      <c r="S570" s="236"/>
      <c r="T570" s="445"/>
      <c r="U570" s="236"/>
      <c r="V570" s="436"/>
      <c r="W570" s="436"/>
      <c r="X570" s="447"/>
      <c r="Y570" s="415"/>
      <c r="Z570" s="454"/>
      <c r="AA570" s="455"/>
      <c r="AB570" s="413"/>
      <c r="AC570" s="431"/>
      <c r="AE570" s="290"/>
      <c r="AF570" s="290"/>
      <c r="AI570" s="289"/>
      <c r="AJ570" s="290"/>
      <c r="AK570" s="289"/>
      <c r="AL570" s="290"/>
      <c r="AM570" s="413"/>
      <c r="AN570" s="251"/>
      <c r="AO570" s="290"/>
      <c r="AP570" s="290"/>
      <c r="AQ570" s="290"/>
    </row>
    <row r="571" s="223" customFormat="1" ht="39" customHeight="1" spans="1:43">
      <c r="A571" s="412"/>
      <c r="B571" s="228"/>
      <c r="D571" s="413"/>
      <c r="E571" s="414"/>
      <c r="F571" s="413"/>
      <c r="G571" s="415"/>
      <c r="H571" s="415"/>
      <c r="I571" s="413"/>
      <c r="J571" s="413"/>
      <c r="K571" s="413"/>
      <c r="L571" s="413"/>
      <c r="M571" s="436"/>
      <c r="N571" s="436"/>
      <c r="O571" s="436"/>
      <c r="P571" s="436"/>
      <c r="Q571" s="436"/>
      <c r="R571" s="436"/>
      <c r="S571" s="236"/>
      <c r="T571" s="445"/>
      <c r="U571" s="236"/>
      <c r="V571" s="436"/>
      <c r="W571" s="436"/>
      <c r="X571" s="447"/>
      <c r="Y571" s="415"/>
      <c r="Z571" s="454"/>
      <c r="AA571" s="455"/>
      <c r="AB571" s="413"/>
      <c r="AC571" s="431"/>
      <c r="AE571" s="290"/>
      <c r="AF571" s="290"/>
      <c r="AI571" s="289"/>
      <c r="AJ571" s="290"/>
      <c r="AK571" s="289"/>
      <c r="AL571" s="290"/>
      <c r="AM571" s="413"/>
      <c r="AN571" s="251"/>
      <c r="AO571" s="290"/>
      <c r="AP571" s="290"/>
      <c r="AQ571" s="290"/>
    </row>
    <row r="572" s="226" customFormat="1" ht="39" customHeight="1" spans="1:45">
      <c r="A572" s="428"/>
      <c r="B572" s="228"/>
      <c r="C572" s="429" t="s">
        <v>2266</v>
      </c>
      <c r="D572" s="290"/>
      <c r="E572" s="269"/>
      <c r="F572" s="430"/>
      <c r="G572" s="289"/>
      <c r="H572" s="289"/>
      <c r="I572" s="289"/>
      <c r="J572" s="290"/>
      <c r="K572" s="290"/>
      <c r="L572" s="290"/>
      <c r="M572" s="443"/>
      <c r="N572" s="270"/>
      <c r="O572" s="270"/>
      <c r="P572" s="270"/>
      <c r="Q572" s="270"/>
      <c r="R572" s="270"/>
      <c r="S572" s="236"/>
      <c r="T572" s="236"/>
      <c r="U572" s="236"/>
      <c r="V572" s="270"/>
      <c r="W572" s="270"/>
      <c r="X572" s="452"/>
      <c r="Y572" s="289"/>
      <c r="Z572" s="456"/>
      <c r="AA572" s="457"/>
      <c r="AB572" s="290"/>
      <c r="AC572" s="432"/>
      <c r="AD572" s="290"/>
      <c r="AE572" s="290"/>
      <c r="AF572" s="290"/>
      <c r="AG572" s="429"/>
      <c r="AH572" s="429"/>
      <c r="AI572" s="289"/>
      <c r="AJ572" s="290"/>
      <c r="AK572" s="289"/>
      <c r="AL572" s="290"/>
      <c r="AM572" s="290"/>
      <c r="AN572" s="290"/>
      <c r="AO572" s="468"/>
      <c r="AP572" s="240"/>
      <c r="AQ572" s="469"/>
      <c r="AR572" s="470"/>
      <c r="AS572" s="429"/>
    </row>
    <row r="573" s="226" customFormat="1" ht="39" customHeight="1" spans="1:45">
      <c r="A573" s="428"/>
      <c r="B573" s="228"/>
      <c r="C573" s="429"/>
      <c r="D573" s="290"/>
      <c r="E573" s="431"/>
      <c r="F573" s="432"/>
      <c r="G573" s="289"/>
      <c r="H573" s="289"/>
      <c r="I573" s="289"/>
      <c r="J573" s="289"/>
      <c r="K573" s="290"/>
      <c r="L573" s="290"/>
      <c r="M573" s="443"/>
      <c r="N573" s="270"/>
      <c r="O573" s="270"/>
      <c r="P573" s="270"/>
      <c r="Q573" s="270"/>
      <c r="R573" s="270"/>
      <c r="S573" s="236"/>
      <c r="T573" s="236"/>
      <c r="U573" s="236"/>
      <c r="V573" s="270"/>
      <c r="W573" s="270"/>
      <c r="X573" s="289"/>
      <c r="Y573" s="289"/>
      <c r="Z573" s="456"/>
      <c r="AA573" s="457"/>
      <c r="AC573" s="432"/>
      <c r="AD573" s="290"/>
      <c r="AE573" s="290"/>
      <c r="AF573" s="290"/>
      <c r="AG573" s="429"/>
      <c r="AH573" s="429"/>
      <c r="AI573" s="289"/>
      <c r="AJ573" s="290"/>
      <c r="AK573" s="289"/>
      <c r="AL573" s="290"/>
      <c r="AM573" s="290"/>
      <c r="AN573" s="468"/>
      <c r="AO573" s="471"/>
      <c r="AP573" s="240"/>
      <c r="AQ573" s="469"/>
      <c r="AR573" s="470"/>
      <c r="AS573" s="429"/>
    </row>
    <row r="574" s="226" customFormat="1" ht="39" customHeight="1" spans="1:45">
      <c r="A574" s="412"/>
      <c r="B574" s="228"/>
      <c r="C574" s="223"/>
      <c r="D574" s="413"/>
      <c r="E574" s="433"/>
      <c r="F574" s="370"/>
      <c r="G574" s="415"/>
      <c r="H574" s="415"/>
      <c r="I574" s="413"/>
      <c r="J574" s="413"/>
      <c r="K574" s="413"/>
      <c r="L574" s="413"/>
      <c r="M574" s="444"/>
      <c r="N574" s="436"/>
      <c r="O574" s="436"/>
      <c r="P574" s="436"/>
      <c r="Q574" s="444"/>
      <c r="R574" s="444"/>
      <c r="S574" s="236"/>
      <c r="T574" s="236"/>
      <c r="U574" s="236"/>
      <c r="V574" s="436"/>
      <c r="W574" s="436"/>
      <c r="X574" s="415"/>
      <c r="Y574" s="415"/>
      <c r="Z574" s="465"/>
      <c r="AA574" s="455"/>
      <c r="AB574" s="413"/>
      <c r="AC574" s="433"/>
      <c r="AD574" s="413"/>
      <c r="AE574" s="290"/>
      <c r="AF574" s="413"/>
      <c r="AG574" s="223"/>
      <c r="AH574" s="223"/>
      <c r="AI574" s="415"/>
      <c r="AJ574" s="413"/>
      <c r="AK574" s="415"/>
      <c r="AL574" s="413"/>
      <c r="AM574" s="413"/>
      <c r="AN574" s="413"/>
      <c r="AO574" s="472"/>
      <c r="AP574" s="240"/>
      <c r="AQ574" s="473"/>
      <c r="AR574" s="474"/>
      <c r="AS574" s="429"/>
    </row>
    <row r="575" s="226" customFormat="1" ht="35" customHeight="1" spans="1:45">
      <c r="A575" s="428"/>
      <c r="B575" s="228"/>
      <c r="C575" s="429"/>
      <c r="D575" s="290"/>
      <c r="E575" s="432"/>
      <c r="F575" s="431"/>
      <c r="G575" s="289" t="s">
        <v>2267</v>
      </c>
      <c r="H575" s="289"/>
      <c r="I575" s="290">
        <f>SUM(I2:I574)</f>
        <v>552927</v>
      </c>
      <c r="J575" s="413">
        <v>551610</v>
      </c>
      <c r="K575" s="290">
        <v>332141</v>
      </c>
      <c r="L575" s="290">
        <f>J575+K575</f>
        <v>883751</v>
      </c>
      <c r="M575" s="443"/>
      <c r="N575" s="270"/>
      <c r="O575" s="270"/>
      <c r="P575" s="270"/>
      <c r="Q575" s="443"/>
      <c r="R575" s="443"/>
      <c r="S575" s="236"/>
      <c r="T575" s="236"/>
      <c r="U575" s="236"/>
      <c r="V575" s="270"/>
      <c r="W575" s="270"/>
      <c r="X575" s="289"/>
      <c r="Y575" s="289"/>
      <c r="Z575" s="456"/>
      <c r="AA575" s="290">
        <f>SUM(AA2:AA574)</f>
        <v>1748945.0068</v>
      </c>
      <c r="AB575" s="290"/>
      <c r="AC575" s="432"/>
      <c r="AD575" s="290"/>
      <c r="AE575" s="290">
        <f>SUM(AE1:AE574)+551610</f>
        <v>1055893</v>
      </c>
      <c r="AF575" s="290"/>
      <c r="AG575" s="429"/>
      <c r="AH575" s="429"/>
      <c r="AI575" s="289"/>
      <c r="AJ575" s="290"/>
      <c r="AK575" s="289"/>
      <c r="AL575" s="290"/>
      <c r="AM575" s="290"/>
      <c r="AN575" s="290">
        <f>SUM(AN2:AN574)</f>
        <v>552927</v>
      </c>
      <c r="AO575" s="468">
        <f>SUM(AO2:AO574)</f>
        <v>438687</v>
      </c>
      <c r="AP575" s="468">
        <f>SUM(AP2:AP574)</f>
        <v>93042</v>
      </c>
      <c r="AQ575" s="475">
        <f>SUM(AQ2:AQ574)</f>
        <v>507591</v>
      </c>
      <c r="AR575" s="476">
        <f>SUM(AR2:AR574)</f>
        <v>0</v>
      </c>
      <c r="AS575" s="429"/>
    </row>
    <row r="576" s="226" customFormat="1" ht="39" customHeight="1" spans="1:44">
      <c r="A576" s="412"/>
      <c r="B576" s="228"/>
      <c r="C576" s="223"/>
      <c r="D576" s="413"/>
      <c r="E576" s="433"/>
      <c r="F576" s="434"/>
      <c r="G576" s="415"/>
      <c r="H576" s="289"/>
      <c r="I576" s="415"/>
      <c r="J576" s="413"/>
      <c r="K576" s="413"/>
      <c r="L576" s="413"/>
      <c r="M576" s="444"/>
      <c r="N576" s="436"/>
      <c r="O576" s="436"/>
      <c r="P576" s="436"/>
      <c r="Q576" s="444" t="s">
        <v>2268</v>
      </c>
      <c r="R576" s="444"/>
      <c r="S576" s="236"/>
      <c r="T576" s="236"/>
      <c r="U576" s="236"/>
      <c r="V576" s="436"/>
      <c r="W576" s="436"/>
      <c r="X576" s="453"/>
      <c r="Y576" s="289"/>
      <c r="Z576" s="465"/>
      <c r="AA576" s="455"/>
      <c r="AB576" s="413"/>
      <c r="AC576" s="433"/>
      <c r="AD576" s="413"/>
      <c r="AE576" s="290"/>
      <c r="AF576" s="413"/>
      <c r="AG576" s="223"/>
      <c r="AH576" s="223"/>
      <c r="AI576" s="415"/>
      <c r="AJ576" s="413"/>
      <c r="AK576" s="415"/>
      <c r="AL576" s="290"/>
      <c r="AM576" s="413"/>
      <c r="AN576" s="413">
        <v>551610</v>
      </c>
      <c r="AO576" s="413"/>
      <c r="AP576" s="413"/>
      <c r="AQ576" s="475"/>
      <c r="AR576" s="468"/>
    </row>
    <row r="577" s="226" customFormat="1" ht="39" customHeight="1" spans="1:44">
      <c r="A577" s="412"/>
      <c r="B577" s="228"/>
      <c r="C577" s="223"/>
      <c r="D577" s="413"/>
      <c r="E577" s="433"/>
      <c r="F577" s="414"/>
      <c r="G577" s="415"/>
      <c r="H577" s="289"/>
      <c r="I577" s="413"/>
      <c r="J577" s="413"/>
      <c r="K577" s="413"/>
      <c r="L577" s="413"/>
      <c r="M577" s="444"/>
      <c r="N577" s="436"/>
      <c r="O577" s="436"/>
      <c r="P577" s="436"/>
      <c r="Q577" s="444"/>
      <c r="R577" s="444"/>
      <c r="S577" s="236"/>
      <c r="T577" s="236"/>
      <c r="U577" s="236"/>
      <c r="V577" s="436"/>
      <c r="W577" s="436"/>
      <c r="X577" s="453"/>
      <c r="Y577" s="289"/>
      <c r="Z577" s="465"/>
      <c r="AA577" s="455"/>
      <c r="AB577" s="413"/>
      <c r="AC577" s="433"/>
      <c r="AD577" s="413"/>
      <c r="AE577" s="290"/>
      <c r="AF577" s="413"/>
      <c r="AG577" s="223"/>
      <c r="AH577" s="223"/>
      <c r="AI577" s="415"/>
      <c r="AJ577" s="413"/>
      <c r="AK577" s="415"/>
      <c r="AL577" s="290"/>
      <c r="AM577" s="413"/>
      <c r="AN577" s="413"/>
      <c r="AO577" s="413"/>
      <c r="AP577" s="413"/>
      <c r="AQ577" s="413"/>
      <c r="AR577" s="413"/>
    </row>
    <row r="578" s="226" customFormat="1" ht="39" customHeight="1" spans="1:43">
      <c r="A578" s="412"/>
      <c r="B578" s="228"/>
      <c r="C578" s="223"/>
      <c r="D578" s="413"/>
      <c r="E578" s="433"/>
      <c r="F578" s="414"/>
      <c r="G578" s="415"/>
      <c r="H578" s="289"/>
      <c r="I578" s="413"/>
      <c r="J578" s="413"/>
      <c r="K578" s="413"/>
      <c r="L578" s="413"/>
      <c r="M578" s="444"/>
      <c r="N578" s="436"/>
      <c r="O578" s="436"/>
      <c r="P578" s="436"/>
      <c r="Q578" s="444"/>
      <c r="R578" s="444"/>
      <c r="S578" s="236"/>
      <c r="T578" s="236"/>
      <c r="U578" s="236"/>
      <c r="V578" s="436"/>
      <c r="W578" s="436"/>
      <c r="X578" s="453"/>
      <c r="Y578" s="289"/>
      <c r="Z578" s="465"/>
      <c r="AA578" s="455"/>
      <c r="AB578" s="413"/>
      <c r="AC578" s="433"/>
      <c r="AD578" s="413"/>
      <c r="AE578" s="290"/>
      <c r="AF578" s="413"/>
      <c r="AG578" s="223"/>
      <c r="AH578" s="223"/>
      <c r="AI578" s="415"/>
      <c r="AJ578" s="413"/>
      <c r="AK578" s="415"/>
      <c r="AL578" s="290"/>
      <c r="AM578" s="413"/>
      <c r="AN578" s="413"/>
      <c r="AO578" s="468"/>
      <c r="AP578" s="240"/>
      <c r="AQ578" s="477"/>
    </row>
  </sheetData>
  <sheetProtection selectLockedCells="1" autoFilter="0"/>
  <autoFilter xmlns:etc="http://www.wps.cn/officeDocument/2017/etCustomData" ref="A1:AS569" etc:filterBottomFollowUsedRange="0">
    <filterColumn colId="6">
      <filters>
        <filter val="71126-S001"/>
      </filters>
    </filterColumn>
    <extLst/>
  </autoFilter>
  <mergeCells count="1">
    <mergeCell ref="X109:X110"/>
  </mergeCells>
  <conditionalFormatting sqref="S216:U216">
    <cfRule type="containsText" dxfId="0" priority="613" operator="between" text="欠">
      <formula>NOT(ISERROR(SEARCH("欠",S216)))</formula>
    </cfRule>
  </conditionalFormatting>
  <conditionalFormatting sqref="S224:U224">
    <cfRule type="containsText" dxfId="0" priority="622" operator="between" text="欠">
      <formula>NOT(ISERROR(SEARCH("欠",S224)))</formula>
    </cfRule>
  </conditionalFormatting>
  <conditionalFormatting sqref="S236:U236">
    <cfRule type="containsText" dxfId="0" priority="612" operator="between" text="欠">
      <formula>NOT(ISERROR(SEARCH("欠",S236)))</formula>
    </cfRule>
  </conditionalFormatting>
  <conditionalFormatting sqref="S238:U238">
    <cfRule type="containsText" dxfId="0" priority="614" operator="between" text="欠">
      <formula>NOT(ISERROR(SEARCH("欠",S238)))</formula>
    </cfRule>
  </conditionalFormatting>
  <conditionalFormatting sqref="S244:U244">
    <cfRule type="containsText" dxfId="0" priority="610" operator="between" text="欠">
      <formula>NOT(ISERROR(SEARCH("欠",S244)))</formula>
    </cfRule>
  </conditionalFormatting>
  <conditionalFormatting sqref="S245:U245">
    <cfRule type="containsText" dxfId="0" priority="601" operator="between" text="欠">
      <formula>NOT(ISERROR(SEARCH("欠",S245)))</formula>
    </cfRule>
  </conditionalFormatting>
  <conditionalFormatting sqref="S282:U282">
    <cfRule type="containsText" dxfId="0" priority="580" operator="between" text="欠">
      <formula>NOT(ISERROR(SEARCH("欠",S282)))</formula>
    </cfRule>
  </conditionalFormatting>
  <conditionalFormatting sqref="T282:U282">
    <cfRule type="containsText" dxfId="0" priority="579" operator="between" text="欠">
      <formula>NOT(ISERROR(SEARCH("欠",T282)))</formula>
    </cfRule>
  </conditionalFormatting>
  <conditionalFormatting sqref="S283">
    <cfRule type="containsText" dxfId="0" priority="570" operator="between" text="欠">
      <formula>NOT(ISERROR(SEARCH("欠",S283)))</formula>
    </cfRule>
  </conditionalFormatting>
  <conditionalFormatting sqref="S284:U284">
    <cfRule type="containsText" dxfId="0" priority="562" operator="between" text="欠">
      <formula>NOT(ISERROR(SEARCH("欠",S284)))</formula>
    </cfRule>
  </conditionalFormatting>
  <conditionalFormatting sqref="S291:U291">
    <cfRule type="containsText" dxfId="0" priority="609" operator="between" text="欠">
      <formula>NOT(ISERROR(SEARCH("欠",S291)))</formula>
    </cfRule>
  </conditionalFormatting>
  <conditionalFormatting sqref="T293:U293">
    <cfRule type="containsText" dxfId="0" priority="611" operator="between" text="欠">
      <formula>NOT(ISERROR(SEARCH("欠",T293)))</formula>
    </cfRule>
  </conditionalFormatting>
  <conditionalFormatting sqref="S295">
    <cfRule type="containsText" dxfId="0" priority="572" operator="between" text="欠">
      <formula>NOT(ISERROR(SEARCH("欠",S295)))</formula>
    </cfRule>
  </conditionalFormatting>
  <conditionalFormatting sqref="T295:U295">
    <cfRule type="containsText" dxfId="0" priority="571" operator="between" text="欠">
      <formula>NOT(ISERROR(SEARCH("欠",T295)))</formula>
    </cfRule>
  </conditionalFormatting>
  <conditionalFormatting sqref="T296:U296">
    <cfRule type="containsText" dxfId="0" priority="563" operator="between" text="欠">
      <formula>NOT(ISERROR(SEARCH("欠",T296)))</formula>
    </cfRule>
  </conditionalFormatting>
  <conditionalFormatting sqref="S301">
    <cfRule type="containsText" dxfId="0" priority="568" operator="between" text="欠">
      <formula>NOT(ISERROR(SEARCH("欠",S301)))</formula>
    </cfRule>
  </conditionalFormatting>
  <conditionalFormatting sqref="U302">
    <cfRule type="containsText" dxfId="0" priority="547" operator="between" text="欠">
      <formula>NOT(ISERROR(SEARCH("欠",U302)))</formula>
    </cfRule>
  </conditionalFormatting>
  <conditionalFormatting sqref="U305">
    <cfRule type="containsText" dxfId="0" priority="561" operator="between" text="欠">
      <formula>NOT(ISERROR(SEARCH("欠",U305)))</formula>
    </cfRule>
  </conditionalFormatting>
  <conditionalFormatting sqref="T314:U314">
    <cfRule type="containsText" dxfId="0" priority="559" operator="between" text="欠">
      <formula>NOT(ISERROR(SEARCH("欠",T314)))</formula>
    </cfRule>
  </conditionalFormatting>
  <conditionalFormatting sqref="T315:U315">
    <cfRule type="containsText" dxfId="0" priority="615" operator="between" text="欠">
      <formula>NOT(ISERROR(SEARCH("欠",T315)))</formula>
    </cfRule>
  </conditionalFormatting>
  <conditionalFormatting sqref="S327">
    <cfRule type="containsText" dxfId="0" priority="451" operator="between" text="欠">
      <formula>NOT(ISERROR(SEARCH("欠",S327)))</formula>
    </cfRule>
  </conditionalFormatting>
  <conditionalFormatting sqref="T327:U327">
    <cfRule type="containsText" dxfId="0" priority="479" operator="between" text="欠">
      <formula>NOT(ISERROR(SEARCH("欠",T327)))</formula>
    </cfRule>
  </conditionalFormatting>
  <conditionalFormatting sqref="S328">
    <cfRule type="containsText" dxfId="0" priority="450" operator="between" text="欠">
      <formula>NOT(ISERROR(SEARCH("欠",S328)))</formula>
    </cfRule>
  </conditionalFormatting>
  <conditionalFormatting sqref="T328:U328">
    <cfRule type="containsText" dxfId="0" priority="478" operator="between" text="欠">
      <formula>NOT(ISERROR(SEARCH("欠",T328)))</formula>
    </cfRule>
  </conditionalFormatting>
  <conditionalFormatting sqref="S329">
    <cfRule type="containsText" dxfId="0" priority="449" operator="between" text="欠">
      <formula>NOT(ISERROR(SEARCH("欠",S329)))</formula>
    </cfRule>
  </conditionalFormatting>
  <conditionalFormatting sqref="T329:U329">
    <cfRule type="containsText" dxfId="0" priority="477" operator="between" text="欠">
      <formula>NOT(ISERROR(SEARCH("欠",T329)))</formula>
    </cfRule>
  </conditionalFormatting>
  <conditionalFormatting sqref="S330">
    <cfRule type="containsText" dxfId="0" priority="448" operator="between" text="欠">
      <formula>NOT(ISERROR(SEARCH("欠",S330)))</formula>
    </cfRule>
  </conditionalFormatting>
  <conditionalFormatting sqref="T330:U330">
    <cfRule type="containsText" dxfId="0" priority="476" operator="between" text="欠">
      <formula>NOT(ISERROR(SEARCH("欠",T330)))</formula>
    </cfRule>
  </conditionalFormatting>
  <conditionalFormatting sqref="S331">
    <cfRule type="containsText" dxfId="0" priority="447" operator="between" text="欠">
      <formula>NOT(ISERROR(SEARCH("欠",S331)))</formula>
    </cfRule>
  </conditionalFormatting>
  <conditionalFormatting sqref="T331:U331">
    <cfRule type="containsText" dxfId="0" priority="475" operator="between" text="欠">
      <formula>NOT(ISERROR(SEARCH("欠",T331)))</formula>
    </cfRule>
  </conditionalFormatting>
  <conditionalFormatting sqref="S332">
    <cfRule type="containsText" dxfId="0" priority="446" operator="between" text="欠">
      <formula>NOT(ISERROR(SEARCH("欠",S332)))</formula>
    </cfRule>
  </conditionalFormatting>
  <conditionalFormatting sqref="T332:U332">
    <cfRule type="containsText" dxfId="0" priority="474" operator="between" text="欠">
      <formula>NOT(ISERROR(SEARCH("欠",T332)))</formula>
    </cfRule>
  </conditionalFormatting>
  <conditionalFormatting sqref="S333">
    <cfRule type="containsText" dxfId="0" priority="445" operator="between" text="欠">
      <formula>NOT(ISERROR(SEARCH("欠",S333)))</formula>
    </cfRule>
  </conditionalFormatting>
  <conditionalFormatting sqref="T333:U333">
    <cfRule type="containsText" dxfId="0" priority="473" operator="between" text="欠">
      <formula>NOT(ISERROR(SEARCH("欠",T333)))</formula>
    </cfRule>
  </conditionalFormatting>
  <conditionalFormatting sqref="S334">
    <cfRule type="containsText" dxfId="0" priority="444" operator="between" text="欠">
      <formula>NOT(ISERROR(SEARCH("欠",S334)))</formula>
    </cfRule>
  </conditionalFormatting>
  <conditionalFormatting sqref="T334:U334">
    <cfRule type="containsText" dxfId="0" priority="472" operator="between" text="欠">
      <formula>NOT(ISERROR(SEARCH("欠",T334)))</formula>
    </cfRule>
  </conditionalFormatting>
  <conditionalFormatting sqref="S335">
    <cfRule type="containsText" dxfId="0" priority="443" operator="between" text="欠">
      <formula>NOT(ISERROR(SEARCH("欠",S335)))</formula>
    </cfRule>
  </conditionalFormatting>
  <conditionalFormatting sqref="T335:U335">
    <cfRule type="containsText" dxfId="0" priority="471" operator="between" text="欠">
      <formula>NOT(ISERROR(SEARCH("欠",T335)))</formula>
    </cfRule>
  </conditionalFormatting>
  <conditionalFormatting sqref="S336">
    <cfRule type="containsText" dxfId="0" priority="442" operator="between" text="欠">
      <formula>NOT(ISERROR(SEARCH("欠",S336)))</formula>
    </cfRule>
  </conditionalFormatting>
  <conditionalFormatting sqref="T336:U336">
    <cfRule type="containsText" dxfId="0" priority="470" operator="between" text="欠">
      <formula>NOT(ISERROR(SEARCH("欠",T336)))</formula>
    </cfRule>
  </conditionalFormatting>
  <conditionalFormatting sqref="S337">
    <cfRule type="containsText" dxfId="0" priority="441" operator="between" text="欠">
      <formula>NOT(ISERROR(SEARCH("欠",S337)))</formula>
    </cfRule>
  </conditionalFormatting>
  <conditionalFormatting sqref="T337:U337">
    <cfRule type="containsText" dxfId="0" priority="469" operator="between" text="欠">
      <formula>NOT(ISERROR(SEARCH("欠",T337)))</formula>
    </cfRule>
  </conditionalFormatting>
  <conditionalFormatting sqref="S338">
    <cfRule type="containsText" dxfId="0" priority="440" operator="between" text="欠">
      <formula>NOT(ISERROR(SEARCH("欠",S338)))</formula>
    </cfRule>
  </conditionalFormatting>
  <conditionalFormatting sqref="T338:U338">
    <cfRule type="containsText" dxfId="0" priority="468" operator="between" text="欠">
      <formula>NOT(ISERROR(SEARCH("欠",T338)))</formula>
    </cfRule>
  </conditionalFormatting>
  <conditionalFormatting sqref="S339">
    <cfRule type="containsText" dxfId="0" priority="439" operator="between" text="欠">
      <formula>NOT(ISERROR(SEARCH("欠",S339)))</formula>
    </cfRule>
  </conditionalFormatting>
  <conditionalFormatting sqref="T339:U339">
    <cfRule type="containsText" dxfId="0" priority="467" operator="between" text="欠">
      <formula>NOT(ISERROR(SEARCH("欠",T339)))</formula>
    </cfRule>
  </conditionalFormatting>
  <conditionalFormatting sqref="S340">
    <cfRule type="containsText" dxfId="0" priority="438" operator="between" text="欠">
      <formula>NOT(ISERROR(SEARCH("欠",S340)))</formula>
    </cfRule>
  </conditionalFormatting>
  <conditionalFormatting sqref="T340:U340">
    <cfRule type="containsText" dxfId="0" priority="466" operator="between" text="欠">
      <formula>NOT(ISERROR(SEARCH("欠",T340)))</formula>
    </cfRule>
  </conditionalFormatting>
  <conditionalFormatting sqref="S342">
    <cfRule type="containsText" dxfId="0" priority="436" operator="between" text="欠">
      <formula>NOT(ISERROR(SEARCH("欠",S342)))</formula>
    </cfRule>
  </conditionalFormatting>
  <conditionalFormatting sqref="T342:U342">
    <cfRule type="containsText" dxfId="0" priority="464" operator="between" text="欠">
      <formula>NOT(ISERROR(SEARCH("欠",T342)))</formula>
    </cfRule>
  </conditionalFormatting>
  <conditionalFormatting sqref="S343">
    <cfRule type="containsText" dxfId="0" priority="435" operator="between" text="欠">
      <formula>NOT(ISERROR(SEARCH("欠",S343)))</formula>
    </cfRule>
  </conditionalFormatting>
  <conditionalFormatting sqref="T343:U343">
    <cfRule type="containsText" dxfId="0" priority="463" operator="between" text="欠">
      <formula>NOT(ISERROR(SEARCH("欠",T343)))</formula>
    </cfRule>
  </conditionalFormatting>
  <conditionalFormatting sqref="S344">
    <cfRule type="containsText" dxfId="0" priority="434" operator="between" text="欠">
      <formula>NOT(ISERROR(SEARCH("欠",S344)))</formula>
    </cfRule>
  </conditionalFormatting>
  <conditionalFormatting sqref="T344:U344">
    <cfRule type="containsText" dxfId="0" priority="462" operator="between" text="欠">
      <formula>NOT(ISERROR(SEARCH("欠",T344)))</formula>
    </cfRule>
  </conditionalFormatting>
  <conditionalFormatting sqref="S345">
    <cfRule type="containsText" dxfId="0" priority="433" operator="between" text="欠">
      <formula>NOT(ISERROR(SEARCH("欠",S345)))</formula>
    </cfRule>
  </conditionalFormatting>
  <conditionalFormatting sqref="T345:U345">
    <cfRule type="containsText" dxfId="0" priority="461" operator="between" text="欠">
      <formula>NOT(ISERROR(SEARCH("欠",T345)))</formula>
    </cfRule>
  </conditionalFormatting>
  <conditionalFormatting sqref="S346">
    <cfRule type="containsText" dxfId="0" priority="432" operator="between" text="欠">
      <formula>NOT(ISERROR(SEARCH("欠",S346)))</formula>
    </cfRule>
  </conditionalFormatting>
  <conditionalFormatting sqref="T346:U346">
    <cfRule type="containsText" dxfId="0" priority="460" operator="between" text="欠">
      <formula>NOT(ISERROR(SEARCH("欠",T346)))</formula>
    </cfRule>
  </conditionalFormatting>
  <conditionalFormatting sqref="S347">
    <cfRule type="containsText" dxfId="0" priority="431" operator="between" text="欠">
      <formula>NOT(ISERROR(SEARCH("欠",S347)))</formula>
    </cfRule>
  </conditionalFormatting>
  <conditionalFormatting sqref="T347:U347">
    <cfRule type="containsText" dxfId="0" priority="459" operator="between" text="欠">
      <formula>NOT(ISERROR(SEARCH("欠",T347)))</formula>
    </cfRule>
  </conditionalFormatting>
  <conditionalFormatting sqref="S348">
    <cfRule type="containsText" dxfId="0" priority="430" operator="between" text="欠">
      <formula>NOT(ISERROR(SEARCH("欠",S348)))</formula>
    </cfRule>
  </conditionalFormatting>
  <conditionalFormatting sqref="T348:U348">
    <cfRule type="containsText" dxfId="0" priority="458" operator="between" text="欠">
      <formula>NOT(ISERROR(SEARCH("欠",T348)))</formula>
    </cfRule>
  </conditionalFormatting>
  <conditionalFormatting sqref="S349">
    <cfRule type="containsText" dxfId="0" priority="429" operator="between" text="欠">
      <formula>NOT(ISERROR(SEARCH("欠",S349)))</formula>
    </cfRule>
  </conditionalFormatting>
  <conditionalFormatting sqref="T349:U349">
    <cfRule type="containsText" dxfId="0" priority="457" operator="between" text="欠">
      <formula>NOT(ISERROR(SEARCH("欠",T349)))</formula>
    </cfRule>
  </conditionalFormatting>
  <conditionalFormatting sqref="S350">
    <cfRule type="containsText" dxfId="0" priority="428" operator="between" text="欠">
      <formula>NOT(ISERROR(SEARCH("欠",S350)))</formula>
    </cfRule>
  </conditionalFormatting>
  <conditionalFormatting sqref="T350:U350">
    <cfRule type="containsText" dxfId="0" priority="456" operator="between" text="欠">
      <formula>NOT(ISERROR(SEARCH("欠",T350)))</formula>
    </cfRule>
  </conditionalFormatting>
  <conditionalFormatting sqref="S351">
    <cfRule type="containsText" dxfId="0" priority="427" operator="between" text="欠">
      <formula>NOT(ISERROR(SEARCH("欠",S351)))</formula>
    </cfRule>
  </conditionalFormatting>
  <conditionalFormatting sqref="T351:U351">
    <cfRule type="containsText" dxfId="0" priority="455" operator="between" text="欠">
      <formula>NOT(ISERROR(SEARCH("欠",T351)))</formula>
    </cfRule>
  </conditionalFormatting>
  <conditionalFormatting sqref="S352">
    <cfRule type="containsText" dxfId="0" priority="426" operator="between" text="欠">
      <formula>NOT(ISERROR(SEARCH("欠",S352)))</formula>
    </cfRule>
  </conditionalFormatting>
  <conditionalFormatting sqref="T352:U352">
    <cfRule type="containsText" dxfId="0" priority="454" operator="between" text="欠">
      <formula>NOT(ISERROR(SEARCH("欠",T352)))</formula>
    </cfRule>
  </conditionalFormatting>
  <conditionalFormatting sqref="S353">
    <cfRule type="containsText" dxfId="0" priority="425" operator="between" text="欠">
      <formula>NOT(ISERROR(SEARCH("欠",S353)))</formula>
    </cfRule>
  </conditionalFormatting>
  <conditionalFormatting sqref="T353:U353">
    <cfRule type="containsText" dxfId="0" priority="453" operator="between" text="欠">
      <formula>NOT(ISERROR(SEARCH("欠",T353)))</formula>
    </cfRule>
  </conditionalFormatting>
  <conditionalFormatting sqref="S354">
    <cfRule type="containsText" dxfId="0" priority="424" operator="between" text="欠">
      <formula>NOT(ISERROR(SEARCH("欠",S354)))</formula>
    </cfRule>
  </conditionalFormatting>
  <conditionalFormatting sqref="T354:U354">
    <cfRule type="containsText" dxfId="0" priority="452" operator="between" text="欠">
      <formula>NOT(ISERROR(SEARCH("欠",T354)))</formula>
    </cfRule>
  </conditionalFormatting>
  <conditionalFormatting sqref="S355">
    <cfRule type="containsText" dxfId="0" priority="383" operator="between" text="欠">
      <formula>NOT(ISERROR(SEARCH("欠",S355)))</formula>
    </cfRule>
  </conditionalFormatting>
  <conditionalFormatting sqref="T355:U355">
    <cfRule type="containsText" dxfId="0" priority="423" operator="between" text="欠">
      <formula>NOT(ISERROR(SEARCH("欠",T355)))</formula>
    </cfRule>
  </conditionalFormatting>
  <conditionalFormatting sqref="S356">
    <cfRule type="containsText" dxfId="0" priority="382" operator="between" text="欠">
      <formula>NOT(ISERROR(SEARCH("欠",S356)))</formula>
    </cfRule>
  </conditionalFormatting>
  <conditionalFormatting sqref="T356:U356">
    <cfRule type="containsText" dxfId="0" priority="422" operator="between" text="欠">
      <formula>NOT(ISERROR(SEARCH("欠",T356)))</formula>
    </cfRule>
  </conditionalFormatting>
  <conditionalFormatting sqref="S357">
    <cfRule type="containsText" dxfId="0" priority="381" operator="between" text="欠">
      <formula>NOT(ISERROR(SEARCH("欠",S357)))</formula>
    </cfRule>
  </conditionalFormatting>
  <conditionalFormatting sqref="T357:U357">
    <cfRule type="containsText" dxfId="0" priority="421" operator="between" text="欠">
      <formula>NOT(ISERROR(SEARCH("欠",T357)))</formula>
    </cfRule>
  </conditionalFormatting>
  <conditionalFormatting sqref="S358">
    <cfRule type="containsText" dxfId="0" priority="380" operator="between" text="欠">
      <formula>NOT(ISERROR(SEARCH("欠",S358)))</formula>
    </cfRule>
  </conditionalFormatting>
  <conditionalFormatting sqref="T358:U358">
    <cfRule type="containsText" dxfId="0" priority="420" operator="between" text="欠">
      <formula>NOT(ISERROR(SEARCH("欠",T358)))</formula>
    </cfRule>
  </conditionalFormatting>
  <conditionalFormatting sqref="S359">
    <cfRule type="containsText" dxfId="0" priority="379" operator="between" text="欠">
      <formula>NOT(ISERROR(SEARCH("欠",S359)))</formula>
    </cfRule>
  </conditionalFormatting>
  <conditionalFormatting sqref="T359:U359">
    <cfRule type="containsText" dxfId="0" priority="419" operator="between" text="欠">
      <formula>NOT(ISERROR(SEARCH("欠",T359)))</formula>
    </cfRule>
  </conditionalFormatting>
  <conditionalFormatting sqref="S360">
    <cfRule type="containsText" dxfId="0" priority="378" operator="between" text="欠">
      <formula>NOT(ISERROR(SEARCH("欠",S360)))</formula>
    </cfRule>
  </conditionalFormatting>
  <conditionalFormatting sqref="T360:U360">
    <cfRule type="containsText" dxfId="0" priority="418" operator="between" text="欠">
      <formula>NOT(ISERROR(SEARCH("欠",T360)))</formula>
    </cfRule>
  </conditionalFormatting>
  <conditionalFormatting sqref="S361">
    <cfRule type="containsText" dxfId="0" priority="377" operator="between" text="欠">
      <formula>NOT(ISERROR(SEARCH("欠",S361)))</formula>
    </cfRule>
  </conditionalFormatting>
  <conditionalFormatting sqref="T361:U361">
    <cfRule type="containsText" dxfId="0" priority="417" operator="between" text="欠">
      <formula>NOT(ISERROR(SEARCH("欠",T361)))</formula>
    </cfRule>
  </conditionalFormatting>
  <conditionalFormatting sqref="S362">
    <cfRule type="containsText" dxfId="0" priority="376" operator="between" text="欠">
      <formula>NOT(ISERROR(SEARCH("欠",S362)))</formula>
    </cfRule>
  </conditionalFormatting>
  <conditionalFormatting sqref="T362:U362">
    <cfRule type="containsText" dxfId="0" priority="416" operator="between" text="欠">
      <formula>NOT(ISERROR(SEARCH("欠",T362)))</formula>
    </cfRule>
  </conditionalFormatting>
  <conditionalFormatting sqref="S363">
    <cfRule type="containsText" dxfId="0" priority="375" operator="between" text="欠">
      <formula>NOT(ISERROR(SEARCH("欠",S363)))</formula>
    </cfRule>
  </conditionalFormatting>
  <conditionalFormatting sqref="T363:U363">
    <cfRule type="containsText" dxfId="0" priority="415" operator="between" text="欠">
      <formula>NOT(ISERROR(SEARCH("欠",T363)))</formula>
    </cfRule>
  </conditionalFormatting>
  <conditionalFormatting sqref="S364">
    <cfRule type="containsText" dxfId="0" priority="374" operator="between" text="欠">
      <formula>NOT(ISERROR(SEARCH("欠",S364)))</formula>
    </cfRule>
  </conditionalFormatting>
  <conditionalFormatting sqref="T364:U364">
    <cfRule type="containsText" dxfId="0" priority="414" operator="between" text="欠">
      <formula>NOT(ISERROR(SEARCH("欠",T364)))</formula>
    </cfRule>
  </conditionalFormatting>
  <conditionalFormatting sqref="S365">
    <cfRule type="containsText" dxfId="0" priority="373" operator="between" text="欠">
      <formula>NOT(ISERROR(SEARCH("欠",S365)))</formula>
    </cfRule>
  </conditionalFormatting>
  <conditionalFormatting sqref="T365:U365">
    <cfRule type="containsText" dxfId="0" priority="413" operator="between" text="欠">
      <formula>NOT(ISERROR(SEARCH("欠",T365)))</formula>
    </cfRule>
  </conditionalFormatting>
  <conditionalFormatting sqref="S366">
    <cfRule type="containsText" dxfId="0" priority="372" operator="between" text="欠">
      <formula>NOT(ISERROR(SEARCH("欠",S366)))</formula>
    </cfRule>
  </conditionalFormatting>
  <conditionalFormatting sqref="T366:U366">
    <cfRule type="containsText" dxfId="0" priority="412" operator="between" text="欠">
      <formula>NOT(ISERROR(SEARCH("欠",T366)))</formula>
    </cfRule>
  </conditionalFormatting>
  <conditionalFormatting sqref="S367">
    <cfRule type="containsText" dxfId="0" priority="371" operator="between" text="欠">
      <formula>NOT(ISERROR(SEARCH("欠",S367)))</formula>
    </cfRule>
  </conditionalFormatting>
  <conditionalFormatting sqref="T367:U367">
    <cfRule type="containsText" dxfId="0" priority="411" operator="between" text="欠">
      <formula>NOT(ISERROR(SEARCH("欠",T367)))</formula>
    </cfRule>
  </conditionalFormatting>
  <conditionalFormatting sqref="S368">
    <cfRule type="containsText" dxfId="0" priority="370" operator="between" text="欠">
      <formula>NOT(ISERROR(SEARCH("欠",S368)))</formula>
    </cfRule>
  </conditionalFormatting>
  <conditionalFormatting sqref="T368:U368">
    <cfRule type="containsText" dxfId="0" priority="410" operator="between" text="欠">
      <formula>NOT(ISERROR(SEARCH("欠",T368)))</formula>
    </cfRule>
  </conditionalFormatting>
  <conditionalFormatting sqref="S369">
    <cfRule type="containsText" dxfId="0" priority="369" operator="between" text="欠">
      <formula>NOT(ISERROR(SEARCH("欠",S369)))</formula>
    </cfRule>
  </conditionalFormatting>
  <conditionalFormatting sqref="T369:U369">
    <cfRule type="containsText" dxfId="0" priority="409" operator="between" text="欠">
      <formula>NOT(ISERROR(SEARCH("欠",T369)))</formula>
    </cfRule>
  </conditionalFormatting>
  <conditionalFormatting sqref="S370">
    <cfRule type="containsText" dxfId="0" priority="368" operator="between" text="欠">
      <formula>NOT(ISERROR(SEARCH("欠",S370)))</formula>
    </cfRule>
  </conditionalFormatting>
  <conditionalFormatting sqref="T370:U370">
    <cfRule type="containsText" dxfId="0" priority="408" operator="between" text="欠">
      <formula>NOT(ISERROR(SEARCH("欠",T370)))</formula>
    </cfRule>
  </conditionalFormatting>
  <conditionalFormatting sqref="S371">
    <cfRule type="containsText" dxfId="0" priority="367" operator="between" text="欠">
      <formula>NOT(ISERROR(SEARCH("欠",S371)))</formula>
    </cfRule>
  </conditionalFormatting>
  <conditionalFormatting sqref="T371:U371">
    <cfRule type="containsText" dxfId="0" priority="407" operator="between" text="欠">
      <formula>NOT(ISERROR(SEARCH("欠",T371)))</formula>
    </cfRule>
  </conditionalFormatting>
  <conditionalFormatting sqref="S372">
    <cfRule type="containsText" dxfId="0" priority="366" operator="between" text="欠">
      <formula>NOT(ISERROR(SEARCH("欠",S372)))</formula>
    </cfRule>
  </conditionalFormatting>
  <conditionalFormatting sqref="T372:U372">
    <cfRule type="containsText" dxfId="0" priority="406" operator="between" text="欠">
      <formula>NOT(ISERROR(SEARCH("欠",T372)))</formula>
    </cfRule>
  </conditionalFormatting>
  <conditionalFormatting sqref="S373">
    <cfRule type="containsText" dxfId="0" priority="365" operator="between" text="欠">
      <formula>NOT(ISERROR(SEARCH("欠",S373)))</formula>
    </cfRule>
  </conditionalFormatting>
  <conditionalFormatting sqref="T373:U373">
    <cfRule type="containsText" dxfId="0" priority="405" operator="between" text="欠">
      <formula>NOT(ISERROR(SEARCH("欠",T373)))</formula>
    </cfRule>
  </conditionalFormatting>
  <conditionalFormatting sqref="S374">
    <cfRule type="containsText" dxfId="0" priority="364" operator="between" text="欠">
      <formula>NOT(ISERROR(SEARCH("欠",S374)))</formula>
    </cfRule>
  </conditionalFormatting>
  <conditionalFormatting sqref="T374:U374">
    <cfRule type="containsText" dxfId="0" priority="404" operator="between" text="欠">
      <formula>NOT(ISERROR(SEARCH("欠",T374)))</formula>
    </cfRule>
  </conditionalFormatting>
  <conditionalFormatting sqref="S375">
    <cfRule type="containsText" dxfId="0" priority="363" operator="between" text="欠">
      <formula>NOT(ISERROR(SEARCH("欠",S375)))</formula>
    </cfRule>
  </conditionalFormatting>
  <conditionalFormatting sqref="T375:U375">
    <cfRule type="containsText" dxfId="0" priority="403" operator="between" text="欠">
      <formula>NOT(ISERROR(SEARCH("欠",T375)))</formula>
    </cfRule>
  </conditionalFormatting>
  <conditionalFormatting sqref="S376">
    <cfRule type="containsText" dxfId="0" priority="362" operator="between" text="欠">
      <formula>NOT(ISERROR(SEARCH("欠",S376)))</formula>
    </cfRule>
  </conditionalFormatting>
  <conditionalFormatting sqref="T376:U376">
    <cfRule type="containsText" dxfId="0" priority="402" operator="between" text="欠">
      <formula>NOT(ISERROR(SEARCH("欠",T376)))</formula>
    </cfRule>
  </conditionalFormatting>
  <conditionalFormatting sqref="S377">
    <cfRule type="containsText" dxfId="0" priority="361" operator="between" text="欠">
      <formula>NOT(ISERROR(SEARCH("欠",S377)))</formula>
    </cfRule>
  </conditionalFormatting>
  <conditionalFormatting sqref="T377:U377">
    <cfRule type="containsText" dxfId="0" priority="401" operator="between" text="欠">
      <formula>NOT(ISERROR(SEARCH("欠",T377)))</formula>
    </cfRule>
  </conditionalFormatting>
  <conditionalFormatting sqref="S378">
    <cfRule type="containsText" dxfId="0" priority="360" operator="between" text="欠">
      <formula>NOT(ISERROR(SEARCH("欠",S378)))</formula>
    </cfRule>
  </conditionalFormatting>
  <conditionalFormatting sqref="T378:U378">
    <cfRule type="containsText" dxfId="0" priority="400" operator="between" text="欠">
      <formula>NOT(ISERROR(SEARCH("欠",T378)))</formula>
    </cfRule>
  </conditionalFormatting>
  <conditionalFormatting sqref="S379">
    <cfRule type="containsText" dxfId="0" priority="359" operator="between" text="欠">
      <formula>NOT(ISERROR(SEARCH("欠",S379)))</formula>
    </cfRule>
  </conditionalFormatting>
  <conditionalFormatting sqref="T379:U379">
    <cfRule type="containsText" dxfId="0" priority="399" operator="between" text="欠">
      <formula>NOT(ISERROR(SEARCH("欠",T379)))</formula>
    </cfRule>
  </conditionalFormatting>
  <conditionalFormatting sqref="S380">
    <cfRule type="containsText" dxfId="0" priority="358" operator="between" text="欠">
      <formula>NOT(ISERROR(SEARCH("欠",S380)))</formula>
    </cfRule>
  </conditionalFormatting>
  <conditionalFormatting sqref="T380:U380">
    <cfRule type="containsText" dxfId="0" priority="398" operator="between" text="欠">
      <formula>NOT(ISERROR(SEARCH("欠",T380)))</formula>
    </cfRule>
  </conditionalFormatting>
  <conditionalFormatting sqref="S381">
    <cfRule type="containsText" dxfId="0" priority="357" operator="between" text="欠">
      <formula>NOT(ISERROR(SEARCH("欠",S381)))</formula>
    </cfRule>
  </conditionalFormatting>
  <conditionalFormatting sqref="T381:U381">
    <cfRule type="containsText" dxfId="0" priority="397" operator="between" text="欠">
      <formula>NOT(ISERROR(SEARCH("欠",T381)))</formula>
    </cfRule>
  </conditionalFormatting>
  <conditionalFormatting sqref="S382">
    <cfRule type="containsText" dxfId="0" priority="356" operator="between" text="欠">
      <formula>NOT(ISERROR(SEARCH("欠",S382)))</formula>
    </cfRule>
  </conditionalFormatting>
  <conditionalFormatting sqref="T382:U382">
    <cfRule type="containsText" dxfId="0" priority="396" operator="between" text="欠">
      <formula>NOT(ISERROR(SEARCH("欠",T382)))</formula>
    </cfRule>
  </conditionalFormatting>
  <conditionalFormatting sqref="S383">
    <cfRule type="containsText" dxfId="0" priority="355" operator="between" text="欠">
      <formula>NOT(ISERROR(SEARCH("欠",S383)))</formula>
    </cfRule>
  </conditionalFormatting>
  <conditionalFormatting sqref="T383:U383">
    <cfRule type="containsText" dxfId="0" priority="395" operator="between" text="欠">
      <formula>NOT(ISERROR(SEARCH("欠",T383)))</formula>
    </cfRule>
  </conditionalFormatting>
  <conditionalFormatting sqref="S384">
    <cfRule type="containsText" dxfId="0" priority="354" operator="between" text="欠">
      <formula>NOT(ISERROR(SEARCH("欠",S384)))</formula>
    </cfRule>
  </conditionalFormatting>
  <conditionalFormatting sqref="T384:U384">
    <cfRule type="containsText" dxfId="0" priority="394" operator="between" text="欠">
      <formula>NOT(ISERROR(SEARCH("欠",T384)))</formula>
    </cfRule>
  </conditionalFormatting>
  <conditionalFormatting sqref="S385">
    <cfRule type="containsText" dxfId="0" priority="353" operator="between" text="欠">
      <formula>NOT(ISERROR(SEARCH("欠",S385)))</formula>
    </cfRule>
  </conditionalFormatting>
  <conditionalFormatting sqref="T385:U385">
    <cfRule type="containsText" dxfId="0" priority="393" operator="between" text="欠">
      <formula>NOT(ISERROR(SEARCH("欠",T385)))</formula>
    </cfRule>
  </conditionalFormatting>
  <conditionalFormatting sqref="S386">
    <cfRule type="containsText" dxfId="0" priority="352" operator="between" text="欠">
      <formula>NOT(ISERROR(SEARCH("欠",S386)))</formula>
    </cfRule>
  </conditionalFormatting>
  <conditionalFormatting sqref="T386:U386">
    <cfRule type="containsText" dxfId="0" priority="392" operator="between" text="欠">
      <formula>NOT(ISERROR(SEARCH("欠",T386)))</formula>
    </cfRule>
  </conditionalFormatting>
  <conditionalFormatting sqref="S387">
    <cfRule type="containsText" dxfId="0" priority="351" operator="between" text="欠">
      <formula>NOT(ISERROR(SEARCH("欠",S387)))</formula>
    </cfRule>
  </conditionalFormatting>
  <conditionalFormatting sqref="T387:U387">
    <cfRule type="containsText" dxfId="0" priority="391" operator="between" text="欠">
      <formula>NOT(ISERROR(SEARCH("欠",T387)))</formula>
    </cfRule>
  </conditionalFormatting>
  <conditionalFormatting sqref="S388">
    <cfRule type="containsText" dxfId="0" priority="350" operator="between" text="欠">
      <formula>NOT(ISERROR(SEARCH("欠",S388)))</formula>
    </cfRule>
  </conditionalFormatting>
  <conditionalFormatting sqref="T388:U388">
    <cfRule type="containsText" dxfId="0" priority="390" operator="between" text="欠">
      <formula>NOT(ISERROR(SEARCH("欠",T388)))</formula>
    </cfRule>
  </conditionalFormatting>
  <conditionalFormatting sqref="S389">
    <cfRule type="containsText" dxfId="0" priority="349" operator="between" text="欠">
      <formula>NOT(ISERROR(SEARCH("欠",S389)))</formula>
    </cfRule>
  </conditionalFormatting>
  <conditionalFormatting sqref="T389:U389">
    <cfRule type="containsText" dxfId="0" priority="389" operator="between" text="欠">
      <formula>NOT(ISERROR(SEARCH("欠",T389)))</formula>
    </cfRule>
  </conditionalFormatting>
  <conditionalFormatting sqref="S390">
    <cfRule type="containsText" dxfId="0" priority="348" operator="between" text="欠">
      <formula>NOT(ISERROR(SEARCH("欠",S390)))</formula>
    </cfRule>
  </conditionalFormatting>
  <conditionalFormatting sqref="T390:U390">
    <cfRule type="containsText" dxfId="0" priority="388" operator="between" text="欠">
      <formula>NOT(ISERROR(SEARCH("欠",T390)))</formula>
    </cfRule>
  </conditionalFormatting>
  <conditionalFormatting sqref="S391">
    <cfRule type="containsText" dxfId="0" priority="347" operator="between" text="欠">
      <formula>NOT(ISERROR(SEARCH("欠",S391)))</formula>
    </cfRule>
  </conditionalFormatting>
  <conditionalFormatting sqref="T391:U391">
    <cfRule type="containsText" dxfId="0" priority="387" operator="between" text="欠">
      <formula>NOT(ISERROR(SEARCH("欠",T391)))</formula>
    </cfRule>
  </conditionalFormatting>
  <conditionalFormatting sqref="S392">
    <cfRule type="containsText" dxfId="0" priority="346" operator="between" text="欠">
      <formula>NOT(ISERROR(SEARCH("欠",S392)))</formula>
    </cfRule>
  </conditionalFormatting>
  <conditionalFormatting sqref="T392:U392">
    <cfRule type="containsText" dxfId="0" priority="386" operator="between" text="欠">
      <formula>NOT(ISERROR(SEARCH("欠",T392)))</formula>
    </cfRule>
  </conditionalFormatting>
  <conditionalFormatting sqref="S393">
    <cfRule type="containsText" dxfId="0" priority="345" operator="between" text="欠">
      <formula>NOT(ISERROR(SEARCH("欠",S393)))</formula>
    </cfRule>
  </conditionalFormatting>
  <conditionalFormatting sqref="T393:U393">
    <cfRule type="containsText" dxfId="0" priority="385" operator="between" text="欠">
      <formula>NOT(ISERROR(SEARCH("欠",T393)))</formula>
    </cfRule>
  </conditionalFormatting>
  <conditionalFormatting sqref="S394">
    <cfRule type="containsText" dxfId="0" priority="337" operator="between" text="欠">
      <formula>NOT(ISERROR(SEARCH("欠",S394)))</formula>
    </cfRule>
  </conditionalFormatting>
  <conditionalFormatting sqref="T394:U394">
    <cfRule type="containsText" dxfId="0" priority="343" operator="between" text="欠">
      <formula>NOT(ISERROR(SEARCH("欠",T394)))</formula>
    </cfRule>
  </conditionalFormatting>
  <conditionalFormatting sqref="S395">
    <cfRule type="containsText" dxfId="0" priority="336" operator="between" text="欠">
      <formula>NOT(ISERROR(SEARCH("欠",S395)))</formula>
    </cfRule>
  </conditionalFormatting>
  <conditionalFormatting sqref="T395:U395">
    <cfRule type="containsText" dxfId="0" priority="342" operator="between" text="欠">
      <formula>NOT(ISERROR(SEARCH("欠",T395)))</formula>
    </cfRule>
  </conditionalFormatting>
  <conditionalFormatting sqref="S396">
    <cfRule type="containsText" dxfId="0" priority="335" operator="between" text="欠">
      <formula>NOT(ISERROR(SEARCH("欠",S396)))</formula>
    </cfRule>
  </conditionalFormatting>
  <conditionalFormatting sqref="T396:U396">
    <cfRule type="containsText" dxfId="0" priority="341" operator="between" text="欠">
      <formula>NOT(ISERROR(SEARCH("欠",T396)))</formula>
    </cfRule>
  </conditionalFormatting>
  <conditionalFormatting sqref="S397">
    <cfRule type="containsText" dxfId="0" priority="334" operator="between" text="欠">
      <formula>NOT(ISERROR(SEARCH("欠",S397)))</formula>
    </cfRule>
  </conditionalFormatting>
  <conditionalFormatting sqref="T397:U397">
    <cfRule type="containsText" dxfId="0" priority="340" operator="between" text="欠">
      <formula>NOT(ISERROR(SEARCH("欠",T397)))</formula>
    </cfRule>
  </conditionalFormatting>
  <conditionalFormatting sqref="S398">
    <cfRule type="containsText" dxfId="0" priority="333" operator="between" text="欠">
      <formula>NOT(ISERROR(SEARCH("欠",S398)))</formula>
    </cfRule>
  </conditionalFormatting>
  <conditionalFormatting sqref="T398:U398">
    <cfRule type="containsText" dxfId="0" priority="339" operator="between" text="欠">
      <formula>NOT(ISERROR(SEARCH("欠",T398)))</formula>
    </cfRule>
  </conditionalFormatting>
  <conditionalFormatting sqref="S399">
    <cfRule type="containsText" dxfId="0" priority="332" operator="between" text="欠">
      <formula>NOT(ISERROR(SEARCH("欠",S399)))</formula>
    </cfRule>
  </conditionalFormatting>
  <conditionalFormatting sqref="T399:U399">
    <cfRule type="containsText" dxfId="0" priority="338" operator="between" text="欠">
      <formula>NOT(ISERROR(SEARCH("欠",T399)))</formula>
    </cfRule>
  </conditionalFormatting>
  <conditionalFormatting sqref="U408">
    <cfRule type="containsText" dxfId="0" priority="513" operator="between" text="欠">
      <formula>NOT(ISERROR(SEARCH("欠",U408)))</formula>
    </cfRule>
  </conditionalFormatting>
  <conditionalFormatting sqref="S409">
    <cfRule type="containsText" dxfId="0" priority="529" operator="between" text="欠">
      <formula>NOT(ISERROR(SEARCH("欠",S409)))</formula>
    </cfRule>
  </conditionalFormatting>
  <conditionalFormatting sqref="S417">
    <cfRule type="containsText" dxfId="0" priority="512" operator="between" text="欠">
      <formula>NOT(ISERROR(SEARCH("欠",S417)))</formula>
    </cfRule>
  </conditionalFormatting>
  <conditionalFormatting sqref="S420">
    <cfRule type="containsText" dxfId="0" priority="505" operator="between" text="欠">
      <formula>NOT(ISERROR(SEARCH("欠",S420)))</formula>
    </cfRule>
  </conditionalFormatting>
  <conditionalFormatting sqref="T420:U420">
    <cfRule type="containsText" dxfId="0" priority="507" operator="between" text="欠">
      <formula>NOT(ISERROR(SEARCH("欠",T420)))</formula>
    </cfRule>
  </conditionalFormatting>
  <conditionalFormatting sqref="U420">
    <cfRule type="containsText" dxfId="0" priority="503" operator="between" text="欠">
      <formula>NOT(ISERROR(SEARCH("欠",U420)))</formula>
    </cfRule>
  </conditionalFormatting>
  <conditionalFormatting sqref="S421">
    <cfRule type="containsText" dxfId="0" priority="504" operator="between" text="欠">
      <formula>NOT(ISERROR(SEARCH("欠",S421)))</formula>
    </cfRule>
  </conditionalFormatting>
  <conditionalFormatting sqref="T421:U421">
    <cfRule type="containsText" dxfId="0" priority="506" operator="between" text="欠">
      <formula>NOT(ISERROR(SEARCH("欠",T421)))</formula>
    </cfRule>
  </conditionalFormatting>
  <conditionalFormatting sqref="U421">
    <cfRule type="containsText" dxfId="0" priority="502" operator="between" text="欠">
      <formula>NOT(ISERROR(SEARCH("欠",U421)))</formula>
    </cfRule>
  </conditionalFormatting>
  <conditionalFormatting sqref="S425">
    <cfRule type="containsText" dxfId="0" priority="501" operator="between" text="欠">
      <formula>NOT(ISERROR(SEARCH("欠",S425)))</formula>
    </cfRule>
  </conditionalFormatting>
  <conditionalFormatting sqref="U426">
    <cfRule type="containsText" dxfId="0" priority="520" operator="between" text="欠">
      <formula>NOT(ISERROR(SEARCH("欠",U426)))</formula>
    </cfRule>
  </conditionalFormatting>
  <conditionalFormatting sqref="S430">
    <cfRule type="containsText" dxfId="0" priority="500" operator="between" text="欠">
      <formula>NOT(ISERROR(SEARCH("欠",S430)))</formula>
    </cfRule>
  </conditionalFormatting>
  <conditionalFormatting sqref="U430">
    <cfRule type="containsText" dxfId="0" priority="499" operator="between" text="欠">
      <formula>NOT(ISERROR(SEARCH("欠",U430)))</formula>
    </cfRule>
  </conditionalFormatting>
  <conditionalFormatting sqref="T439">
    <cfRule type="containsText" dxfId="0" priority="483" operator="between" text="欠">
      <formula>NOT(ISERROR(SEARCH("欠",T439)))</formula>
    </cfRule>
  </conditionalFormatting>
  <conditionalFormatting sqref="U439">
    <cfRule type="containsText" dxfId="0" priority="488" operator="between" text="欠">
      <formula>NOT(ISERROR(SEARCH("欠",U439)))</formula>
    </cfRule>
  </conditionalFormatting>
  <conditionalFormatting sqref="S440">
    <cfRule type="containsText" dxfId="0" priority="327" operator="between" text="欠">
      <formula>NOT(ISERROR(SEARCH("欠",S440)))</formula>
    </cfRule>
  </conditionalFormatting>
  <conditionalFormatting sqref="T440">
    <cfRule type="containsText" dxfId="0" priority="331" operator="between" text="欠">
      <formula>NOT(ISERROR(SEARCH("欠",T440)))</formula>
    </cfRule>
  </conditionalFormatting>
  <conditionalFormatting sqref="U440">
    <cfRule type="containsText" dxfId="0" priority="330" operator="between" text="欠">
      <formula>NOT(ISERROR(SEARCH("欠",U440)))</formula>
    </cfRule>
  </conditionalFormatting>
  <conditionalFormatting sqref="T441">
    <cfRule type="containsText" dxfId="0" priority="490" operator="between" text="欠">
      <formula>NOT(ISERROR(SEARCH("欠",T441)))</formula>
    </cfRule>
  </conditionalFormatting>
  <conditionalFormatting sqref="T449">
    <cfRule type="containsText" dxfId="0" priority="318" operator="between" text="欠">
      <formula>NOT(ISERROR(SEARCH("欠",T449)))</formula>
    </cfRule>
  </conditionalFormatting>
  <conditionalFormatting sqref="S450">
    <cfRule type="containsText" dxfId="0" priority="480" operator="between" text="欠">
      <formula>NOT(ISERROR(SEARCH("欠",S450)))</formula>
    </cfRule>
  </conditionalFormatting>
  <conditionalFormatting sqref="U450">
    <cfRule type="containsText" dxfId="0" priority="486" operator="between" text="欠">
      <formula>NOT(ISERROR(SEARCH("欠",U450)))</formula>
    </cfRule>
  </conditionalFormatting>
  <conditionalFormatting sqref="V451">
    <cfRule type="containsText" dxfId="0" priority="325" operator="between" text="欠">
      <formula>NOT(ISERROR(SEARCH("欠",V451)))</formula>
    </cfRule>
  </conditionalFormatting>
  <conditionalFormatting sqref="T452">
    <cfRule type="containsText" dxfId="0" priority="317" operator="between" text="欠">
      <formula>NOT(ISERROR(SEARCH("欠",T452)))</formula>
    </cfRule>
  </conditionalFormatting>
  <conditionalFormatting sqref="U452">
    <cfRule type="containsText" dxfId="0" priority="316" operator="between" text="欠">
      <formula>NOT(ISERROR(SEARCH("欠",U452)))</formula>
    </cfRule>
  </conditionalFormatting>
  <conditionalFormatting sqref="V452">
    <cfRule type="containsText" dxfId="0" priority="315" operator="between" text="欠">
      <formula>NOT(ISERROR(SEARCH("欠",V452)))</formula>
    </cfRule>
  </conditionalFormatting>
  <conditionalFormatting sqref="S453">
    <cfRule type="containsText" dxfId="0" priority="495" operator="between" text="欠">
      <formula>NOT(ISERROR(SEARCH("欠",S453)))</formula>
    </cfRule>
  </conditionalFormatting>
  <conditionalFormatting sqref="U453">
    <cfRule type="containsText" dxfId="0" priority="494" operator="between" text="欠">
      <formula>NOT(ISERROR(SEARCH("欠",U453)))</formula>
    </cfRule>
  </conditionalFormatting>
  <conditionalFormatting sqref="U456">
    <cfRule type="containsText" dxfId="0" priority="320" operator="between" text="欠">
      <formula>NOT(ISERROR(SEARCH("欠",U456)))</formula>
    </cfRule>
  </conditionalFormatting>
  <conditionalFormatting sqref="S457">
    <cfRule type="containsText" dxfId="0" priority="492" operator="between" text="欠">
      <formula>NOT(ISERROR(SEARCH("欠",S457)))</formula>
    </cfRule>
  </conditionalFormatting>
  <conditionalFormatting sqref="T457">
    <cfRule type="containsText" dxfId="0" priority="302" operator="between" text="欠">
      <formula>NOT(ISERROR(SEARCH("欠",T457)))</formula>
    </cfRule>
  </conditionalFormatting>
  <conditionalFormatting sqref="U457">
    <cfRule type="containsText" dxfId="0" priority="301" operator="between" text="欠">
      <formula>NOT(ISERROR(SEARCH("欠",U457)))</formula>
    </cfRule>
  </conditionalFormatting>
  <conditionalFormatting sqref="T458">
    <cfRule type="containsText" dxfId="0" priority="533" operator="between" text="欠">
      <formula>NOT(ISERROR(SEARCH("欠",T458)))</formula>
    </cfRule>
  </conditionalFormatting>
  <conditionalFormatting sqref="U458">
    <cfRule type="containsText" dxfId="0" priority="314" operator="between" text="欠">
      <formula>NOT(ISERROR(SEARCH("欠",U458)))</formula>
    </cfRule>
  </conditionalFormatting>
  <conditionalFormatting sqref="S465">
    <cfRule type="containsText" dxfId="0" priority="262" operator="between" text="欠">
      <formula>NOT(ISERROR(SEARCH("欠",S465)))</formula>
    </cfRule>
  </conditionalFormatting>
  <conditionalFormatting sqref="T465">
    <cfRule type="containsText" dxfId="0" priority="222" operator="between" text="欠">
      <formula>NOT(ISERROR(SEARCH("欠",T465)))</formula>
    </cfRule>
  </conditionalFormatting>
  <conditionalFormatting sqref="U465">
    <cfRule type="containsText" dxfId="0" priority="182" operator="between" text="欠">
      <formula>NOT(ISERROR(SEARCH("欠",U465)))</formula>
    </cfRule>
  </conditionalFormatting>
  <conditionalFormatting sqref="S466">
    <cfRule type="containsText" dxfId="0" priority="261" operator="between" text="欠">
      <formula>NOT(ISERROR(SEARCH("欠",S466)))</formula>
    </cfRule>
  </conditionalFormatting>
  <conditionalFormatting sqref="T466">
    <cfRule type="containsText" dxfId="0" priority="221" operator="between" text="欠">
      <formula>NOT(ISERROR(SEARCH("欠",T466)))</formula>
    </cfRule>
  </conditionalFormatting>
  <conditionalFormatting sqref="U466">
    <cfRule type="containsText" dxfId="0" priority="181" operator="between" text="欠">
      <formula>NOT(ISERROR(SEARCH("欠",U466)))</formula>
    </cfRule>
  </conditionalFormatting>
  <conditionalFormatting sqref="S467">
    <cfRule type="containsText" dxfId="0" priority="260" operator="between" text="欠">
      <formula>NOT(ISERROR(SEARCH("欠",S467)))</formula>
    </cfRule>
  </conditionalFormatting>
  <conditionalFormatting sqref="T467">
    <cfRule type="containsText" dxfId="0" priority="220" operator="between" text="欠">
      <formula>NOT(ISERROR(SEARCH("欠",T467)))</formula>
    </cfRule>
  </conditionalFormatting>
  <conditionalFormatting sqref="U467">
    <cfRule type="containsText" dxfId="0" priority="180" operator="between" text="欠">
      <formula>NOT(ISERROR(SEARCH("欠",U467)))</formula>
    </cfRule>
  </conditionalFormatting>
  <conditionalFormatting sqref="S468">
    <cfRule type="containsText" dxfId="0" priority="258" operator="between" text="欠">
      <formula>NOT(ISERROR(SEARCH("欠",S468)))</formula>
    </cfRule>
  </conditionalFormatting>
  <conditionalFormatting sqref="T468">
    <cfRule type="containsText" dxfId="0" priority="218" operator="between" text="欠">
      <formula>NOT(ISERROR(SEARCH("欠",T468)))</formula>
    </cfRule>
  </conditionalFormatting>
  <conditionalFormatting sqref="U468">
    <cfRule type="containsText" dxfId="0" priority="178" operator="between" text="欠">
      <formula>NOT(ISERROR(SEARCH("欠",U468)))</formula>
    </cfRule>
  </conditionalFormatting>
  <conditionalFormatting sqref="S469">
    <cfRule type="containsText" dxfId="0" priority="256" operator="between" text="欠">
      <formula>NOT(ISERROR(SEARCH("欠",S469)))</formula>
    </cfRule>
  </conditionalFormatting>
  <conditionalFormatting sqref="T469">
    <cfRule type="containsText" dxfId="0" priority="216" operator="between" text="欠">
      <formula>NOT(ISERROR(SEARCH("欠",T469)))</formula>
    </cfRule>
  </conditionalFormatting>
  <conditionalFormatting sqref="U469">
    <cfRule type="containsText" dxfId="0" priority="176" operator="between" text="欠">
      <formula>NOT(ISERROR(SEARCH("欠",U469)))</formula>
    </cfRule>
  </conditionalFormatting>
  <conditionalFormatting sqref="S470">
    <cfRule type="containsText" dxfId="0" priority="255" operator="between" text="欠">
      <formula>NOT(ISERROR(SEARCH("欠",S470)))</formula>
    </cfRule>
  </conditionalFormatting>
  <conditionalFormatting sqref="T470">
    <cfRule type="containsText" dxfId="0" priority="215" operator="between" text="欠">
      <formula>NOT(ISERROR(SEARCH("欠",T470)))</formula>
    </cfRule>
  </conditionalFormatting>
  <conditionalFormatting sqref="U470">
    <cfRule type="containsText" dxfId="0" priority="175" operator="between" text="欠">
      <formula>NOT(ISERROR(SEARCH("欠",U470)))</formula>
    </cfRule>
  </conditionalFormatting>
  <conditionalFormatting sqref="S471">
    <cfRule type="containsText" dxfId="0" priority="254" operator="between" text="欠">
      <formula>NOT(ISERROR(SEARCH("欠",S471)))</formula>
    </cfRule>
  </conditionalFormatting>
  <conditionalFormatting sqref="T471">
    <cfRule type="containsText" dxfId="0" priority="214" operator="between" text="欠">
      <formula>NOT(ISERROR(SEARCH("欠",T471)))</formula>
    </cfRule>
  </conditionalFormatting>
  <conditionalFormatting sqref="U471">
    <cfRule type="containsText" dxfId="0" priority="174" operator="between" text="欠">
      <formula>NOT(ISERROR(SEARCH("欠",U471)))</formula>
    </cfRule>
  </conditionalFormatting>
  <conditionalFormatting sqref="S472">
    <cfRule type="containsText" dxfId="0" priority="259" operator="between" text="欠">
      <formula>NOT(ISERROR(SEARCH("欠",S472)))</formula>
    </cfRule>
  </conditionalFormatting>
  <conditionalFormatting sqref="T472">
    <cfRule type="containsText" dxfId="0" priority="219" operator="between" text="欠">
      <formula>NOT(ISERROR(SEARCH("欠",T472)))</formula>
    </cfRule>
  </conditionalFormatting>
  <conditionalFormatting sqref="U472">
    <cfRule type="containsText" dxfId="0" priority="179" operator="between" text="欠">
      <formula>NOT(ISERROR(SEARCH("欠",U472)))</formula>
    </cfRule>
  </conditionalFormatting>
  <conditionalFormatting sqref="S473">
    <cfRule type="containsText" dxfId="0" priority="257" operator="between" text="欠">
      <formula>NOT(ISERROR(SEARCH("欠",S473)))</formula>
    </cfRule>
  </conditionalFormatting>
  <conditionalFormatting sqref="T473">
    <cfRule type="containsText" dxfId="0" priority="217" operator="between" text="欠">
      <formula>NOT(ISERROR(SEARCH("欠",T473)))</formula>
    </cfRule>
  </conditionalFormatting>
  <conditionalFormatting sqref="U473">
    <cfRule type="containsText" dxfId="0" priority="177" operator="between" text="欠">
      <formula>NOT(ISERROR(SEARCH("欠",U473)))</formula>
    </cfRule>
  </conditionalFormatting>
  <conditionalFormatting sqref="S474">
    <cfRule type="containsText" dxfId="0" priority="253" operator="between" text="欠">
      <formula>NOT(ISERROR(SEARCH("欠",S474)))</formula>
    </cfRule>
  </conditionalFormatting>
  <conditionalFormatting sqref="T474">
    <cfRule type="containsText" dxfId="0" priority="213" operator="between" text="欠">
      <formula>NOT(ISERROR(SEARCH("欠",T474)))</formula>
    </cfRule>
  </conditionalFormatting>
  <conditionalFormatting sqref="U474">
    <cfRule type="containsText" dxfId="0" priority="173" operator="between" text="欠">
      <formula>NOT(ISERROR(SEARCH("欠",U474)))</formula>
    </cfRule>
  </conditionalFormatting>
  <conditionalFormatting sqref="S475">
    <cfRule type="containsText" dxfId="0" priority="252" operator="between" text="欠">
      <formula>NOT(ISERROR(SEARCH("欠",S475)))</formula>
    </cfRule>
  </conditionalFormatting>
  <conditionalFormatting sqref="T475">
    <cfRule type="containsText" dxfId="0" priority="212" operator="between" text="欠">
      <formula>NOT(ISERROR(SEARCH("欠",T475)))</formula>
    </cfRule>
  </conditionalFormatting>
  <conditionalFormatting sqref="U475">
    <cfRule type="containsText" dxfId="0" priority="172" operator="between" text="欠">
      <formula>NOT(ISERROR(SEARCH("欠",U475)))</formula>
    </cfRule>
  </conditionalFormatting>
  <conditionalFormatting sqref="S476">
    <cfRule type="containsText" dxfId="0" priority="251" operator="between" text="欠">
      <formula>NOT(ISERROR(SEARCH("欠",S476)))</formula>
    </cfRule>
  </conditionalFormatting>
  <conditionalFormatting sqref="T476">
    <cfRule type="containsText" dxfId="0" priority="211" operator="between" text="欠">
      <formula>NOT(ISERROR(SEARCH("欠",T476)))</formula>
    </cfRule>
  </conditionalFormatting>
  <conditionalFormatting sqref="U476">
    <cfRule type="containsText" dxfId="0" priority="171" operator="between" text="欠">
      <formula>NOT(ISERROR(SEARCH("欠",U476)))</formula>
    </cfRule>
  </conditionalFormatting>
  <conditionalFormatting sqref="S477">
    <cfRule type="containsText" dxfId="0" priority="249" operator="between" text="欠">
      <formula>NOT(ISERROR(SEARCH("欠",S477)))</formula>
    </cfRule>
  </conditionalFormatting>
  <conditionalFormatting sqref="T477">
    <cfRule type="containsText" dxfId="0" priority="209" operator="between" text="欠">
      <formula>NOT(ISERROR(SEARCH("欠",T477)))</formula>
    </cfRule>
  </conditionalFormatting>
  <conditionalFormatting sqref="U477">
    <cfRule type="containsText" dxfId="0" priority="169" operator="between" text="欠">
      <formula>NOT(ISERROR(SEARCH("欠",U477)))</formula>
    </cfRule>
  </conditionalFormatting>
  <conditionalFormatting sqref="S478">
    <cfRule type="containsText" dxfId="0" priority="248" operator="between" text="欠">
      <formula>NOT(ISERROR(SEARCH("欠",S478)))</formula>
    </cfRule>
  </conditionalFormatting>
  <conditionalFormatting sqref="T478">
    <cfRule type="containsText" dxfId="0" priority="208" operator="between" text="欠">
      <formula>NOT(ISERROR(SEARCH("欠",T478)))</formula>
    </cfRule>
  </conditionalFormatting>
  <conditionalFormatting sqref="U478">
    <cfRule type="containsText" dxfId="0" priority="168" operator="between" text="欠">
      <formula>NOT(ISERROR(SEARCH("欠",U478)))</formula>
    </cfRule>
  </conditionalFormatting>
  <conditionalFormatting sqref="S479">
    <cfRule type="containsText" dxfId="0" priority="250" operator="between" text="欠">
      <formula>NOT(ISERROR(SEARCH("欠",S479)))</formula>
    </cfRule>
  </conditionalFormatting>
  <conditionalFormatting sqref="T479">
    <cfRule type="containsText" dxfId="0" priority="210" operator="between" text="欠">
      <formula>NOT(ISERROR(SEARCH("欠",T479)))</formula>
    </cfRule>
  </conditionalFormatting>
  <conditionalFormatting sqref="U479">
    <cfRule type="containsText" dxfId="0" priority="170" operator="between" text="欠">
      <formula>NOT(ISERROR(SEARCH("欠",U479)))</formula>
    </cfRule>
  </conditionalFormatting>
  <conditionalFormatting sqref="S480">
    <cfRule type="containsText" dxfId="0" priority="246" operator="between" text="欠">
      <formula>NOT(ISERROR(SEARCH("欠",S480)))</formula>
    </cfRule>
  </conditionalFormatting>
  <conditionalFormatting sqref="T480">
    <cfRule type="containsText" dxfId="0" priority="206" operator="between" text="欠">
      <formula>NOT(ISERROR(SEARCH("欠",T480)))</formula>
    </cfRule>
  </conditionalFormatting>
  <conditionalFormatting sqref="U480">
    <cfRule type="containsText" dxfId="0" priority="166" operator="between" text="欠">
      <formula>NOT(ISERROR(SEARCH("欠",U480)))</formula>
    </cfRule>
  </conditionalFormatting>
  <conditionalFormatting sqref="S481">
    <cfRule type="containsText" dxfId="0" priority="245" operator="between" text="欠">
      <formula>NOT(ISERROR(SEARCH("欠",S481)))</formula>
    </cfRule>
  </conditionalFormatting>
  <conditionalFormatting sqref="T481">
    <cfRule type="containsText" dxfId="0" priority="205" operator="between" text="欠">
      <formula>NOT(ISERROR(SEARCH("欠",T481)))</formula>
    </cfRule>
  </conditionalFormatting>
  <conditionalFormatting sqref="U481">
    <cfRule type="containsText" dxfId="0" priority="165" operator="between" text="欠">
      <formula>NOT(ISERROR(SEARCH("欠",U481)))</formula>
    </cfRule>
  </conditionalFormatting>
  <conditionalFormatting sqref="S482">
    <cfRule type="containsText" dxfId="0" priority="244" operator="between" text="欠">
      <formula>NOT(ISERROR(SEARCH("欠",S482)))</formula>
    </cfRule>
  </conditionalFormatting>
  <conditionalFormatting sqref="T482">
    <cfRule type="containsText" dxfId="0" priority="204" operator="between" text="欠">
      <formula>NOT(ISERROR(SEARCH("欠",T482)))</formula>
    </cfRule>
  </conditionalFormatting>
  <conditionalFormatting sqref="U482">
    <cfRule type="containsText" dxfId="0" priority="164" operator="between" text="欠">
      <formula>NOT(ISERROR(SEARCH("欠",U482)))</formula>
    </cfRule>
  </conditionalFormatting>
  <conditionalFormatting sqref="S483">
    <cfRule type="containsText" dxfId="0" priority="243" operator="between" text="欠">
      <formula>NOT(ISERROR(SEARCH("欠",S483)))</formula>
    </cfRule>
  </conditionalFormatting>
  <conditionalFormatting sqref="T483">
    <cfRule type="containsText" dxfId="0" priority="203" operator="between" text="欠">
      <formula>NOT(ISERROR(SEARCH("欠",T483)))</formula>
    </cfRule>
  </conditionalFormatting>
  <conditionalFormatting sqref="U483">
    <cfRule type="containsText" dxfId="0" priority="163" operator="between" text="欠">
      <formula>NOT(ISERROR(SEARCH("欠",U483)))</formula>
    </cfRule>
  </conditionalFormatting>
  <conditionalFormatting sqref="S484">
    <cfRule type="containsText" dxfId="0" priority="242" operator="between" text="欠">
      <formula>NOT(ISERROR(SEARCH("欠",S484)))</formula>
    </cfRule>
  </conditionalFormatting>
  <conditionalFormatting sqref="T484">
    <cfRule type="containsText" dxfId="0" priority="202" operator="between" text="欠">
      <formula>NOT(ISERROR(SEARCH("欠",T484)))</formula>
    </cfRule>
  </conditionalFormatting>
  <conditionalFormatting sqref="U484">
    <cfRule type="containsText" dxfId="0" priority="162" operator="between" text="欠">
      <formula>NOT(ISERROR(SEARCH("欠",U484)))</formula>
    </cfRule>
  </conditionalFormatting>
  <conditionalFormatting sqref="S485">
    <cfRule type="containsText" dxfId="0" priority="241" operator="between" text="欠">
      <formula>NOT(ISERROR(SEARCH("欠",S485)))</formula>
    </cfRule>
  </conditionalFormatting>
  <conditionalFormatting sqref="T485">
    <cfRule type="containsText" dxfId="0" priority="201" operator="between" text="欠">
      <formula>NOT(ISERROR(SEARCH("欠",T485)))</formula>
    </cfRule>
  </conditionalFormatting>
  <conditionalFormatting sqref="U485">
    <cfRule type="containsText" dxfId="0" priority="161" operator="between" text="欠">
      <formula>NOT(ISERROR(SEARCH("欠",U485)))</formula>
    </cfRule>
  </conditionalFormatting>
  <conditionalFormatting sqref="S486">
    <cfRule type="containsText" dxfId="0" priority="240" operator="between" text="欠">
      <formula>NOT(ISERROR(SEARCH("欠",S486)))</formula>
    </cfRule>
  </conditionalFormatting>
  <conditionalFormatting sqref="T486">
    <cfRule type="containsText" dxfId="0" priority="200" operator="between" text="欠">
      <formula>NOT(ISERROR(SEARCH("欠",T486)))</formula>
    </cfRule>
  </conditionalFormatting>
  <conditionalFormatting sqref="U486">
    <cfRule type="containsText" dxfId="0" priority="160" operator="between" text="欠">
      <formula>NOT(ISERROR(SEARCH("欠",U486)))</formula>
    </cfRule>
  </conditionalFormatting>
  <conditionalFormatting sqref="S487">
    <cfRule type="containsText" dxfId="0" priority="239" operator="between" text="欠">
      <formula>NOT(ISERROR(SEARCH("欠",S487)))</formula>
    </cfRule>
  </conditionalFormatting>
  <conditionalFormatting sqref="T487">
    <cfRule type="containsText" dxfId="0" priority="199" operator="between" text="欠">
      <formula>NOT(ISERROR(SEARCH("欠",T487)))</formula>
    </cfRule>
  </conditionalFormatting>
  <conditionalFormatting sqref="U487">
    <cfRule type="containsText" dxfId="0" priority="159" operator="between" text="欠">
      <formula>NOT(ISERROR(SEARCH("欠",U487)))</formula>
    </cfRule>
  </conditionalFormatting>
  <conditionalFormatting sqref="S488">
    <cfRule type="containsText" dxfId="0" priority="238" operator="between" text="欠">
      <formula>NOT(ISERROR(SEARCH("欠",S488)))</formula>
    </cfRule>
  </conditionalFormatting>
  <conditionalFormatting sqref="T488">
    <cfRule type="containsText" dxfId="0" priority="198" operator="between" text="欠">
      <formula>NOT(ISERROR(SEARCH("欠",T488)))</formula>
    </cfRule>
  </conditionalFormatting>
  <conditionalFormatting sqref="U488">
    <cfRule type="containsText" dxfId="0" priority="158" operator="between" text="欠">
      <formula>NOT(ISERROR(SEARCH("欠",U488)))</formula>
    </cfRule>
  </conditionalFormatting>
  <conditionalFormatting sqref="S489">
    <cfRule type="containsText" dxfId="0" priority="237" operator="between" text="欠">
      <formula>NOT(ISERROR(SEARCH("欠",S489)))</formula>
    </cfRule>
  </conditionalFormatting>
  <conditionalFormatting sqref="T489">
    <cfRule type="containsText" dxfId="0" priority="197" operator="between" text="欠">
      <formula>NOT(ISERROR(SEARCH("欠",T489)))</formula>
    </cfRule>
  </conditionalFormatting>
  <conditionalFormatting sqref="U489">
    <cfRule type="containsText" dxfId="0" priority="157" operator="between" text="欠">
      <formula>NOT(ISERROR(SEARCH("欠",U489)))</formula>
    </cfRule>
  </conditionalFormatting>
  <conditionalFormatting sqref="T490">
    <cfRule type="containsText" dxfId="0" priority="196" operator="between" text="欠">
      <formula>NOT(ISERROR(SEARCH("欠",T490)))</formula>
    </cfRule>
  </conditionalFormatting>
  <conditionalFormatting sqref="U490">
    <cfRule type="containsText" dxfId="0" priority="156" operator="between" text="欠">
      <formula>NOT(ISERROR(SEARCH("欠",U490)))</formula>
    </cfRule>
  </conditionalFormatting>
  <conditionalFormatting sqref="T491">
    <cfRule type="containsText" dxfId="0" priority="195" operator="between" text="欠">
      <formula>NOT(ISERROR(SEARCH("欠",T491)))</formula>
    </cfRule>
  </conditionalFormatting>
  <conditionalFormatting sqref="U491">
    <cfRule type="containsText" dxfId="0" priority="155" operator="between" text="欠">
      <formula>NOT(ISERROR(SEARCH("欠",U491)))</formula>
    </cfRule>
  </conditionalFormatting>
  <conditionalFormatting sqref="T492">
    <cfRule type="containsText" dxfId="0" priority="194" operator="between" text="欠">
      <formula>NOT(ISERROR(SEARCH("欠",T492)))</formula>
    </cfRule>
  </conditionalFormatting>
  <conditionalFormatting sqref="U492">
    <cfRule type="containsText" dxfId="0" priority="154" operator="between" text="欠">
      <formula>NOT(ISERROR(SEARCH("欠",U492)))</formula>
    </cfRule>
  </conditionalFormatting>
  <conditionalFormatting sqref="T493">
    <cfRule type="containsText" dxfId="0" priority="193" operator="between" text="欠">
      <formula>NOT(ISERROR(SEARCH("欠",T493)))</formula>
    </cfRule>
  </conditionalFormatting>
  <conditionalFormatting sqref="U493">
    <cfRule type="containsText" dxfId="0" priority="153" operator="between" text="欠">
      <formula>NOT(ISERROR(SEARCH("欠",U493)))</formula>
    </cfRule>
  </conditionalFormatting>
  <conditionalFormatting sqref="T494">
    <cfRule type="containsText" dxfId="0" priority="192" operator="between" text="欠">
      <formula>NOT(ISERROR(SEARCH("欠",T494)))</formula>
    </cfRule>
  </conditionalFormatting>
  <conditionalFormatting sqref="U494">
    <cfRule type="containsText" dxfId="0" priority="152" operator="between" text="欠">
      <formula>NOT(ISERROR(SEARCH("欠",U494)))</formula>
    </cfRule>
  </conditionalFormatting>
  <conditionalFormatting sqref="T495">
    <cfRule type="containsText" dxfId="0" priority="191" operator="between" text="欠">
      <formula>NOT(ISERROR(SEARCH("欠",T495)))</formula>
    </cfRule>
  </conditionalFormatting>
  <conditionalFormatting sqref="U495">
    <cfRule type="containsText" dxfId="0" priority="151" operator="between" text="欠">
      <formula>NOT(ISERROR(SEARCH("欠",U495)))</formula>
    </cfRule>
  </conditionalFormatting>
  <conditionalFormatting sqref="T496">
    <cfRule type="containsText" dxfId="0" priority="190" operator="between" text="欠">
      <formula>NOT(ISERROR(SEARCH("欠",T496)))</formula>
    </cfRule>
  </conditionalFormatting>
  <conditionalFormatting sqref="U496">
    <cfRule type="containsText" dxfId="0" priority="150" operator="between" text="欠">
      <formula>NOT(ISERROR(SEARCH("欠",U496)))</formula>
    </cfRule>
  </conditionalFormatting>
  <conditionalFormatting sqref="T497">
    <cfRule type="containsText" dxfId="0" priority="189" operator="between" text="欠">
      <formula>NOT(ISERROR(SEARCH("欠",T497)))</formula>
    </cfRule>
  </conditionalFormatting>
  <conditionalFormatting sqref="U497">
    <cfRule type="containsText" dxfId="0" priority="149" operator="between" text="欠">
      <formula>NOT(ISERROR(SEARCH("欠",U497)))</formula>
    </cfRule>
  </conditionalFormatting>
  <conditionalFormatting sqref="S498">
    <cfRule type="containsText" dxfId="0" priority="228" operator="between" text="欠">
      <formula>NOT(ISERROR(SEARCH("欠",S498)))</formula>
    </cfRule>
  </conditionalFormatting>
  <conditionalFormatting sqref="T498">
    <cfRule type="containsText" dxfId="0" priority="188" operator="between" text="欠">
      <formula>NOT(ISERROR(SEARCH("欠",T498)))</formula>
    </cfRule>
  </conditionalFormatting>
  <conditionalFormatting sqref="U498">
    <cfRule type="containsText" dxfId="0" priority="148" operator="between" text="欠">
      <formula>NOT(ISERROR(SEARCH("欠",U498)))</formula>
    </cfRule>
  </conditionalFormatting>
  <conditionalFormatting sqref="T499">
    <cfRule type="containsText" dxfId="0" priority="187" operator="between" text="欠">
      <formula>NOT(ISERROR(SEARCH("欠",T499)))</formula>
    </cfRule>
  </conditionalFormatting>
  <conditionalFormatting sqref="U499">
    <cfRule type="containsText" dxfId="0" priority="147" operator="between" text="欠">
      <formula>NOT(ISERROR(SEARCH("欠",U499)))</formula>
    </cfRule>
  </conditionalFormatting>
  <conditionalFormatting sqref="T500">
    <cfRule type="containsText" dxfId="0" priority="138" operator="between" text="欠">
      <formula>NOT(ISERROR(SEARCH("欠",T500)))</formula>
    </cfRule>
  </conditionalFormatting>
  <conditionalFormatting sqref="U500">
    <cfRule type="containsText" dxfId="0" priority="133" operator="between" text="欠">
      <formula>NOT(ISERROR(SEARCH("欠",U500)))</formula>
    </cfRule>
  </conditionalFormatting>
  <conditionalFormatting sqref="S508">
    <cfRule type="containsText" dxfId="0" priority="75" operator="between" text="欠">
      <formula>NOT(ISERROR(SEARCH("欠",S508)))</formula>
    </cfRule>
  </conditionalFormatting>
  <conditionalFormatting sqref="T508">
    <cfRule type="containsText" dxfId="0" priority="63" operator="between" text="欠">
      <formula>NOT(ISERROR(SEARCH("欠",T508)))</formula>
    </cfRule>
  </conditionalFormatting>
  <conditionalFormatting sqref="U508">
    <cfRule type="containsText" dxfId="0" priority="51" operator="between" text="欠">
      <formula>NOT(ISERROR(SEARCH("欠",U508)))</formula>
    </cfRule>
  </conditionalFormatting>
  <conditionalFormatting sqref="S509">
    <cfRule type="containsText" dxfId="0" priority="74" operator="between" text="欠">
      <formula>NOT(ISERROR(SEARCH("欠",S509)))</formula>
    </cfRule>
  </conditionalFormatting>
  <conditionalFormatting sqref="T509">
    <cfRule type="containsText" dxfId="0" priority="62" operator="between" text="欠">
      <formula>NOT(ISERROR(SEARCH("欠",T509)))</formula>
    </cfRule>
  </conditionalFormatting>
  <conditionalFormatting sqref="U509">
    <cfRule type="containsText" dxfId="0" priority="50" operator="between" text="欠">
      <formula>NOT(ISERROR(SEARCH("欠",U509)))</formula>
    </cfRule>
  </conditionalFormatting>
  <conditionalFormatting sqref="S510">
    <cfRule type="containsText" dxfId="0" priority="73" operator="between" text="欠">
      <formula>NOT(ISERROR(SEARCH("欠",S510)))</formula>
    </cfRule>
  </conditionalFormatting>
  <conditionalFormatting sqref="T510">
    <cfRule type="containsText" dxfId="0" priority="61" operator="between" text="欠">
      <formula>NOT(ISERROR(SEARCH("欠",T510)))</formula>
    </cfRule>
  </conditionalFormatting>
  <conditionalFormatting sqref="U510">
    <cfRule type="containsText" dxfId="0" priority="49" operator="between" text="欠">
      <formula>NOT(ISERROR(SEARCH("欠",U510)))</formula>
    </cfRule>
  </conditionalFormatting>
  <conditionalFormatting sqref="S511">
    <cfRule type="containsText" dxfId="0" priority="72" operator="between" text="欠">
      <formula>NOT(ISERROR(SEARCH("欠",S511)))</formula>
    </cfRule>
  </conditionalFormatting>
  <conditionalFormatting sqref="T511">
    <cfRule type="containsText" dxfId="0" priority="60" operator="between" text="欠">
      <formula>NOT(ISERROR(SEARCH("欠",T511)))</formula>
    </cfRule>
  </conditionalFormatting>
  <conditionalFormatting sqref="U511">
    <cfRule type="containsText" dxfId="0" priority="48" operator="between" text="欠">
      <formula>NOT(ISERROR(SEARCH("欠",U511)))</formula>
    </cfRule>
  </conditionalFormatting>
  <conditionalFormatting sqref="S512">
    <cfRule type="containsText" dxfId="0" priority="71" operator="between" text="欠">
      <formula>NOT(ISERROR(SEARCH("欠",S512)))</formula>
    </cfRule>
  </conditionalFormatting>
  <conditionalFormatting sqref="T512">
    <cfRule type="containsText" dxfId="0" priority="59" operator="between" text="欠">
      <formula>NOT(ISERROR(SEARCH("欠",T512)))</formula>
    </cfRule>
  </conditionalFormatting>
  <conditionalFormatting sqref="U512">
    <cfRule type="containsText" dxfId="0" priority="47" operator="between" text="欠">
      <formula>NOT(ISERROR(SEARCH("欠",U512)))</formula>
    </cfRule>
  </conditionalFormatting>
  <conditionalFormatting sqref="S513">
    <cfRule type="containsText" dxfId="0" priority="70" operator="between" text="欠">
      <formula>NOT(ISERROR(SEARCH("欠",S513)))</formula>
    </cfRule>
  </conditionalFormatting>
  <conditionalFormatting sqref="T513">
    <cfRule type="containsText" dxfId="0" priority="58" operator="between" text="欠">
      <formula>NOT(ISERROR(SEARCH("欠",T513)))</formula>
    </cfRule>
  </conditionalFormatting>
  <conditionalFormatting sqref="U513">
    <cfRule type="containsText" dxfId="0" priority="46" operator="between" text="欠">
      <formula>NOT(ISERROR(SEARCH("欠",U513)))</formula>
    </cfRule>
  </conditionalFormatting>
  <conditionalFormatting sqref="S514">
    <cfRule type="containsText" dxfId="0" priority="69" operator="between" text="欠">
      <formula>NOT(ISERROR(SEARCH("欠",S514)))</formula>
    </cfRule>
  </conditionalFormatting>
  <conditionalFormatting sqref="T514">
    <cfRule type="containsText" dxfId="0" priority="57" operator="between" text="欠">
      <formula>NOT(ISERROR(SEARCH("欠",T514)))</formula>
    </cfRule>
  </conditionalFormatting>
  <conditionalFormatting sqref="U514">
    <cfRule type="containsText" dxfId="0" priority="45" operator="between" text="欠">
      <formula>NOT(ISERROR(SEARCH("欠",U514)))</formula>
    </cfRule>
  </conditionalFormatting>
  <conditionalFormatting sqref="S515">
    <cfRule type="containsText" dxfId="0" priority="68" operator="between" text="欠">
      <formula>NOT(ISERROR(SEARCH("欠",S515)))</formula>
    </cfRule>
  </conditionalFormatting>
  <conditionalFormatting sqref="T515">
    <cfRule type="containsText" dxfId="0" priority="56" operator="between" text="欠">
      <formula>NOT(ISERROR(SEARCH("欠",T515)))</formula>
    </cfRule>
  </conditionalFormatting>
  <conditionalFormatting sqref="U515">
    <cfRule type="containsText" dxfId="0" priority="44" operator="between" text="欠">
      <formula>NOT(ISERROR(SEARCH("欠",U515)))</formula>
    </cfRule>
  </conditionalFormatting>
  <conditionalFormatting sqref="S516">
    <cfRule type="containsText" dxfId="0" priority="67" operator="between" text="欠">
      <formula>NOT(ISERROR(SEARCH("欠",S516)))</formula>
    </cfRule>
  </conditionalFormatting>
  <conditionalFormatting sqref="T516">
    <cfRule type="containsText" dxfId="0" priority="55" operator="between" text="欠">
      <formula>NOT(ISERROR(SEARCH("欠",T516)))</formula>
    </cfRule>
  </conditionalFormatting>
  <conditionalFormatting sqref="U516">
    <cfRule type="containsText" dxfId="0" priority="43" operator="between" text="欠">
      <formula>NOT(ISERROR(SEARCH("欠",U516)))</formula>
    </cfRule>
  </conditionalFormatting>
  <conditionalFormatting sqref="S517">
    <cfRule type="containsText" dxfId="0" priority="66" operator="between" text="欠">
      <formula>NOT(ISERROR(SEARCH("欠",S517)))</formula>
    </cfRule>
  </conditionalFormatting>
  <conditionalFormatting sqref="T517">
    <cfRule type="containsText" dxfId="0" priority="54" operator="between" text="欠">
      <formula>NOT(ISERROR(SEARCH("欠",T517)))</formula>
    </cfRule>
  </conditionalFormatting>
  <conditionalFormatting sqref="U517">
    <cfRule type="containsText" dxfId="0" priority="42" operator="between" text="欠">
      <formula>NOT(ISERROR(SEARCH("欠",U517)))</formula>
    </cfRule>
  </conditionalFormatting>
  <conditionalFormatting sqref="S518">
    <cfRule type="containsText" dxfId="0" priority="65" operator="between" text="欠">
      <formula>NOT(ISERROR(SEARCH("欠",S518)))</formula>
    </cfRule>
  </conditionalFormatting>
  <conditionalFormatting sqref="T518">
    <cfRule type="containsText" dxfId="0" priority="53" operator="between" text="欠">
      <formula>NOT(ISERROR(SEARCH("欠",T518)))</formula>
    </cfRule>
  </conditionalFormatting>
  <conditionalFormatting sqref="U518">
    <cfRule type="containsText" dxfId="0" priority="41" operator="between" text="欠">
      <formula>NOT(ISERROR(SEARCH("欠",U518)))</formula>
    </cfRule>
  </conditionalFormatting>
  <conditionalFormatting sqref="S519">
    <cfRule type="containsText" dxfId="0" priority="64" operator="between" text="欠">
      <formula>NOT(ISERROR(SEARCH("欠",S519)))</formula>
    </cfRule>
  </conditionalFormatting>
  <conditionalFormatting sqref="T519">
    <cfRule type="containsText" dxfId="0" priority="52" operator="between" text="欠">
      <formula>NOT(ISERROR(SEARCH("欠",T519)))</formula>
    </cfRule>
  </conditionalFormatting>
  <conditionalFormatting sqref="U519">
    <cfRule type="containsText" dxfId="0" priority="40" operator="between" text="欠">
      <formula>NOT(ISERROR(SEARCH("欠",U519)))</formula>
    </cfRule>
  </conditionalFormatting>
  <conditionalFormatting sqref="S520">
    <cfRule type="containsText" dxfId="0" priority="33" operator="between" text="欠">
      <formula>NOT(ISERROR(SEARCH("欠",S520)))</formula>
    </cfRule>
  </conditionalFormatting>
  <conditionalFormatting sqref="T520">
    <cfRule type="containsText" dxfId="0" priority="25" operator="between" text="欠">
      <formula>NOT(ISERROR(SEARCH("欠",T520)))</formula>
    </cfRule>
  </conditionalFormatting>
  <conditionalFormatting sqref="U520">
    <cfRule type="containsText" dxfId="0" priority="17" operator="between" text="欠">
      <formula>NOT(ISERROR(SEARCH("欠",U520)))</formula>
    </cfRule>
  </conditionalFormatting>
  <conditionalFormatting sqref="S521">
    <cfRule type="containsText" dxfId="0" priority="32" operator="between" text="欠">
      <formula>NOT(ISERROR(SEARCH("欠",S521)))</formula>
    </cfRule>
  </conditionalFormatting>
  <conditionalFormatting sqref="T521">
    <cfRule type="containsText" dxfId="0" priority="24" operator="between" text="欠">
      <formula>NOT(ISERROR(SEARCH("欠",T521)))</formula>
    </cfRule>
  </conditionalFormatting>
  <conditionalFormatting sqref="U521">
    <cfRule type="containsText" dxfId="0" priority="16" operator="between" text="欠">
      <formula>NOT(ISERROR(SEARCH("欠",U521)))</formula>
    </cfRule>
  </conditionalFormatting>
  <conditionalFormatting sqref="S522">
    <cfRule type="containsText" dxfId="0" priority="31" operator="between" text="欠">
      <formula>NOT(ISERROR(SEARCH("欠",S522)))</formula>
    </cfRule>
  </conditionalFormatting>
  <conditionalFormatting sqref="T522">
    <cfRule type="containsText" dxfId="0" priority="23" operator="between" text="欠">
      <formula>NOT(ISERROR(SEARCH("欠",T522)))</formula>
    </cfRule>
  </conditionalFormatting>
  <conditionalFormatting sqref="U522">
    <cfRule type="containsText" dxfId="0" priority="15" operator="between" text="欠">
      <formula>NOT(ISERROR(SEARCH("欠",U522)))</formula>
    </cfRule>
  </conditionalFormatting>
  <conditionalFormatting sqref="S523">
    <cfRule type="containsText" dxfId="0" priority="30" operator="between" text="欠">
      <formula>NOT(ISERROR(SEARCH("欠",S523)))</formula>
    </cfRule>
  </conditionalFormatting>
  <conditionalFormatting sqref="T523">
    <cfRule type="containsText" dxfId="0" priority="22" operator="between" text="欠">
      <formula>NOT(ISERROR(SEARCH("欠",T523)))</formula>
    </cfRule>
  </conditionalFormatting>
  <conditionalFormatting sqref="U523">
    <cfRule type="containsText" dxfId="0" priority="14" operator="between" text="欠">
      <formula>NOT(ISERROR(SEARCH("欠",U523)))</formula>
    </cfRule>
  </conditionalFormatting>
  <conditionalFormatting sqref="S524">
    <cfRule type="containsText" dxfId="0" priority="29" operator="between" text="欠">
      <formula>NOT(ISERROR(SEARCH("欠",S524)))</formula>
    </cfRule>
  </conditionalFormatting>
  <conditionalFormatting sqref="T524">
    <cfRule type="containsText" dxfId="0" priority="21" operator="between" text="欠">
      <formula>NOT(ISERROR(SEARCH("欠",T524)))</formula>
    </cfRule>
  </conditionalFormatting>
  <conditionalFormatting sqref="U524">
    <cfRule type="containsText" dxfId="0" priority="13" operator="between" text="欠">
      <formula>NOT(ISERROR(SEARCH("欠",U524)))</formula>
    </cfRule>
  </conditionalFormatting>
  <conditionalFormatting sqref="S525">
    <cfRule type="containsText" dxfId="0" priority="28" operator="between" text="欠">
      <formula>NOT(ISERROR(SEARCH("欠",S525)))</formula>
    </cfRule>
  </conditionalFormatting>
  <conditionalFormatting sqref="T525">
    <cfRule type="containsText" dxfId="0" priority="20" operator="between" text="欠">
      <formula>NOT(ISERROR(SEARCH("欠",T525)))</formula>
    </cfRule>
  </conditionalFormatting>
  <conditionalFormatting sqref="U525">
    <cfRule type="containsText" dxfId="0" priority="12" operator="between" text="欠">
      <formula>NOT(ISERROR(SEARCH("欠",U525)))</formula>
    </cfRule>
  </conditionalFormatting>
  <conditionalFormatting sqref="S526">
    <cfRule type="containsText" dxfId="0" priority="27" operator="between" text="欠">
      <formula>NOT(ISERROR(SEARCH("欠",S526)))</formula>
    </cfRule>
  </conditionalFormatting>
  <conditionalFormatting sqref="T526">
    <cfRule type="containsText" dxfId="0" priority="19" operator="between" text="欠">
      <formula>NOT(ISERROR(SEARCH("欠",T526)))</formula>
    </cfRule>
  </conditionalFormatting>
  <conditionalFormatting sqref="U526">
    <cfRule type="containsText" dxfId="0" priority="11" operator="between" text="欠">
      <formula>NOT(ISERROR(SEARCH("欠",U526)))</formula>
    </cfRule>
  </conditionalFormatting>
  <conditionalFormatting sqref="S527">
    <cfRule type="containsText" dxfId="0" priority="26" operator="between" text="欠">
      <formula>NOT(ISERROR(SEARCH("欠",S527)))</formula>
    </cfRule>
  </conditionalFormatting>
  <conditionalFormatting sqref="T527">
    <cfRule type="containsText" dxfId="0" priority="18" operator="between" text="欠">
      <formula>NOT(ISERROR(SEARCH("欠",T527)))</formula>
    </cfRule>
  </conditionalFormatting>
  <conditionalFormatting sqref="U527">
    <cfRule type="containsText" dxfId="0" priority="10" operator="between" text="欠">
      <formula>NOT(ISERROR(SEARCH("欠",U527)))</formula>
    </cfRule>
  </conditionalFormatting>
  <conditionalFormatting sqref="S528">
    <cfRule type="containsText" dxfId="0" priority="247" operator="between" text="欠">
      <formula>NOT(ISERROR(SEARCH("欠",S528)))</formula>
    </cfRule>
  </conditionalFormatting>
  <conditionalFormatting sqref="T528">
    <cfRule type="containsText" dxfId="0" priority="207" operator="between" text="欠">
      <formula>NOT(ISERROR(SEARCH("欠",T528)))</formula>
    </cfRule>
  </conditionalFormatting>
  <conditionalFormatting sqref="U528">
    <cfRule type="containsText" dxfId="0" priority="167" operator="between" text="欠">
      <formula>NOT(ISERROR(SEARCH("欠",U528)))</formula>
    </cfRule>
  </conditionalFormatting>
  <conditionalFormatting sqref="T529">
    <cfRule type="containsText" dxfId="0" priority="124" operator="between" text="欠">
      <formula>NOT(ISERROR(SEARCH("欠",T529)))</formula>
    </cfRule>
  </conditionalFormatting>
  <conditionalFormatting sqref="U529">
    <cfRule type="containsText" dxfId="0" priority="125" operator="between" text="欠">
      <formula>NOT(ISERROR(SEARCH("欠",U529)))</formula>
    </cfRule>
  </conditionalFormatting>
  <conditionalFormatting sqref="T532">
    <cfRule type="containsText" dxfId="0" priority="108" operator="between" text="欠">
      <formula>NOT(ISERROR(SEARCH("欠",T532)))</formula>
    </cfRule>
  </conditionalFormatting>
  <conditionalFormatting sqref="U532">
    <cfRule type="containsText" dxfId="0" priority="109" operator="between" text="欠">
      <formula>NOT(ISERROR(SEARCH("欠",U532)))</formula>
    </cfRule>
  </conditionalFormatting>
  <conditionalFormatting sqref="T541">
    <cfRule type="containsText" dxfId="0" priority="105" operator="between" text="欠">
      <formula>NOT(ISERROR(SEARCH("欠",T541)))</formula>
    </cfRule>
  </conditionalFormatting>
  <conditionalFormatting sqref="U541">
    <cfRule type="containsText" dxfId="0" priority="106" operator="between" text="欠">
      <formula>NOT(ISERROR(SEARCH("欠",U541)))</formula>
    </cfRule>
  </conditionalFormatting>
  <conditionalFormatting sqref="S550">
    <cfRule type="containsText" dxfId="0" priority="99" operator="between" text="欠">
      <formula>NOT(ISERROR(SEARCH("欠",S550)))</formula>
    </cfRule>
  </conditionalFormatting>
  <conditionalFormatting sqref="T550">
    <cfRule type="containsText" dxfId="0" priority="98" operator="between" text="欠">
      <formula>NOT(ISERROR(SEARCH("欠",T550)))</formula>
    </cfRule>
  </conditionalFormatting>
  <conditionalFormatting sqref="U550">
    <cfRule type="containsText" dxfId="0" priority="97" operator="between" text="欠">
      <formula>NOT(ISERROR(SEARCH("欠",U550)))</formula>
    </cfRule>
  </conditionalFormatting>
  <conditionalFormatting sqref="S551">
    <cfRule type="containsText" dxfId="0" priority="101" operator="between" text="欠">
      <formula>NOT(ISERROR(SEARCH("欠",S551)))</formula>
    </cfRule>
  </conditionalFormatting>
  <conditionalFormatting sqref="T551">
    <cfRule type="containsText" dxfId="0" priority="103" operator="between" text="欠">
      <formula>NOT(ISERROR(SEARCH("欠",T551)))</formula>
    </cfRule>
  </conditionalFormatting>
  <conditionalFormatting sqref="U551">
    <cfRule type="containsText" dxfId="0" priority="100" operator="between" text="欠">
      <formula>NOT(ISERROR(SEARCH("欠",U551)))</formula>
    </cfRule>
  </conditionalFormatting>
  <conditionalFormatting sqref="S558">
    <cfRule type="containsText" dxfId="0" priority="39" operator="between" text="欠">
      <formula>NOT(ISERROR(SEARCH("欠",S558)))</formula>
    </cfRule>
  </conditionalFormatting>
  <conditionalFormatting sqref="T558">
    <cfRule type="containsText" dxfId="0" priority="38" operator="between" text="欠">
      <formula>NOT(ISERROR(SEARCH("欠",T558)))</formula>
    </cfRule>
  </conditionalFormatting>
  <conditionalFormatting sqref="U558">
    <cfRule type="containsText" dxfId="0" priority="37" operator="between" text="欠">
      <formula>NOT(ISERROR(SEARCH("欠",U558)))</formula>
    </cfRule>
  </conditionalFormatting>
  <conditionalFormatting sqref="S569">
    <cfRule type="containsText" dxfId="0" priority="3" operator="between" text="欠">
      <formula>NOT(ISERROR(SEARCH("欠",S569)))</formula>
    </cfRule>
  </conditionalFormatting>
  <conditionalFormatting sqref="T569">
    <cfRule type="containsText" dxfId="0" priority="2" operator="between" text="欠">
      <formula>NOT(ISERROR(SEARCH("欠",T569)))</formula>
    </cfRule>
  </conditionalFormatting>
  <conditionalFormatting sqref="U569">
    <cfRule type="containsText" dxfId="0" priority="1" operator="between" text="欠">
      <formula>NOT(ISERROR(SEARCH("欠",U569)))</formula>
    </cfRule>
  </conditionalFormatting>
  <conditionalFormatting sqref="S570">
    <cfRule type="containsText" dxfId="0" priority="224" operator="between" text="欠">
      <formula>NOT(ISERROR(SEARCH("欠",S570)))</formula>
    </cfRule>
  </conditionalFormatting>
  <conditionalFormatting sqref="T570">
    <cfRule type="containsText" dxfId="0" priority="184" operator="between" text="欠">
      <formula>NOT(ISERROR(SEARCH("欠",T570)))</formula>
    </cfRule>
  </conditionalFormatting>
  <conditionalFormatting sqref="U570">
    <cfRule type="containsText" dxfId="0" priority="144" operator="between" text="欠">
      <formula>NOT(ISERROR(SEARCH("欠",U570)))</formula>
    </cfRule>
  </conditionalFormatting>
  <conditionalFormatting sqref="S571">
    <cfRule type="containsText" dxfId="0" priority="223" operator="between" text="欠">
      <formula>NOT(ISERROR(SEARCH("欠",S571)))</formula>
    </cfRule>
  </conditionalFormatting>
  <conditionalFormatting sqref="T571">
    <cfRule type="containsText" dxfId="0" priority="183" operator="between" text="欠">
      <formula>NOT(ISERROR(SEARCH("欠",T571)))</formula>
    </cfRule>
  </conditionalFormatting>
  <conditionalFormatting sqref="U571">
    <cfRule type="containsText" dxfId="0" priority="143" operator="between" text="欠">
      <formula>NOT(ISERROR(SEARCH("欠",U571)))</formula>
    </cfRule>
  </conditionalFormatting>
  <conditionalFormatting sqref="S412:S413">
    <cfRule type="containsText" dxfId="0" priority="530" operator="between" text="欠">
      <formula>NOT(ISERROR(SEARCH("欠",S412)))</formula>
    </cfRule>
  </conditionalFormatting>
  <conditionalFormatting sqref="S418:S419">
    <cfRule type="containsText" dxfId="0" priority="510" operator="between" text="欠">
      <formula>NOT(ISERROR(SEARCH("欠",S418)))</formula>
    </cfRule>
  </conditionalFormatting>
  <conditionalFormatting sqref="S437:S439">
    <cfRule type="containsText" dxfId="0" priority="496" operator="between" text="欠">
      <formula>NOT(ISERROR(SEARCH("欠",S437)))</formula>
    </cfRule>
  </conditionalFormatting>
  <conditionalFormatting sqref="S490:S497">
    <cfRule type="containsText" dxfId="0" priority="236" operator="between" text="欠">
      <formula>NOT(ISERROR(SEARCH("欠",S490)))</formula>
    </cfRule>
  </conditionalFormatting>
  <conditionalFormatting sqref="S533:S534">
    <cfRule type="containsText" dxfId="0" priority="114" operator="between" text="欠">
      <formula>NOT(ISERROR(SEARCH("欠",S533)))</formula>
    </cfRule>
  </conditionalFormatting>
  <conditionalFormatting sqref="S544:S549">
    <cfRule type="containsText" dxfId="0" priority="96" operator="between" text="欠">
      <formula>NOT(ISERROR(SEARCH("欠",S544)))</formula>
    </cfRule>
  </conditionalFormatting>
  <conditionalFormatting sqref="S552:S554">
    <cfRule type="containsText" dxfId="0" priority="36" operator="between" text="欠">
      <formula>NOT(ISERROR(SEARCH("欠",S552)))</formula>
    </cfRule>
  </conditionalFormatting>
  <conditionalFormatting sqref="S555:S557">
    <cfRule type="containsText" dxfId="0" priority="78" operator="between" text="欠">
      <formula>NOT(ISERROR(SEARCH("欠",S555)))</formula>
    </cfRule>
  </conditionalFormatting>
  <conditionalFormatting sqref="S566:S567">
    <cfRule type="containsText" dxfId="0" priority="9" operator="between" text="欠">
      <formula>NOT(ISERROR(SEARCH("欠",S566)))</formula>
    </cfRule>
  </conditionalFormatting>
  <conditionalFormatting sqref="T306:T308">
    <cfRule type="containsText" dxfId="0" priority="548" operator="between" text="欠">
      <formula>NOT(ISERROR(SEARCH("欠",T306)))</formula>
    </cfRule>
    <cfRule type="containsText" dxfId="0" priority="549" operator="between" text="欠">
      <formula>NOT(ISERROR(SEARCH("欠",T306)))</formula>
    </cfRule>
  </conditionalFormatting>
  <conditionalFormatting sqref="T442:T448">
    <cfRule type="containsText" dxfId="0" priority="324" operator="between" text="欠">
      <formula>NOT(ISERROR(SEARCH("欠",T442)))</formula>
    </cfRule>
  </conditionalFormatting>
  <conditionalFormatting sqref="T454:T455">
    <cfRule type="containsText" dxfId="0" priority="310" operator="between" text="欠">
      <formula>NOT(ISERROR(SEARCH("欠",T454)))</formula>
    </cfRule>
  </conditionalFormatting>
  <conditionalFormatting sqref="T501:T507">
    <cfRule type="containsText" dxfId="0" priority="135" operator="between" text="欠">
      <formula>NOT(ISERROR(SEARCH("欠",T501)))</formula>
    </cfRule>
  </conditionalFormatting>
  <conditionalFormatting sqref="T530:T531">
    <cfRule type="containsText" dxfId="0" priority="112" operator="between" text="欠">
      <formula>NOT(ISERROR(SEARCH("欠",T530)))</formula>
    </cfRule>
  </conditionalFormatting>
  <conditionalFormatting sqref="T533:T534">
    <cfRule type="containsText" dxfId="0" priority="115" operator="between" text="欠">
      <formula>NOT(ISERROR(SEARCH("欠",T533)))</formula>
    </cfRule>
  </conditionalFormatting>
  <conditionalFormatting sqref="T544:T549">
    <cfRule type="containsText" dxfId="0" priority="91" operator="between" text="欠">
      <formula>NOT(ISERROR(SEARCH("欠",T544)))</formula>
    </cfRule>
  </conditionalFormatting>
  <conditionalFormatting sqref="T552:T554">
    <cfRule type="containsText" dxfId="0" priority="35" operator="between" text="欠">
      <formula>NOT(ISERROR(SEARCH("欠",T552)))</formula>
    </cfRule>
  </conditionalFormatting>
  <conditionalFormatting sqref="T555:T557">
    <cfRule type="containsText" dxfId="0" priority="77" operator="between" text="欠">
      <formula>NOT(ISERROR(SEARCH("欠",T555)))</formula>
    </cfRule>
  </conditionalFormatting>
  <conditionalFormatting sqref="T566:T567">
    <cfRule type="containsText" dxfId="0" priority="8" operator="between" text="欠">
      <formula>NOT(ISERROR(SEARCH("欠",T566)))</formula>
    </cfRule>
  </conditionalFormatting>
  <conditionalFormatting sqref="U306:U308">
    <cfRule type="containsText" dxfId="0" priority="551" operator="between" text="欠">
      <formula>NOT(ISERROR(SEARCH("欠",U306)))</formula>
    </cfRule>
  </conditionalFormatting>
  <conditionalFormatting sqref="U400:U401">
    <cfRule type="containsText" dxfId="0" priority="514" operator="between" text="欠">
      <formula>NOT(ISERROR(SEARCH("欠",U400)))</formula>
    </cfRule>
  </conditionalFormatting>
  <conditionalFormatting sqref="U417:U419">
    <cfRule type="containsText" dxfId="0" priority="511" operator="between" text="欠">
      <formula>NOT(ISERROR(SEARCH("欠",U417)))</formula>
    </cfRule>
  </conditionalFormatting>
  <conditionalFormatting sqref="U442:U448">
    <cfRule type="containsText" dxfId="0" priority="323" operator="between" text="欠">
      <formula>NOT(ISERROR(SEARCH("欠",U442)))</formula>
    </cfRule>
  </conditionalFormatting>
  <conditionalFormatting sqref="U459:U464">
    <cfRule type="containsText" dxfId="0" priority="309" operator="between" text="欠">
      <formula>NOT(ISERROR(SEARCH("欠",U459)))</formula>
    </cfRule>
  </conditionalFormatting>
  <conditionalFormatting sqref="U501:U507">
    <cfRule type="containsText" dxfId="0" priority="134" operator="between" text="欠">
      <formula>NOT(ISERROR(SEARCH("欠",U501)))</formula>
    </cfRule>
  </conditionalFormatting>
  <conditionalFormatting sqref="U533:U534">
    <cfRule type="containsText" dxfId="0" priority="113" operator="between" text="欠">
      <formula>NOT(ISERROR(SEARCH("欠",U533)))</formula>
    </cfRule>
  </conditionalFormatting>
  <conditionalFormatting sqref="U536:U540">
    <cfRule type="containsText" dxfId="0" priority="132" operator="between" text="欠">
      <formula>NOT(ISERROR(SEARCH("欠",U536)))</formula>
    </cfRule>
  </conditionalFormatting>
  <conditionalFormatting sqref="U544:U549">
    <cfRule type="containsText" dxfId="0" priority="86" operator="between" text="欠">
      <formula>NOT(ISERROR(SEARCH("欠",U544)))</formula>
    </cfRule>
  </conditionalFormatting>
  <conditionalFormatting sqref="U552:U554">
    <cfRule type="containsText" dxfId="0" priority="34" operator="between" text="欠">
      <formula>NOT(ISERROR(SEARCH("欠",U552)))</formula>
    </cfRule>
  </conditionalFormatting>
  <conditionalFormatting sqref="U555:U557">
    <cfRule type="containsText" dxfId="0" priority="76" operator="between" text="欠">
      <formula>NOT(ISERROR(SEARCH("欠",U555)))</formula>
    </cfRule>
  </conditionalFormatting>
  <conditionalFormatting sqref="U566:U567">
    <cfRule type="containsText" dxfId="0" priority="7" operator="between" text="欠">
      <formula>NOT(ISERROR(SEARCH("欠",U566)))</formula>
    </cfRule>
  </conditionalFormatting>
  <conditionalFormatting sqref="S1:U215 S217:U223 S225:U227 S235:U235 S237:U237 S239:U241 S246:U248 S272:S273 S285:U290 S294:U294 S296 T297:U297 S298:U300 S309:U310 T416:T419 U424 S572:U1048576">
    <cfRule type="containsText" dxfId="0" priority="623" operator="between" text="欠">
      <formula>NOT(ISERROR(SEARCH("欠",S1)))</formula>
    </cfRule>
  </conditionalFormatting>
  <conditionalFormatting sqref="V63 V76 V84">
    <cfRule type="cellIs" dxfId="1" priority="665" operator="equal">
      <formula>"欠"</formula>
    </cfRule>
  </conditionalFormatting>
  <conditionalFormatting sqref="S228:U229">
    <cfRule type="containsText" dxfId="0" priority="620" operator="between" text="欠">
      <formula>NOT(ISERROR(SEARCH("欠",S228)))</formula>
    </cfRule>
  </conditionalFormatting>
  <conditionalFormatting sqref="S230:U230 S234:U234">
    <cfRule type="containsText" dxfId="0" priority="619" operator="between" text="欠">
      <formula>NOT(ISERROR(SEARCH("欠",S230)))</formula>
    </cfRule>
  </conditionalFormatting>
  <conditionalFormatting sqref="S231:U231 S233:U233">
    <cfRule type="containsText" dxfId="0" priority="617" operator="between" text="欠">
      <formula>NOT(ISERROR(SEARCH("欠",S231)))</formula>
    </cfRule>
  </conditionalFormatting>
  <conditionalFormatting sqref="S232:U232 S297">
    <cfRule type="containsText" dxfId="0" priority="621" operator="between" text="欠">
      <formula>NOT(ISERROR(SEARCH("欠",S232)))</formula>
    </cfRule>
  </conditionalFormatting>
  <conditionalFormatting sqref="S242:U243">
    <cfRule type="containsText" dxfId="0" priority="584" operator="between" text="欠">
      <formula>NOT(ISERROR(SEARCH("欠",S242)))</formula>
    </cfRule>
  </conditionalFormatting>
  <conditionalFormatting sqref="T242:U243">
    <cfRule type="containsText" dxfId="0" priority="583" operator="between" text="欠">
      <formula>NOT(ISERROR(SEARCH("欠",T242)))</formula>
    </cfRule>
  </conditionalFormatting>
  <conditionalFormatting sqref="T247:U248 T272:U273">
    <cfRule type="containsText" dxfId="0" priority="616" operator="between" text="欠">
      <formula>NOT(ISERROR(SEARCH("欠",T247)))</formula>
    </cfRule>
  </conditionalFormatting>
  <conditionalFormatting sqref="S249:U271">
    <cfRule type="containsText" dxfId="0" priority="587" operator="between" text="欠">
      <formula>NOT(ISERROR(SEARCH("欠",S249)))</formula>
    </cfRule>
  </conditionalFormatting>
  <conditionalFormatting sqref="S274:U274 T279:U279 S315">
    <cfRule type="containsText" dxfId="0" priority="618" operator="between" text="欠">
      <formula>NOT(ISERROR(SEARCH("欠",S274)))</formula>
    </cfRule>
  </conditionalFormatting>
  <conditionalFormatting sqref="S275:U278 S279:S281 S292:S293">
    <cfRule type="containsText" dxfId="0" priority="578" operator="between" text="欠">
      <formula>NOT(ISERROR(SEARCH("欠",S275)))</formula>
    </cfRule>
  </conditionalFormatting>
  <conditionalFormatting sqref="T280:U281 T292:U292">
    <cfRule type="containsText" dxfId="0" priority="577" operator="between" text="欠">
      <formula>NOT(ISERROR(SEARCH("欠",T280)))</formula>
    </cfRule>
  </conditionalFormatting>
  <conditionalFormatting sqref="T283:U283 T295">
    <cfRule type="containsText" dxfId="0" priority="569" operator="between" text="欠">
      <formula>NOT(ISERROR(SEARCH("欠",T283)))</formula>
    </cfRule>
  </conditionalFormatting>
  <conditionalFormatting sqref="T301:U301 T433:U433">
    <cfRule type="containsText" dxfId="0" priority="567" operator="between" text="欠">
      <formula>NOT(ISERROR(SEARCH("欠",T301)))</formula>
    </cfRule>
  </conditionalFormatting>
  <conditionalFormatting sqref="S302 S306:S308">
    <cfRule type="containsText" dxfId="0" priority="550" operator="between" text="欠">
      <formula>NOT(ISERROR(SEARCH("欠",S302)))</formula>
    </cfRule>
  </conditionalFormatting>
  <conditionalFormatting sqref="T302 S311:U313 S314 S322:S326 S402:S408 S410:S411 S414:S415 S422 S427:S429 S433 S451:S452">
    <cfRule type="containsText" dxfId="0" priority="554" operator="between" text="欠">
      <formula>NOT(ISERROR(SEARCH("欠",S302)))</formula>
    </cfRule>
  </conditionalFormatting>
  <conditionalFormatting sqref="S303:S305 S424">
    <cfRule type="containsText" dxfId="0" priority="557" operator="between" text="欠">
      <formula>NOT(ISERROR(SEARCH("欠",S303)))</formula>
    </cfRule>
  </conditionalFormatting>
  <conditionalFormatting sqref="T303:U304 T305 T424">
    <cfRule type="containsText" dxfId="0" priority="556" operator="between" text="欠">
      <formula>NOT(ISERROR(SEARCH("欠",T303)))</formula>
    </cfRule>
  </conditionalFormatting>
  <conditionalFormatting sqref="T303:T305 T424">
    <cfRule type="containsText" dxfId="0" priority="555" operator="between" text="欠">
      <formula>NOT(ISERROR(SEARCH("欠",T303)))</formula>
    </cfRule>
  </conditionalFormatting>
  <conditionalFormatting sqref="S316:U321">
    <cfRule type="containsText" dxfId="0" priority="564" operator="between" text="欠">
      <formula>NOT(ISERROR(SEARCH("欠",S316)))</formula>
    </cfRule>
  </conditionalFormatting>
  <conditionalFormatting sqref="T322:U326 T402:U407 T410:U411 T422:U422 T451:U451">
    <cfRule type="containsText" dxfId="0" priority="565" operator="between" text="欠">
      <formula>NOT(ISERROR(SEARCH("欠",T322)))</formula>
    </cfRule>
  </conditionalFormatting>
  <conditionalFormatting sqref="S341 S454:S455">
    <cfRule type="containsText" dxfId="0" priority="437" operator="between" text="欠">
      <formula>NOT(ISERROR(SEARCH("欠",S341)))</formula>
    </cfRule>
  </conditionalFormatting>
  <conditionalFormatting sqref="T341:U341 U454:U455">
    <cfRule type="containsText" dxfId="0" priority="465" operator="between" text="欠">
      <formula>NOT(ISERROR(SEARCH("欠",T341)))</formula>
    </cfRule>
  </conditionalFormatting>
  <conditionalFormatting sqref="S400:S401 S426">
    <cfRule type="containsText" dxfId="0" priority="521" operator="between" text="欠">
      <formula>NOT(ISERROR(SEARCH("欠",S400)))</formula>
    </cfRule>
  </conditionalFormatting>
  <conditionalFormatting sqref="T400:T401 T426">
    <cfRule type="containsText" dxfId="0" priority="519" operator="between" text="欠">
      <formula>NOT(ISERROR(SEARCH("欠",T400)))</formula>
    </cfRule>
  </conditionalFormatting>
  <conditionalFormatting sqref="T400:T401 T426:U426">
    <cfRule type="containsText" dxfId="0" priority="522" operator="between" text="欠">
      <formula>NOT(ISERROR(SEARCH("欠",T400)))</formula>
    </cfRule>
  </conditionalFormatting>
  <conditionalFormatting sqref="U402:U404 U406:U407 U411 T412:U413">
    <cfRule type="containsText" dxfId="0" priority="526" operator="between" text="欠">
      <formula>NOT(ISERROR(SEARCH("欠",T402)))</formula>
    </cfRule>
  </conditionalFormatting>
  <conditionalFormatting sqref="T408 T414:U415 T427:U429">
    <cfRule type="containsText" dxfId="0" priority="528" operator="between" text="欠">
      <formula>NOT(ISERROR(SEARCH("欠",T408)))</formula>
    </cfRule>
  </conditionalFormatting>
  <conditionalFormatting sqref="T409:U409 U416 T423:U423 T425 T434:U436 T450 T453">
    <cfRule type="containsText" dxfId="0" priority="536" operator="between" text="欠">
      <formula>NOT(ISERROR(SEARCH("欠",T409)))</formula>
    </cfRule>
  </conditionalFormatting>
  <conditionalFormatting sqref="S416 S423">
    <cfRule type="containsText" dxfId="0" priority="535" operator="between" text="欠">
      <formula>NOT(ISERROR(SEARCH("欠",S416)))</formula>
    </cfRule>
  </conditionalFormatting>
  <conditionalFormatting sqref="T430 T431:U432">
    <cfRule type="containsText" dxfId="0" priority="509" operator="between" text="欠">
      <formula>NOT(ISERROR(SEARCH("欠",T430)))</formula>
    </cfRule>
  </conditionalFormatting>
  <conditionalFormatting sqref="S431:S432 S434">
    <cfRule type="containsText" dxfId="0" priority="498" operator="between" text="欠">
      <formula>NOT(ISERROR(SEARCH("欠",S431)))</formula>
    </cfRule>
  </conditionalFormatting>
  <conditionalFormatting sqref="S435:S436 S442:S448 S459:S464">
    <cfRule type="containsText" dxfId="0" priority="484" operator="between" text="欠">
      <formula>NOT(ISERROR(SEARCH("欠",S435)))</formula>
    </cfRule>
  </conditionalFormatting>
  <conditionalFormatting sqref="T437:U438">
    <cfRule type="containsText" dxfId="0" priority="497" operator="between" text="欠">
      <formula>NOT(ISERROR(SEARCH("欠",T437)))</formula>
    </cfRule>
  </conditionalFormatting>
  <conditionalFormatting sqref="S441 S449">
    <cfRule type="containsText" dxfId="0" priority="328" operator="between" text="欠">
      <formula>NOT(ISERROR(SEARCH("欠",S441)))</formula>
    </cfRule>
  </conditionalFormatting>
  <conditionalFormatting sqref="U441 U449">
    <cfRule type="containsText" dxfId="0" priority="481" operator="between" text="欠">
      <formula>NOT(ISERROR(SEARCH("欠",U441)))</formula>
    </cfRule>
  </conditionalFormatting>
  <conditionalFormatting sqref="S456 S458">
    <cfRule type="containsText" dxfId="0" priority="531" operator="between" text="欠">
      <formula>NOT(ISERROR(SEARCH("欠",S456)))</formula>
    </cfRule>
  </conditionalFormatting>
  <conditionalFormatting sqref="T456 T459:T464">
    <cfRule type="containsText" dxfId="0" priority="321" operator="between" text="欠">
      <formula>NOT(ISERROR(SEARCH("欠",T456)))</formula>
    </cfRule>
  </conditionalFormatting>
  <conditionalFormatting sqref="S499:S507 S536:S540">
    <cfRule type="containsText" dxfId="0" priority="227" operator="between" text="欠">
      <formula>NOT(ISERROR(SEARCH("欠",S499)))</formula>
    </cfRule>
  </conditionalFormatting>
  <conditionalFormatting sqref="S529:S531 S535 S542:S543 S559:S562">
    <cfRule type="containsText" dxfId="0" priority="226" operator="between" text="欠">
      <formula>NOT(ISERROR(SEARCH("欠",S529)))</formula>
    </cfRule>
  </conditionalFormatting>
  <conditionalFormatting sqref="U530:U531 U535 U542:U543 U559:U562">
    <cfRule type="containsText" dxfId="0" priority="145" operator="between" text="欠">
      <formula>NOT(ISERROR(SEARCH("欠",U530)))</formula>
    </cfRule>
  </conditionalFormatting>
  <conditionalFormatting sqref="S532 S541">
    <cfRule type="containsText" dxfId="0" priority="110" operator="between" text="欠">
      <formula>NOT(ISERROR(SEARCH("欠",S532)))</formula>
    </cfRule>
  </conditionalFormatting>
  <conditionalFormatting sqref="T535:T540 T542:T543 T559:T562">
    <cfRule type="containsText" dxfId="0" priority="185" operator="between" text="欠">
      <formula>NOT(ISERROR(SEARCH("欠",T535)))</formula>
    </cfRule>
  </conditionalFormatting>
  <conditionalFormatting sqref="S563:S565 S568">
    <cfRule type="containsText" dxfId="0" priority="6" operator="between" text="欠">
      <formula>NOT(ISERROR(SEARCH("欠",S563)))</formula>
    </cfRule>
  </conditionalFormatting>
  <conditionalFormatting sqref="T563:T565 T568">
    <cfRule type="containsText" dxfId="0" priority="5" operator="between" text="欠">
      <formula>NOT(ISERROR(SEARCH("欠",T563)))</formula>
    </cfRule>
  </conditionalFormatting>
  <conditionalFormatting sqref="U563:U565 U568">
    <cfRule type="containsText" dxfId="0" priority="4" operator="between" text="欠">
      <formula>NOT(ISERROR(SEARCH("欠",U563)))</formula>
    </cfRule>
  </conditionalFormatting>
  <hyperlinks>
    <hyperlink ref="U456" r:id="rId3" display="care@zuru.com邮箱地址/外包装电池信息翻译做成一张纸贴在彩盒上(贴纸和位置图翻PO#4500160378)+play instruction/to replace battery/battery safety information/WEEE全部信息翻译成德语荷兰语做成贴纸贴在说明书上(位置图覆盖图片&#10; ，不能覆盖其他语言"/>
    <hyperlink ref="U458" r:id="rId3" display="care@zuru.com邮箱地址/外包装电池信息翻译做成一张纸贴在彩盒上(贴纸和位置图翻PO#4500160378)+play instruction/to replace battery/battery safety information/WEEE全部信息翻译成德语荷兰语做成贴纸贴在说明书上(位置图覆盖图片&#10; ，不能覆盖其他语言"/>
  </hyperlinks>
  <pageMargins left="0.15625" right="0.0777777777777778" top="0.590277777777778" bottom="0.55" header="0.235416666666667" footer="0.235416666666667"/>
  <pageSetup paperSize="9" scale="19" orientation="portrait"/>
  <headerFooter>
    <oddHeader>&amp;C&amp;18&amp;BZURU 恐龙，蜘蛛生产排期表</oddHeader>
    <oddFooter>&amp;L制表：黄玲&amp;C日期：&amp;D 第&amp;P页，共&amp;N页&amp;R审核：陈炎</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0"/>
  <sheetViews>
    <sheetView workbookViewId="0">
      <pane xSplit="7" ySplit="3" topLeftCell="H66" activePane="bottomRight" state="frozen"/>
      <selection/>
      <selection pane="topRight"/>
      <selection pane="bottomLeft"/>
      <selection pane="bottomRight" activeCell="N89" sqref="N89"/>
    </sheetView>
  </sheetViews>
  <sheetFormatPr defaultColWidth="9" defaultRowHeight="13.5"/>
  <cols>
    <col min="1" max="1" width="9" style="150"/>
    <col min="2" max="2" width="11.3333333333333" style="150" customWidth="1"/>
    <col min="3" max="3" width="14.5166666666667" style="151" customWidth="1"/>
    <col min="4" max="4" width="15.275" style="151" customWidth="1"/>
    <col min="5" max="5" width="12.875" style="151" customWidth="1"/>
    <col min="6" max="6" width="9.44166666666667" style="151" customWidth="1"/>
    <col min="7" max="7" width="19.3083333333333" style="151" customWidth="1"/>
    <col min="8" max="8" width="13.125" style="151" customWidth="1"/>
    <col min="9" max="9" width="12.325" style="151" customWidth="1"/>
    <col min="10" max="14" width="11.7666666666667" style="151" customWidth="1"/>
    <col min="15" max="15" width="55.85" style="150" customWidth="1"/>
    <col min="16" max="16384" width="9" style="150"/>
  </cols>
  <sheetData>
    <row r="1" ht="14.25"/>
    <row r="2" ht="22.95" customHeight="1" spans="2:15">
      <c r="B2" s="152" t="s">
        <v>2269</v>
      </c>
      <c r="C2" s="153"/>
      <c r="D2" s="153"/>
      <c r="E2" s="153"/>
      <c r="F2" s="153"/>
      <c r="G2" s="153"/>
      <c r="H2" s="153"/>
      <c r="I2" s="153"/>
      <c r="J2" s="153"/>
      <c r="K2" s="153"/>
      <c r="L2" s="153"/>
      <c r="M2" s="153"/>
      <c r="N2" s="153"/>
      <c r="O2" s="179"/>
    </row>
    <row r="3" s="146" customFormat="1" ht="37.95" customHeight="1" spans="1:15">
      <c r="A3" s="154" t="s">
        <v>2270</v>
      </c>
      <c r="B3" s="155" t="s">
        <v>2271</v>
      </c>
      <c r="C3" s="156" t="s">
        <v>2272</v>
      </c>
      <c r="D3" s="156" t="s">
        <v>2273</v>
      </c>
      <c r="E3" s="156" t="s">
        <v>6</v>
      </c>
      <c r="F3" s="156" t="s">
        <v>2274</v>
      </c>
      <c r="G3" s="156" t="s">
        <v>7</v>
      </c>
      <c r="H3" s="156" t="s">
        <v>2275</v>
      </c>
      <c r="I3" s="180" t="s">
        <v>2276</v>
      </c>
      <c r="J3" s="181" t="s">
        <v>38</v>
      </c>
      <c r="K3" s="181" t="s">
        <v>39</v>
      </c>
      <c r="L3" s="181" t="s">
        <v>40</v>
      </c>
      <c r="M3" s="182" t="s">
        <v>2277</v>
      </c>
      <c r="N3" s="182" t="s">
        <v>2278</v>
      </c>
      <c r="O3" s="183" t="s">
        <v>23</v>
      </c>
    </row>
    <row r="4" s="147" customFormat="1" ht="18" customHeight="1" spans="1:15">
      <c r="A4" s="157" t="s">
        <v>2279</v>
      </c>
      <c r="B4" s="158">
        <v>45301</v>
      </c>
      <c r="C4" s="159">
        <v>1000018182</v>
      </c>
      <c r="D4" s="160">
        <v>17007488</v>
      </c>
      <c r="E4" s="161">
        <v>71126</v>
      </c>
      <c r="F4" s="162">
        <v>20000</v>
      </c>
      <c r="G4" s="163" t="s">
        <v>2280</v>
      </c>
      <c r="H4" s="164" t="s">
        <v>2281</v>
      </c>
      <c r="I4" s="178" t="s">
        <v>2282</v>
      </c>
      <c r="J4" s="159">
        <v>20000</v>
      </c>
      <c r="K4" s="159"/>
      <c r="L4" s="159"/>
      <c r="M4" s="184"/>
      <c r="N4" s="184"/>
      <c r="O4" s="185" t="s">
        <v>2283</v>
      </c>
    </row>
    <row r="5" s="147" customFormat="1" ht="19.05" customHeight="1" spans="1:15">
      <c r="A5" s="157" t="s">
        <v>2279</v>
      </c>
      <c r="B5" s="158">
        <v>45301</v>
      </c>
      <c r="C5" s="159">
        <v>1000018183</v>
      </c>
      <c r="D5" s="165">
        <v>17007489</v>
      </c>
      <c r="E5" s="161">
        <v>71126</v>
      </c>
      <c r="F5" s="162">
        <v>20000</v>
      </c>
      <c r="G5" s="166" t="s">
        <v>2284</v>
      </c>
      <c r="H5" s="164" t="s">
        <v>2281</v>
      </c>
      <c r="I5" s="178" t="s">
        <v>2285</v>
      </c>
      <c r="J5" s="159"/>
      <c r="K5" s="159"/>
      <c r="L5" s="159">
        <v>20000</v>
      </c>
      <c r="M5" s="184"/>
      <c r="N5" s="184"/>
      <c r="O5" s="185" t="s">
        <v>2283</v>
      </c>
    </row>
    <row r="6" s="147" customFormat="1" ht="19.05" customHeight="1" spans="1:15">
      <c r="A6" s="157" t="s">
        <v>2279</v>
      </c>
      <c r="B6" s="158">
        <v>45350</v>
      </c>
      <c r="C6" s="159">
        <v>1000018643</v>
      </c>
      <c r="D6" s="165">
        <v>17007488</v>
      </c>
      <c r="E6" s="161">
        <v>71126</v>
      </c>
      <c r="F6" s="162">
        <v>20000</v>
      </c>
      <c r="G6" s="166" t="s">
        <v>2280</v>
      </c>
      <c r="H6" s="164" t="s">
        <v>2281</v>
      </c>
      <c r="I6" s="178" t="s">
        <v>2282</v>
      </c>
      <c r="J6" s="159">
        <v>20000</v>
      </c>
      <c r="K6" s="159"/>
      <c r="L6" s="159"/>
      <c r="M6" s="184"/>
      <c r="N6" s="184"/>
      <c r="O6" s="185"/>
    </row>
    <row r="7" s="147" customFormat="1" ht="19.05" customHeight="1" spans="1:15">
      <c r="A7" s="157" t="s">
        <v>2279</v>
      </c>
      <c r="B7" s="158">
        <v>45350</v>
      </c>
      <c r="C7" s="159">
        <v>1000018650</v>
      </c>
      <c r="D7" s="165">
        <v>17007702</v>
      </c>
      <c r="E7" s="161">
        <v>71126</v>
      </c>
      <c r="F7" s="162">
        <v>10000</v>
      </c>
      <c r="G7" s="166" t="s">
        <v>2280</v>
      </c>
      <c r="H7" s="164" t="s">
        <v>2281</v>
      </c>
      <c r="I7" s="178" t="s">
        <v>2286</v>
      </c>
      <c r="J7" s="159"/>
      <c r="K7" s="159">
        <v>10000</v>
      </c>
      <c r="L7" s="159"/>
      <c r="M7" s="184"/>
      <c r="N7" s="184"/>
      <c r="O7" s="185" t="s">
        <v>2283</v>
      </c>
    </row>
    <row r="8" s="147" customFormat="1" ht="19.05" customHeight="1" spans="1:15">
      <c r="A8" s="157" t="s">
        <v>2279</v>
      </c>
      <c r="B8" s="158">
        <v>45350</v>
      </c>
      <c r="C8" s="159">
        <v>1000018644</v>
      </c>
      <c r="D8" s="165">
        <v>17007489</v>
      </c>
      <c r="E8" s="161">
        <v>71126</v>
      </c>
      <c r="F8" s="162">
        <v>30000</v>
      </c>
      <c r="G8" s="166" t="s">
        <v>2284</v>
      </c>
      <c r="H8" s="164" t="s">
        <v>2281</v>
      </c>
      <c r="I8" s="178" t="s">
        <v>2285</v>
      </c>
      <c r="J8" s="159"/>
      <c r="K8" s="159"/>
      <c r="L8" s="159">
        <v>30000</v>
      </c>
      <c r="M8" s="184"/>
      <c r="N8" s="184"/>
      <c r="O8" s="185"/>
    </row>
    <row r="9" s="147" customFormat="1" ht="19.05" customHeight="1" spans="1:15">
      <c r="A9" s="157" t="s">
        <v>2279</v>
      </c>
      <c r="B9" s="158">
        <v>45371</v>
      </c>
      <c r="C9" s="159">
        <v>1000018990</v>
      </c>
      <c r="D9" s="165">
        <v>17007488</v>
      </c>
      <c r="E9" s="161">
        <v>71126</v>
      </c>
      <c r="F9" s="162">
        <v>70000</v>
      </c>
      <c r="G9" s="166" t="s">
        <v>2280</v>
      </c>
      <c r="H9" s="164" t="s">
        <v>2281</v>
      </c>
      <c r="I9" s="178" t="s">
        <v>2282</v>
      </c>
      <c r="J9" s="159">
        <v>70000</v>
      </c>
      <c r="K9" s="159"/>
      <c r="L9" s="159"/>
      <c r="M9" s="184"/>
      <c r="N9" s="184"/>
      <c r="O9" s="185"/>
    </row>
    <row r="10" s="147" customFormat="1" ht="19.05" customHeight="1" spans="1:15">
      <c r="A10" s="157" t="s">
        <v>2279</v>
      </c>
      <c r="B10" s="158">
        <v>45371</v>
      </c>
      <c r="C10" s="159">
        <v>1000018991</v>
      </c>
      <c r="D10" s="165">
        <v>17007702</v>
      </c>
      <c r="E10" s="161">
        <v>71126</v>
      </c>
      <c r="F10" s="162">
        <v>20000</v>
      </c>
      <c r="G10" s="166" t="s">
        <v>2280</v>
      </c>
      <c r="H10" s="164" t="s">
        <v>2281</v>
      </c>
      <c r="I10" s="178" t="s">
        <v>2286</v>
      </c>
      <c r="J10" s="159"/>
      <c r="K10" s="159">
        <v>20000</v>
      </c>
      <c r="L10" s="159"/>
      <c r="M10" s="184"/>
      <c r="N10" s="184"/>
      <c r="O10" s="185"/>
    </row>
    <row r="11" s="147" customFormat="1" ht="19.05" customHeight="1" spans="1:15">
      <c r="A11" s="157" t="s">
        <v>2279</v>
      </c>
      <c r="B11" s="158">
        <v>45371</v>
      </c>
      <c r="C11" s="159">
        <v>1000018992</v>
      </c>
      <c r="D11" s="165">
        <v>17007489</v>
      </c>
      <c r="E11" s="161">
        <v>71126</v>
      </c>
      <c r="F11" s="162">
        <v>80000</v>
      </c>
      <c r="G11" s="166" t="s">
        <v>2284</v>
      </c>
      <c r="H11" s="164" t="s">
        <v>2281</v>
      </c>
      <c r="I11" s="178" t="s">
        <v>2285</v>
      </c>
      <c r="J11" s="159"/>
      <c r="K11" s="159"/>
      <c r="L11" s="159">
        <v>80000</v>
      </c>
      <c r="M11" s="184"/>
      <c r="N11" s="184"/>
      <c r="O11" s="185"/>
    </row>
    <row r="12" s="147" customFormat="1" ht="19.05" customHeight="1" spans="1:15">
      <c r="A12" s="157" t="s">
        <v>2279</v>
      </c>
      <c r="B12" s="158">
        <v>45392</v>
      </c>
      <c r="C12" s="159">
        <v>1000019447</v>
      </c>
      <c r="D12" s="165">
        <v>17007488</v>
      </c>
      <c r="E12" s="161">
        <v>71126</v>
      </c>
      <c r="F12" s="162">
        <v>60000</v>
      </c>
      <c r="G12" s="166" t="s">
        <v>2280</v>
      </c>
      <c r="H12" s="164" t="s">
        <v>2281</v>
      </c>
      <c r="I12" s="178" t="s">
        <v>2282</v>
      </c>
      <c r="J12" s="159">
        <v>60000</v>
      </c>
      <c r="K12" s="159"/>
      <c r="L12" s="159"/>
      <c r="M12" s="184"/>
      <c r="N12" s="184"/>
      <c r="O12" s="185"/>
    </row>
    <row r="13" s="147" customFormat="1" ht="19.05" customHeight="1" spans="1:15">
      <c r="A13" s="157" t="s">
        <v>2279</v>
      </c>
      <c r="B13" s="158">
        <v>45392</v>
      </c>
      <c r="C13" s="159">
        <v>1000019448</v>
      </c>
      <c r="D13" s="165">
        <v>17007489</v>
      </c>
      <c r="E13" s="161">
        <v>71126</v>
      </c>
      <c r="F13" s="162">
        <v>40000</v>
      </c>
      <c r="G13" s="166" t="s">
        <v>2284</v>
      </c>
      <c r="H13" s="164" t="s">
        <v>2281</v>
      </c>
      <c r="I13" s="178" t="s">
        <v>2285</v>
      </c>
      <c r="J13" s="159"/>
      <c r="K13" s="159"/>
      <c r="L13" s="159">
        <v>40000</v>
      </c>
      <c r="M13" s="184"/>
      <c r="N13" s="184"/>
      <c r="O13" s="185"/>
    </row>
    <row r="14" s="147" customFormat="1" ht="19.05" customHeight="1" spans="1:15">
      <c r="A14" s="157" t="s">
        <v>2287</v>
      </c>
      <c r="B14" s="158">
        <v>45408</v>
      </c>
      <c r="C14" s="159"/>
      <c r="D14" s="165"/>
      <c r="E14" s="161" t="s">
        <v>2288</v>
      </c>
      <c r="F14" s="162">
        <v>1060</v>
      </c>
      <c r="G14" s="166" t="s">
        <v>2289</v>
      </c>
      <c r="H14" s="164" t="s">
        <v>1169</v>
      </c>
      <c r="I14" s="178"/>
      <c r="J14" s="159"/>
      <c r="K14" s="159"/>
      <c r="L14" s="159"/>
      <c r="M14" s="184">
        <v>1060</v>
      </c>
      <c r="N14" s="184"/>
      <c r="O14" s="185" t="s">
        <v>2290</v>
      </c>
    </row>
    <row r="15" s="147" customFormat="1" ht="19.05" customHeight="1" spans="1:15">
      <c r="A15" s="157" t="s">
        <v>2279</v>
      </c>
      <c r="B15" s="158">
        <v>45426</v>
      </c>
      <c r="C15" s="159">
        <v>1000020365</v>
      </c>
      <c r="D15" s="165">
        <v>17007488</v>
      </c>
      <c r="E15" s="161">
        <v>71126</v>
      </c>
      <c r="F15" s="162">
        <v>80000</v>
      </c>
      <c r="G15" s="166" t="s">
        <v>2280</v>
      </c>
      <c r="H15" s="164" t="s">
        <v>2281</v>
      </c>
      <c r="I15" s="178" t="s">
        <v>2282</v>
      </c>
      <c r="J15" s="159">
        <v>80000</v>
      </c>
      <c r="K15" s="159"/>
      <c r="L15" s="159"/>
      <c r="M15" s="184"/>
      <c r="N15" s="184"/>
      <c r="O15" s="185"/>
    </row>
    <row r="16" s="147" customFormat="1" ht="19.05" customHeight="1" spans="1:15">
      <c r="A16" s="157" t="s">
        <v>2279</v>
      </c>
      <c r="B16" s="158">
        <v>45426</v>
      </c>
      <c r="C16" s="159">
        <v>1000020366</v>
      </c>
      <c r="D16" s="165">
        <v>17007702</v>
      </c>
      <c r="E16" s="161">
        <v>71126</v>
      </c>
      <c r="F16" s="162">
        <v>40000</v>
      </c>
      <c r="G16" s="166" t="s">
        <v>2280</v>
      </c>
      <c r="H16" s="164" t="s">
        <v>2281</v>
      </c>
      <c r="I16" s="178" t="s">
        <v>2286</v>
      </c>
      <c r="J16" s="159"/>
      <c r="K16" s="159">
        <v>40000</v>
      </c>
      <c r="L16" s="159"/>
      <c r="M16" s="184"/>
      <c r="N16" s="184"/>
      <c r="O16" s="185"/>
    </row>
    <row r="17" s="147" customFormat="1" ht="19.05" customHeight="1" spans="1:15">
      <c r="A17" s="157" t="s">
        <v>2279</v>
      </c>
      <c r="B17" s="158">
        <v>45426</v>
      </c>
      <c r="C17" s="159">
        <v>1000020371</v>
      </c>
      <c r="D17" s="165">
        <v>17008304</v>
      </c>
      <c r="E17" s="161">
        <v>71126</v>
      </c>
      <c r="F17" s="162">
        <v>140000</v>
      </c>
      <c r="G17" s="166" t="s">
        <v>2284</v>
      </c>
      <c r="H17" s="164" t="s">
        <v>2291</v>
      </c>
      <c r="I17" s="178" t="s">
        <v>2285</v>
      </c>
      <c r="J17" s="159"/>
      <c r="K17" s="159"/>
      <c r="L17" s="159">
        <v>140000</v>
      </c>
      <c r="M17" s="184"/>
      <c r="N17" s="184"/>
      <c r="O17" s="185" t="s">
        <v>2292</v>
      </c>
    </row>
    <row r="18" s="147" customFormat="1" ht="19.05" customHeight="1" spans="1:15">
      <c r="A18" s="157" t="s">
        <v>2293</v>
      </c>
      <c r="B18" s="158">
        <v>45449</v>
      </c>
      <c r="C18" s="159">
        <v>1000020942</v>
      </c>
      <c r="D18" s="165">
        <v>17007488</v>
      </c>
      <c r="E18" s="161">
        <v>71126</v>
      </c>
      <c r="F18" s="162">
        <v>50000</v>
      </c>
      <c r="G18" s="166" t="s">
        <v>2280</v>
      </c>
      <c r="H18" s="164" t="s">
        <v>2281</v>
      </c>
      <c r="I18" s="178" t="s">
        <v>2282</v>
      </c>
      <c r="J18" s="159">
        <v>50000</v>
      </c>
      <c r="K18" s="159"/>
      <c r="L18" s="159"/>
      <c r="M18" s="184"/>
      <c r="N18" s="184"/>
      <c r="O18" s="185"/>
    </row>
    <row r="19" s="147" customFormat="1" ht="19.05" customHeight="1" spans="1:15">
      <c r="A19" s="157" t="s">
        <v>2293</v>
      </c>
      <c r="B19" s="158">
        <v>45449</v>
      </c>
      <c r="C19" s="159">
        <v>1000020943</v>
      </c>
      <c r="D19" s="165">
        <v>17007702</v>
      </c>
      <c r="E19" s="161">
        <v>71126</v>
      </c>
      <c r="F19" s="162">
        <v>20000</v>
      </c>
      <c r="G19" s="166" t="s">
        <v>2280</v>
      </c>
      <c r="H19" s="164" t="s">
        <v>2281</v>
      </c>
      <c r="I19" s="178" t="s">
        <v>2286</v>
      </c>
      <c r="J19" s="159"/>
      <c r="K19" s="159">
        <v>20000</v>
      </c>
      <c r="L19" s="159"/>
      <c r="M19" s="184"/>
      <c r="N19" s="184"/>
      <c r="O19" s="185"/>
    </row>
    <row r="20" s="147" customFormat="1" ht="19.05" customHeight="1" spans="1:15">
      <c r="A20" s="157" t="s">
        <v>2293</v>
      </c>
      <c r="B20" s="158">
        <v>45449</v>
      </c>
      <c r="C20" s="159">
        <v>1000020944</v>
      </c>
      <c r="D20" s="165">
        <v>17008304</v>
      </c>
      <c r="E20" s="161">
        <v>71126</v>
      </c>
      <c r="F20" s="162">
        <v>50000</v>
      </c>
      <c r="G20" s="166" t="s">
        <v>2284</v>
      </c>
      <c r="H20" s="164" t="s">
        <v>2291</v>
      </c>
      <c r="I20" s="178" t="s">
        <v>2285</v>
      </c>
      <c r="J20" s="159"/>
      <c r="K20" s="159"/>
      <c r="L20" s="159">
        <v>50000</v>
      </c>
      <c r="M20" s="184"/>
      <c r="N20" s="184"/>
      <c r="O20" s="185"/>
    </row>
    <row r="21" s="147" customFormat="1" ht="19.05" customHeight="1" spans="1:15">
      <c r="A21" s="157" t="s">
        <v>2293</v>
      </c>
      <c r="B21" s="158">
        <v>45463</v>
      </c>
      <c r="C21" s="159">
        <v>1000021201</v>
      </c>
      <c r="D21" s="165">
        <v>17007702</v>
      </c>
      <c r="E21" s="161">
        <v>71126</v>
      </c>
      <c r="F21" s="162">
        <v>20000</v>
      </c>
      <c r="G21" s="166" t="s">
        <v>2280</v>
      </c>
      <c r="H21" s="164" t="s">
        <v>2281</v>
      </c>
      <c r="I21" s="178" t="s">
        <v>2286</v>
      </c>
      <c r="J21" s="159"/>
      <c r="K21" s="159">
        <v>20000</v>
      </c>
      <c r="L21" s="159"/>
      <c r="M21" s="184"/>
      <c r="N21" s="184"/>
      <c r="O21" s="185"/>
    </row>
    <row r="22" s="146" customFormat="1" ht="18" customHeight="1" spans="1:15">
      <c r="A22" s="157" t="s">
        <v>2293</v>
      </c>
      <c r="B22" s="158">
        <v>45490</v>
      </c>
      <c r="C22" s="167">
        <v>1000021918</v>
      </c>
      <c r="D22" s="168">
        <v>17007488</v>
      </c>
      <c r="E22" s="161">
        <v>71126</v>
      </c>
      <c r="F22" s="167"/>
      <c r="G22" s="163" t="s">
        <v>2280</v>
      </c>
      <c r="H22" s="167" t="s">
        <v>2281</v>
      </c>
      <c r="I22" s="186" t="s">
        <v>2282</v>
      </c>
      <c r="J22" s="167">
        <v>30000</v>
      </c>
      <c r="K22" s="167"/>
      <c r="L22" s="167"/>
      <c r="M22" s="186"/>
      <c r="N22" s="186"/>
      <c r="O22" s="187"/>
    </row>
    <row r="23" s="146" customFormat="1" ht="18" customHeight="1" spans="1:15">
      <c r="A23" s="157" t="s">
        <v>2293</v>
      </c>
      <c r="B23" s="158">
        <v>45490</v>
      </c>
      <c r="C23" s="167">
        <v>1000021919</v>
      </c>
      <c r="D23" s="168">
        <v>17008304</v>
      </c>
      <c r="E23" s="161">
        <v>71126</v>
      </c>
      <c r="F23" s="167"/>
      <c r="G23" s="163" t="s">
        <v>2284</v>
      </c>
      <c r="H23" s="167" t="s">
        <v>2291</v>
      </c>
      <c r="I23" s="186" t="s">
        <v>2285</v>
      </c>
      <c r="J23" s="167"/>
      <c r="K23" s="167"/>
      <c r="L23" s="167">
        <v>50000</v>
      </c>
      <c r="M23" s="186"/>
      <c r="N23" s="186"/>
      <c r="O23" s="187"/>
    </row>
    <row r="24" s="148" customFormat="1" ht="19.05" customHeight="1" spans="1:15">
      <c r="A24" s="169" t="s">
        <v>2293</v>
      </c>
      <c r="B24" s="170">
        <v>45506</v>
      </c>
      <c r="C24" s="171">
        <v>1000022267</v>
      </c>
      <c r="D24" s="172">
        <v>17007488</v>
      </c>
      <c r="E24" s="173">
        <v>71126</v>
      </c>
      <c r="F24" s="174">
        <v>30000</v>
      </c>
      <c r="G24" s="175" t="s">
        <v>2280</v>
      </c>
      <c r="H24" s="176" t="s">
        <v>2281</v>
      </c>
      <c r="I24" s="177" t="s">
        <v>2282</v>
      </c>
      <c r="J24" s="171">
        <v>30000</v>
      </c>
      <c r="K24" s="171"/>
      <c r="L24" s="171"/>
      <c r="M24" s="188"/>
      <c r="N24" s="188"/>
      <c r="O24" s="189"/>
    </row>
    <row r="25" s="148" customFormat="1" ht="19.05" customHeight="1" spans="1:15">
      <c r="A25" s="169" t="s">
        <v>2293</v>
      </c>
      <c r="B25" s="170">
        <v>45506</v>
      </c>
      <c r="C25" s="171">
        <v>1000022268</v>
      </c>
      <c r="D25" s="172">
        <v>17008304</v>
      </c>
      <c r="E25" s="173">
        <v>71126</v>
      </c>
      <c r="F25" s="174">
        <v>40000</v>
      </c>
      <c r="G25" s="175" t="s">
        <v>2284</v>
      </c>
      <c r="H25" s="176" t="s">
        <v>2291</v>
      </c>
      <c r="I25" s="177" t="s">
        <v>2285</v>
      </c>
      <c r="J25" s="171"/>
      <c r="K25" s="171"/>
      <c r="L25" s="171">
        <v>40000</v>
      </c>
      <c r="M25" s="188"/>
      <c r="N25" s="188"/>
      <c r="O25" s="189"/>
    </row>
    <row r="26" s="148" customFormat="1" ht="19.05" customHeight="1" spans="1:15">
      <c r="A26" s="169"/>
      <c r="B26" s="170">
        <v>45534</v>
      </c>
      <c r="C26" s="171">
        <v>1000022816</v>
      </c>
      <c r="D26" s="172">
        <v>17007702</v>
      </c>
      <c r="E26" s="173">
        <v>71126</v>
      </c>
      <c r="F26" s="174">
        <v>3000</v>
      </c>
      <c r="G26" s="175" t="s">
        <v>2280</v>
      </c>
      <c r="H26" s="176" t="s">
        <v>2281</v>
      </c>
      <c r="I26" s="177" t="s">
        <v>2286</v>
      </c>
      <c r="J26" s="171"/>
      <c r="K26" s="171">
        <v>3000</v>
      </c>
      <c r="L26" s="171"/>
      <c r="M26" s="188"/>
      <c r="N26" s="188"/>
      <c r="O26" s="189"/>
    </row>
    <row r="27" s="148" customFormat="1" ht="19.05" customHeight="1" spans="1:15">
      <c r="A27" s="169"/>
      <c r="B27" s="170">
        <v>45538</v>
      </c>
      <c r="C27" s="171">
        <v>1000022866</v>
      </c>
      <c r="D27" s="172">
        <v>17007488</v>
      </c>
      <c r="E27" s="173">
        <v>71126</v>
      </c>
      <c r="F27" s="174">
        <v>10000</v>
      </c>
      <c r="G27" s="175" t="s">
        <v>2280</v>
      </c>
      <c r="H27" s="176" t="s">
        <v>2281</v>
      </c>
      <c r="I27" s="177" t="s">
        <v>2282</v>
      </c>
      <c r="J27" s="171">
        <v>10000</v>
      </c>
      <c r="K27" s="171"/>
      <c r="L27" s="171"/>
      <c r="M27" s="188"/>
      <c r="N27" s="188"/>
      <c r="O27" s="189"/>
    </row>
    <row r="28" s="148" customFormat="1" ht="19.05" customHeight="1" spans="1:15">
      <c r="A28" s="169"/>
      <c r="B28" s="170">
        <v>45538</v>
      </c>
      <c r="C28" s="171">
        <v>1000022867</v>
      </c>
      <c r="D28" s="172">
        <v>17008304</v>
      </c>
      <c r="E28" s="173">
        <v>71126</v>
      </c>
      <c r="F28" s="174">
        <v>20000</v>
      </c>
      <c r="G28" s="175" t="s">
        <v>2284</v>
      </c>
      <c r="H28" s="176" t="s">
        <v>2291</v>
      </c>
      <c r="I28" s="177" t="s">
        <v>2285</v>
      </c>
      <c r="J28" s="171"/>
      <c r="K28" s="171"/>
      <c r="L28" s="171">
        <v>20000</v>
      </c>
      <c r="M28" s="188"/>
      <c r="N28" s="188"/>
      <c r="O28" s="189"/>
    </row>
    <row r="29" s="148" customFormat="1" ht="19.05" customHeight="1" spans="1:15">
      <c r="A29" s="169"/>
      <c r="B29" s="170">
        <v>45538</v>
      </c>
      <c r="C29" s="171">
        <v>1000022868</v>
      </c>
      <c r="D29" s="172">
        <v>17007702</v>
      </c>
      <c r="E29" s="173">
        <v>71126</v>
      </c>
      <c r="F29" s="174">
        <v>10000</v>
      </c>
      <c r="G29" s="175" t="s">
        <v>2280</v>
      </c>
      <c r="H29" s="176" t="s">
        <v>2281</v>
      </c>
      <c r="I29" s="177" t="s">
        <v>2286</v>
      </c>
      <c r="J29" s="171"/>
      <c r="K29" s="171">
        <v>10000</v>
      </c>
      <c r="L29" s="171"/>
      <c r="M29" s="188"/>
      <c r="N29" s="188"/>
      <c r="O29" s="189"/>
    </row>
    <row r="30" s="148" customFormat="1" ht="18" customHeight="1" spans="1:15">
      <c r="A30" s="169" t="s">
        <v>2293</v>
      </c>
      <c r="B30" s="170">
        <v>45581</v>
      </c>
      <c r="C30" s="171">
        <v>1000023723</v>
      </c>
      <c r="D30" s="172">
        <v>17007488</v>
      </c>
      <c r="E30" s="173">
        <v>71126</v>
      </c>
      <c r="F30" s="174">
        <v>30000</v>
      </c>
      <c r="G30" s="175" t="s">
        <v>2280</v>
      </c>
      <c r="H30" s="176" t="s">
        <v>2281</v>
      </c>
      <c r="I30" s="177" t="s">
        <v>2282</v>
      </c>
      <c r="J30" s="171">
        <v>30000</v>
      </c>
      <c r="K30" s="171"/>
      <c r="L30" s="171"/>
      <c r="M30" s="188"/>
      <c r="N30" s="188"/>
      <c r="O30" s="189"/>
    </row>
    <row r="31" s="148" customFormat="1" ht="18" customHeight="1" spans="1:15">
      <c r="A31" s="169" t="s">
        <v>2293</v>
      </c>
      <c r="B31" s="170">
        <v>45581</v>
      </c>
      <c r="C31" s="171">
        <v>1000023724</v>
      </c>
      <c r="D31" s="172">
        <v>17008304</v>
      </c>
      <c r="E31" s="173">
        <v>71126</v>
      </c>
      <c r="F31" s="174">
        <v>30000</v>
      </c>
      <c r="G31" s="175" t="s">
        <v>2284</v>
      </c>
      <c r="H31" s="176" t="s">
        <v>2291</v>
      </c>
      <c r="I31" s="177" t="s">
        <v>2285</v>
      </c>
      <c r="J31" s="171"/>
      <c r="K31" s="171"/>
      <c r="L31" s="171">
        <v>30000</v>
      </c>
      <c r="M31" s="188"/>
      <c r="N31" s="188"/>
      <c r="O31" s="189"/>
    </row>
    <row r="32" s="148" customFormat="1" ht="18" customHeight="1" spans="1:15">
      <c r="A32" s="169"/>
      <c r="B32" s="170">
        <v>45594</v>
      </c>
      <c r="C32" s="171">
        <v>1000024051</v>
      </c>
      <c r="D32" s="172">
        <v>17007488</v>
      </c>
      <c r="E32" s="173">
        <v>71126</v>
      </c>
      <c r="F32" s="174">
        <v>20000</v>
      </c>
      <c r="G32" s="175" t="s">
        <v>2280</v>
      </c>
      <c r="H32" s="176" t="s">
        <v>2281</v>
      </c>
      <c r="I32" s="177" t="s">
        <v>2282</v>
      </c>
      <c r="J32" s="171">
        <v>20000</v>
      </c>
      <c r="K32" s="171"/>
      <c r="L32" s="171"/>
      <c r="M32" s="188"/>
      <c r="N32" s="188"/>
      <c r="O32" s="189"/>
    </row>
    <row r="33" s="148" customFormat="1" ht="18" customHeight="1" spans="1:15">
      <c r="A33" s="169"/>
      <c r="B33" s="170">
        <v>45594</v>
      </c>
      <c r="C33" s="171">
        <v>1000024052</v>
      </c>
      <c r="D33" s="172">
        <v>17007702</v>
      </c>
      <c r="E33" s="173">
        <v>71126</v>
      </c>
      <c r="F33" s="174">
        <v>10000</v>
      </c>
      <c r="G33" s="175" t="s">
        <v>2280</v>
      </c>
      <c r="H33" s="176" t="s">
        <v>2281</v>
      </c>
      <c r="I33" s="177" t="s">
        <v>2286</v>
      </c>
      <c r="J33" s="171"/>
      <c r="K33" s="171">
        <v>10000</v>
      </c>
      <c r="L33" s="171"/>
      <c r="M33" s="188"/>
      <c r="N33" s="188"/>
      <c r="O33" s="189"/>
    </row>
    <row r="34" s="148" customFormat="1" ht="18" customHeight="1" spans="1:15">
      <c r="A34" s="169"/>
      <c r="B34" s="170">
        <v>45594</v>
      </c>
      <c r="C34" s="171">
        <v>1000024053</v>
      </c>
      <c r="D34" s="172">
        <v>17008304</v>
      </c>
      <c r="E34" s="173">
        <v>71126</v>
      </c>
      <c r="F34" s="174">
        <v>20000</v>
      </c>
      <c r="G34" s="175" t="s">
        <v>2284</v>
      </c>
      <c r="H34" s="176" t="s">
        <v>2291</v>
      </c>
      <c r="I34" s="177" t="s">
        <v>2285</v>
      </c>
      <c r="J34" s="171"/>
      <c r="K34" s="171"/>
      <c r="L34" s="171">
        <v>20000</v>
      </c>
      <c r="M34" s="188"/>
      <c r="N34" s="188"/>
      <c r="O34" s="189"/>
    </row>
    <row r="35" s="148" customFormat="1" ht="18" customHeight="1" spans="1:15">
      <c r="A35" s="169" t="s">
        <v>2293</v>
      </c>
      <c r="B35" s="170">
        <v>45608</v>
      </c>
      <c r="C35" s="171">
        <v>1000024395</v>
      </c>
      <c r="D35" s="172">
        <v>17007488</v>
      </c>
      <c r="E35" s="173">
        <v>71126</v>
      </c>
      <c r="F35" s="174">
        <v>30000</v>
      </c>
      <c r="G35" s="175" t="s">
        <v>2280</v>
      </c>
      <c r="H35" s="176" t="s">
        <v>2281</v>
      </c>
      <c r="I35" s="177" t="s">
        <v>2282</v>
      </c>
      <c r="J35" s="171">
        <v>30000</v>
      </c>
      <c r="K35" s="171"/>
      <c r="L35" s="171"/>
      <c r="M35" s="188"/>
      <c r="N35" s="188"/>
      <c r="O35" s="189"/>
    </row>
    <row r="36" s="148" customFormat="1" ht="18" customHeight="1" spans="1:15">
      <c r="A36" s="169" t="s">
        <v>2293</v>
      </c>
      <c r="B36" s="170">
        <v>45608</v>
      </c>
      <c r="C36" s="171">
        <v>1000024396</v>
      </c>
      <c r="D36" s="172">
        <v>17007702</v>
      </c>
      <c r="E36" s="173">
        <v>71126</v>
      </c>
      <c r="F36" s="174">
        <v>10000</v>
      </c>
      <c r="G36" s="175" t="s">
        <v>2280</v>
      </c>
      <c r="H36" s="176" t="s">
        <v>2281</v>
      </c>
      <c r="I36" s="177" t="s">
        <v>2286</v>
      </c>
      <c r="J36" s="171"/>
      <c r="K36" s="171">
        <v>10000</v>
      </c>
      <c r="L36" s="171"/>
      <c r="M36" s="188"/>
      <c r="N36" s="188"/>
      <c r="O36" s="189"/>
    </row>
    <row r="37" s="148" customFormat="1" ht="18" customHeight="1" spans="1:15">
      <c r="A37" s="169" t="s">
        <v>2293</v>
      </c>
      <c r="B37" s="170">
        <v>45608</v>
      </c>
      <c r="C37" s="171">
        <v>1000024397</v>
      </c>
      <c r="D37" s="172">
        <v>17008304</v>
      </c>
      <c r="E37" s="173">
        <v>71126</v>
      </c>
      <c r="F37" s="174">
        <v>50000</v>
      </c>
      <c r="G37" s="175" t="s">
        <v>2284</v>
      </c>
      <c r="H37" s="176" t="s">
        <v>2291</v>
      </c>
      <c r="I37" s="177" t="s">
        <v>2285</v>
      </c>
      <c r="J37" s="171"/>
      <c r="K37" s="171"/>
      <c r="L37" s="171">
        <v>50000</v>
      </c>
      <c r="M37" s="188"/>
      <c r="N37" s="188"/>
      <c r="O37" s="189"/>
    </row>
    <row r="38" s="146" customFormat="1" ht="18" customHeight="1" spans="1:15">
      <c r="A38" s="169" t="s">
        <v>2293</v>
      </c>
      <c r="B38" s="170">
        <v>45622</v>
      </c>
      <c r="C38" s="172">
        <v>1000024739</v>
      </c>
      <c r="D38" s="172">
        <v>17007488</v>
      </c>
      <c r="E38" s="173">
        <v>71126</v>
      </c>
      <c r="F38" s="174">
        <v>20000</v>
      </c>
      <c r="G38" s="175" t="s">
        <v>2280</v>
      </c>
      <c r="H38" s="176" t="s">
        <v>2281</v>
      </c>
      <c r="I38" s="177" t="s">
        <v>2282</v>
      </c>
      <c r="J38" s="171">
        <v>20000</v>
      </c>
      <c r="K38" s="171"/>
      <c r="L38" s="171"/>
      <c r="M38" s="188"/>
      <c r="N38" s="188"/>
      <c r="O38" s="187"/>
    </row>
    <row r="39" s="146" customFormat="1" ht="18" customHeight="1" spans="1:15">
      <c r="A39" s="169" t="s">
        <v>2293</v>
      </c>
      <c r="B39" s="170">
        <v>45622</v>
      </c>
      <c r="C39" s="172">
        <v>1000024740</v>
      </c>
      <c r="D39" s="172">
        <v>17007702</v>
      </c>
      <c r="E39" s="173">
        <v>71126</v>
      </c>
      <c r="F39" s="174">
        <v>10000</v>
      </c>
      <c r="G39" s="175" t="s">
        <v>2280</v>
      </c>
      <c r="H39" s="176" t="s">
        <v>2281</v>
      </c>
      <c r="I39" s="177" t="s">
        <v>2286</v>
      </c>
      <c r="J39" s="171"/>
      <c r="K39" s="171">
        <v>10000</v>
      </c>
      <c r="L39" s="171"/>
      <c r="M39" s="188"/>
      <c r="N39" s="188"/>
      <c r="O39" s="187"/>
    </row>
    <row r="40" s="146" customFormat="1" ht="18" customHeight="1" spans="1:15">
      <c r="A40" s="169" t="s">
        <v>2293</v>
      </c>
      <c r="B40" s="170">
        <v>45622</v>
      </c>
      <c r="C40" s="172">
        <v>1000024741</v>
      </c>
      <c r="D40" s="172">
        <v>17008304</v>
      </c>
      <c r="E40" s="173">
        <v>71126</v>
      </c>
      <c r="F40" s="174">
        <v>20000</v>
      </c>
      <c r="G40" s="175" t="s">
        <v>2284</v>
      </c>
      <c r="H40" s="176" t="s">
        <v>2291</v>
      </c>
      <c r="I40" s="177" t="s">
        <v>2285</v>
      </c>
      <c r="J40" s="171"/>
      <c r="K40" s="171"/>
      <c r="L40" s="171">
        <v>20000</v>
      </c>
      <c r="M40" s="188"/>
      <c r="N40" s="188"/>
      <c r="O40" s="187"/>
    </row>
    <row r="41" s="146" customFormat="1" ht="18" customHeight="1" spans="1:15">
      <c r="A41" s="169" t="s">
        <v>2293</v>
      </c>
      <c r="B41" s="170">
        <v>45644</v>
      </c>
      <c r="C41" s="172">
        <v>1000025242</v>
      </c>
      <c r="D41" s="172">
        <v>17007488</v>
      </c>
      <c r="E41" s="173">
        <v>71126</v>
      </c>
      <c r="F41" s="174">
        <v>60000</v>
      </c>
      <c r="G41" s="175" t="s">
        <v>2280</v>
      </c>
      <c r="H41" s="176" t="s">
        <v>2281</v>
      </c>
      <c r="I41" s="177" t="s">
        <v>2282</v>
      </c>
      <c r="J41" s="171">
        <v>60000</v>
      </c>
      <c r="K41" s="171"/>
      <c r="L41" s="171"/>
      <c r="M41" s="188"/>
      <c r="N41" s="188"/>
      <c r="O41" s="187"/>
    </row>
    <row r="42" s="146" customFormat="1" ht="18" customHeight="1" spans="1:15">
      <c r="A42" s="169" t="s">
        <v>2293</v>
      </c>
      <c r="B42" s="170">
        <v>45644</v>
      </c>
      <c r="C42" s="172">
        <v>1000025243</v>
      </c>
      <c r="D42" s="172">
        <v>17007702</v>
      </c>
      <c r="E42" s="173">
        <v>71126</v>
      </c>
      <c r="F42" s="174">
        <v>10000</v>
      </c>
      <c r="G42" s="175" t="s">
        <v>2280</v>
      </c>
      <c r="H42" s="176" t="s">
        <v>2281</v>
      </c>
      <c r="I42" s="177" t="s">
        <v>2286</v>
      </c>
      <c r="J42" s="171"/>
      <c r="K42" s="171">
        <v>10000</v>
      </c>
      <c r="L42" s="171"/>
      <c r="M42" s="188"/>
      <c r="N42" s="188"/>
      <c r="O42" s="187"/>
    </row>
    <row r="43" s="146" customFormat="1" ht="18" customHeight="1" spans="1:15">
      <c r="A43" s="169" t="s">
        <v>2293</v>
      </c>
      <c r="B43" s="170">
        <v>45644</v>
      </c>
      <c r="C43" s="172">
        <v>1000025244</v>
      </c>
      <c r="D43" s="172">
        <v>17008304</v>
      </c>
      <c r="E43" s="173">
        <v>71126</v>
      </c>
      <c r="F43" s="174">
        <v>80000</v>
      </c>
      <c r="G43" s="175" t="s">
        <v>2284</v>
      </c>
      <c r="H43" s="176" t="s">
        <v>2291</v>
      </c>
      <c r="I43" s="177" t="s">
        <v>2285</v>
      </c>
      <c r="J43" s="171"/>
      <c r="K43" s="171"/>
      <c r="L43" s="171">
        <v>80000</v>
      </c>
      <c r="M43" s="188"/>
      <c r="N43" s="188"/>
      <c r="O43" s="187"/>
    </row>
    <row r="44" s="146" customFormat="1" ht="18" customHeight="1" spans="1:15">
      <c r="A44" s="169" t="s">
        <v>2293</v>
      </c>
      <c r="B44" s="170">
        <v>45678</v>
      </c>
      <c r="C44" s="172">
        <v>1000025618</v>
      </c>
      <c r="D44" s="172">
        <v>17007488</v>
      </c>
      <c r="E44" s="173">
        <v>71126</v>
      </c>
      <c r="F44" s="174">
        <v>20000</v>
      </c>
      <c r="G44" s="175" t="s">
        <v>2280</v>
      </c>
      <c r="H44" s="177" t="s">
        <v>2281</v>
      </c>
      <c r="I44" s="176" t="s">
        <v>2282</v>
      </c>
      <c r="J44" s="171">
        <v>20000</v>
      </c>
      <c r="K44" s="171"/>
      <c r="L44" s="171"/>
      <c r="M44" s="188"/>
      <c r="N44" s="188"/>
      <c r="O44" s="187"/>
    </row>
    <row r="45" s="146" customFormat="1" ht="18" customHeight="1" spans="1:15">
      <c r="A45" s="169" t="s">
        <v>2293</v>
      </c>
      <c r="B45" s="170">
        <v>45678</v>
      </c>
      <c r="C45" s="172">
        <v>1000025619</v>
      </c>
      <c r="D45" s="172">
        <v>17008304</v>
      </c>
      <c r="E45" s="173">
        <v>71126</v>
      </c>
      <c r="F45" s="174">
        <v>10000</v>
      </c>
      <c r="G45" s="175" t="s">
        <v>2284</v>
      </c>
      <c r="H45" s="177" t="s">
        <v>2291</v>
      </c>
      <c r="I45" s="176" t="s">
        <v>2285</v>
      </c>
      <c r="J45" s="176"/>
      <c r="K45" s="171"/>
      <c r="L45" s="171">
        <v>10000</v>
      </c>
      <c r="M45" s="188"/>
      <c r="N45" s="188"/>
      <c r="O45" s="187"/>
    </row>
    <row r="46" s="148" customFormat="1" ht="18" customHeight="1" spans="1:15">
      <c r="A46" s="169" t="s">
        <v>2293</v>
      </c>
      <c r="B46" s="170">
        <v>45714</v>
      </c>
      <c r="C46" s="172">
        <v>1000026000</v>
      </c>
      <c r="D46" s="172">
        <v>17007488</v>
      </c>
      <c r="E46" s="173">
        <v>71126</v>
      </c>
      <c r="F46" s="174">
        <v>20000</v>
      </c>
      <c r="G46" s="175" t="s">
        <v>2280</v>
      </c>
      <c r="H46" s="177" t="s">
        <v>2281</v>
      </c>
      <c r="I46" s="190" t="s">
        <v>2282</v>
      </c>
      <c r="J46" s="171">
        <v>20000</v>
      </c>
      <c r="K46" s="171"/>
      <c r="L46" s="171"/>
      <c r="M46" s="188"/>
      <c r="N46" s="188"/>
      <c r="O46" s="189"/>
    </row>
    <row r="47" s="148" customFormat="1" ht="18" customHeight="1" spans="1:15">
      <c r="A47" s="169" t="s">
        <v>2293</v>
      </c>
      <c r="B47" s="170">
        <v>45714</v>
      </c>
      <c r="C47" s="172">
        <v>1000026001</v>
      </c>
      <c r="D47" s="172">
        <v>17008304</v>
      </c>
      <c r="E47" s="173">
        <v>71126</v>
      </c>
      <c r="F47" s="174">
        <v>20000</v>
      </c>
      <c r="G47" s="175" t="s">
        <v>2284</v>
      </c>
      <c r="H47" s="177" t="s">
        <v>2291</v>
      </c>
      <c r="I47" s="190" t="s">
        <v>2285</v>
      </c>
      <c r="J47" s="176"/>
      <c r="K47" s="171"/>
      <c r="L47" s="171">
        <v>20000</v>
      </c>
      <c r="M47" s="188"/>
      <c r="N47" s="188"/>
      <c r="O47" s="189"/>
    </row>
    <row r="48" s="148" customFormat="1" ht="18" customHeight="1" spans="1:15">
      <c r="A48" s="169" t="s">
        <v>2293</v>
      </c>
      <c r="B48" s="170">
        <v>45726</v>
      </c>
      <c r="C48" s="172">
        <v>1000026187</v>
      </c>
      <c r="D48" s="172">
        <v>17007488</v>
      </c>
      <c r="E48" s="173">
        <v>71126</v>
      </c>
      <c r="F48" s="174">
        <v>20000</v>
      </c>
      <c r="G48" s="175" t="s">
        <v>2280</v>
      </c>
      <c r="H48" s="177" t="s">
        <v>2281</v>
      </c>
      <c r="I48" s="190" t="s">
        <v>2282</v>
      </c>
      <c r="J48" s="191">
        <v>20000</v>
      </c>
      <c r="K48" s="171"/>
      <c r="L48" s="171"/>
      <c r="M48" s="188"/>
      <c r="N48" s="188"/>
      <c r="O48" s="189"/>
    </row>
    <row r="49" s="148" customFormat="1" ht="18" customHeight="1" spans="1:15">
      <c r="A49" s="169" t="s">
        <v>2293</v>
      </c>
      <c r="B49" s="170">
        <v>45726</v>
      </c>
      <c r="C49" s="172">
        <v>1000026188</v>
      </c>
      <c r="D49" s="172">
        <v>17008304</v>
      </c>
      <c r="E49" s="173">
        <v>71126</v>
      </c>
      <c r="F49" s="174">
        <v>20000</v>
      </c>
      <c r="G49" s="175" t="s">
        <v>2284</v>
      </c>
      <c r="H49" s="177" t="s">
        <v>2291</v>
      </c>
      <c r="I49" s="190" t="s">
        <v>2285</v>
      </c>
      <c r="J49" s="176"/>
      <c r="K49" s="171"/>
      <c r="L49" s="171">
        <v>20000</v>
      </c>
      <c r="M49" s="188"/>
      <c r="N49" s="188"/>
      <c r="O49" s="189"/>
    </row>
    <row r="50" s="146" customFormat="1" ht="18" customHeight="1" spans="1:15">
      <c r="A50" s="157" t="s">
        <v>2293</v>
      </c>
      <c r="B50" s="158">
        <v>45749</v>
      </c>
      <c r="C50" s="165">
        <v>1000026869</v>
      </c>
      <c r="D50" s="165">
        <v>17007488</v>
      </c>
      <c r="E50" s="161">
        <v>71126</v>
      </c>
      <c r="F50" s="162">
        <v>10000</v>
      </c>
      <c r="G50" s="166" t="s">
        <v>2280</v>
      </c>
      <c r="H50" s="178" t="s">
        <v>2281</v>
      </c>
      <c r="I50" s="192" t="s">
        <v>2282</v>
      </c>
      <c r="J50" s="163">
        <v>10000</v>
      </c>
      <c r="K50" s="159"/>
      <c r="L50" s="159"/>
      <c r="M50" s="184"/>
      <c r="N50" s="184"/>
      <c r="O50" s="187"/>
    </row>
    <row r="51" s="146" customFormat="1" ht="18" customHeight="1" spans="1:15">
      <c r="A51" s="157" t="s">
        <v>2293</v>
      </c>
      <c r="B51" s="158">
        <v>45749</v>
      </c>
      <c r="C51" s="165">
        <v>1000026870</v>
      </c>
      <c r="D51" s="165">
        <v>17007702</v>
      </c>
      <c r="E51" s="161">
        <v>71126</v>
      </c>
      <c r="F51" s="162">
        <v>10000</v>
      </c>
      <c r="G51" s="166" t="s">
        <v>2280</v>
      </c>
      <c r="H51" s="178" t="s">
        <v>2281</v>
      </c>
      <c r="I51" s="192" t="s">
        <v>2286</v>
      </c>
      <c r="J51" s="164"/>
      <c r="K51" s="159">
        <v>10000</v>
      </c>
      <c r="L51" s="159"/>
      <c r="M51" s="184"/>
      <c r="N51" s="184"/>
      <c r="O51" s="187"/>
    </row>
    <row r="52" s="146" customFormat="1" ht="18" customHeight="1" spans="1:15">
      <c r="A52" s="157" t="s">
        <v>2293</v>
      </c>
      <c r="B52" s="158">
        <v>45749</v>
      </c>
      <c r="C52" s="165">
        <v>1000026871</v>
      </c>
      <c r="D52" s="165">
        <v>17008304</v>
      </c>
      <c r="E52" s="161">
        <v>71126</v>
      </c>
      <c r="F52" s="162">
        <v>20000</v>
      </c>
      <c r="G52" s="166" t="s">
        <v>2284</v>
      </c>
      <c r="H52" s="178" t="s">
        <v>2291</v>
      </c>
      <c r="I52" s="192" t="s">
        <v>2285</v>
      </c>
      <c r="J52" s="164"/>
      <c r="K52" s="159"/>
      <c r="L52" s="159">
        <v>20000</v>
      </c>
      <c r="M52" s="184"/>
      <c r="N52" s="184"/>
      <c r="O52" s="187"/>
    </row>
    <row r="53" s="148" customFormat="1" ht="18" customHeight="1" spans="1:15">
      <c r="A53" s="169" t="s">
        <v>2293</v>
      </c>
      <c r="B53" s="170">
        <v>45793</v>
      </c>
      <c r="C53" s="172">
        <v>1000028040</v>
      </c>
      <c r="D53" s="172">
        <v>17007702</v>
      </c>
      <c r="E53" s="173">
        <v>71126</v>
      </c>
      <c r="F53" s="174">
        <v>10000</v>
      </c>
      <c r="G53" s="175" t="s">
        <v>2280</v>
      </c>
      <c r="H53" s="177" t="s">
        <v>2281</v>
      </c>
      <c r="I53" s="190" t="s">
        <v>2286</v>
      </c>
      <c r="J53" s="176"/>
      <c r="K53" s="171">
        <v>10000</v>
      </c>
      <c r="L53" s="171"/>
      <c r="M53" s="188"/>
      <c r="N53" s="188"/>
      <c r="O53" s="189"/>
    </row>
    <row r="54" s="148" customFormat="1" ht="18" customHeight="1" spans="1:15">
      <c r="A54" s="169" t="s">
        <v>2293</v>
      </c>
      <c r="B54" s="170">
        <v>45793</v>
      </c>
      <c r="C54" s="172">
        <v>1000028041</v>
      </c>
      <c r="D54" s="172">
        <v>17008304</v>
      </c>
      <c r="E54" s="173">
        <v>71126</v>
      </c>
      <c r="F54" s="174">
        <v>10000</v>
      </c>
      <c r="G54" s="175" t="s">
        <v>2284</v>
      </c>
      <c r="H54" s="177" t="s">
        <v>2291</v>
      </c>
      <c r="I54" s="190" t="s">
        <v>2285</v>
      </c>
      <c r="J54" s="176"/>
      <c r="K54" s="171"/>
      <c r="L54" s="171">
        <v>10000</v>
      </c>
      <c r="M54" s="188"/>
      <c r="N54" s="188"/>
      <c r="O54" s="189"/>
    </row>
    <row r="55" s="147" customFormat="1" ht="18" customHeight="1" spans="1:15">
      <c r="A55" s="157" t="s">
        <v>2293</v>
      </c>
      <c r="B55" s="158">
        <v>45804</v>
      </c>
      <c r="C55" s="165">
        <v>1000028449</v>
      </c>
      <c r="D55" s="165">
        <v>17007488</v>
      </c>
      <c r="E55" s="161">
        <v>71126</v>
      </c>
      <c r="F55" s="162">
        <v>30000</v>
      </c>
      <c r="G55" s="166" t="s">
        <v>2280</v>
      </c>
      <c r="H55" s="178" t="s">
        <v>2281</v>
      </c>
      <c r="I55" s="192" t="s">
        <v>2282</v>
      </c>
      <c r="J55" s="193">
        <v>30000</v>
      </c>
      <c r="K55" s="159"/>
      <c r="L55" s="159"/>
      <c r="M55" s="184"/>
      <c r="N55" s="184"/>
      <c r="O55" s="185"/>
    </row>
    <row r="56" s="147" customFormat="1" ht="18" customHeight="1" spans="1:15">
      <c r="A56" s="157" t="s">
        <v>2293</v>
      </c>
      <c r="B56" s="158">
        <v>45804</v>
      </c>
      <c r="C56" s="165">
        <v>1000028451</v>
      </c>
      <c r="D56" s="165">
        <v>17008304</v>
      </c>
      <c r="E56" s="161">
        <v>71126</v>
      </c>
      <c r="F56" s="162">
        <v>30000</v>
      </c>
      <c r="G56" s="166" t="s">
        <v>2284</v>
      </c>
      <c r="H56" s="178" t="s">
        <v>2291</v>
      </c>
      <c r="I56" s="192" t="s">
        <v>2285</v>
      </c>
      <c r="J56" s="164"/>
      <c r="K56" s="159"/>
      <c r="L56" s="193">
        <v>30000</v>
      </c>
      <c r="M56" s="184"/>
      <c r="N56" s="184"/>
      <c r="O56" s="185"/>
    </row>
    <row r="57" s="148" customFormat="1" ht="18" customHeight="1" spans="1:15">
      <c r="A57" s="157" t="s">
        <v>2293</v>
      </c>
      <c r="B57" s="158">
        <v>45819</v>
      </c>
      <c r="C57" s="165">
        <v>1000028891</v>
      </c>
      <c r="D57" s="165">
        <v>17007702</v>
      </c>
      <c r="E57" s="161">
        <v>71126</v>
      </c>
      <c r="F57" s="162">
        <v>10000</v>
      </c>
      <c r="G57" s="166" t="s">
        <v>2280</v>
      </c>
      <c r="H57" s="178" t="s">
        <v>2281</v>
      </c>
      <c r="I57" s="192" t="s">
        <v>2286</v>
      </c>
      <c r="J57" s="164"/>
      <c r="K57" s="159">
        <v>10000</v>
      </c>
      <c r="L57" s="193"/>
      <c r="M57" s="184"/>
      <c r="N57" s="184"/>
      <c r="O57" s="189"/>
    </row>
    <row r="58" s="148" customFormat="1" ht="18" customHeight="1" spans="1:15">
      <c r="A58" s="157" t="s">
        <v>2293</v>
      </c>
      <c r="B58" s="158">
        <v>45819</v>
      </c>
      <c r="C58" s="165">
        <v>1000028892</v>
      </c>
      <c r="D58" s="165">
        <v>17008304</v>
      </c>
      <c r="E58" s="161">
        <v>71126</v>
      </c>
      <c r="F58" s="162">
        <v>10000</v>
      </c>
      <c r="G58" s="166" t="s">
        <v>2284</v>
      </c>
      <c r="H58" s="178" t="s">
        <v>2291</v>
      </c>
      <c r="I58" s="192" t="s">
        <v>2285</v>
      </c>
      <c r="J58" s="164"/>
      <c r="K58" s="159"/>
      <c r="L58" s="194">
        <v>10000</v>
      </c>
      <c r="M58" s="184"/>
      <c r="N58" s="184"/>
      <c r="O58" s="189"/>
    </row>
    <row r="59" s="147" customFormat="1" ht="18" customHeight="1" spans="1:15">
      <c r="A59" s="157" t="s">
        <v>2293</v>
      </c>
      <c r="B59" s="158">
        <v>45828</v>
      </c>
      <c r="C59" s="165">
        <v>1000029141</v>
      </c>
      <c r="D59" s="165">
        <v>17007488</v>
      </c>
      <c r="E59" s="161">
        <v>71126</v>
      </c>
      <c r="F59" s="162">
        <v>20000</v>
      </c>
      <c r="G59" s="166" t="s">
        <v>2280</v>
      </c>
      <c r="H59" s="178" t="s">
        <v>2281</v>
      </c>
      <c r="I59" s="192" t="s">
        <v>2282</v>
      </c>
      <c r="J59" s="193">
        <v>20000</v>
      </c>
      <c r="K59" s="159"/>
      <c r="L59" s="193"/>
      <c r="M59" s="184"/>
      <c r="N59" s="184"/>
      <c r="O59" s="185"/>
    </row>
    <row r="60" s="147" customFormat="1" ht="18" customHeight="1" spans="1:15">
      <c r="A60" s="157" t="s">
        <v>2293</v>
      </c>
      <c r="B60" s="158">
        <v>45828</v>
      </c>
      <c r="C60" s="165">
        <v>1000029142</v>
      </c>
      <c r="D60" s="165">
        <v>17007702</v>
      </c>
      <c r="E60" s="161">
        <v>71126</v>
      </c>
      <c r="F60" s="162">
        <v>10000</v>
      </c>
      <c r="G60" s="166" t="s">
        <v>2280</v>
      </c>
      <c r="H60" s="178" t="s">
        <v>2281</v>
      </c>
      <c r="I60" s="192" t="s">
        <v>2286</v>
      </c>
      <c r="J60" s="164"/>
      <c r="K60" s="159">
        <v>10000</v>
      </c>
      <c r="L60" s="193"/>
      <c r="M60" s="184"/>
      <c r="N60" s="184"/>
      <c r="O60" s="185"/>
    </row>
    <row r="61" s="147" customFormat="1" ht="18" customHeight="1" spans="1:15">
      <c r="A61" s="157" t="s">
        <v>2293</v>
      </c>
      <c r="B61" s="158">
        <v>45828</v>
      </c>
      <c r="C61" s="165">
        <v>1000029143</v>
      </c>
      <c r="D61" s="165">
        <v>17008304</v>
      </c>
      <c r="E61" s="161">
        <v>71126</v>
      </c>
      <c r="F61" s="162">
        <v>30000</v>
      </c>
      <c r="G61" s="166" t="s">
        <v>2284</v>
      </c>
      <c r="H61" s="178" t="s">
        <v>2291</v>
      </c>
      <c r="I61" s="192" t="s">
        <v>2285</v>
      </c>
      <c r="J61" s="164"/>
      <c r="K61" s="159"/>
      <c r="L61" s="194">
        <v>30000</v>
      </c>
      <c r="M61" s="184"/>
      <c r="N61" s="184"/>
      <c r="O61" s="185"/>
    </row>
    <row r="62" s="147" customFormat="1" ht="18" customHeight="1" spans="1:15">
      <c r="A62" s="157" t="s">
        <v>2293</v>
      </c>
      <c r="B62" s="158">
        <v>45847</v>
      </c>
      <c r="C62" s="165">
        <v>1000029903</v>
      </c>
      <c r="D62" s="165">
        <v>17007488</v>
      </c>
      <c r="E62" s="161">
        <v>71126</v>
      </c>
      <c r="F62" s="162">
        <v>30000</v>
      </c>
      <c r="G62" s="166" t="s">
        <v>2280</v>
      </c>
      <c r="H62" s="178" t="s">
        <v>2281</v>
      </c>
      <c r="I62" s="192" t="s">
        <v>2282</v>
      </c>
      <c r="J62" s="193">
        <v>30000</v>
      </c>
      <c r="K62" s="193"/>
      <c r="L62" s="194"/>
      <c r="M62" s="193"/>
      <c r="N62" s="195"/>
      <c r="O62" s="185"/>
    </row>
    <row r="63" s="147" customFormat="1" ht="18" customHeight="1" spans="1:15">
      <c r="A63" s="157" t="s">
        <v>2293</v>
      </c>
      <c r="B63" s="158">
        <v>45847</v>
      </c>
      <c r="C63" s="165">
        <v>1000029904</v>
      </c>
      <c r="D63" s="165">
        <v>17007702</v>
      </c>
      <c r="E63" s="161">
        <v>71126</v>
      </c>
      <c r="F63" s="162">
        <v>10000</v>
      </c>
      <c r="G63" s="166" t="s">
        <v>2280</v>
      </c>
      <c r="H63" s="178" t="s">
        <v>2281</v>
      </c>
      <c r="I63" s="192" t="s">
        <v>2286</v>
      </c>
      <c r="J63" s="193"/>
      <c r="K63" s="159">
        <v>10000</v>
      </c>
      <c r="L63" s="194"/>
      <c r="M63" s="193"/>
      <c r="N63" s="195"/>
      <c r="O63" s="185"/>
    </row>
    <row r="64" s="147" customFormat="1" ht="18" customHeight="1" spans="1:15">
      <c r="A64" s="157" t="s">
        <v>2293</v>
      </c>
      <c r="B64" s="158">
        <v>45847</v>
      </c>
      <c r="C64" s="165">
        <v>1000029905</v>
      </c>
      <c r="D64" s="165">
        <v>17008304</v>
      </c>
      <c r="E64" s="161">
        <v>71126</v>
      </c>
      <c r="F64" s="162">
        <v>30000</v>
      </c>
      <c r="G64" s="166" t="s">
        <v>2284</v>
      </c>
      <c r="H64" s="178" t="s">
        <v>2291</v>
      </c>
      <c r="I64" s="192" t="s">
        <v>2285</v>
      </c>
      <c r="J64" s="193"/>
      <c r="K64" s="193"/>
      <c r="L64" s="194">
        <v>30000</v>
      </c>
      <c r="M64" s="193"/>
      <c r="N64" s="195"/>
      <c r="O64" s="185"/>
    </row>
    <row r="65" s="147" customFormat="1" ht="18" customHeight="1" spans="1:15">
      <c r="A65" s="157" t="s">
        <v>2293</v>
      </c>
      <c r="B65" s="158">
        <v>45863</v>
      </c>
      <c r="C65" s="196">
        <v>1000030366</v>
      </c>
      <c r="D65" s="80">
        <v>17007488</v>
      </c>
      <c r="E65" s="161">
        <v>71126</v>
      </c>
      <c r="F65" s="162">
        <v>20000</v>
      </c>
      <c r="G65" s="166" t="s">
        <v>2280</v>
      </c>
      <c r="H65" s="197" t="s">
        <v>2281</v>
      </c>
      <c r="I65" s="192" t="s">
        <v>2282</v>
      </c>
      <c r="J65" s="194">
        <v>20000</v>
      </c>
      <c r="K65" s="193"/>
      <c r="L65" s="194"/>
      <c r="M65" s="193"/>
      <c r="N65" s="195"/>
      <c r="O65" s="185"/>
    </row>
    <row r="66" s="147" customFormat="1" ht="18" customHeight="1" spans="1:15">
      <c r="A66" s="157" t="s">
        <v>2293</v>
      </c>
      <c r="B66" s="158">
        <v>45863</v>
      </c>
      <c r="C66" s="196">
        <v>1000030367</v>
      </c>
      <c r="D66" s="80">
        <v>17008304</v>
      </c>
      <c r="E66" s="161">
        <v>71126</v>
      </c>
      <c r="F66" s="162">
        <v>20000</v>
      </c>
      <c r="G66" s="166" t="s">
        <v>2284</v>
      </c>
      <c r="H66" s="197" t="s">
        <v>2291</v>
      </c>
      <c r="I66" s="192" t="s">
        <v>2285</v>
      </c>
      <c r="J66" s="193"/>
      <c r="K66" s="193"/>
      <c r="L66" s="194">
        <v>20000</v>
      </c>
      <c r="M66" s="193"/>
      <c r="N66" s="195"/>
      <c r="O66" s="185"/>
    </row>
    <row r="67" s="147" customFormat="1" ht="18" customHeight="1" spans="1:15">
      <c r="A67" s="157" t="s">
        <v>2293</v>
      </c>
      <c r="B67" s="158">
        <v>45881</v>
      </c>
      <c r="C67" s="80">
        <v>1000030919</v>
      </c>
      <c r="D67" s="80">
        <v>17007488</v>
      </c>
      <c r="E67" s="161">
        <v>71126</v>
      </c>
      <c r="F67" s="162">
        <v>20000</v>
      </c>
      <c r="G67" s="166" t="s">
        <v>2280</v>
      </c>
      <c r="H67" s="197" t="s">
        <v>2281</v>
      </c>
      <c r="I67" s="192" t="s">
        <v>2282</v>
      </c>
      <c r="J67" s="163">
        <v>20000</v>
      </c>
      <c r="K67" s="193"/>
      <c r="L67" s="194"/>
      <c r="M67" s="193"/>
      <c r="N67" s="195"/>
      <c r="O67" s="185"/>
    </row>
    <row r="68" s="147" customFormat="1" ht="18" customHeight="1" spans="1:15">
      <c r="A68" s="157" t="s">
        <v>2293</v>
      </c>
      <c r="B68" s="158">
        <v>45881</v>
      </c>
      <c r="C68" s="80">
        <v>1000030920</v>
      </c>
      <c r="D68" s="80">
        <v>17008304</v>
      </c>
      <c r="E68" s="161">
        <v>71126</v>
      </c>
      <c r="F68" s="162">
        <v>20000</v>
      </c>
      <c r="G68" s="166" t="s">
        <v>2284</v>
      </c>
      <c r="H68" s="197" t="s">
        <v>2291</v>
      </c>
      <c r="I68" s="192" t="s">
        <v>2285</v>
      </c>
      <c r="J68" s="193"/>
      <c r="K68" s="193"/>
      <c r="L68" s="194">
        <v>20000</v>
      </c>
      <c r="M68" s="193"/>
      <c r="N68" s="195"/>
      <c r="O68" s="185"/>
    </row>
    <row r="69" s="147" customFormat="1" ht="18" customHeight="1" spans="1:15">
      <c r="A69" s="157" t="s">
        <v>2293</v>
      </c>
      <c r="B69" s="158">
        <v>45898</v>
      </c>
      <c r="C69" s="80">
        <v>1000031566</v>
      </c>
      <c r="D69" s="80">
        <v>17007488</v>
      </c>
      <c r="E69" s="161">
        <v>71126</v>
      </c>
      <c r="F69" s="162">
        <v>40000</v>
      </c>
      <c r="G69" s="166" t="s">
        <v>2280</v>
      </c>
      <c r="H69" s="197" t="s">
        <v>2281</v>
      </c>
      <c r="I69" s="192" t="s">
        <v>2282</v>
      </c>
      <c r="J69" s="163">
        <v>40000</v>
      </c>
      <c r="K69" s="193"/>
      <c r="L69" s="194"/>
      <c r="M69" s="193"/>
      <c r="N69" s="195"/>
      <c r="O69" s="185"/>
    </row>
    <row r="70" s="147" customFormat="1" ht="18" customHeight="1" spans="1:15">
      <c r="A70" s="157" t="s">
        <v>2293</v>
      </c>
      <c r="B70" s="158">
        <v>45898</v>
      </c>
      <c r="C70" s="80">
        <v>1000031567</v>
      </c>
      <c r="D70" s="80">
        <v>17008304</v>
      </c>
      <c r="E70" s="161">
        <v>71126</v>
      </c>
      <c r="F70" s="162">
        <v>40000</v>
      </c>
      <c r="G70" s="166" t="s">
        <v>2284</v>
      </c>
      <c r="H70" s="197" t="s">
        <v>2291</v>
      </c>
      <c r="I70" s="192" t="s">
        <v>2285</v>
      </c>
      <c r="J70" s="193"/>
      <c r="K70" s="193"/>
      <c r="L70" s="194">
        <v>40000</v>
      </c>
      <c r="M70" s="193"/>
      <c r="N70" s="195"/>
      <c r="O70" s="185"/>
    </row>
    <row r="71" s="147" customFormat="1" ht="18" customHeight="1" spans="1:15">
      <c r="A71" s="157" t="s">
        <v>2294</v>
      </c>
      <c r="B71" s="158">
        <v>45911</v>
      </c>
      <c r="C71" s="80">
        <v>1000031956</v>
      </c>
      <c r="D71" s="80">
        <v>17011636</v>
      </c>
      <c r="E71" s="161">
        <v>71126</v>
      </c>
      <c r="F71" s="162">
        <v>3000</v>
      </c>
      <c r="G71" s="166" t="s">
        <v>2295</v>
      </c>
      <c r="H71" s="198" t="s">
        <v>1169</v>
      </c>
      <c r="I71" s="192" t="s">
        <v>2296</v>
      </c>
      <c r="J71" s="193"/>
      <c r="K71" s="193"/>
      <c r="L71" s="194"/>
      <c r="M71" s="193"/>
      <c r="N71" s="195" t="s">
        <v>2297</v>
      </c>
      <c r="O71" s="185" t="s">
        <v>2298</v>
      </c>
    </row>
    <row r="72" s="147" customFormat="1" ht="18" customHeight="1" spans="1:15">
      <c r="A72" s="157" t="s">
        <v>2294</v>
      </c>
      <c r="B72" s="158">
        <v>45911</v>
      </c>
      <c r="C72" s="80">
        <v>1000031958</v>
      </c>
      <c r="D72" s="80">
        <v>17011637</v>
      </c>
      <c r="E72" s="161">
        <v>71126</v>
      </c>
      <c r="F72" s="162">
        <v>3000</v>
      </c>
      <c r="G72" s="166" t="s">
        <v>2299</v>
      </c>
      <c r="H72" s="198" t="s">
        <v>1169</v>
      </c>
      <c r="I72" s="192" t="s">
        <v>2296</v>
      </c>
      <c r="J72" s="193"/>
      <c r="K72" s="193"/>
      <c r="L72" s="194"/>
      <c r="M72" s="193"/>
      <c r="N72" s="195" t="s">
        <v>2297</v>
      </c>
      <c r="O72" s="185" t="s">
        <v>2298</v>
      </c>
    </row>
    <row r="73" s="146" customFormat="1" ht="19.05" customHeight="1" spans="1:15">
      <c r="A73" s="157" t="s">
        <v>2293</v>
      </c>
      <c r="B73" s="158">
        <v>45954</v>
      </c>
      <c r="C73" s="167">
        <v>1000033326</v>
      </c>
      <c r="D73" s="167">
        <v>17007488</v>
      </c>
      <c r="E73" s="167">
        <v>71126</v>
      </c>
      <c r="F73" s="167">
        <v>10000</v>
      </c>
      <c r="G73" s="186" t="s">
        <v>2280</v>
      </c>
      <c r="H73" s="197" t="s">
        <v>2281</v>
      </c>
      <c r="I73" s="186" t="s">
        <v>2282</v>
      </c>
      <c r="J73" s="167">
        <v>10000</v>
      </c>
      <c r="K73" s="167"/>
      <c r="L73" s="167"/>
      <c r="M73" s="167"/>
      <c r="N73" s="186"/>
      <c r="O73" s="187"/>
    </row>
    <row r="74" s="146" customFormat="1" ht="19.05" customHeight="1" spans="1:15">
      <c r="A74" s="157" t="s">
        <v>2293</v>
      </c>
      <c r="B74" s="158">
        <v>45954</v>
      </c>
      <c r="C74" s="167">
        <v>1000033327</v>
      </c>
      <c r="D74" s="167">
        <v>17008304</v>
      </c>
      <c r="E74" s="167">
        <v>71126</v>
      </c>
      <c r="F74" s="167">
        <v>10000</v>
      </c>
      <c r="G74" s="186" t="s">
        <v>2284</v>
      </c>
      <c r="H74" s="197" t="s">
        <v>2281</v>
      </c>
      <c r="I74" s="186" t="s">
        <v>2285</v>
      </c>
      <c r="J74" s="167"/>
      <c r="K74" s="167"/>
      <c r="L74" s="167">
        <v>10000</v>
      </c>
      <c r="M74" s="167"/>
      <c r="N74" s="186"/>
      <c r="O74" s="187"/>
    </row>
    <row r="75" s="146" customFormat="1" ht="19.05" customHeight="1" spans="1:15">
      <c r="A75" s="157" t="s">
        <v>2293</v>
      </c>
      <c r="B75" s="158">
        <v>45973</v>
      </c>
      <c r="C75" s="167">
        <v>1000034021</v>
      </c>
      <c r="D75" s="167">
        <v>17007488</v>
      </c>
      <c r="E75" s="167">
        <v>71126</v>
      </c>
      <c r="F75" s="167">
        <v>40000</v>
      </c>
      <c r="G75" s="186" t="s">
        <v>2280</v>
      </c>
      <c r="H75" s="197" t="s">
        <v>2281</v>
      </c>
      <c r="I75" s="186" t="s">
        <v>2282</v>
      </c>
      <c r="J75" s="167">
        <v>40000</v>
      </c>
      <c r="K75" s="167"/>
      <c r="L75" s="167"/>
      <c r="M75" s="167"/>
      <c r="N75" s="186"/>
      <c r="O75" s="187"/>
    </row>
    <row r="76" s="146" customFormat="1" ht="20" customHeight="1" spans="1:15">
      <c r="A76" s="157" t="s">
        <v>2293</v>
      </c>
      <c r="B76" s="158">
        <v>45973</v>
      </c>
      <c r="C76" s="167">
        <v>1000034022</v>
      </c>
      <c r="D76" s="167">
        <v>17007702</v>
      </c>
      <c r="E76" s="167">
        <v>71126</v>
      </c>
      <c r="F76" s="167">
        <v>10000</v>
      </c>
      <c r="G76" s="186" t="s">
        <v>2280</v>
      </c>
      <c r="H76" s="197" t="s">
        <v>2281</v>
      </c>
      <c r="I76" s="186" t="s">
        <v>2286</v>
      </c>
      <c r="J76" s="167"/>
      <c r="K76" s="167">
        <v>10000</v>
      </c>
      <c r="L76" s="167"/>
      <c r="M76" s="167"/>
      <c r="N76" s="186"/>
      <c r="O76" s="187"/>
    </row>
    <row r="77" s="146" customFormat="1" ht="19.05" customHeight="1" spans="1:15">
      <c r="A77" s="157" t="s">
        <v>2293</v>
      </c>
      <c r="B77" s="158">
        <v>45973</v>
      </c>
      <c r="C77" s="167">
        <v>1000034023</v>
      </c>
      <c r="D77" s="167">
        <v>17008304</v>
      </c>
      <c r="E77" s="167">
        <v>71126</v>
      </c>
      <c r="F77" s="167">
        <v>50000</v>
      </c>
      <c r="G77" s="186" t="s">
        <v>2284</v>
      </c>
      <c r="H77" s="197" t="s">
        <v>2291</v>
      </c>
      <c r="I77" s="186" t="s">
        <v>2285</v>
      </c>
      <c r="J77" s="167"/>
      <c r="K77" s="167"/>
      <c r="L77" s="167">
        <v>50000</v>
      </c>
      <c r="M77" s="167"/>
      <c r="N77" s="186"/>
      <c r="O77" s="187"/>
    </row>
    <row r="78" s="146" customFormat="1" ht="19.05" customHeight="1" spans="1:15">
      <c r="A78" s="157" t="s">
        <v>2293</v>
      </c>
      <c r="B78" s="158">
        <v>45995</v>
      </c>
      <c r="C78" s="167">
        <v>1000034702</v>
      </c>
      <c r="D78" s="167">
        <v>17007488</v>
      </c>
      <c r="E78" s="167">
        <v>71126</v>
      </c>
      <c r="F78" s="167">
        <v>20000</v>
      </c>
      <c r="G78" s="186" t="s">
        <v>2280</v>
      </c>
      <c r="H78" s="197" t="s">
        <v>2281</v>
      </c>
      <c r="I78" s="186" t="s">
        <v>2282</v>
      </c>
      <c r="J78" s="167">
        <v>20000</v>
      </c>
      <c r="K78" s="167"/>
      <c r="L78" s="167"/>
      <c r="M78" s="167"/>
      <c r="N78" s="186"/>
      <c r="O78" s="187"/>
    </row>
    <row r="79" s="146" customFormat="1" ht="19.05" customHeight="1" spans="1:15">
      <c r="A79" s="157" t="s">
        <v>2293</v>
      </c>
      <c r="B79" s="158">
        <v>45995</v>
      </c>
      <c r="C79" s="167">
        <v>1000034703</v>
      </c>
      <c r="D79" s="167">
        <v>17008304</v>
      </c>
      <c r="E79" s="167">
        <v>71126</v>
      </c>
      <c r="F79" s="167">
        <v>20000</v>
      </c>
      <c r="G79" s="186" t="s">
        <v>2284</v>
      </c>
      <c r="H79" s="197" t="s">
        <v>2291</v>
      </c>
      <c r="I79" s="186" t="s">
        <v>2285</v>
      </c>
      <c r="J79" s="167"/>
      <c r="K79" s="167"/>
      <c r="L79" s="167">
        <v>20000</v>
      </c>
      <c r="M79" s="167"/>
      <c r="N79" s="186"/>
      <c r="O79" s="187"/>
    </row>
    <row r="80" s="146" customFormat="1" ht="19.05" customHeight="1" spans="1:15">
      <c r="A80" s="157" t="s">
        <v>2293</v>
      </c>
      <c r="B80" s="158">
        <v>46003</v>
      </c>
      <c r="C80" s="167">
        <v>1000034910</v>
      </c>
      <c r="D80" s="167">
        <v>17007702</v>
      </c>
      <c r="E80" s="167">
        <v>71126</v>
      </c>
      <c r="F80" s="167">
        <v>10000</v>
      </c>
      <c r="G80" s="186" t="s">
        <v>2280</v>
      </c>
      <c r="H80" s="197" t="s">
        <v>2281</v>
      </c>
      <c r="I80" s="186" t="s">
        <v>2286</v>
      </c>
      <c r="J80" s="167"/>
      <c r="K80" s="167">
        <v>10000</v>
      </c>
      <c r="L80" s="167"/>
      <c r="M80" s="167"/>
      <c r="N80" s="186"/>
      <c r="O80" s="187"/>
    </row>
    <row r="81" s="149" customFormat="1" ht="19.05" customHeight="1" spans="1:15">
      <c r="A81" s="199"/>
      <c r="B81" s="200">
        <v>46022</v>
      </c>
      <c r="C81" s="201">
        <v>1000035469</v>
      </c>
      <c r="D81" s="196">
        <v>17007488</v>
      </c>
      <c r="E81" s="201">
        <v>71126</v>
      </c>
      <c r="F81" s="202">
        <v>20000</v>
      </c>
      <c r="G81" s="203" t="s">
        <v>2280</v>
      </c>
      <c r="H81" s="204" t="s">
        <v>2281</v>
      </c>
      <c r="I81" s="200" t="s">
        <v>2282</v>
      </c>
      <c r="J81" s="201">
        <v>20000</v>
      </c>
      <c r="K81" s="201"/>
      <c r="L81" s="201"/>
      <c r="M81" s="201"/>
      <c r="N81" s="203"/>
      <c r="O81" s="208"/>
    </row>
    <row r="82" s="149" customFormat="1" ht="19.05" customHeight="1" spans="1:15">
      <c r="A82" s="199"/>
      <c r="B82" s="200">
        <v>46022</v>
      </c>
      <c r="C82" s="201">
        <v>1000035470</v>
      </c>
      <c r="D82" s="196">
        <v>17007702</v>
      </c>
      <c r="E82" s="201">
        <v>71126</v>
      </c>
      <c r="F82" s="202">
        <v>10000</v>
      </c>
      <c r="G82" s="203" t="s">
        <v>2280</v>
      </c>
      <c r="H82" s="204" t="s">
        <v>2281</v>
      </c>
      <c r="I82" s="200" t="s">
        <v>2286</v>
      </c>
      <c r="J82" s="201"/>
      <c r="K82" s="202">
        <v>10000</v>
      </c>
      <c r="L82" s="201"/>
      <c r="M82" s="201"/>
      <c r="N82" s="203"/>
      <c r="O82" s="208"/>
    </row>
    <row r="83" s="149" customFormat="1" ht="19.05" customHeight="1" spans="1:15">
      <c r="A83" s="199"/>
      <c r="B83" s="200">
        <v>46022</v>
      </c>
      <c r="C83" s="201">
        <v>1000035471</v>
      </c>
      <c r="D83" s="196">
        <v>17008304</v>
      </c>
      <c r="E83" s="201">
        <v>71126</v>
      </c>
      <c r="F83" s="202">
        <v>30000</v>
      </c>
      <c r="G83" s="203" t="s">
        <v>2284</v>
      </c>
      <c r="H83" s="204" t="s">
        <v>2291</v>
      </c>
      <c r="I83" s="200" t="s">
        <v>2285</v>
      </c>
      <c r="J83" s="201"/>
      <c r="K83" s="201"/>
      <c r="L83" s="202">
        <v>30000</v>
      </c>
      <c r="M83" s="201"/>
      <c r="N83" s="203"/>
      <c r="O83" s="208"/>
    </row>
    <row r="84" s="146" customFormat="1" ht="19.05" customHeight="1" spans="1:15">
      <c r="A84" s="154"/>
      <c r="B84" s="205"/>
      <c r="C84" s="167"/>
      <c r="D84" s="167"/>
      <c r="E84" s="167"/>
      <c r="F84" s="167"/>
      <c r="G84" s="186"/>
      <c r="H84" s="167"/>
      <c r="I84" s="186"/>
      <c r="J84" s="167"/>
      <c r="K84" s="167"/>
      <c r="L84" s="167"/>
      <c r="M84" s="167"/>
      <c r="N84" s="186"/>
      <c r="O84" s="187"/>
    </row>
    <row r="85" s="146" customFormat="1" ht="19.05" customHeight="1" spans="1:15">
      <c r="A85" s="154"/>
      <c r="B85" s="205"/>
      <c r="C85" s="167"/>
      <c r="D85" s="167"/>
      <c r="E85" s="167"/>
      <c r="F85" s="167"/>
      <c r="G85" s="186"/>
      <c r="H85" s="167"/>
      <c r="I85" s="186"/>
      <c r="J85" s="167"/>
      <c r="K85" s="167"/>
      <c r="L85" s="167"/>
      <c r="M85" s="167"/>
      <c r="N85" s="186"/>
      <c r="O85" s="187"/>
    </row>
    <row r="86" s="146" customFormat="1" ht="19.05" customHeight="1" spans="1:15">
      <c r="A86" s="154"/>
      <c r="B86" s="205"/>
      <c r="C86" s="167"/>
      <c r="D86" s="167"/>
      <c r="E86" s="167"/>
      <c r="F86" s="167"/>
      <c r="G86" s="186"/>
      <c r="H86" s="167"/>
      <c r="I86" s="186"/>
      <c r="J86" s="167"/>
      <c r="K86" s="167"/>
      <c r="L86" s="167"/>
      <c r="M86" s="167"/>
      <c r="N86" s="186"/>
      <c r="O86" s="187"/>
    </row>
    <row r="87" s="146" customFormat="1" ht="19.05" customHeight="1" spans="1:15">
      <c r="A87" s="154"/>
      <c r="B87" s="205"/>
      <c r="C87" s="167"/>
      <c r="D87" s="167"/>
      <c r="E87" s="167"/>
      <c r="F87" s="167"/>
      <c r="G87" s="186"/>
      <c r="H87" s="167"/>
      <c r="I87" s="186"/>
      <c r="J87" s="167"/>
      <c r="K87" s="167"/>
      <c r="L87" s="167"/>
      <c r="M87" s="167"/>
      <c r="N87" s="186"/>
      <c r="O87" s="187"/>
    </row>
    <row r="88" s="146" customFormat="1" ht="19.05" customHeight="1" spans="1:15">
      <c r="A88" s="154"/>
      <c r="B88" s="205"/>
      <c r="C88" s="167"/>
      <c r="D88" s="167"/>
      <c r="E88" s="167"/>
      <c r="F88" s="167"/>
      <c r="G88" s="167" t="s">
        <v>2267</v>
      </c>
      <c r="H88" s="167"/>
      <c r="I88" s="186"/>
      <c r="J88" s="167">
        <f>SUM(J4:J87)</f>
        <v>850000</v>
      </c>
      <c r="K88" s="167">
        <f>SUM(K4:K87)</f>
        <v>243000</v>
      </c>
      <c r="L88" s="167">
        <f>SUM(L4:L87)</f>
        <v>1040000</v>
      </c>
      <c r="M88" s="167">
        <f>SUM(M4:M87)</f>
        <v>1060</v>
      </c>
      <c r="N88" s="186"/>
      <c r="O88" s="187"/>
    </row>
    <row r="89" s="146" customFormat="1" ht="19.05" customHeight="1" spans="1:15">
      <c r="A89" s="154"/>
      <c r="B89" s="205"/>
      <c r="C89" s="167"/>
      <c r="D89" s="167"/>
      <c r="E89" s="167"/>
      <c r="F89" s="167"/>
      <c r="G89" s="167" t="s">
        <v>2300</v>
      </c>
      <c r="H89" s="167"/>
      <c r="I89" s="186"/>
      <c r="J89" s="167">
        <f>大白鲨!AO575+397886</f>
        <v>836573</v>
      </c>
      <c r="K89" s="167">
        <f>大白鲨!AP575+133906</f>
        <v>226948</v>
      </c>
      <c r="L89" s="167">
        <f>大白鲨!AQ575+510114</f>
        <v>1017705</v>
      </c>
      <c r="M89" s="167">
        <v>1060</v>
      </c>
      <c r="N89" s="186"/>
      <c r="O89" s="187"/>
    </row>
    <row r="90" s="146" customFormat="1" ht="19.05" customHeight="1" spans="1:15">
      <c r="A90" s="154"/>
      <c r="B90" s="206"/>
      <c r="C90" s="207"/>
      <c r="D90" s="207"/>
      <c r="E90" s="207"/>
      <c r="F90" s="207"/>
      <c r="G90" s="207" t="s">
        <v>2301</v>
      </c>
      <c r="H90" s="207"/>
      <c r="I90" s="209"/>
      <c r="J90" s="210">
        <f>J88-J89</f>
        <v>13427</v>
      </c>
      <c r="K90" s="211">
        <f>K88-K89</f>
        <v>16052</v>
      </c>
      <c r="L90" s="210">
        <f>L88-L89</f>
        <v>22295</v>
      </c>
      <c r="M90" s="210">
        <f>M88-M89</f>
        <v>0</v>
      </c>
      <c r="N90" s="212"/>
      <c r="O90" s="213"/>
    </row>
  </sheetData>
  <autoFilter xmlns:etc="http://www.wps.cn/officeDocument/2017/etCustomData" ref="B3:O90" etc:filterBottomFollowUsedRange="0">
    <extLst/>
  </autoFilter>
  <mergeCells count="1">
    <mergeCell ref="B2:O2"/>
  </mergeCells>
  <pageMargins left="0.75" right="0.75" top="1" bottom="1" header="0.511805555555556" footer="0.51180555555555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F80"/>
  <sheetViews>
    <sheetView workbookViewId="0">
      <pane xSplit="5" ySplit="3" topLeftCell="F51" activePane="bottomRight" state="frozen"/>
      <selection/>
      <selection pane="topRight"/>
      <selection pane="bottomLeft"/>
      <selection pane="bottomRight" activeCell="F72" sqref="F72"/>
    </sheetView>
  </sheetViews>
  <sheetFormatPr defaultColWidth="9" defaultRowHeight="13.5"/>
  <cols>
    <col min="1" max="1" width="3.2" customWidth="1"/>
    <col min="2" max="2" width="18.4333333333333" customWidth="1"/>
    <col min="3" max="3" width="14.5416666666667" style="89" customWidth="1"/>
    <col min="4" max="4" width="11.5583333333333" style="89" customWidth="1"/>
    <col min="5" max="5" width="13.825" style="89" customWidth="1"/>
    <col min="6" max="7" width="14.3333333333333" style="89" customWidth="1"/>
    <col min="8" max="8" width="35.3833333333333" customWidth="1"/>
    <col min="9" max="9" width="13.875" style="89" customWidth="1"/>
    <col min="10" max="13" width="9" style="90"/>
  </cols>
  <sheetData>
    <row r="1" ht="21" customHeight="1" spans="2:32">
      <c r="B1" s="91" t="s">
        <v>2302</v>
      </c>
      <c r="C1" s="92"/>
      <c r="D1" s="92"/>
      <c r="E1" s="92"/>
      <c r="F1" s="92"/>
      <c r="G1" s="93"/>
      <c r="H1" s="94"/>
      <c r="I1" s="134"/>
      <c r="J1" s="135"/>
      <c r="K1" s="135"/>
      <c r="L1" s="135"/>
      <c r="M1" s="135"/>
      <c r="N1" s="136"/>
      <c r="O1" s="136"/>
      <c r="P1" s="136"/>
      <c r="Q1" s="136"/>
      <c r="R1" s="136"/>
      <c r="S1" s="136"/>
      <c r="T1" s="136"/>
      <c r="U1" s="136"/>
      <c r="V1" s="136"/>
      <c r="W1" s="136"/>
      <c r="X1" s="136"/>
      <c r="Y1" s="136"/>
      <c r="Z1" s="136"/>
      <c r="AA1" s="136"/>
      <c r="AB1" s="136"/>
      <c r="AC1" s="136"/>
      <c r="AD1" s="136"/>
      <c r="AE1" s="136"/>
      <c r="AF1" s="136"/>
    </row>
    <row r="2" ht="16.05" customHeight="1" spans="2:32">
      <c r="B2" s="95" t="s">
        <v>2303</v>
      </c>
      <c r="C2" s="96" t="s">
        <v>2273</v>
      </c>
      <c r="D2" s="97" t="s">
        <v>2304</v>
      </c>
      <c r="E2" s="96" t="s">
        <v>7</v>
      </c>
      <c r="F2" s="98" t="s">
        <v>2274</v>
      </c>
      <c r="G2" s="99" t="s">
        <v>2305</v>
      </c>
      <c r="H2" s="100" t="s">
        <v>23</v>
      </c>
      <c r="I2" s="134"/>
      <c r="J2" s="135"/>
      <c r="K2" s="135"/>
      <c r="L2" s="135"/>
      <c r="M2" s="135"/>
      <c r="N2" s="136"/>
      <c r="O2" s="136"/>
      <c r="P2" s="136"/>
      <c r="Q2" s="136"/>
      <c r="R2" s="136"/>
      <c r="S2" s="136"/>
      <c r="T2" s="136"/>
      <c r="U2" s="136"/>
      <c r="V2" s="136"/>
      <c r="W2" s="136"/>
      <c r="X2" s="136"/>
      <c r="Y2" s="136"/>
      <c r="Z2" s="136"/>
      <c r="AA2" s="136"/>
      <c r="AB2" s="136"/>
      <c r="AC2" s="136"/>
      <c r="AD2" s="136"/>
      <c r="AE2" s="136"/>
      <c r="AF2" s="136"/>
    </row>
    <row r="3" ht="24" customHeight="1" spans="2:32">
      <c r="B3" s="101"/>
      <c r="C3" s="102"/>
      <c r="D3" s="96"/>
      <c r="E3" s="102"/>
      <c r="F3" s="103"/>
      <c r="G3" s="104"/>
      <c r="H3" s="100"/>
      <c r="I3" s="134"/>
      <c r="J3" s="135"/>
      <c r="K3" s="135"/>
      <c r="L3" s="135"/>
      <c r="M3" s="135"/>
      <c r="N3" s="136"/>
      <c r="O3" s="136"/>
      <c r="P3" s="136"/>
      <c r="Q3" s="136"/>
      <c r="R3" s="136"/>
      <c r="S3" s="136"/>
      <c r="T3" s="136"/>
      <c r="U3" s="136"/>
      <c r="V3" s="136"/>
      <c r="W3" s="136"/>
      <c r="X3" s="136"/>
      <c r="Y3" s="136"/>
      <c r="Z3" s="136"/>
      <c r="AA3" s="136"/>
      <c r="AB3" s="136"/>
      <c r="AC3" s="136"/>
      <c r="AD3" s="136"/>
      <c r="AE3" s="136"/>
      <c r="AF3" s="136"/>
    </row>
    <row r="4" s="87" customFormat="1" ht="15" customHeight="1" spans="2:32">
      <c r="B4" s="105">
        <v>45295</v>
      </c>
      <c r="C4" s="102" t="s">
        <v>2306</v>
      </c>
      <c r="D4" s="102">
        <v>71126</v>
      </c>
      <c r="E4" s="102" t="s">
        <v>63</v>
      </c>
      <c r="F4" s="106">
        <v>30000</v>
      </c>
      <c r="G4" s="105">
        <v>45367</v>
      </c>
      <c r="H4" s="107" t="s">
        <v>2307</v>
      </c>
      <c r="I4" s="134"/>
      <c r="J4" s="135"/>
      <c r="K4" s="135"/>
      <c r="L4" s="135"/>
      <c r="M4" s="135"/>
      <c r="N4" s="136"/>
      <c r="O4" s="136"/>
      <c r="P4" s="136"/>
      <c r="Q4" s="136"/>
      <c r="R4" s="136"/>
      <c r="S4" s="136"/>
      <c r="T4" s="136"/>
      <c r="U4" s="136"/>
      <c r="V4" s="136"/>
      <c r="W4" s="136"/>
      <c r="X4" s="136"/>
      <c r="Y4" s="136"/>
      <c r="Z4" s="136"/>
      <c r="AA4" s="136"/>
      <c r="AB4" s="136"/>
      <c r="AC4" s="136"/>
      <c r="AD4" s="136"/>
      <c r="AE4" s="136"/>
      <c r="AF4" s="136"/>
    </row>
    <row r="5" s="87" customFormat="1" ht="15" customHeight="1" spans="2:32">
      <c r="B5" s="105">
        <v>45343</v>
      </c>
      <c r="C5" s="102" t="s">
        <v>2308</v>
      </c>
      <c r="D5" s="102">
        <v>71126</v>
      </c>
      <c r="E5" s="102" t="s">
        <v>63</v>
      </c>
      <c r="F5" s="106">
        <v>20000</v>
      </c>
      <c r="G5" s="105">
        <v>45412</v>
      </c>
      <c r="H5" s="107"/>
      <c r="I5" s="134"/>
      <c r="J5" s="135"/>
      <c r="K5" s="135"/>
      <c r="L5" s="135"/>
      <c r="M5" s="135"/>
      <c r="N5" s="136"/>
      <c r="O5" s="136"/>
      <c r="P5" s="136"/>
      <c r="Q5" s="136"/>
      <c r="R5" s="136"/>
      <c r="S5" s="136"/>
      <c r="T5" s="136"/>
      <c r="U5" s="136"/>
      <c r="V5" s="136"/>
      <c r="W5" s="136"/>
      <c r="X5" s="136"/>
      <c r="Y5" s="136"/>
      <c r="Z5" s="136"/>
      <c r="AA5" s="136"/>
      <c r="AB5" s="136"/>
      <c r="AC5" s="136"/>
      <c r="AD5" s="136"/>
      <c r="AE5" s="136"/>
      <c r="AF5" s="136"/>
    </row>
    <row r="6" s="87" customFormat="1" ht="15" customHeight="1" spans="2:32">
      <c r="B6" s="105">
        <v>45364</v>
      </c>
      <c r="C6" s="102" t="s">
        <v>2309</v>
      </c>
      <c r="D6" s="102">
        <v>71126</v>
      </c>
      <c r="E6" s="102" t="s">
        <v>63</v>
      </c>
      <c r="F6" s="106">
        <v>40000</v>
      </c>
      <c r="G6" s="105">
        <v>45423</v>
      </c>
      <c r="H6" s="107"/>
      <c r="I6" s="134"/>
      <c r="J6" s="135"/>
      <c r="K6" s="135"/>
      <c r="L6" s="135"/>
      <c r="M6" s="135"/>
      <c r="N6" s="136"/>
      <c r="O6" s="136"/>
      <c r="P6" s="136"/>
      <c r="Q6" s="136"/>
      <c r="R6" s="136"/>
      <c r="S6" s="136"/>
      <c r="T6" s="136"/>
      <c r="U6" s="136"/>
      <c r="V6" s="136"/>
      <c r="W6" s="136"/>
      <c r="X6" s="136"/>
      <c r="Y6" s="136"/>
      <c r="Z6" s="136"/>
      <c r="AA6" s="136"/>
      <c r="AB6" s="136"/>
      <c r="AC6" s="136"/>
      <c r="AD6" s="136"/>
      <c r="AE6" s="136"/>
      <c r="AF6" s="136"/>
    </row>
    <row r="7" s="87" customFormat="1" ht="15" customHeight="1" spans="2:32">
      <c r="B7" s="105">
        <v>45370</v>
      </c>
      <c r="C7" s="102" t="s">
        <v>2310</v>
      </c>
      <c r="D7" s="102">
        <v>71126</v>
      </c>
      <c r="E7" s="102" t="s">
        <v>63</v>
      </c>
      <c r="F7" s="106">
        <v>57000</v>
      </c>
      <c r="G7" s="105">
        <v>45442</v>
      </c>
      <c r="H7" s="107"/>
      <c r="I7" s="134"/>
      <c r="J7" s="135"/>
      <c r="K7" s="135"/>
      <c r="L7" s="135"/>
      <c r="M7" s="135"/>
      <c r="N7" s="136"/>
      <c r="O7" s="136"/>
      <c r="P7" s="136"/>
      <c r="Q7" s="136"/>
      <c r="R7" s="136"/>
      <c r="S7" s="136"/>
      <c r="T7" s="136"/>
      <c r="U7" s="136"/>
      <c r="V7" s="136"/>
      <c r="W7" s="136"/>
      <c r="X7" s="136"/>
      <c r="Y7" s="136"/>
      <c r="Z7" s="136"/>
      <c r="AA7" s="136"/>
      <c r="AB7" s="136"/>
      <c r="AC7" s="136"/>
      <c r="AD7" s="136"/>
      <c r="AE7" s="136"/>
      <c r="AF7" s="136"/>
    </row>
    <row r="8" s="87" customFormat="1" ht="15" customHeight="1" spans="2:32">
      <c r="B8" s="105">
        <v>45385</v>
      </c>
      <c r="C8" s="102" t="s">
        <v>2311</v>
      </c>
      <c r="D8" s="102">
        <v>71126</v>
      </c>
      <c r="E8" s="102" t="s">
        <v>63</v>
      </c>
      <c r="F8" s="106">
        <v>30000</v>
      </c>
      <c r="G8" s="105">
        <v>45442</v>
      </c>
      <c r="H8" s="107"/>
      <c r="I8" s="134"/>
      <c r="J8" s="135"/>
      <c r="K8" s="135"/>
      <c r="L8" s="135"/>
      <c r="M8" s="135"/>
      <c r="N8" s="136"/>
      <c r="O8" s="136"/>
      <c r="P8" s="136"/>
      <c r="Q8" s="136"/>
      <c r="R8" s="136"/>
      <c r="S8" s="136"/>
      <c r="T8" s="136"/>
      <c r="U8" s="136"/>
      <c r="V8" s="136"/>
      <c r="W8" s="136"/>
      <c r="X8" s="136"/>
      <c r="Y8" s="136"/>
      <c r="Z8" s="136"/>
      <c r="AA8" s="136"/>
      <c r="AB8" s="136"/>
      <c r="AC8" s="136"/>
      <c r="AD8" s="136"/>
      <c r="AE8" s="136"/>
      <c r="AF8" s="136"/>
    </row>
    <row r="9" s="87" customFormat="1" ht="15" customHeight="1" spans="2:32">
      <c r="B9" s="105">
        <v>45400</v>
      </c>
      <c r="C9" s="102" t="s">
        <v>2312</v>
      </c>
      <c r="D9" s="102">
        <v>71126</v>
      </c>
      <c r="E9" s="102" t="s">
        <v>63</v>
      </c>
      <c r="F9" s="106">
        <v>80000</v>
      </c>
      <c r="G9" s="105">
        <v>45442</v>
      </c>
      <c r="H9" s="107"/>
      <c r="I9" s="134"/>
      <c r="J9" s="135"/>
      <c r="K9" s="135"/>
      <c r="L9" s="135"/>
      <c r="M9" s="135"/>
      <c r="N9" s="136"/>
      <c r="O9" s="136"/>
      <c r="P9" s="136"/>
      <c r="Q9" s="136"/>
      <c r="R9" s="136"/>
      <c r="S9" s="136"/>
      <c r="T9" s="136"/>
      <c r="U9" s="136"/>
      <c r="V9" s="136"/>
      <c r="W9" s="136"/>
      <c r="X9" s="136"/>
      <c r="Y9" s="136"/>
      <c r="Z9" s="136"/>
      <c r="AA9" s="136"/>
      <c r="AB9" s="136"/>
      <c r="AC9" s="136"/>
      <c r="AD9" s="136"/>
      <c r="AE9" s="136"/>
      <c r="AF9" s="136"/>
    </row>
    <row r="10" s="87" customFormat="1" ht="15" customHeight="1" spans="2:32">
      <c r="B10" s="105">
        <v>45426</v>
      </c>
      <c r="C10" s="102" t="s">
        <v>2313</v>
      </c>
      <c r="D10" s="102">
        <v>71126</v>
      </c>
      <c r="E10" s="102" t="s">
        <v>63</v>
      </c>
      <c r="F10" s="106">
        <v>70000</v>
      </c>
      <c r="G10" s="105">
        <v>45473</v>
      </c>
      <c r="H10" s="107"/>
      <c r="I10" s="134"/>
      <c r="J10" s="135"/>
      <c r="K10" s="135"/>
      <c r="L10" s="135"/>
      <c r="M10" s="135"/>
      <c r="N10" s="136"/>
      <c r="O10" s="136"/>
      <c r="P10" s="136"/>
      <c r="Q10" s="136"/>
      <c r="R10" s="136"/>
      <c r="S10" s="136"/>
      <c r="T10" s="136"/>
      <c r="U10" s="136"/>
      <c r="V10" s="136"/>
      <c r="W10" s="136"/>
      <c r="X10" s="136"/>
      <c r="Y10" s="136"/>
      <c r="Z10" s="136"/>
      <c r="AA10" s="136"/>
      <c r="AB10" s="136"/>
      <c r="AC10" s="136"/>
      <c r="AD10" s="136"/>
      <c r="AE10" s="136"/>
      <c r="AF10" s="136"/>
    </row>
    <row r="11" s="87" customFormat="1" ht="15" customHeight="1" spans="2:32">
      <c r="B11" s="105">
        <v>45448</v>
      </c>
      <c r="C11" s="102" t="s">
        <v>2314</v>
      </c>
      <c r="D11" s="102">
        <v>71126</v>
      </c>
      <c r="E11" s="102" t="s">
        <v>63</v>
      </c>
      <c r="F11" s="106">
        <v>75000</v>
      </c>
      <c r="G11" s="105">
        <v>45506</v>
      </c>
      <c r="H11" s="107"/>
      <c r="I11" s="134"/>
      <c r="J11" s="135"/>
      <c r="K11" s="135"/>
      <c r="L11" s="135"/>
      <c r="M11" s="135"/>
      <c r="N11" s="136"/>
      <c r="O11" s="136"/>
      <c r="P11" s="136"/>
      <c r="Q11" s="136"/>
      <c r="R11" s="136"/>
      <c r="S11" s="136"/>
      <c r="T11" s="136"/>
      <c r="U11" s="136"/>
      <c r="V11" s="136"/>
      <c r="W11" s="136"/>
      <c r="X11" s="136"/>
      <c r="Y11" s="136"/>
      <c r="Z11" s="136"/>
      <c r="AA11" s="136"/>
      <c r="AB11" s="136"/>
      <c r="AC11" s="136"/>
      <c r="AD11" s="136"/>
      <c r="AE11" s="136"/>
      <c r="AF11" s="136"/>
    </row>
    <row r="12" s="87" customFormat="1" ht="15" customHeight="1" spans="2:32">
      <c r="B12" s="105">
        <v>45474</v>
      </c>
      <c r="C12" s="102" t="s">
        <v>2315</v>
      </c>
      <c r="D12" s="102">
        <v>71126</v>
      </c>
      <c r="E12" s="102" t="s">
        <v>63</v>
      </c>
      <c r="F12" s="106">
        <v>50000</v>
      </c>
      <c r="G12" s="105">
        <v>45524</v>
      </c>
      <c r="H12" s="107"/>
      <c r="I12" s="134"/>
      <c r="J12" s="135"/>
      <c r="K12" s="135"/>
      <c r="L12" s="135"/>
      <c r="M12" s="135"/>
      <c r="N12" s="136"/>
      <c r="O12" s="136"/>
      <c r="P12" s="136"/>
      <c r="Q12" s="136"/>
      <c r="R12" s="136"/>
      <c r="S12" s="136"/>
      <c r="T12" s="136"/>
      <c r="U12" s="136"/>
      <c r="V12" s="136"/>
      <c r="W12" s="136"/>
      <c r="X12" s="136"/>
      <c r="Y12" s="136"/>
      <c r="Z12" s="136"/>
      <c r="AA12" s="136"/>
      <c r="AB12" s="136"/>
      <c r="AC12" s="136"/>
      <c r="AD12" s="136"/>
      <c r="AE12" s="136"/>
      <c r="AF12" s="136"/>
    </row>
    <row r="13" s="87" customFormat="1" ht="15" customHeight="1" spans="2:32">
      <c r="B13" s="105">
        <v>45492</v>
      </c>
      <c r="C13" s="102" t="s">
        <v>2316</v>
      </c>
      <c r="D13" s="102">
        <v>71126</v>
      </c>
      <c r="E13" s="102" t="s">
        <v>63</v>
      </c>
      <c r="F13" s="106">
        <v>30000</v>
      </c>
      <c r="G13" s="105">
        <v>45545</v>
      </c>
      <c r="H13" s="107"/>
      <c r="I13" s="134"/>
      <c r="J13" s="135"/>
      <c r="K13" s="135"/>
      <c r="L13" s="135"/>
      <c r="M13" s="135"/>
      <c r="N13" s="136"/>
      <c r="O13" s="136"/>
      <c r="P13" s="136"/>
      <c r="Q13" s="136"/>
      <c r="R13" s="136"/>
      <c r="S13" s="136"/>
      <c r="T13" s="136"/>
      <c r="U13" s="136"/>
      <c r="V13" s="136"/>
      <c r="W13" s="136"/>
      <c r="X13" s="136"/>
      <c r="Y13" s="136"/>
      <c r="Z13" s="136"/>
      <c r="AA13" s="136"/>
      <c r="AB13" s="136"/>
      <c r="AC13" s="136"/>
      <c r="AD13" s="136"/>
      <c r="AE13" s="136"/>
      <c r="AF13" s="136"/>
    </row>
    <row r="14" s="87" customFormat="1" ht="15" customHeight="1" spans="2:32">
      <c r="B14" s="105">
        <v>45517</v>
      </c>
      <c r="C14" s="102" t="s">
        <v>2317</v>
      </c>
      <c r="D14" s="102">
        <v>71126</v>
      </c>
      <c r="E14" s="102" t="s">
        <v>63</v>
      </c>
      <c r="F14" s="106">
        <v>40000</v>
      </c>
      <c r="G14" s="105">
        <v>45565</v>
      </c>
      <c r="H14" s="107"/>
      <c r="I14" s="134"/>
      <c r="J14" s="135"/>
      <c r="K14" s="135"/>
      <c r="L14" s="135"/>
      <c r="M14" s="135"/>
      <c r="N14" s="136"/>
      <c r="O14" s="136"/>
      <c r="P14" s="136"/>
      <c r="Q14" s="136"/>
      <c r="R14" s="136"/>
      <c r="S14" s="136"/>
      <c r="T14" s="136"/>
      <c r="U14" s="136"/>
      <c r="V14" s="136"/>
      <c r="W14" s="136"/>
      <c r="X14" s="136"/>
      <c r="Y14" s="136"/>
      <c r="Z14" s="136"/>
      <c r="AA14" s="136"/>
      <c r="AB14" s="136"/>
      <c r="AC14" s="136"/>
      <c r="AD14" s="136"/>
      <c r="AE14" s="136"/>
      <c r="AF14" s="136"/>
    </row>
    <row r="15" s="87" customFormat="1" ht="15" customHeight="1" spans="2:13">
      <c r="B15" s="108">
        <v>45538</v>
      </c>
      <c r="C15" s="106" t="s">
        <v>2318</v>
      </c>
      <c r="D15" s="106">
        <v>71126</v>
      </c>
      <c r="E15" s="106" t="s">
        <v>63</v>
      </c>
      <c r="F15" s="106">
        <v>40000</v>
      </c>
      <c r="G15" s="108">
        <v>45585</v>
      </c>
      <c r="H15" s="107"/>
      <c r="I15" s="137"/>
      <c r="J15" s="138"/>
      <c r="K15" s="138"/>
      <c r="L15" s="138"/>
      <c r="M15" s="138"/>
    </row>
    <row r="16" s="87" customFormat="1" ht="15" customHeight="1" spans="2:13">
      <c r="B16" s="108">
        <v>45596</v>
      </c>
      <c r="C16" s="106" t="s">
        <v>2319</v>
      </c>
      <c r="D16" s="106">
        <v>71126</v>
      </c>
      <c r="E16" s="106" t="s">
        <v>63</v>
      </c>
      <c r="F16" s="106">
        <v>50000</v>
      </c>
      <c r="G16" s="108">
        <v>45646</v>
      </c>
      <c r="H16" s="107"/>
      <c r="I16" s="137"/>
      <c r="J16" s="138"/>
      <c r="K16" s="138"/>
      <c r="L16" s="138"/>
      <c r="M16" s="138"/>
    </row>
    <row r="17" s="87" customFormat="1" ht="15" customHeight="1" spans="2:13">
      <c r="B17" s="108">
        <v>45621</v>
      </c>
      <c r="C17" s="106" t="s">
        <v>2320</v>
      </c>
      <c r="D17" s="106">
        <v>71126</v>
      </c>
      <c r="E17" s="106" t="s">
        <v>63</v>
      </c>
      <c r="F17" s="106">
        <v>50000</v>
      </c>
      <c r="G17" s="108">
        <v>45677</v>
      </c>
      <c r="H17" s="107"/>
      <c r="I17" s="137"/>
      <c r="J17" s="138"/>
      <c r="K17" s="138"/>
      <c r="L17" s="138"/>
      <c r="M17" s="138"/>
    </row>
    <row r="18" s="88" customFormat="1" ht="15" customHeight="1" spans="2:13">
      <c r="B18" s="108">
        <v>45629</v>
      </c>
      <c r="C18" s="106" t="s">
        <v>2321</v>
      </c>
      <c r="D18" s="106">
        <v>71126</v>
      </c>
      <c r="E18" s="106" t="s">
        <v>63</v>
      </c>
      <c r="F18" s="106">
        <v>60000</v>
      </c>
      <c r="G18" s="108">
        <v>45708</v>
      </c>
      <c r="H18" s="109"/>
      <c r="I18" s="139"/>
      <c r="J18" s="140"/>
      <c r="K18" s="140"/>
      <c r="L18" s="140"/>
      <c r="M18" s="140"/>
    </row>
    <row r="19" s="88" customFormat="1" ht="15" customHeight="1" spans="2:13">
      <c r="B19" s="110">
        <v>45678</v>
      </c>
      <c r="C19" s="111" t="s">
        <v>2322</v>
      </c>
      <c r="D19" s="111">
        <v>71126</v>
      </c>
      <c r="E19" s="111" t="s">
        <v>63</v>
      </c>
      <c r="F19" s="111">
        <v>31000</v>
      </c>
      <c r="G19" s="112">
        <v>45731</v>
      </c>
      <c r="H19" s="109"/>
      <c r="I19" s="139"/>
      <c r="J19" s="140"/>
      <c r="K19" s="140"/>
      <c r="L19" s="140"/>
      <c r="M19" s="140"/>
    </row>
    <row r="20" s="88" customFormat="1" ht="15" customHeight="1" spans="2:13">
      <c r="B20" s="108">
        <v>45706</v>
      </c>
      <c r="C20" s="106" t="s">
        <v>2323</v>
      </c>
      <c r="D20" s="106">
        <v>71126</v>
      </c>
      <c r="E20" s="106" t="s">
        <v>63</v>
      </c>
      <c r="F20" s="106">
        <v>30000</v>
      </c>
      <c r="G20" s="113">
        <v>45747</v>
      </c>
      <c r="H20" s="109"/>
      <c r="I20" s="139"/>
      <c r="J20" s="140"/>
      <c r="K20" s="140"/>
      <c r="L20" s="140"/>
      <c r="M20" s="140"/>
    </row>
    <row r="21" s="88" customFormat="1" ht="15" customHeight="1" spans="2:13">
      <c r="B21" s="108">
        <v>45723</v>
      </c>
      <c r="C21" s="106" t="s">
        <v>2324</v>
      </c>
      <c r="D21" s="106">
        <v>71126</v>
      </c>
      <c r="E21" s="106" t="s">
        <v>63</v>
      </c>
      <c r="F21" s="106">
        <v>40000</v>
      </c>
      <c r="G21" s="113">
        <v>45772</v>
      </c>
      <c r="H21" s="109"/>
      <c r="I21" s="139"/>
      <c r="J21" s="140"/>
      <c r="K21" s="140"/>
      <c r="L21" s="140"/>
      <c r="M21" s="140"/>
    </row>
    <row r="22" s="88" customFormat="1" ht="15" customHeight="1" spans="2:13">
      <c r="B22" s="105">
        <v>45804</v>
      </c>
      <c r="C22" s="114" t="s">
        <v>2325</v>
      </c>
      <c r="D22" s="114">
        <v>71126</v>
      </c>
      <c r="E22" s="114" t="s">
        <v>63</v>
      </c>
      <c r="F22" s="114">
        <v>40000</v>
      </c>
      <c r="G22" s="115">
        <v>45848</v>
      </c>
      <c r="H22" s="109"/>
      <c r="I22" s="139"/>
      <c r="J22" s="140"/>
      <c r="K22" s="140"/>
      <c r="L22" s="140"/>
      <c r="M22" s="140"/>
    </row>
    <row r="23" s="88" customFormat="1" ht="15" customHeight="1" spans="2:13">
      <c r="B23" s="105">
        <v>45827</v>
      </c>
      <c r="C23" s="114" t="s">
        <v>2326</v>
      </c>
      <c r="D23" s="114">
        <v>71126</v>
      </c>
      <c r="E23" s="114" t="s">
        <v>63</v>
      </c>
      <c r="F23" s="114">
        <v>20000</v>
      </c>
      <c r="G23" s="115">
        <v>45869</v>
      </c>
      <c r="H23" s="109"/>
      <c r="I23" s="139"/>
      <c r="J23" s="140"/>
      <c r="K23" s="140"/>
      <c r="L23" s="140"/>
      <c r="M23" s="140"/>
    </row>
    <row r="24" s="88" customFormat="1" ht="15" customHeight="1" spans="2:13">
      <c r="B24" s="105">
        <v>45847</v>
      </c>
      <c r="C24" s="114" t="s">
        <v>2327</v>
      </c>
      <c r="D24" s="114">
        <v>71126</v>
      </c>
      <c r="E24" s="114" t="s">
        <v>63</v>
      </c>
      <c r="F24" s="114">
        <v>65000</v>
      </c>
      <c r="G24" s="115">
        <v>45889</v>
      </c>
      <c r="H24" s="109"/>
      <c r="I24" s="139"/>
      <c r="J24" s="140"/>
      <c r="K24" s="140"/>
      <c r="L24" s="140"/>
      <c r="M24" s="140"/>
    </row>
    <row r="25" s="88" customFormat="1" ht="15" customHeight="1" spans="2:13">
      <c r="B25" s="105">
        <v>45874</v>
      </c>
      <c r="C25" s="114" t="s">
        <v>2328</v>
      </c>
      <c r="D25" s="114">
        <v>71126</v>
      </c>
      <c r="E25" s="114" t="s">
        <v>63</v>
      </c>
      <c r="F25" s="114">
        <v>40000</v>
      </c>
      <c r="G25" s="115">
        <v>45925</v>
      </c>
      <c r="H25" s="109"/>
      <c r="I25" s="139"/>
      <c r="J25" s="140"/>
      <c r="K25" s="140"/>
      <c r="L25" s="140"/>
      <c r="M25" s="140"/>
    </row>
    <row r="26" s="88" customFormat="1" ht="15" customHeight="1" spans="2:13">
      <c r="B26" s="105">
        <v>45896</v>
      </c>
      <c r="C26" s="114" t="s">
        <v>2329</v>
      </c>
      <c r="D26" s="114">
        <v>71126</v>
      </c>
      <c r="E26" s="114" t="s">
        <v>63</v>
      </c>
      <c r="F26" s="114">
        <v>50000</v>
      </c>
      <c r="G26" s="115">
        <v>45950</v>
      </c>
      <c r="H26" s="109"/>
      <c r="I26" s="139"/>
      <c r="J26" s="140"/>
      <c r="K26" s="140"/>
      <c r="L26" s="140"/>
      <c r="M26" s="140"/>
    </row>
    <row r="27" s="88" customFormat="1" ht="15" customHeight="1" spans="2:13">
      <c r="B27" s="105">
        <v>45960</v>
      </c>
      <c r="C27" s="114" t="s">
        <v>2330</v>
      </c>
      <c r="D27" s="114">
        <v>71126</v>
      </c>
      <c r="E27" s="114" t="s">
        <v>63</v>
      </c>
      <c r="F27" s="114">
        <v>60000</v>
      </c>
      <c r="G27" s="115">
        <v>46016</v>
      </c>
      <c r="H27" s="109"/>
      <c r="I27" s="139"/>
      <c r="J27" s="140"/>
      <c r="K27" s="140"/>
      <c r="L27" s="140"/>
      <c r="M27" s="140"/>
    </row>
    <row r="28" s="88" customFormat="1" ht="15" customHeight="1" spans="2:13">
      <c r="B28" s="105">
        <v>46001</v>
      </c>
      <c r="C28" s="114" t="s">
        <v>2331</v>
      </c>
      <c r="D28" s="114">
        <v>71126</v>
      </c>
      <c r="E28" s="114" t="s">
        <v>63</v>
      </c>
      <c r="F28" s="114">
        <v>30000</v>
      </c>
      <c r="G28" s="115">
        <v>46058</v>
      </c>
      <c r="H28" s="109"/>
      <c r="I28" s="139"/>
      <c r="J28" s="140"/>
      <c r="K28" s="140"/>
      <c r="L28" s="140"/>
      <c r="M28" s="140"/>
    </row>
    <row r="29" s="88" customFormat="1" ht="15" customHeight="1" spans="2:13">
      <c r="B29" s="116">
        <v>46017</v>
      </c>
      <c r="C29" s="117" t="s">
        <v>2332</v>
      </c>
      <c r="D29" s="117">
        <v>71126</v>
      </c>
      <c r="E29" s="117" t="s">
        <v>63</v>
      </c>
      <c r="F29" s="117">
        <v>20000</v>
      </c>
      <c r="G29" s="118">
        <v>46077</v>
      </c>
      <c r="H29" s="109"/>
      <c r="I29" s="139"/>
      <c r="J29" s="140"/>
      <c r="K29" s="140"/>
      <c r="L29" s="140"/>
      <c r="M29" s="140"/>
    </row>
    <row r="30" s="88" customFormat="1" ht="15" customHeight="1" spans="2:13">
      <c r="B30" s="119"/>
      <c r="C30" s="114"/>
      <c r="D30" s="114"/>
      <c r="E30" s="114"/>
      <c r="F30" s="114"/>
      <c r="G30" s="120"/>
      <c r="H30" s="109"/>
      <c r="I30" s="139"/>
      <c r="J30" s="140"/>
      <c r="K30" s="140"/>
      <c r="L30" s="140"/>
      <c r="M30" s="140"/>
    </row>
    <row r="31" s="88" customFormat="1" ht="15" customHeight="1" spans="2:13">
      <c r="B31" s="119"/>
      <c r="C31" s="114"/>
      <c r="D31" s="114"/>
      <c r="E31" s="114"/>
      <c r="F31" s="114"/>
      <c r="G31" s="120"/>
      <c r="H31" s="109"/>
      <c r="I31" s="139"/>
      <c r="J31" s="140"/>
      <c r="K31" s="140"/>
      <c r="L31" s="140"/>
      <c r="M31" s="140"/>
    </row>
    <row r="32" s="88" customFormat="1" ht="15" customHeight="1" spans="2:13">
      <c r="B32" s="119"/>
      <c r="C32" s="114"/>
      <c r="D32" s="114"/>
      <c r="E32" s="114"/>
      <c r="F32" s="114"/>
      <c r="G32" s="120"/>
      <c r="H32" s="109"/>
      <c r="I32" s="139"/>
      <c r="J32" s="140"/>
      <c r="K32" s="140"/>
      <c r="L32" s="140"/>
      <c r="M32" s="140"/>
    </row>
    <row r="33" s="88" customFormat="1" ht="15" customHeight="1" spans="2:13">
      <c r="B33" s="119"/>
      <c r="C33" s="114"/>
      <c r="D33" s="114"/>
      <c r="E33" s="114"/>
      <c r="F33" s="114"/>
      <c r="G33" s="120"/>
      <c r="H33" s="109"/>
      <c r="I33" s="139"/>
      <c r="J33" s="140"/>
      <c r="K33" s="140"/>
      <c r="L33" s="140"/>
      <c r="M33" s="140"/>
    </row>
    <row r="34" s="88" customFormat="1" ht="15" customHeight="1" spans="2:13">
      <c r="B34" s="119"/>
      <c r="C34" s="114"/>
      <c r="D34" s="114"/>
      <c r="E34" s="114"/>
      <c r="F34" s="114"/>
      <c r="G34" s="120"/>
      <c r="H34" s="109"/>
      <c r="I34" s="139"/>
      <c r="J34" s="140"/>
      <c r="K34" s="140"/>
      <c r="L34" s="140"/>
      <c r="M34" s="140"/>
    </row>
    <row r="35" s="88" customFormat="1" ht="15" customHeight="1" spans="2:13">
      <c r="B35" s="119"/>
      <c r="C35" s="114"/>
      <c r="D35" s="114"/>
      <c r="E35" s="114" t="s">
        <v>2333</v>
      </c>
      <c r="F35" s="114">
        <f>SUM(F4:F29)</f>
        <v>1148000</v>
      </c>
      <c r="G35" s="121"/>
      <c r="H35" s="109"/>
      <c r="I35" s="139"/>
      <c r="J35" s="140"/>
      <c r="K35" s="140"/>
      <c r="L35" s="140"/>
      <c r="M35" s="140"/>
    </row>
    <row r="36" s="88" customFormat="1" ht="15" customHeight="1" spans="2:13">
      <c r="B36" s="119"/>
      <c r="C36" s="114"/>
      <c r="D36" s="114"/>
      <c r="E36" s="114" t="s">
        <v>2300</v>
      </c>
      <c r="F36" s="114">
        <f>大白鲨!I575+551610</f>
        <v>1104537</v>
      </c>
      <c r="G36" s="121"/>
      <c r="H36" s="109"/>
      <c r="I36" s="139"/>
      <c r="J36" s="140"/>
      <c r="K36" s="140"/>
      <c r="L36" s="140"/>
      <c r="M36" s="140"/>
    </row>
    <row r="37" s="88" customFormat="1" ht="15" customHeight="1" spans="2:13">
      <c r="B37" s="119"/>
      <c r="C37" s="114" t="s">
        <v>2268</v>
      </c>
      <c r="D37" s="114"/>
      <c r="E37" s="114" t="s">
        <v>2334</v>
      </c>
      <c r="F37" s="114">
        <f>F35-F36</f>
        <v>43463</v>
      </c>
      <c r="G37" s="121"/>
      <c r="H37" s="109"/>
      <c r="I37" s="139"/>
      <c r="J37" s="140"/>
      <c r="K37" s="140"/>
      <c r="L37" s="140"/>
      <c r="M37" s="140"/>
    </row>
    <row r="38" ht="15" customHeight="1" spans="2:8">
      <c r="B38" s="101"/>
      <c r="C38" s="102"/>
      <c r="D38" s="102"/>
      <c r="E38" s="102"/>
      <c r="F38" s="102"/>
      <c r="G38" s="122"/>
      <c r="H38" s="100"/>
    </row>
    <row r="39" s="88" customFormat="1" ht="15" customHeight="1" spans="2:13">
      <c r="B39" s="119"/>
      <c r="C39" s="114"/>
      <c r="D39" s="114"/>
      <c r="E39" s="114"/>
      <c r="F39" s="114"/>
      <c r="G39" s="121"/>
      <c r="H39" s="109"/>
      <c r="I39" s="139"/>
      <c r="J39" s="140"/>
      <c r="K39" s="140"/>
      <c r="L39" s="140"/>
      <c r="M39" s="140"/>
    </row>
    <row r="40" s="88" customFormat="1" ht="15" customHeight="1" spans="2:13">
      <c r="B40" s="119"/>
      <c r="C40" s="114"/>
      <c r="D40" s="114"/>
      <c r="E40" s="114"/>
      <c r="F40" s="114"/>
      <c r="G40" s="121"/>
      <c r="H40" s="109"/>
      <c r="I40" s="139"/>
      <c r="J40" s="140"/>
      <c r="K40" s="140"/>
      <c r="L40" s="140"/>
      <c r="M40" s="140"/>
    </row>
    <row r="41" ht="22" customHeight="1" spans="2:8">
      <c r="B41" s="123" t="s">
        <v>2335</v>
      </c>
      <c r="C41" s="124"/>
      <c r="D41" s="124"/>
      <c r="E41" s="124"/>
      <c r="F41" s="125"/>
      <c r="G41" s="124"/>
      <c r="H41" s="126"/>
    </row>
    <row r="42" s="88" customFormat="1" ht="16" customHeight="1" spans="2:13">
      <c r="B42" s="127" t="s">
        <v>2303</v>
      </c>
      <c r="C42" s="128" t="s">
        <v>2273</v>
      </c>
      <c r="D42" s="97" t="s">
        <v>2304</v>
      </c>
      <c r="E42" s="128" t="s">
        <v>7</v>
      </c>
      <c r="F42" s="129">
        <v>71126</v>
      </c>
      <c r="G42" s="99" t="s">
        <v>2305</v>
      </c>
      <c r="H42" s="130" t="s">
        <v>23</v>
      </c>
      <c r="I42" s="139"/>
      <c r="J42" s="140"/>
      <c r="K42" s="140"/>
      <c r="L42" s="140"/>
      <c r="M42" s="140"/>
    </row>
    <row r="43" s="88" customFormat="1" ht="16" customHeight="1" spans="2:13">
      <c r="B43" s="101"/>
      <c r="C43" s="102"/>
      <c r="D43" s="96"/>
      <c r="E43" s="102"/>
      <c r="F43" s="131" t="s">
        <v>63</v>
      </c>
      <c r="G43" s="104"/>
      <c r="H43" s="100"/>
      <c r="I43" s="139"/>
      <c r="J43" s="140"/>
      <c r="K43" s="140"/>
      <c r="L43" s="140"/>
      <c r="M43" s="140"/>
    </row>
    <row r="44" s="88" customFormat="1" ht="15" customHeight="1" spans="2:13">
      <c r="B44" s="105">
        <v>45173</v>
      </c>
      <c r="C44" s="114" t="s">
        <v>2336</v>
      </c>
      <c r="D44" s="114">
        <v>71126</v>
      </c>
      <c r="E44" s="114" t="s">
        <v>2337</v>
      </c>
      <c r="F44" s="114">
        <v>3000</v>
      </c>
      <c r="G44" s="105">
        <v>45183</v>
      </c>
      <c r="H44" s="109"/>
      <c r="I44" s="139"/>
      <c r="J44" s="140"/>
      <c r="K44" s="140"/>
      <c r="L44" s="140"/>
      <c r="M44" s="140"/>
    </row>
    <row r="45" s="88" customFormat="1" ht="15" customHeight="1" spans="2:13">
      <c r="B45" s="105">
        <v>45273</v>
      </c>
      <c r="C45" s="114" t="s">
        <v>2338</v>
      </c>
      <c r="D45" s="114">
        <v>71126</v>
      </c>
      <c r="E45" s="114" t="s">
        <v>2337</v>
      </c>
      <c r="F45" s="114">
        <v>27000</v>
      </c>
      <c r="G45" s="105">
        <v>45306</v>
      </c>
      <c r="H45" s="109"/>
      <c r="I45" s="139"/>
      <c r="J45" s="140"/>
      <c r="K45" s="140"/>
      <c r="L45" s="140"/>
      <c r="M45" s="140"/>
    </row>
    <row r="46" s="88" customFormat="1" ht="15" customHeight="1" spans="2:13">
      <c r="B46" s="105">
        <v>45285</v>
      </c>
      <c r="C46" s="114" t="s">
        <v>2339</v>
      </c>
      <c r="D46" s="114">
        <v>71126</v>
      </c>
      <c r="E46" s="114" t="s">
        <v>2337</v>
      </c>
      <c r="F46" s="114">
        <v>60000</v>
      </c>
      <c r="G46" s="105">
        <v>45295</v>
      </c>
      <c r="H46" s="109"/>
      <c r="I46" s="139"/>
      <c r="J46" s="140"/>
      <c r="K46" s="140"/>
      <c r="L46" s="140"/>
      <c r="M46" s="140"/>
    </row>
    <row r="47" s="88" customFormat="1" ht="15" customHeight="1" spans="2:13">
      <c r="B47" s="105">
        <v>45350</v>
      </c>
      <c r="C47" s="114" t="s">
        <v>2340</v>
      </c>
      <c r="D47" s="114">
        <v>71126</v>
      </c>
      <c r="E47" s="114" t="s">
        <v>2337</v>
      </c>
      <c r="F47" s="114">
        <v>15000</v>
      </c>
      <c r="G47" s="105">
        <v>45380</v>
      </c>
      <c r="H47" s="109"/>
      <c r="I47" s="139"/>
      <c r="J47" s="140"/>
      <c r="K47" s="140"/>
      <c r="L47" s="140"/>
      <c r="M47" s="140"/>
    </row>
    <row r="48" s="88" customFormat="1" ht="15" customHeight="1" spans="2:13">
      <c r="B48" s="105">
        <v>45369</v>
      </c>
      <c r="C48" s="114" t="s">
        <v>2341</v>
      </c>
      <c r="D48" s="114">
        <v>71126</v>
      </c>
      <c r="E48" s="114" t="s">
        <v>2337</v>
      </c>
      <c r="F48" s="114">
        <v>42000</v>
      </c>
      <c r="G48" s="105">
        <v>45387</v>
      </c>
      <c r="H48" s="109"/>
      <c r="I48" s="139"/>
      <c r="J48" s="140"/>
      <c r="K48" s="140"/>
      <c r="L48" s="140"/>
      <c r="M48" s="140"/>
    </row>
    <row r="49" s="88" customFormat="1" ht="15" customHeight="1" spans="2:13">
      <c r="B49" s="105">
        <v>45380</v>
      </c>
      <c r="C49" s="114" t="s">
        <v>2342</v>
      </c>
      <c r="D49" s="114">
        <v>71126</v>
      </c>
      <c r="E49" s="114" t="s">
        <v>2337</v>
      </c>
      <c r="F49" s="114">
        <v>30000</v>
      </c>
      <c r="G49" s="105">
        <v>45397</v>
      </c>
      <c r="H49" s="109"/>
      <c r="I49" s="139"/>
      <c r="J49" s="140"/>
      <c r="K49" s="140"/>
      <c r="L49" s="140"/>
      <c r="M49" s="140"/>
    </row>
    <row r="50" s="88" customFormat="1" ht="15" customHeight="1" spans="2:13">
      <c r="B50" s="105">
        <v>45385</v>
      </c>
      <c r="C50" s="114" t="s">
        <v>2343</v>
      </c>
      <c r="D50" s="114">
        <v>71126</v>
      </c>
      <c r="E50" s="114" t="s">
        <v>2337</v>
      </c>
      <c r="F50" s="114">
        <v>90000</v>
      </c>
      <c r="G50" s="105">
        <v>45397</v>
      </c>
      <c r="H50" s="109"/>
      <c r="I50" s="139"/>
      <c r="J50" s="140"/>
      <c r="K50" s="140"/>
      <c r="L50" s="140"/>
      <c r="M50" s="140"/>
    </row>
    <row r="51" s="88" customFormat="1" ht="15" customHeight="1" spans="2:13">
      <c r="B51" s="105">
        <v>45410</v>
      </c>
      <c r="C51" s="114" t="s">
        <v>2344</v>
      </c>
      <c r="D51" s="114">
        <v>71126</v>
      </c>
      <c r="E51" s="114" t="s">
        <v>2337</v>
      </c>
      <c r="F51" s="114">
        <v>60000</v>
      </c>
      <c r="G51" s="105">
        <v>45440</v>
      </c>
      <c r="H51" s="109"/>
      <c r="I51" s="139"/>
      <c r="J51" s="140"/>
      <c r="K51" s="140"/>
      <c r="L51" s="140"/>
      <c r="M51" s="140"/>
    </row>
    <row r="52" s="88" customFormat="1" ht="15" customHeight="1" spans="2:13">
      <c r="B52" s="105">
        <v>45443</v>
      </c>
      <c r="C52" s="114" t="s">
        <v>2345</v>
      </c>
      <c r="D52" s="114">
        <v>71126</v>
      </c>
      <c r="E52" s="114" t="s">
        <v>2337</v>
      </c>
      <c r="F52" s="114">
        <v>75000</v>
      </c>
      <c r="G52" s="105">
        <v>45453</v>
      </c>
      <c r="H52" s="109"/>
      <c r="I52" s="139"/>
      <c r="J52" s="140"/>
      <c r="K52" s="140"/>
      <c r="L52" s="140"/>
      <c r="M52" s="140"/>
    </row>
    <row r="53" s="88" customFormat="1" ht="15" customHeight="1" spans="2:13">
      <c r="B53" s="105">
        <v>45474</v>
      </c>
      <c r="C53" s="114" t="s">
        <v>2346</v>
      </c>
      <c r="D53" s="114">
        <v>71126</v>
      </c>
      <c r="E53" s="114" t="s">
        <v>2337</v>
      </c>
      <c r="F53" s="114">
        <v>60000</v>
      </c>
      <c r="G53" s="105">
        <v>45494</v>
      </c>
      <c r="H53" s="109"/>
      <c r="I53" s="139"/>
      <c r="J53" s="140" t="s">
        <v>2347</v>
      </c>
      <c r="K53" s="140" t="s">
        <v>2348</v>
      </c>
      <c r="L53" s="140"/>
      <c r="M53" s="140"/>
    </row>
    <row r="54" s="88" customFormat="1" ht="15" customHeight="1" spans="2:13">
      <c r="B54" s="105">
        <v>45492</v>
      </c>
      <c r="C54" s="114" t="s">
        <v>2349</v>
      </c>
      <c r="D54" s="114">
        <v>71126</v>
      </c>
      <c r="E54" s="114" t="s">
        <v>2337</v>
      </c>
      <c r="F54" s="114">
        <v>60000</v>
      </c>
      <c r="G54" s="105">
        <v>45507</v>
      </c>
      <c r="H54" s="109"/>
      <c r="I54" s="139"/>
      <c r="J54" s="140" t="s">
        <v>2350</v>
      </c>
      <c r="K54" s="140"/>
      <c r="L54" s="140"/>
      <c r="M54" s="140"/>
    </row>
    <row r="55" s="88" customFormat="1" ht="15" customHeight="1" spans="2:13">
      <c r="B55" s="105">
        <v>45504</v>
      </c>
      <c r="C55" s="114" t="s">
        <v>2351</v>
      </c>
      <c r="D55" s="114">
        <v>71126</v>
      </c>
      <c r="E55" s="114" t="s">
        <v>2337</v>
      </c>
      <c r="F55" s="114">
        <v>90000</v>
      </c>
      <c r="G55" s="105">
        <v>45519</v>
      </c>
      <c r="H55" s="109"/>
      <c r="I55" s="139"/>
      <c r="J55" s="140"/>
      <c r="K55" s="140"/>
      <c r="L55" s="140"/>
      <c r="M55" s="140"/>
    </row>
    <row r="56" s="87" customFormat="1" ht="15" customHeight="1" spans="2:13">
      <c r="B56" s="108">
        <v>45539</v>
      </c>
      <c r="C56" s="106" t="s">
        <v>2352</v>
      </c>
      <c r="D56" s="106">
        <v>71126</v>
      </c>
      <c r="E56" s="106" t="s">
        <v>2337</v>
      </c>
      <c r="F56" s="106">
        <v>12000</v>
      </c>
      <c r="G56" s="108">
        <v>45554</v>
      </c>
      <c r="H56" s="107"/>
      <c r="I56" s="137"/>
      <c r="J56" s="138"/>
      <c r="K56" s="138"/>
      <c r="L56" s="138"/>
      <c r="M56" s="138"/>
    </row>
    <row r="57" s="87" customFormat="1" ht="15" customHeight="1" spans="2:13">
      <c r="B57" s="108">
        <v>45560</v>
      </c>
      <c r="C57" s="106" t="s">
        <v>2353</v>
      </c>
      <c r="D57" s="106">
        <v>71126</v>
      </c>
      <c r="E57" s="106" t="s">
        <v>2337</v>
      </c>
      <c r="F57" s="106">
        <v>39000</v>
      </c>
      <c r="G57" s="108">
        <v>45575</v>
      </c>
      <c r="H57" s="107"/>
      <c r="I57" s="137"/>
      <c r="J57" s="138"/>
      <c r="K57" s="138"/>
      <c r="L57" s="138"/>
      <c r="M57" s="138"/>
    </row>
    <row r="58" s="88" customFormat="1" ht="15" customHeight="1" spans="2:13">
      <c r="B58" s="108">
        <v>45625</v>
      </c>
      <c r="C58" s="106" t="s">
        <v>2354</v>
      </c>
      <c r="D58" s="106">
        <v>71126</v>
      </c>
      <c r="E58" s="106" t="s">
        <v>2337</v>
      </c>
      <c r="F58" s="106">
        <v>90000</v>
      </c>
      <c r="G58" s="113">
        <v>45640</v>
      </c>
      <c r="H58" s="109"/>
      <c r="I58" s="139"/>
      <c r="J58" s="140"/>
      <c r="K58" s="140"/>
      <c r="L58" s="140"/>
      <c r="M58" s="140"/>
    </row>
    <row r="59" s="88" customFormat="1" ht="15" customHeight="1" spans="2:13">
      <c r="B59" s="108">
        <v>46015</v>
      </c>
      <c r="C59" s="106" t="s">
        <v>2355</v>
      </c>
      <c r="D59" s="106">
        <v>71126</v>
      </c>
      <c r="E59" s="132" t="s">
        <v>2337</v>
      </c>
      <c r="F59" s="106">
        <v>30000</v>
      </c>
      <c r="G59" s="113">
        <v>45665</v>
      </c>
      <c r="H59" s="109"/>
      <c r="I59" s="139"/>
      <c r="J59" s="140"/>
      <c r="K59" s="140"/>
      <c r="L59" s="140"/>
      <c r="M59" s="140"/>
    </row>
    <row r="60" s="88" customFormat="1" ht="15" customHeight="1" spans="2:13">
      <c r="B60" s="108">
        <v>45677</v>
      </c>
      <c r="C60" s="106" t="s">
        <v>2356</v>
      </c>
      <c r="D60" s="106">
        <v>71126</v>
      </c>
      <c r="E60" s="132" t="s">
        <v>2337</v>
      </c>
      <c r="F60" s="106">
        <v>30000</v>
      </c>
      <c r="G60" s="113">
        <v>45702</v>
      </c>
      <c r="H60" s="109"/>
      <c r="I60" s="139"/>
      <c r="J60" s="140"/>
      <c r="K60" s="140"/>
      <c r="L60" s="140"/>
      <c r="M60" s="140"/>
    </row>
    <row r="61" s="88" customFormat="1" ht="15" customHeight="1" spans="2:13">
      <c r="B61" s="108">
        <v>45714</v>
      </c>
      <c r="C61" s="106" t="s">
        <v>2357</v>
      </c>
      <c r="D61" s="106">
        <v>71126</v>
      </c>
      <c r="E61" s="132" t="s">
        <v>2337</v>
      </c>
      <c r="F61" s="106">
        <v>75000</v>
      </c>
      <c r="G61" s="113">
        <v>45729</v>
      </c>
      <c r="H61" s="109"/>
      <c r="I61" s="139"/>
      <c r="J61" s="140"/>
      <c r="K61" s="140"/>
      <c r="L61" s="140"/>
      <c r="M61" s="140"/>
    </row>
    <row r="62" s="88" customFormat="1" ht="15" customHeight="1" spans="2:13">
      <c r="B62" s="105">
        <v>45804</v>
      </c>
      <c r="C62" s="114" t="s">
        <v>2358</v>
      </c>
      <c r="D62" s="114">
        <v>71126</v>
      </c>
      <c r="E62" s="133" t="s">
        <v>2337</v>
      </c>
      <c r="F62" s="114">
        <v>30000</v>
      </c>
      <c r="G62" s="115">
        <v>45825</v>
      </c>
      <c r="H62" s="109" t="s">
        <v>2359</v>
      </c>
      <c r="I62" s="139"/>
      <c r="J62" s="140"/>
      <c r="K62" s="140"/>
      <c r="L62" s="140"/>
      <c r="M62" s="140"/>
    </row>
    <row r="63" s="88" customFormat="1" ht="15" customHeight="1" spans="2:13">
      <c r="B63" s="105">
        <v>45838</v>
      </c>
      <c r="C63" s="114" t="s">
        <v>2360</v>
      </c>
      <c r="D63" s="114">
        <v>71126</v>
      </c>
      <c r="E63" s="133" t="s">
        <v>2337</v>
      </c>
      <c r="F63" s="114">
        <v>30000</v>
      </c>
      <c r="G63" s="115">
        <v>45859</v>
      </c>
      <c r="H63" s="109"/>
      <c r="I63" s="139"/>
      <c r="J63" s="140"/>
      <c r="K63" s="140"/>
      <c r="L63" s="140"/>
      <c r="M63" s="140"/>
    </row>
    <row r="64" s="88" customFormat="1" ht="15" customHeight="1" spans="2:13">
      <c r="B64" s="105">
        <v>45867</v>
      </c>
      <c r="C64" s="114" t="s">
        <v>2361</v>
      </c>
      <c r="D64" s="114">
        <v>71126</v>
      </c>
      <c r="E64" s="133" t="s">
        <v>2337</v>
      </c>
      <c r="F64" s="114">
        <v>60000</v>
      </c>
      <c r="G64" s="115">
        <v>45888</v>
      </c>
      <c r="H64" s="109"/>
      <c r="I64" s="139"/>
      <c r="J64" s="140"/>
      <c r="K64" s="140"/>
      <c r="L64" s="140"/>
      <c r="M64" s="140"/>
    </row>
    <row r="65" s="88" customFormat="1" ht="15" customHeight="1" spans="2:13">
      <c r="B65" s="105">
        <v>45895</v>
      </c>
      <c r="C65" s="114" t="s">
        <v>2362</v>
      </c>
      <c r="D65" s="114">
        <v>71126</v>
      </c>
      <c r="E65" s="133" t="s">
        <v>2337</v>
      </c>
      <c r="F65" s="114">
        <v>60000</v>
      </c>
      <c r="G65" s="115">
        <v>45916</v>
      </c>
      <c r="H65" s="109"/>
      <c r="I65" s="139"/>
      <c r="J65" s="140"/>
      <c r="K65" s="140"/>
      <c r="L65" s="140"/>
      <c r="M65" s="140"/>
    </row>
    <row r="66" s="88" customFormat="1" ht="15" customHeight="1" spans="2:13">
      <c r="B66" s="105">
        <v>45960</v>
      </c>
      <c r="C66" s="114" t="s">
        <v>2330</v>
      </c>
      <c r="D66" s="114">
        <v>71126</v>
      </c>
      <c r="E66" s="133" t="s">
        <v>2337</v>
      </c>
      <c r="F66" s="114">
        <v>60000</v>
      </c>
      <c r="G66" s="115">
        <v>46016</v>
      </c>
      <c r="H66" s="109"/>
      <c r="I66" s="139"/>
      <c r="J66" s="140"/>
      <c r="K66" s="140"/>
      <c r="L66" s="140"/>
      <c r="M66" s="140"/>
    </row>
    <row r="67" s="88" customFormat="1" ht="15" customHeight="1" spans="2:13">
      <c r="B67" s="105">
        <v>45988</v>
      </c>
      <c r="C67" s="114" t="s">
        <v>2363</v>
      </c>
      <c r="D67" s="114">
        <v>71126</v>
      </c>
      <c r="E67" s="133" t="s">
        <v>2337</v>
      </c>
      <c r="F67" s="114">
        <v>90000</v>
      </c>
      <c r="G67" s="115">
        <v>46003</v>
      </c>
      <c r="H67" s="109"/>
      <c r="I67" s="139"/>
      <c r="J67" s="140"/>
      <c r="K67" s="140"/>
      <c r="L67" s="140"/>
      <c r="M67" s="140"/>
    </row>
    <row r="68" s="88" customFormat="1" ht="15" customHeight="1" spans="2:13">
      <c r="B68" s="116">
        <v>46031</v>
      </c>
      <c r="C68" s="117" t="s">
        <v>2364</v>
      </c>
      <c r="D68" s="117">
        <v>71126</v>
      </c>
      <c r="E68" s="141" t="s">
        <v>2337</v>
      </c>
      <c r="F68" s="117">
        <v>90000</v>
      </c>
      <c r="G68" s="118">
        <v>46046</v>
      </c>
      <c r="H68" s="109"/>
      <c r="I68" s="139"/>
      <c r="J68" s="140"/>
      <c r="K68" s="140"/>
      <c r="L68" s="140"/>
      <c r="M68" s="140"/>
    </row>
    <row r="69" s="88" customFormat="1" ht="15" customHeight="1" spans="2:13">
      <c r="B69" s="116"/>
      <c r="C69" s="117"/>
      <c r="D69" s="117"/>
      <c r="E69" s="141"/>
      <c r="F69" s="117"/>
      <c r="G69" s="118"/>
      <c r="H69" s="109"/>
      <c r="I69" s="139"/>
      <c r="J69" s="140"/>
      <c r="K69" s="140"/>
      <c r="L69" s="140"/>
      <c r="M69" s="140"/>
    </row>
    <row r="70" s="88" customFormat="1" ht="15" customHeight="1" spans="2:13">
      <c r="B70" s="105"/>
      <c r="C70" s="114"/>
      <c r="D70" s="114"/>
      <c r="E70" s="133"/>
      <c r="F70" s="114"/>
      <c r="G70" s="115"/>
      <c r="H70" s="109"/>
      <c r="I70" s="139"/>
      <c r="J70" s="140"/>
      <c r="K70" s="140"/>
      <c r="L70" s="140"/>
      <c r="M70" s="140"/>
    </row>
    <row r="71" s="88" customFormat="1" ht="15" customHeight="1" spans="2:13">
      <c r="B71" s="105"/>
      <c r="C71" s="114"/>
      <c r="D71" s="114"/>
      <c r="E71" s="133"/>
      <c r="F71" s="114"/>
      <c r="G71" s="115"/>
      <c r="H71" s="109"/>
      <c r="I71" s="139"/>
      <c r="J71" s="140"/>
      <c r="K71" s="140"/>
      <c r="L71" s="140"/>
      <c r="M71" s="140"/>
    </row>
    <row r="72" s="88" customFormat="1" ht="15" customHeight="1" spans="2:13">
      <c r="B72" s="119"/>
      <c r="C72" s="114"/>
      <c r="D72" s="114"/>
      <c r="E72" s="119"/>
      <c r="F72" s="117">
        <f>SUM(F44:F71)</f>
        <v>1308000</v>
      </c>
      <c r="G72" s="121"/>
      <c r="H72" s="109"/>
      <c r="I72" s="139"/>
      <c r="J72" s="140"/>
      <c r="K72" s="140"/>
      <c r="L72" s="140"/>
      <c r="M72" s="140"/>
    </row>
    <row r="73" s="88" customFormat="1" ht="15" customHeight="1" spans="2:13">
      <c r="B73" s="119" t="s">
        <v>2300</v>
      </c>
      <c r="C73" s="114"/>
      <c r="D73" s="114"/>
      <c r="E73" s="114"/>
      <c r="F73" s="114">
        <f>F36</f>
        <v>1104537</v>
      </c>
      <c r="G73" s="121"/>
      <c r="H73" s="109"/>
      <c r="I73" s="139"/>
      <c r="J73" s="140"/>
      <c r="K73" s="140"/>
      <c r="L73" s="140"/>
      <c r="M73" s="140"/>
    </row>
    <row r="74" s="88" customFormat="1" ht="15" customHeight="1" spans="2:13">
      <c r="B74" s="119" t="s">
        <v>2365</v>
      </c>
      <c r="C74" s="114"/>
      <c r="D74" s="114"/>
      <c r="E74" s="114"/>
      <c r="F74" s="114">
        <f>F72-F73</f>
        <v>203463</v>
      </c>
      <c r="G74" s="121"/>
      <c r="H74" s="109"/>
      <c r="I74" s="139"/>
      <c r="J74" s="140"/>
      <c r="K74" s="140"/>
      <c r="L74" s="140"/>
      <c r="M74" s="140"/>
    </row>
    <row r="75" s="88" customFormat="1" ht="15" customHeight="1" spans="2:13">
      <c r="B75" s="119" t="s">
        <v>2366</v>
      </c>
      <c r="C75" s="114"/>
      <c r="D75" s="114"/>
      <c r="E75" s="114"/>
      <c r="F75" s="114">
        <f>F72-F35</f>
        <v>160000</v>
      </c>
      <c r="G75" s="121"/>
      <c r="H75" s="109"/>
      <c r="I75" s="139"/>
      <c r="J75" s="140"/>
      <c r="K75" s="140"/>
      <c r="L75" s="140"/>
      <c r="M75" s="140"/>
    </row>
    <row r="76" s="88" customFormat="1" ht="15" customHeight="1" spans="2:13">
      <c r="B76" s="119"/>
      <c r="C76" s="114"/>
      <c r="D76" s="114"/>
      <c r="E76" s="114"/>
      <c r="F76" s="114"/>
      <c r="G76" s="121"/>
      <c r="H76" s="109"/>
      <c r="I76" s="139"/>
      <c r="J76" s="140"/>
      <c r="K76" s="140"/>
      <c r="L76" s="140"/>
      <c r="M76" s="140"/>
    </row>
    <row r="77" s="88" customFormat="1" ht="15" customHeight="1" spans="2:13">
      <c r="B77" s="119"/>
      <c r="C77" s="114"/>
      <c r="D77" s="114"/>
      <c r="E77" s="114"/>
      <c r="F77" s="114"/>
      <c r="G77" s="121"/>
      <c r="H77" s="109"/>
      <c r="I77" s="139"/>
      <c r="J77" s="140"/>
      <c r="K77" s="140"/>
      <c r="L77" s="140"/>
      <c r="M77" s="140"/>
    </row>
    <row r="78" s="88" customFormat="1" ht="15" customHeight="1" spans="2:13">
      <c r="B78" s="119"/>
      <c r="C78" s="114"/>
      <c r="D78" s="114"/>
      <c r="E78" s="114"/>
      <c r="F78" s="114"/>
      <c r="G78" s="121"/>
      <c r="H78" s="109"/>
      <c r="I78" s="139"/>
      <c r="J78" s="140"/>
      <c r="K78" s="140"/>
      <c r="L78" s="140"/>
      <c r="M78" s="140"/>
    </row>
    <row r="79" s="88" customFormat="1" ht="15" customHeight="1" spans="2:13">
      <c r="B79" s="119"/>
      <c r="C79" s="114"/>
      <c r="D79" s="114"/>
      <c r="E79" s="114"/>
      <c r="F79" s="114"/>
      <c r="G79" s="121"/>
      <c r="H79" s="109"/>
      <c r="I79" s="139"/>
      <c r="J79" s="140"/>
      <c r="K79" s="140"/>
      <c r="L79" s="140"/>
      <c r="M79" s="140"/>
    </row>
    <row r="80" s="88" customFormat="1" ht="15" customHeight="1" spans="2:13">
      <c r="B80" s="142"/>
      <c r="C80" s="143"/>
      <c r="D80" s="143"/>
      <c r="E80" s="143"/>
      <c r="F80" s="143"/>
      <c r="G80" s="144"/>
      <c r="H80" s="145"/>
      <c r="I80" s="139"/>
      <c r="J80" s="140"/>
      <c r="K80" s="140"/>
      <c r="L80" s="140"/>
      <c r="M80" s="140"/>
    </row>
  </sheetData>
  <mergeCells count="15">
    <mergeCell ref="B1:F1"/>
    <mergeCell ref="B41:F41"/>
    <mergeCell ref="B2:B3"/>
    <mergeCell ref="B42:B43"/>
    <mergeCell ref="C2:C3"/>
    <mergeCell ref="C42:C43"/>
    <mergeCell ref="D2:D3"/>
    <mergeCell ref="D42:D43"/>
    <mergeCell ref="E2:E3"/>
    <mergeCell ref="E42:E43"/>
    <mergeCell ref="F2:F3"/>
    <mergeCell ref="G2:G3"/>
    <mergeCell ref="G42:G43"/>
    <mergeCell ref="H2:H3"/>
    <mergeCell ref="H42:H43"/>
  </mergeCells>
  <pageMargins left="0.235416666666667" right="0.235416666666667" top="0" bottom="0" header="0" footer="0"/>
  <pageSetup paperSize="9" scale="46" orientation="landscape"/>
  <headerFooter/>
  <colBreaks count="1" manualBreakCount="1">
    <brk id="8"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G16" sqref="G16"/>
    </sheetView>
  </sheetViews>
  <sheetFormatPr defaultColWidth="9.025" defaultRowHeight="13.5" outlineLevelRow="5"/>
  <cols>
    <col min="1" max="1" width="10.475" customWidth="1"/>
    <col min="2" max="2" width="13.9583333333333" customWidth="1"/>
    <col min="3" max="3" width="18.9916666666667" customWidth="1"/>
    <col min="4" max="4" width="11.2333333333333" customWidth="1"/>
    <col min="5" max="5" width="19.3833333333333" customWidth="1"/>
    <col min="6" max="6" width="15.0083333333333" customWidth="1"/>
    <col min="7" max="7" width="16.4" customWidth="1"/>
    <col min="9" max="9" width="24.15" customWidth="1"/>
  </cols>
  <sheetData>
    <row r="1" ht="40" customHeight="1" spans="1:9">
      <c r="A1" s="78" t="s">
        <v>2367</v>
      </c>
      <c r="B1" s="78" t="s">
        <v>2368</v>
      </c>
      <c r="C1" s="78" t="s">
        <v>2369</v>
      </c>
      <c r="D1" s="78" t="s">
        <v>2370</v>
      </c>
      <c r="E1" s="79" t="s">
        <v>2371</v>
      </c>
      <c r="F1" s="78" t="s">
        <v>2372</v>
      </c>
      <c r="G1" s="78" t="s">
        <v>2373</v>
      </c>
      <c r="H1" s="78" t="s">
        <v>2374</v>
      </c>
      <c r="I1" s="85" t="s">
        <v>2375</v>
      </c>
    </row>
    <row r="2" ht="105" spans="1:9">
      <c r="A2" s="80">
        <v>71126</v>
      </c>
      <c r="B2" s="81" t="s">
        <v>2376</v>
      </c>
      <c r="C2" s="80" t="s">
        <v>2284</v>
      </c>
      <c r="D2" s="80">
        <v>1000019596</v>
      </c>
      <c r="E2" s="80">
        <v>17008112</v>
      </c>
      <c r="F2" s="82">
        <v>45397</v>
      </c>
      <c r="G2" s="83" t="s">
        <v>2377</v>
      </c>
      <c r="H2" s="83">
        <v>3000</v>
      </c>
      <c r="I2" s="86" t="s">
        <v>2378</v>
      </c>
    </row>
    <row r="3" ht="120" spans="1:9">
      <c r="A3" s="80">
        <v>71126</v>
      </c>
      <c r="B3" s="81" t="s">
        <v>2379</v>
      </c>
      <c r="C3" s="80" t="s">
        <v>2380</v>
      </c>
      <c r="D3" s="80">
        <v>1000032701</v>
      </c>
      <c r="E3" s="84">
        <v>17010368</v>
      </c>
      <c r="F3" s="82">
        <v>45928</v>
      </c>
      <c r="G3" s="84" t="s">
        <v>2381</v>
      </c>
      <c r="H3" s="83">
        <v>3000</v>
      </c>
      <c r="I3" s="86" t="s">
        <v>2382</v>
      </c>
    </row>
    <row r="4" ht="15" spans="1:9">
      <c r="A4" s="80"/>
      <c r="B4" s="81"/>
      <c r="C4" s="80"/>
      <c r="D4" s="80"/>
      <c r="E4" s="80"/>
      <c r="F4" s="82"/>
      <c r="G4" s="83"/>
      <c r="H4" s="83"/>
      <c r="I4" s="86"/>
    </row>
    <row r="5" ht="15" spans="1:9">
      <c r="A5" s="80"/>
      <c r="B5" s="81"/>
      <c r="C5" s="80"/>
      <c r="D5" s="80"/>
      <c r="E5" s="80"/>
      <c r="F5" s="82"/>
      <c r="G5" s="83"/>
      <c r="H5" s="83"/>
      <c r="I5" s="86"/>
    </row>
    <row r="6" ht="15" spans="1:9">
      <c r="A6" s="80"/>
      <c r="B6" s="81"/>
      <c r="C6" s="80"/>
      <c r="D6" s="80"/>
      <c r="E6" s="80"/>
      <c r="F6" s="82"/>
      <c r="G6" s="83"/>
      <c r="H6" s="83"/>
      <c r="I6" s="86"/>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2"/>
  <sheetViews>
    <sheetView zoomScale="85" zoomScaleNormal="85" topLeftCell="I1" workbookViewId="0">
      <selection activeCell="L7" sqref="L7"/>
    </sheetView>
  </sheetViews>
  <sheetFormatPr defaultColWidth="9" defaultRowHeight="13.5"/>
  <cols>
    <col min="4" max="5" width="10.125"/>
    <col min="19" max="19" width="10.125"/>
    <col min="20" max="20" width="9.25"/>
    <col min="26" max="26" width="9.25"/>
  </cols>
  <sheetData>
    <row r="1" s="1" customFormat="1" ht="40" customHeight="1" spans="1:42">
      <c r="A1" s="6" t="s">
        <v>0</v>
      </c>
      <c r="B1" s="7" t="s">
        <v>1</v>
      </c>
      <c r="C1" s="8" t="s">
        <v>2</v>
      </c>
      <c r="D1" s="7" t="s">
        <v>3</v>
      </c>
      <c r="E1" s="9" t="s">
        <v>4</v>
      </c>
      <c r="F1" s="9" t="s">
        <v>5</v>
      </c>
      <c r="G1" s="7" t="s">
        <v>6</v>
      </c>
      <c r="H1" s="7" t="s">
        <v>7</v>
      </c>
      <c r="I1" s="7" t="s">
        <v>8</v>
      </c>
      <c r="J1" s="7" t="s">
        <v>9</v>
      </c>
      <c r="K1" s="7" t="s">
        <v>10</v>
      </c>
      <c r="L1" s="7" t="s">
        <v>11</v>
      </c>
      <c r="M1" s="6" t="s">
        <v>12</v>
      </c>
      <c r="N1" s="39" t="s">
        <v>13</v>
      </c>
      <c r="O1" s="6" t="s">
        <v>14</v>
      </c>
      <c r="P1" s="39" t="s">
        <v>15</v>
      </c>
      <c r="Q1" s="8" t="s">
        <v>16</v>
      </c>
      <c r="R1" s="6" t="s">
        <v>18</v>
      </c>
      <c r="S1" s="6" t="s">
        <v>19</v>
      </c>
      <c r="T1" s="6" t="s">
        <v>20</v>
      </c>
      <c r="U1" s="6" t="s">
        <v>2383</v>
      </c>
      <c r="V1" s="6" t="s">
        <v>22</v>
      </c>
      <c r="W1" s="48" t="s">
        <v>23</v>
      </c>
      <c r="X1" s="7" t="s">
        <v>24</v>
      </c>
      <c r="Y1" s="7" t="s">
        <v>25</v>
      </c>
      <c r="Z1" s="7" t="s">
        <v>26</v>
      </c>
      <c r="AA1" s="7" t="s">
        <v>27</v>
      </c>
      <c r="AB1" s="9" t="s">
        <v>28</v>
      </c>
      <c r="AC1" s="7" t="s">
        <v>2384</v>
      </c>
      <c r="AD1" s="7" t="s">
        <v>2385</v>
      </c>
      <c r="AE1" s="7" t="s">
        <v>31</v>
      </c>
      <c r="AF1" s="8" t="s">
        <v>32</v>
      </c>
      <c r="AG1" s="7" t="s">
        <v>2384</v>
      </c>
      <c r="AH1" s="7" t="s">
        <v>33</v>
      </c>
      <c r="AI1" s="7" t="s">
        <v>34</v>
      </c>
      <c r="AJ1" s="7" t="s">
        <v>35</v>
      </c>
      <c r="AK1" s="7" t="s">
        <v>34</v>
      </c>
      <c r="AL1" s="7" t="s">
        <v>36</v>
      </c>
      <c r="AM1" s="7" t="s">
        <v>37</v>
      </c>
      <c r="AN1" s="70" t="s">
        <v>38</v>
      </c>
      <c r="AO1" s="70" t="s">
        <v>39</v>
      </c>
      <c r="AP1" s="70" t="s">
        <v>40</v>
      </c>
    </row>
    <row r="2" s="2" customFormat="1" ht="39" customHeight="1" spans="1:42">
      <c r="A2" s="10">
        <v>45383</v>
      </c>
      <c r="B2" s="11" t="s">
        <v>2386</v>
      </c>
      <c r="C2" s="12" t="s">
        <v>119</v>
      </c>
      <c r="D2" s="484" t="s">
        <v>2387</v>
      </c>
      <c r="E2" s="14" t="s">
        <v>2388</v>
      </c>
      <c r="F2" s="11" t="s">
        <v>2389</v>
      </c>
      <c r="G2" s="13" t="s">
        <v>62</v>
      </c>
      <c r="H2" s="11" t="s">
        <v>63</v>
      </c>
      <c r="I2" s="13">
        <v>6</v>
      </c>
      <c r="J2" s="13">
        <v>0</v>
      </c>
      <c r="K2" s="13">
        <v>6</v>
      </c>
      <c r="L2" s="13">
        <f t="shared" ref="L2:L23" si="0">I2/K2</f>
        <v>1</v>
      </c>
      <c r="M2" s="10">
        <v>45418</v>
      </c>
      <c r="N2" s="40" t="s">
        <v>2390</v>
      </c>
      <c r="O2" s="41" t="s">
        <v>2391</v>
      </c>
      <c r="P2" s="41"/>
      <c r="Q2" s="41"/>
      <c r="R2" s="10" t="s">
        <v>77</v>
      </c>
      <c r="S2" s="49" t="s">
        <v>2128</v>
      </c>
      <c r="T2" s="49" t="s">
        <v>50</v>
      </c>
      <c r="U2" s="41"/>
      <c r="V2" s="41"/>
      <c r="W2" s="11" t="s">
        <v>2392</v>
      </c>
      <c r="X2" s="11" t="s">
        <v>2393</v>
      </c>
      <c r="Y2" s="57">
        <v>3.1</v>
      </c>
      <c r="Z2" s="58">
        <f t="shared" ref="Z2:Z22" si="1">I2*Y2</f>
        <v>18.6</v>
      </c>
      <c r="AA2" s="13"/>
      <c r="AB2" s="14" t="s">
        <v>875</v>
      </c>
      <c r="AC2" s="13" t="s">
        <v>2394</v>
      </c>
      <c r="AD2" s="13"/>
      <c r="AE2" s="13">
        <f t="shared" ref="AE2:AE22" si="2">AD2-I2</f>
        <v>-6</v>
      </c>
      <c r="AF2" s="59"/>
      <c r="AG2" s="13"/>
      <c r="AH2" s="11" t="s">
        <v>1169</v>
      </c>
      <c r="AI2" s="13">
        <v>1</v>
      </c>
      <c r="AJ2" s="11" t="s">
        <v>58</v>
      </c>
      <c r="AK2" s="13">
        <v>0</v>
      </c>
      <c r="AL2" s="13"/>
      <c r="AM2" s="13">
        <f t="shared" ref="AM2:AM22" si="3">I2</f>
        <v>6</v>
      </c>
      <c r="AN2" s="71"/>
      <c r="AO2" s="71"/>
      <c r="AP2" s="71">
        <f t="shared" ref="AP2:AP10" si="4">I2</f>
        <v>6</v>
      </c>
    </row>
    <row r="3" s="2" customFormat="1" ht="39" customHeight="1" spans="1:42">
      <c r="A3" s="10">
        <v>45383</v>
      </c>
      <c r="B3" s="11" t="s">
        <v>2386</v>
      </c>
      <c r="C3" s="12" t="s">
        <v>119</v>
      </c>
      <c r="D3" s="484" t="s">
        <v>2395</v>
      </c>
      <c r="E3" s="14"/>
      <c r="F3" s="11" t="s">
        <v>2396</v>
      </c>
      <c r="G3" s="13" t="s">
        <v>62</v>
      </c>
      <c r="H3" s="11" t="s">
        <v>63</v>
      </c>
      <c r="I3" s="13">
        <v>36</v>
      </c>
      <c r="J3" s="13">
        <v>0</v>
      </c>
      <c r="K3" s="13">
        <v>6</v>
      </c>
      <c r="L3" s="13">
        <f t="shared" si="0"/>
        <v>6</v>
      </c>
      <c r="M3" s="10">
        <v>45418</v>
      </c>
      <c r="N3" s="40" t="s">
        <v>2390</v>
      </c>
      <c r="O3" s="41" t="s">
        <v>2391</v>
      </c>
      <c r="P3" s="41"/>
      <c r="Q3" s="41"/>
      <c r="R3" s="10" t="s">
        <v>77</v>
      </c>
      <c r="S3" s="49" t="s">
        <v>2128</v>
      </c>
      <c r="T3" s="49" t="s">
        <v>50</v>
      </c>
      <c r="U3" s="41"/>
      <c r="V3" s="41"/>
      <c r="W3" s="11" t="s">
        <v>2392</v>
      </c>
      <c r="X3" s="11" t="s">
        <v>2393</v>
      </c>
      <c r="Y3" s="57">
        <v>3.2</v>
      </c>
      <c r="Z3" s="58">
        <f t="shared" si="1"/>
        <v>115.2</v>
      </c>
      <c r="AA3" s="13"/>
      <c r="AB3" s="14" t="s">
        <v>875</v>
      </c>
      <c r="AC3" s="13" t="s">
        <v>2394</v>
      </c>
      <c r="AD3" s="13"/>
      <c r="AE3" s="13">
        <f t="shared" si="2"/>
        <v>-36</v>
      </c>
      <c r="AF3" s="59"/>
      <c r="AG3" s="13"/>
      <c r="AH3" s="11" t="s">
        <v>1169</v>
      </c>
      <c r="AI3" s="13">
        <v>1</v>
      </c>
      <c r="AJ3" s="11" t="s">
        <v>58</v>
      </c>
      <c r="AK3" s="13">
        <v>0</v>
      </c>
      <c r="AL3" s="13"/>
      <c r="AM3" s="13">
        <f t="shared" si="3"/>
        <v>36</v>
      </c>
      <c r="AN3" s="71"/>
      <c r="AO3" s="71"/>
      <c r="AP3" s="71">
        <f t="shared" si="4"/>
        <v>36</v>
      </c>
    </row>
    <row r="4" s="2" customFormat="1" ht="39" customHeight="1" spans="1:43">
      <c r="A4" s="15">
        <v>45439</v>
      </c>
      <c r="B4" s="16" t="s">
        <v>599</v>
      </c>
      <c r="C4" s="17" t="s">
        <v>66</v>
      </c>
      <c r="D4" s="18">
        <v>4500132790</v>
      </c>
      <c r="E4" s="19">
        <v>2000005201</v>
      </c>
      <c r="F4" s="18" t="s">
        <v>2397</v>
      </c>
      <c r="G4" s="13" t="s">
        <v>62</v>
      </c>
      <c r="H4" s="11" t="s">
        <v>63</v>
      </c>
      <c r="I4" s="13">
        <v>1002</v>
      </c>
      <c r="J4" s="13">
        <v>0</v>
      </c>
      <c r="K4" s="13">
        <v>6</v>
      </c>
      <c r="L4" s="13">
        <f t="shared" si="0"/>
        <v>167</v>
      </c>
      <c r="M4" s="10">
        <v>45492</v>
      </c>
      <c r="N4" s="41" t="s">
        <v>2398</v>
      </c>
      <c r="O4" s="41"/>
      <c r="P4" s="41"/>
      <c r="Q4" s="41"/>
      <c r="R4" s="10" t="s">
        <v>50</v>
      </c>
      <c r="S4" s="49" t="s">
        <v>2128</v>
      </c>
      <c r="T4" s="10" t="s">
        <v>50</v>
      </c>
      <c r="U4" s="41"/>
      <c r="V4" s="41" t="s">
        <v>2399</v>
      </c>
      <c r="W4" s="11" t="s">
        <v>2400</v>
      </c>
      <c r="X4" s="11" t="s">
        <v>2401</v>
      </c>
      <c r="Y4" s="57">
        <v>3.4032</v>
      </c>
      <c r="Z4" s="58">
        <f t="shared" si="1"/>
        <v>3410.0064</v>
      </c>
      <c r="AA4" s="13"/>
      <c r="AB4" s="14" t="s">
        <v>71</v>
      </c>
      <c r="AC4" s="13" t="s">
        <v>56</v>
      </c>
      <c r="AD4" s="13"/>
      <c r="AE4" s="13">
        <f t="shared" si="2"/>
        <v>-1002</v>
      </c>
      <c r="AF4" s="59"/>
      <c r="AG4" s="59"/>
      <c r="AH4" s="11" t="s">
        <v>72</v>
      </c>
      <c r="AI4" s="13">
        <v>0</v>
      </c>
      <c r="AJ4" s="11" t="s">
        <v>58</v>
      </c>
      <c r="AK4" s="13">
        <v>0</v>
      </c>
      <c r="AL4" s="13"/>
      <c r="AM4" s="13">
        <f t="shared" si="3"/>
        <v>1002</v>
      </c>
      <c r="AN4" s="71"/>
      <c r="AO4" s="71">
        <f t="shared" ref="AO4:AO9" si="5">I4</f>
        <v>1002</v>
      </c>
      <c r="AP4" s="71">
        <f t="shared" si="4"/>
        <v>1002</v>
      </c>
      <c r="AQ4" s="71"/>
    </row>
    <row r="5" s="2" customFormat="1" ht="39" customHeight="1" spans="1:43">
      <c r="A5" s="20">
        <v>45455</v>
      </c>
      <c r="B5" s="16" t="s">
        <v>2402</v>
      </c>
      <c r="C5" s="21" t="s">
        <v>2403</v>
      </c>
      <c r="D5" s="18">
        <v>4500136357</v>
      </c>
      <c r="E5" s="22"/>
      <c r="F5" s="18" t="s">
        <v>2404</v>
      </c>
      <c r="G5" s="13" t="s">
        <v>62</v>
      </c>
      <c r="H5" s="11" t="s">
        <v>63</v>
      </c>
      <c r="I5" s="13">
        <v>612</v>
      </c>
      <c r="J5" s="13">
        <v>0</v>
      </c>
      <c r="K5" s="13">
        <v>6</v>
      </c>
      <c r="L5" s="13">
        <f t="shared" si="0"/>
        <v>102</v>
      </c>
      <c r="M5" s="10">
        <v>45492</v>
      </c>
      <c r="N5" s="41">
        <v>45488</v>
      </c>
      <c r="O5" s="41" t="s">
        <v>2405</v>
      </c>
      <c r="P5" s="41"/>
      <c r="Q5" s="41"/>
      <c r="R5" s="10" t="s">
        <v>50</v>
      </c>
      <c r="S5" s="49" t="s">
        <v>2128</v>
      </c>
      <c r="T5" s="49" t="s">
        <v>2128</v>
      </c>
      <c r="U5" s="41"/>
      <c r="V5" s="41"/>
      <c r="W5" s="11" t="s">
        <v>2406</v>
      </c>
      <c r="X5" s="50" t="s">
        <v>2407</v>
      </c>
      <c r="Y5" s="57">
        <v>3.6255</v>
      </c>
      <c r="Z5" s="58">
        <f t="shared" si="1"/>
        <v>2218.806</v>
      </c>
      <c r="AA5" s="13"/>
      <c r="AB5" s="14" t="s">
        <v>71</v>
      </c>
      <c r="AC5" s="13" t="s">
        <v>56</v>
      </c>
      <c r="AD5" s="13"/>
      <c r="AE5" s="13">
        <f t="shared" si="2"/>
        <v>-612</v>
      </c>
      <c r="AF5" s="59"/>
      <c r="AG5" s="59"/>
      <c r="AH5" s="11" t="s">
        <v>72</v>
      </c>
      <c r="AI5" s="13">
        <v>0</v>
      </c>
      <c r="AJ5" s="11" t="s">
        <v>58</v>
      </c>
      <c r="AK5" s="13">
        <v>0</v>
      </c>
      <c r="AL5" s="13"/>
      <c r="AM5" s="13">
        <f t="shared" si="3"/>
        <v>612</v>
      </c>
      <c r="AN5" s="71"/>
      <c r="AO5" s="71"/>
      <c r="AP5" s="71"/>
      <c r="AQ5" s="71"/>
    </row>
    <row r="6" s="2" customFormat="1" ht="39" customHeight="1" spans="1:43">
      <c r="A6" s="15">
        <v>45398</v>
      </c>
      <c r="B6" s="16" t="s">
        <v>658</v>
      </c>
      <c r="C6" s="17" t="s">
        <v>157</v>
      </c>
      <c r="D6" s="18">
        <v>4500129905</v>
      </c>
      <c r="E6" s="19"/>
      <c r="F6" s="18" t="s">
        <v>2408</v>
      </c>
      <c r="G6" s="13" t="s">
        <v>62</v>
      </c>
      <c r="H6" s="11" t="s">
        <v>63</v>
      </c>
      <c r="I6" s="13">
        <v>174</v>
      </c>
      <c r="J6" s="13">
        <v>0</v>
      </c>
      <c r="K6" s="13">
        <v>6</v>
      </c>
      <c r="L6" s="13">
        <f t="shared" si="0"/>
        <v>29</v>
      </c>
      <c r="M6" s="10">
        <v>45465</v>
      </c>
      <c r="N6" s="42" t="s">
        <v>2409</v>
      </c>
      <c r="O6" s="41"/>
      <c r="P6" s="41"/>
      <c r="Q6" s="41"/>
      <c r="R6" s="10" t="s">
        <v>77</v>
      </c>
      <c r="S6" s="49" t="s">
        <v>2128</v>
      </c>
      <c r="T6" s="49" t="s">
        <v>2128</v>
      </c>
      <c r="U6" s="41"/>
      <c r="V6" s="41"/>
      <c r="W6" s="11" t="s">
        <v>2410</v>
      </c>
      <c r="X6" s="11" t="s">
        <v>161</v>
      </c>
      <c r="Y6" s="57">
        <v>3.6385</v>
      </c>
      <c r="Z6" s="58">
        <f t="shared" si="1"/>
        <v>633.099</v>
      </c>
      <c r="AA6" s="13"/>
      <c r="AB6" s="14" t="s">
        <v>62</v>
      </c>
      <c r="AC6" s="13" t="s">
        <v>56</v>
      </c>
      <c r="AD6" s="13"/>
      <c r="AE6" s="13">
        <f t="shared" si="2"/>
        <v>-174</v>
      </c>
      <c r="AF6" s="59"/>
      <c r="AG6" s="59"/>
      <c r="AH6" s="11" t="s">
        <v>57</v>
      </c>
      <c r="AI6" s="13">
        <v>0</v>
      </c>
      <c r="AJ6" s="11" t="s">
        <v>58</v>
      </c>
      <c r="AK6" s="13">
        <v>0</v>
      </c>
      <c r="AL6" s="13"/>
      <c r="AM6" s="13">
        <f t="shared" si="3"/>
        <v>174</v>
      </c>
      <c r="AN6" s="71">
        <f t="shared" ref="AN6:AN10" si="6">I6</f>
        <v>174</v>
      </c>
      <c r="AO6" s="72"/>
      <c r="AP6" s="71">
        <f t="shared" si="4"/>
        <v>174</v>
      </c>
      <c r="AQ6" s="71"/>
    </row>
    <row r="7" s="2" customFormat="1" ht="39" customHeight="1" spans="1:43">
      <c r="A7" s="15">
        <v>45440</v>
      </c>
      <c r="B7" s="23" t="s">
        <v>552</v>
      </c>
      <c r="C7" s="17" t="s">
        <v>553</v>
      </c>
      <c r="D7" s="18">
        <v>4500135080</v>
      </c>
      <c r="E7" s="19">
        <v>20121195</v>
      </c>
      <c r="F7" s="18" t="s">
        <v>2411</v>
      </c>
      <c r="G7" s="13" t="s">
        <v>62</v>
      </c>
      <c r="H7" s="11" t="s">
        <v>63</v>
      </c>
      <c r="I7" s="13">
        <v>240</v>
      </c>
      <c r="J7" s="13">
        <v>0</v>
      </c>
      <c r="K7" s="13">
        <v>6</v>
      </c>
      <c r="L7" s="13">
        <f t="shared" si="0"/>
        <v>40</v>
      </c>
      <c r="M7" s="10">
        <v>45489</v>
      </c>
      <c r="N7" s="41">
        <v>45485</v>
      </c>
      <c r="O7" s="41"/>
      <c r="P7" s="41"/>
      <c r="Q7" s="41"/>
      <c r="R7" s="10" t="s">
        <v>77</v>
      </c>
      <c r="S7" s="49">
        <v>45440</v>
      </c>
      <c r="T7" s="49">
        <v>45469</v>
      </c>
      <c r="U7" s="41"/>
      <c r="V7" s="41"/>
      <c r="W7" s="11" t="s">
        <v>819</v>
      </c>
      <c r="X7" s="11" t="s">
        <v>556</v>
      </c>
      <c r="Y7" s="57">
        <v>4.0818</v>
      </c>
      <c r="Z7" s="58">
        <f t="shared" si="1"/>
        <v>979.632</v>
      </c>
      <c r="AA7" s="13"/>
      <c r="AB7" s="14" t="s">
        <v>62</v>
      </c>
      <c r="AC7" s="13" t="s">
        <v>56</v>
      </c>
      <c r="AD7" s="13"/>
      <c r="AE7" s="13">
        <f t="shared" si="2"/>
        <v>-240</v>
      </c>
      <c r="AF7" s="59"/>
      <c r="AG7" s="59"/>
      <c r="AH7" s="11" t="s">
        <v>57</v>
      </c>
      <c r="AI7" s="13">
        <v>0</v>
      </c>
      <c r="AJ7" s="11" t="s">
        <v>58</v>
      </c>
      <c r="AK7" s="13">
        <v>0</v>
      </c>
      <c r="AL7" s="13"/>
      <c r="AM7" s="13">
        <f t="shared" si="3"/>
        <v>240</v>
      </c>
      <c r="AN7" s="71">
        <f t="shared" si="6"/>
        <v>240</v>
      </c>
      <c r="AO7" s="71"/>
      <c r="AP7" s="71">
        <f t="shared" si="4"/>
        <v>240</v>
      </c>
      <c r="AQ7" s="71"/>
    </row>
    <row r="8" s="2" customFormat="1" ht="39" customHeight="1" spans="1:44">
      <c r="A8" s="15">
        <v>45460</v>
      </c>
      <c r="B8" s="16" t="s">
        <v>1016</v>
      </c>
      <c r="C8" s="17" t="s">
        <v>104</v>
      </c>
      <c r="D8" s="18">
        <v>4500137231</v>
      </c>
      <c r="E8" s="19">
        <v>4400410789</v>
      </c>
      <c r="F8" s="18" t="s">
        <v>2412</v>
      </c>
      <c r="G8" s="13" t="s">
        <v>62</v>
      </c>
      <c r="H8" s="11" t="s">
        <v>63</v>
      </c>
      <c r="I8" s="13">
        <v>1002</v>
      </c>
      <c r="J8" s="13">
        <v>0</v>
      </c>
      <c r="K8" s="13">
        <v>6</v>
      </c>
      <c r="L8" s="13">
        <f t="shared" si="0"/>
        <v>167</v>
      </c>
      <c r="M8" s="10">
        <v>45537</v>
      </c>
      <c r="N8" s="41" t="s">
        <v>2413</v>
      </c>
      <c r="O8" s="41"/>
      <c r="P8" s="41"/>
      <c r="Q8" s="41"/>
      <c r="R8" s="10" t="s">
        <v>50</v>
      </c>
      <c r="S8" s="49">
        <v>45460</v>
      </c>
      <c r="T8" s="49" t="s">
        <v>2414</v>
      </c>
      <c r="U8" s="41"/>
      <c r="V8" s="41"/>
      <c r="W8" s="11" t="s">
        <v>2415</v>
      </c>
      <c r="X8" s="11" t="s">
        <v>2393</v>
      </c>
      <c r="Y8" s="57">
        <v>3.612</v>
      </c>
      <c r="Z8" s="58">
        <f t="shared" si="1"/>
        <v>3619.224</v>
      </c>
      <c r="AA8" s="13"/>
      <c r="AB8" s="14" t="s">
        <v>71</v>
      </c>
      <c r="AC8" s="13" t="s">
        <v>56</v>
      </c>
      <c r="AD8" s="13"/>
      <c r="AE8" s="13">
        <f t="shared" si="2"/>
        <v>-1002</v>
      </c>
      <c r="AF8" s="59"/>
      <c r="AG8" s="59"/>
      <c r="AH8" s="11" t="s">
        <v>72</v>
      </c>
      <c r="AI8" s="13">
        <v>0</v>
      </c>
      <c r="AJ8" s="11" t="s">
        <v>58</v>
      </c>
      <c r="AK8" s="13">
        <v>0</v>
      </c>
      <c r="AL8" s="13"/>
      <c r="AM8" s="13">
        <f t="shared" si="3"/>
        <v>1002</v>
      </c>
      <c r="AN8" s="71"/>
      <c r="AO8" s="13">
        <f t="shared" si="5"/>
        <v>1002</v>
      </c>
      <c r="AP8" s="13">
        <f t="shared" si="4"/>
        <v>1002</v>
      </c>
      <c r="AQ8" s="74"/>
      <c r="AR8" s="71"/>
    </row>
    <row r="9" s="2" customFormat="1" ht="39" customHeight="1" spans="1:44">
      <c r="A9" s="15">
        <v>45516</v>
      </c>
      <c r="B9" s="16" t="s">
        <v>2416</v>
      </c>
      <c r="C9" s="17" t="s">
        <v>214</v>
      </c>
      <c r="D9" s="18">
        <v>4500142712</v>
      </c>
      <c r="E9" s="19" t="s">
        <v>2417</v>
      </c>
      <c r="F9" s="18" t="s">
        <v>2418</v>
      </c>
      <c r="G9" s="13" t="s">
        <v>62</v>
      </c>
      <c r="H9" s="11" t="s">
        <v>63</v>
      </c>
      <c r="I9" s="13">
        <v>576</v>
      </c>
      <c r="J9" s="13">
        <v>0</v>
      </c>
      <c r="K9" s="13">
        <v>6</v>
      </c>
      <c r="L9" s="13">
        <f t="shared" si="0"/>
        <v>96</v>
      </c>
      <c r="M9" s="10">
        <v>45548</v>
      </c>
      <c r="N9" s="41">
        <v>45544</v>
      </c>
      <c r="O9" s="41"/>
      <c r="P9" s="41"/>
      <c r="Q9" s="41"/>
      <c r="R9" s="10" t="s">
        <v>50</v>
      </c>
      <c r="S9" s="49" t="s">
        <v>2128</v>
      </c>
      <c r="T9" s="49" t="s">
        <v>2419</v>
      </c>
      <c r="U9" s="41"/>
      <c r="V9" s="41"/>
      <c r="W9" s="11" t="s">
        <v>2420</v>
      </c>
      <c r="X9" s="11" t="s">
        <v>2421</v>
      </c>
      <c r="Y9" s="57">
        <v>3.6255</v>
      </c>
      <c r="Z9" s="58">
        <f t="shared" si="1"/>
        <v>2088.288</v>
      </c>
      <c r="AA9" s="13"/>
      <c r="AB9" s="14" t="s">
        <v>71</v>
      </c>
      <c r="AC9" s="13" t="s">
        <v>56</v>
      </c>
      <c r="AD9" s="13"/>
      <c r="AE9" s="13">
        <f t="shared" si="2"/>
        <v>-576</v>
      </c>
      <c r="AF9" s="59"/>
      <c r="AG9" s="59"/>
      <c r="AH9" s="11" t="s">
        <v>72</v>
      </c>
      <c r="AI9" s="13">
        <v>0</v>
      </c>
      <c r="AJ9" s="11" t="s">
        <v>58</v>
      </c>
      <c r="AK9" s="13">
        <v>0</v>
      </c>
      <c r="AL9" s="13"/>
      <c r="AM9" s="13">
        <f t="shared" si="3"/>
        <v>576</v>
      </c>
      <c r="AN9" s="71"/>
      <c r="AO9" s="71">
        <f t="shared" si="5"/>
        <v>576</v>
      </c>
      <c r="AP9" s="71">
        <f t="shared" si="4"/>
        <v>576</v>
      </c>
      <c r="AQ9" s="74"/>
      <c r="AR9" s="71"/>
    </row>
    <row r="10" s="2" customFormat="1" ht="39" customHeight="1" spans="1:44">
      <c r="A10" s="15">
        <v>45527</v>
      </c>
      <c r="B10" s="16" t="s">
        <v>74</v>
      </c>
      <c r="C10" s="17" t="s">
        <v>44</v>
      </c>
      <c r="D10" s="18">
        <v>4500143801</v>
      </c>
      <c r="E10" s="19"/>
      <c r="F10" s="18" t="s">
        <v>2422</v>
      </c>
      <c r="G10" s="13" t="s">
        <v>62</v>
      </c>
      <c r="H10" s="11" t="s">
        <v>63</v>
      </c>
      <c r="I10" s="13">
        <v>3000</v>
      </c>
      <c r="J10" s="13">
        <v>0</v>
      </c>
      <c r="K10" s="13">
        <v>6</v>
      </c>
      <c r="L10" s="13">
        <f t="shared" si="0"/>
        <v>500</v>
      </c>
      <c r="M10" s="10">
        <v>45572</v>
      </c>
      <c r="N10" s="41">
        <v>45568</v>
      </c>
      <c r="O10" s="41"/>
      <c r="P10" s="41"/>
      <c r="Q10" s="41"/>
      <c r="R10" s="10" t="s">
        <v>77</v>
      </c>
      <c r="S10" s="49" t="s">
        <v>2128</v>
      </c>
      <c r="T10" s="49" t="s">
        <v>2128</v>
      </c>
      <c r="U10" s="41"/>
      <c r="V10" s="41"/>
      <c r="W10" s="11" t="s">
        <v>2423</v>
      </c>
      <c r="X10" s="11" t="s">
        <v>116</v>
      </c>
      <c r="Y10" s="57">
        <v>3.3717</v>
      </c>
      <c r="Z10" s="58">
        <f t="shared" si="1"/>
        <v>10115.1</v>
      </c>
      <c r="AA10" s="13"/>
      <c r="AB10" s="14" t="s">
        <v>62</v>
      </c>
      <c r="AC10" s="13" t="s">
        <v>56</v>
      </c>
      <c r="AD10" s="13"/>
      <c r="AE10" s="13">
        <f t="shared" si="2"/>
        <v>-3000</v>
      </c>
      <c r="AF10" s="59"/>
      <c r="AG10" s="59"/>
      <c r="AH10" s="11" t="s">
        <v>57</v>
      </c>
      <c r="AI10" s="13">
        <v>0</v>
      </c>
      <c r="AJ10" s="11" t="s">
        <v>58</v>
      </c>
      <c r="AK10" s="13">
        <v>0</v>
      </c>
      <c r="AL10" s="13"/>
      <c r="AM10" s="13">
        <f t="shared" si="3"/>
        <v>3000</v>
      </c>
      <c r="AN10" s="71">
        <f t="shared" si="6"/>
        <v>3000</v>
      </c>
      <c r="AO10" s="71"/>
      <c r="AP10" s="71">
        <f t="shared" si="4"/>
        <v>3000</v>
      </c>
      <c r="AQ10" s="74"/>
      <c r="AR10" s="71"/>
    </row>
    <row r="11" s="3" customFormat="1" ht="39" customHeight="1" spans="1:44">
      <c r="A11" s="24">
        <v>45295</v>
      </c>
      <c r="B11" s="16" t="s">
        <v>672</v>
      </c>
      <c r="C11" s="25" t="s">
        <v>2424</v>
      </c>
      <c r="D11" s="26">
        <v>4500122288</v>
      </c>
      <c r="E11" s="27"/>
      <c r="F11" s="27" t="s">
        <v>2425</v>
      </c>
      <c r="G11" s="26" t="s">
        <v>62</v>
      </c>
      <c r="H11" s="28" t="s">
        <v>63</v>
      </c>
      <c r="I11" s="26">
        <v>504</v>
      </c>
      <c r="J11" s="26">
        <v>0</v>
      </c>
      <c r="K11" s="26">
        <v>6</v>
      </c>
      <c r="L11" s="43">
        <f t="shared" si="0"/>
        <v>84</v>
      </c>
      <c r="M11" s="24">
        <v>45418</v>
      </c>
      <c r="N11" s="44">
        <v>45414</v>
      </c>
      <c r="O11" s="44"/>
      <c r="P11" s="44" t="s">
        <v>49</v>
      </c>
      <c r="Q11" s="44"/>
      <c r="R11" s="24" t="s">
        <v>50</v>
      </c>
      <c r="S11" s="44">
        <v>45328</v>
      </c>
      <c r="T11" s="10">
        <v>45341</v>
      </c>
      <c r="U11" s="44"/>
      <c r="V11" s="44"/>
      <c r="W11" s="28" t="s">
        <v>2426</v>
      </c>
      <c r="X11" s="28" t="s">
        <v>161</v>
      </c>
      <c r="Y11" s="60">
        <v>3.06</v>
      </c>
      <c r="Z11" s="61">
        <f t="shared" si="1"/>
        <v>1542.24</v>
      </c>
      <c r="AA11" s="26"/>
      <c r="AB11" s="27" t="s">
        <v>62</v>
      </c>
      <c r="AC11" s="26" t="s">
        <v>56</v>
      </c>
      <c r="AD11" s="26">
        <f>I11</f>
        <v>504</v>
      </c>
      <c r="AE11" s="26">
        <f t="shared" si="2"/>
        <v>0</v>
      </c>
      <c r="AF11" s="62"/>
      <c r="AG11" s="26"/>
      <c r="AH11" s="28" t="s">
        <v>57</v>
      </c>
      <c r="AI11" s="26">
        <v>0</v>
      </c>
      <c r="AJ11" s="28" t="s">
        <v>58</v>
      </c>
      <c r="AK11" s="26">
        <v>0</v>
      </c>
      <c r="AL11" s="26"/>
      <c r="AM11" s="26">
        <f t="shared" si="3"/>
        <v>504</v>
      </c>
      <c r="AN11" s="72">
        <f>AM11</f>
        <v>504</v>
      </c>
      <c r="AO11" s="72"/>
      <c r="AP11" s="72">
        <f>AM11</f>
        <v>504</v>
      </c>
      <c r="AQ11" s="75"/>
      <c r="AR11" s="71"/>
    </row>
    <row r="12" s="2" customFormat="1" ht="39" customHeight="1" spans="1:44">
      <c r="A12" s="15">
        <v>45544</v>
      </c>
      <c r="B12" s="16" t="s">
        <v>655</v>
      </c>
      <c r="C12" s="17" t="s">
        <v>182</v>
      </c>
      <c r="D12" s="18">
        <v>4500144899</v>
      </c>
      <c r="E12" s="19">
        <v>20301492</v>
      </c>
      <c r="F12" s="18" t="s">
        <v>2427</v>
      </c>
      <c r="G12" s="13" t="s">
        <v>62</v>
      </c>
      <c r="H12" s="11" t="s">
        <v>63</v>
      </c>
      <c r="I12" s="13">
        <v>1374</v>
      </c>
      <c r="J12" s="13">
        <v>0</v>
      </c>
      <c r="K12" s="13">
        <v>6</v>
      </c>
      <c r="L12" s="13">
        <f t="shared" si="0"/>
        <v>229</v>
      </c>
      <c r="M12" s="10">
        <v>45586</v>
      </c>
      <c r="N12" s="41" t="s">
        <v>2428</v>
      </c>
      <c r="O12" s="41"/>
      <c r="P12" s="41"/>
      <c r="Q12" s="41"/>
      <c r="R12" s="10" t="s">
        <v>77</v>
      </c>
      <c r="S12" s="49">
        <v>45549</v>
      </c>
      <c r="T12" s="49" t="s">
        <v>2128</v>
      </c>
      <c r="U12" s="41"/>
      <c r="V12" s="41"/>
      <c r="W12" s="11" t="s">
        <v>816</v>
      </c>
      <c r="X12" s="11" t="s">
        <v>556</v>
      </c>
      <c r="Y12" s="57">
        <v>4.0553</v>
      </c>
      <c r="Z12" s="58">
        <f t="shared" si="1"/>
        <v>5571.9822</v>
      </c>
      <c r="AA12" s="13"/>
      <c r="AB12" s="14" t="s">
        <v>62</v>
      </c>
      <c r="AC12" s="13" t="s">
        <v>56</v>
      </c>
      <c r="AD12" s="13"/>
      <c r="AE12" s="13">
        <f t="shared" si="2"/>
        <v>-1374</v>
      </c>
      <c r="AF12" s="59"/>
      <c r="AG12" s="59"/>
      <c r="AH12" s="11" t="s">
        <v>57</v>
      </c>
      <c r="AI12" s="13">
        <v>0</v>
      </c>
      <c r="AJ12" s="11" t="s">
        <v>58</v>
      </c>
      <c r="AK12" s="13">
        <v>0</v>
      </c>
      <c r="AL12" s="13"/>
      <c r="AM12" s="13">
        <f t="shared" si="3"/>
        <v>1374</v>
      </c>
      <c r="AN12" s="71">
        <f t="shared" ref="AN12:AN16" si="7">I12</f>
        <v>1374</v>
      </c>
      <c r="AO12" s="71"/>
      <c r="AP12" s="71">
        <f t="shared" ref="AP12:AP20" si="8">I12</f>
        <v>1374</v>
      </c>
      <c r="AQ12" s="74"/>
      <c r="AR12" s="71"/>
    </row>
    <row r="13" s="2" customFormat="1" ht="39" customHeight="1" spans="1:44">
      <c r="A13" s="15">
        <v>45544</v>
      </c>
      <c r="B13" s="16" t="s">
        <v>552</v>
      </c>
      <c r="C13" s="17" t="s">
        <v>553</v>
      </c>
      <c r="D13" s="18">
        <v>4500144900</v>
      </c>
      <c r="E13" s="19">
        <v>20301495</v>
      </c>
      <c r="F13" s="18" t="s">
        <v>2429</v>
      </c>
      <c r="G13" s="13" t="s">
        <v>62</v>
      </c>
      <c r="H13" s="11" t="s">
        <v>63</v>
      </c>
      <c r="I13" s="13">
        <v>126</v>
      </c>
      <c r="J13" s="13">
        <v>0</v>
      </c>
      <c r="K13" s="13">
        <v>6</v>
      </c>
      <c r="L13" s="13">
        <f t="shared" si="0"/>
        <v>21</v>
      </c>
      <c r="M13" s="10">
        <v>45586</v>
      </c>
      <c r="N13" s="41" t="s">
        <v>2428</v>
      </c>
      <c r="O13" s="41"/>
      <c r="P13" s="41"/>
      <c r="Q13" s="41"/>
      <c r="R13" s="10" t="s">
        <v>77</v>
      </c>
      <c r="S13" s="49">
        <v>45549</v>
      </c>
      <c r="T13" s="49" t="s">
        <v>2128</v>
      </c>
      <c r="U13" s="41"/>
      <c r="V13" s="41"/>
      <c r="W13" s="11" t="s">
        <v>819</v>
      </c>
      <c r="X13" s="11" t="s">
        <v>556</v>
      </c>
      <c r="Y13" s="57">
        <v>4.0818</v>
      </c>
      <c r="Z13" s="58">
        <f t="shared" si="1"/>
        <v>514.3068</v>
      </c>
      <c r="AA13" s="13"/>
      <c r="AB13" s="14" t="s">
        <v>62</v>
      </c>
      <c r="AC13" s="13" t="s">
        <v>56</v>
      </c>
      <c r="AD13" s="13"/>
      <c r="AE13" s="13">
        <f t="shared" si="2"/>
        <v>-126</v>
      </c>
      <c r="AF13" s="59"/>
      <c r="AG13" s="59"/>
      <c r="AH13" s="11" t="s">
        <v>57</v>
      </c>
      <c r="AI13" s="13">
        <v>0</v>
      </c>
      <c r="AJ13" s="11" t="s">
        <v>58</v>
      </c>
      <c r="AK13" s="13">
        <v>0</v>
      </c>
      <c r="AL13" s="13"/>
      <c r="AM13" s="13">
        <f t="shared" si="3"/>
        <v>126</v>
      </c>
      <c r="AN13" s="71">
        <f t="shared" si="7"/>
        <v>126</v>
      </c>
      <c r="AO13" s="71"/>
      <c r="AP13" s="71">
        <f t="shared" si="8"/>
        <v>126</v>
      </c>
      <c r="AQ13" s="74"/>
      <c r="AR13" s="71"/>
    </row>
    <row r="14" s="2" customFormat="1" ht="39" customHeight="1" spans="1:44">
      <c r="A14" s="15">
        <v>45549</v>
      </c>
      <c r="B14" s="16" t="s">
        <v>655</v>
      </c>
      <c r="C14" s="17" t="s">
        <v>182</v>
      </c>
      <c r="D14" s="18">
        <v>4500145426</v>
      </c>
      <c r="E14" s="19" t="s">
        <v>2430</v>
      </c>
      <c r="F14" s="18" t="s">
        <v>2431</v>
      </c>
      <c r="G14" s="13" t="s">
        <v>62</v>
      </c>
      <c r="H14" s="11" t="s">
        <v>63</v>
      </c>
      <c r="I14" s="13">
        <v>180</v>
      </c>
      <c r="J14" s="13">
        <v>0</v>
      </c>
      <c r="K14" s="13">
        <v>6</v>
      </c>
      <c r="L14" s="13">
        <f t="shared" si="0"/>
        <v>30</v>
      </c>
      <c r="M14" s="10">
        <v>45600</v>
      </c>
      <c r="N14" s="41" t="s">
        <v>2428</v>
      </c>
      <c r="O14" s="41"/>
      <c r="P14" s="41"/>
      <c r="Q14" s="41"/>
      <c r="R14" s="10" t="s">
        <v>77</v>
      </c>
      <c r="S14" s="49" t="s">
        <v>2128</v>
      </c>
      <c r="T14" s="49" t="s">
        <v>2128</v>
      </c>
      <c r="U14" s="41"/>
      <c r="V14" s="41"/>
      <c r="W14" s="11" t="s">
        <v>895</v>
      </c>
      <c r="X14" s="11" t="s">
        <v>2432</v>
      </c>
      <c r="Y14" s="57">
        <v>4.0818</v>
      </c>
      <c r="Z14" s="58">
        <f t="shared" si="1"/>
        <v>734.724</v>
      </c>
      <c r="AA14" s="13"/>
      <c r="AB14" s="63" t="s">
        <v>2433</v>
      </c>
      <c r="AC14" s="13"/>
      <c r="AD14" s="13"/>
      <c r="AE14" s="13">
        <f t="shared" si="2"/>
        <v>-180</v>
      </c>
      <c r="AF14" s="59"/>
      <c r="AG14" s="59"/>
      <c r="AH14" s="11" t="s">
        <v>57</v>
      </c>
      <c r="AI14" s="13">
        <v>0</v>
      </c>
      <c r="AJ14" s="11" t="s">
        <v>2434</v>
      </c>
      <c r="AK14" s="13">
        <v>0</v>
      </c>
      <c r="AL14" s="13"/>
      <c r="AM14" s="13">
        <f t="shared" si="3"/>
        <v>180</v>
      </c>
      <c r="AN14" s="71">
        <f t="shared" si="7"/>
        <v>180</v>
      </c>
      <c r="AO14" s="71"/>
      <c r="AP14" s="71">
        <f t="shared" si="8"/>
        <v>180</v>
      </c>
      <c r="AQ14" s="74"/>
      <c r="AR14" s="71"/>
    </row>
    <row r="15" s="2" customFormat="1" ht="39" customHeight="1" spans="1:44">
      <c r="A15" s="15">
        <v>45537</v>
      </c>
      <c r="B15" s="16" t="s">
        <v>552</v>
      </c>
      <c r="C15" s="17" t="s">
        <v>553</v>
      </c>
      <c r="D15" s="18">
        <v>4500144441</v>
      </c>
      <c r="E15" s="19">
        <v>20301494</v>
      </c>
      <c r="F15" s="18" t="s">
        <v>2435</v>
      </c>
      <c r="G15" s="13" t="s">
        <v>62</v>
      </c>
      <c r="H15" s="11" t="s">
        <v>63</v>
      </c>
      <c r="I15" s="13">
        <v>246</v>
      </c>
      <c r="J15" s="13">
        <v>0</v>
      </c>
      <c r="K15" s="13">
        <v>6</v>
      </c>
      <c r="L15" s="13">
        <f t="shared" si="0"/>
        <v>41</v>
      </c>
      <c r="M15" s="10">
        <v>45579</v>
      </c>
      <c r="N15" s="41">
        <v>45575</v>
      </c>
      <c r="O15" s="41"/>
      <c r="P15" s="41"/>
      <c r="Q15" s="41"/>
      <c r="R15" s="10" t="s">
        <v>77</v>
      </c>
      <c r="S15" s="49">
        <v>45537</v>
      </c>
      <c r="T15" s="49">
        <v>45558</v>
      </c>
      <c r="U15" s="41"/>
      <c r="V15" s="41"/>
      <c r="W15" s="11" t="s">
        <v>1838</v>
      </c>
      <c r="X15" s="11" t="s">
        <v>556</v>
      </c>
      <c r="Y15" s="57">
        <v>4.0818</v>
      </c>
      <c r="Z15" s="58">
        <f t="shared" si="1"/>
        <v>1004.1228</v>
      </c>
      <c r="AA15" s="13"/>
      <c r="AB15" s="14" t="s">
        <v>62</v>
      </c>
      <c r="AC15" s="13" t="s">
        <v>56</v>
      </c>
      <c r="AD15" s="26">
        <f>I15</f>
        <v>246</v>
      </c>
      <c r="AE15" s="13">
        <f t="shared" si="2"/>
        <v>0</v>
      </c>
      <c r="AF15" s="59"/>
      <c r="AG15" s="59"/>
      <c r="AH15" s="11" t="s">
        <v>57</v>
      </c>
      <c r="AI15" s="13">
        <v>0</v>
      </c>
      <c r="AJ15" s="11" t="s">
        <v>58</v>
      </c>
      <c r="AK15" s="13">
        <v>0</v>
      </c>
      <c r="AL15" s="13"/>
      <c r="AM15" s="13">
        <f t="shared" si="3"/>
        <v>246</v>
      </c>
      <c r="AN15" s="71">
        <f t="shared" si="7"/>
        <v>246</v>
      </c>
      <c r="AO15" s="13"/>
      <c r="AP15" s="71">
        <f t="shared" si="8"/>
        <v>246</v>
      </c>
      <c r="AQ15" s="74"/>
      <c r="AR15" s="71"/>
    </row>
    <row r="16" s="2" customFormat="1" ht="39" customHeight="1" spans="1:44">
      <c r="A16" s="15">
        <v>45537</v>
      </c>
      <c r="B16" s="16" t="s">
        <v>655</v>
      </c>
      <c r="C16" s="17" t="s">
        <v>182</v>
      </c>
      <c r="D16" s="18">
        <v>4500144440</v>
      </c>
      <c r="E16" s="19">
        <v>20301491</v>
      </c>
      <c r="F16" s="18" t="s">
        <v>2436</v>
      </c>
      <c r="G16" s="13" t="s">
        <v>62</v>
      </c>
      <c r="H16" s="11" t="s">
        <v>63</v>
      </c>
      <c r="I16" s="13">
        <v>1362</v>
      </c>
      <c r="J16" s="13">
        <v>0</v>
      </c>
      <c r="K16" s="13">
        <v>6</v>
      </c>
      <c r="L16" s="13">
        <f t="shared" si="0"/>
        <v>227</v>
      </c>
      <c r="M16" s="10">
        <v>45579</v>
      </c>
      <c r="N16" s="41">
        <v>45575</v>
      </c>
      <c r="O16" s="41"/>
      <c r="P16" s="41"/>
      <c r="Q16" s="41"/>
      <c r="R16" s="10" t="s">
        <v>77</v>
      </c>
      <c r="S16" s="49">
        <v>45537</v>
      </c>
      <c r="T16" s="49">
        <v>45558</v>
      </c>
      <c r="U16" s="41"/>
      <c r="V16" s="41"/>
      <c r="W16" s="11" t="s">
        <v>2437</v>
      </c>
      <c r="X16" s="11" t="s">
        <v>556</v>
      </c>
      <c r="Y16" s="57">
        <v>4.0553</v>
      </c>
      <c r="Z16" s="58">
        <f t="shared" si="1"/>
        <v>5523.3186</v>
      </c>
      <c r="AA16" s="13"/>
      <c r="AB16" s="14" t="s">
        <v>62</v>
      </c>
      <c r="AC16" s="13" t="s">
        <v>56</v>
      </c>
      <c r="AD16" s="13"/>
      <c r="AE16" s="13">
        <f t="shared" si="2"/>
        <v>-1362</v>
      </c>
      <c r="AF16" s="59"/>
      <c r="AG16" s="59"/>
      <c r="AH16" s="11" t="s">
        <v>57</v>
      </c>
      <c r="AI16" s="13">
        <v>0</v>
      </c>
      <c r="AJ16" s="11" t="s">
        <v>58</v>
      </c>
      <c r="AK16" s="13">
        <v>0</v>
      </c>
      <c r="AL16" s="13"/>
      <c r="AM16" s="13">
        <f t="shared" si="3"/>
        <v>1362</v>
      </c>
      <c r="AN16" s="71">
        <f t="shared" si="7"/>
        <v>1362</v>
      </c>
      <c r="AO16" s="13"/>
      <c r="AP16" s="71">
        <f t="shared" si="8"/>
        <v>1362</v>
      </c>
      <c r="AQ16" s="74"/>
      <c r="AR16" s="71"/>
    </row>
    <row r="17" s="2" customFormat="1" ht="39" customHeight="1" spans="1:44">
      <c r="A17" s="15">
        <v>45594</v>
      </c>
      <c r="B17" s="16" t="s">
        <v>2438</v>
      </c>
      <c r="C17" s="17" t="s">
        <v>1367</v>
      </c>
      <c r="D17" s="18">
        <v>4500147341</v>
      </c>
      <c r="E17" s="19">
        <v>4500152445</v>
      </c>
      <c r="F17" s="18" t="s">
        <v>2439</v>
      </c>
      <c r="G17" s="13" t="s">
        <v>62</v>
      </c>
      <c r="H17" s="11" t="s">
        <v>63</v>
      </c>
      <c r="I17" s="13">
        <v>1200</v>
      </c>
      <c r="J17" s="13">
        <v>0</v>
      </c>
      <c r="K17" s="13">
        <v>6</v>
      </c>
      <c r="L17" s="13">
        <f t="shared" si="0"/>
        <v>200</v>
      </c>
      <c r="M17" s="10">
        <v>45652</v>
      </c>
      <c r="N17" s="41">
        <v>45648</v>
      </c>
      <c r="O17" s="41"/>
      <c r="P17" s="41"/>
      <c r="Q17" s="41"/>
      <c r="R17" s="10" t="s">
        <v>50</v>
      </c>
      <c r="S17" s="49">
        <v>45594</v>
      </c>
      <c r="T17" s="49" t="s">
        <v>50</v>
      </c>
      <c r="U17" s="41"/>
      <c r="V17" s="41"/>
      <c r="W17" s="11" t="s">
        <v>2440</v>
      </c>
      <c r="X17" s="11" t="s">
        <v>2441</v>
      </c>
      <c r="Y17" s="57">
        <v>3.612</v>
      </c>
      <c r="Z17" s="58">
        <f t="shared" si="1"/>
        <v>4334.4</v>
      </c>
      <c r="AA17" s="13"/>
      <c r="AB17" s="14" t="s">
        <v>71</v>
      </c>
      <c r="AC17" s="13" t="s">
        <v>56</v>
      </c>
      <c r="AD17" s="13"/>
      <c r="AE17" s="13">
        <f t="shared" si="2"/>
        <v>-1200</v>
      </c>
      <c r="AF17" s="59"/>
      <c r="AG17" s="59"/>
      <c r="AH17" s="11" t="s">
        <v>72</v>
      </c>
      <c r="AI17" s="13">
        <v>0</v>
      </c>
      <c r="AJ17" s="11" t="s">
        <v>73</v>
      </c>
      <c r="AK17" s="13">
        <v>0</v>
      </c>
      <c r="AL17" s="13"/>
      <c r="AM17" s="13">
        <f t="shared" si="3"/>
        <v>1200</v>
      </c>
      <c r="AN17" s="71"/>
      <c r="AO17" s="13">
        <f>I17</f>
        <v>1200</v>
      </c>
      <c r="AP17" s="71">
        <f t="shared" si="8"/>
        <v>1200</v>
      </c>
      <c r="AQ17" s="74"/>
      <c r="AR17" s="71"/>
    </row>
    <row r="18" s="4" customFormat="1" ht="39" customHeight="1" spans="1:44">
      <c r="A18" s="15">
        <v>45600</v>
      </c>
      <c r="B18" s="16" t="s">
        <v>2442</v>
      </c>
      <c r="C18" s="17" t="s">
        <v>44</v>
      </c>
      <c r="D18" s="18" t="s">
        <v>2443</v>
      </c>
      <c r="E18" s="19"/>
      <c r="F18" s="18"/>
      <c r="G18" s="13" t="s">
        <v>84</v>
      </c>
      <c r="H18" s="11" t="s">
        <v>63</v>
      </c>
      <c r="I18" s="13">
        <v>3687</v>
      </c>
      <c r="J18" s="13">
        <v>0</v>
      </c>
      <c r="K18" s="13">
        <v>3</v>
      </c>
      <c r="L18" s="45">
        <f t="shared" si="0"/>
        <v>1229</v>
      </c>
      <c r="M18" s="10">
        <v>45632</v>
      </c>
      <c r="N18" s="41">
        <v>45628</v>
      </c>
      <c r="O18" s="41"/>
      <c r="P18" s="41" t="s">
        <v>49</v>
      </c>
      <c r="Q18" s="41"/>
      <c r="R18" s="51" t="s">
        <v>50</v>
      </c>
      <c r="S18" s="51">
        <v>45603</v>
      </c>
      <c r="T18" s="51">
        <v>45603</v>
      </c>
      <c r="U18" s="41"/>
      <c r="V18" s="41"/>
      <c r="W18" s="11" t="s">
        <v>2444</v>
      </c>
      <c r="X18" s="11" t="s">
        <v>87</v>
      </c>
      <c r="Y18" s="57">
        <v>4.0401</v>
      </c>
      <c r="Z18" s="58">
        <f t="shared" si="1"/>
        <v>14895.8487</v>
      </c>
      <c r="AA18" s="13"/>
      <c r="AB18" s="14" t="s">
        <v>84</v>
      </c>
      <c r="AC18" s="13" t="s">
        <v>56</v>
      </c>
      <c r="AD18" s="13">
        <f>I18</f>
        <v>3687</v>
      </c>
      <c r="AE18" s="13">
        <f t="shared" si="2"/>
        <v>0</v>
      </c>
      <c r="AF18" s="59"/>
      <c r="AG18" s="59"/>
      <c r="AH18" s="11" t="s">
        <v>57</v>
      </c>
      <c r="AI18" s="13">
        <v>0</v>
      </c>
      <c r="AJ18" s="11" t="s">
        <v>73</v>
      </c>
      <c r="AK18" s="13">
        <v>0</v>
      </c>
      <c r="AL18" s="13"/>
      <c r="AM18" s="13">
        <f t="shared" si="3"/>
        <v>3687</v>
      </c>
      <c r="AN18" s="71">
        <f t="shared" ref="AN18:AN20" si="9">I18</f>
        <v>3687</v>
      </c>
      <c r="AO18" s="71"/>
      <c r="AP18" s="74">
        <f t="shared" si="8"/>
        <v>3687</v>
      </c>
      <c r="AQ18" s="74"/>
      <c r="AR18" s="71"/>
    </row>
    <row r="19" s="4" customFormat="1" ht="39" customHeight="1" spans="1:44">
      <c r="A19" s="15">
        <v>45600</v>
      </c>
      <c r="B19" s="16" t="s">
        <v>2442</v>
      </c>
      <c r="C19" s="17" t="s">
        <v>44</v>
      </c>
      <c r="D19" s="18" t="s">
        <v>2443</v>
      </c>
      <c r="E19" s="29"/>
      <c r="F19" s="30"/>
      <c r="G19" s="11" t="s">
        <v>84</v>
      </c>
      <c r="H19" s="11" t="s">
        <v>63</v>
      </c>
      <c r="I19" s="13">
        <v>11055</v>
      </c>
      <c r="J19" s="13">
        <v>0</v>
      </c>
      <c r="K19" s="13">
        <v>3</v>
      </c>
      <c r="L19" s="45">
        <f t="shared" si="0"/>
        <v>3685</v>
      </c>
      <c r="M19" s="41">
        <v>45649</v>
      </c>
      <c r="N19" s="41">
        <v>45645</v>
      </c>
      <c r="O19" s="41"/>
      <c r="P19" s="41"/>
      <c r="Q19" s="41"/>
      <c r="R19" s="51" t="s">
        <v>50</v>
      </c>
      <c r="S19" s="51">
        <v>45603</v>
      </c>
      <c r="T19" s="51">
        <v>45603</v>
      </c>
      <c r="U19" s="41"/>
      <c r="V19" s="41"/>
      <c r="W19" s="11" t="s">
        <v>2444</v>
      </c>
      <c r="X19" s="11" t="s">
        <v>87</v>
      </c>
      <c r="Y19" s="64">
        <v>3.9402</v>
      </c>
      <c r="Z19" s="65">
        <f t="shared" si="1"/>
        <v>43558.911</v>
      </c>
      <c r="AA19" s="13"/>
      <c r="AB19" s="14" t="s">
        <v>84</v>
      </c>
      <c r="AC19" s="13" t="s">
        <v>56</v>
      </c>
      <c r="AD19" s="13"/>
      <c r="AE19" s="13">
        <f t="shared" si="2"/>
        <v>-11055</v>
      </c>
      <c r="AF19" s="59"/>
      <c r="AG19" s="59"/>
      <c r="AH19" s="11" t="s">
        <v>57</v>
      </c>
      <c r="AI19" s="13">
        <v>0</v>
      </c>
      <c r="AJ19" s="11" t="s">
        <v>73</v>
      </c>
      <c r="AK19" s="13">
        <v>0</v>
      </c>
      <c r="AL19" s="13"/>
      <c r="AM19" s="13">
        <f t="shared" si="3"/>
        <v>11055</v>
      </c>
      <c r="AN19" s="71">
        <f t="shared" si="9"/>
        <v>11055</v>
      </c>
      <c r="AO19" s="71"/>
      <c r="AP19" s="74">
        <f t="shared" si="8"/>
        <v>11055</v>
      </c>
      <c r="AQ19" s="76"/>
      <c r="AR19" s="59"/>
    </row>
    <row r="20" s="4" customFormat="1" ht="39" customHeight="1" spans="1:44">
      <c r="A20" s="15">
        <v>45600</v>
      </c>
      <c r="B20" s="16" t="s">
        <v>2442</v>
      </c>
      <c r="C20" s="17" t="s">
        <v>44</v>
      </c>
      <c r="D20" s="18" t="s">
        <v>2443</v>
      </c>
      <c r="E20" s="31"/>
      <c r="F20" s="30"/>
      <c r="G20" s="11" t="s">
        <v>84</v>
      </c>
      <c r="H20" s="11" t="s">
        <v>63</v>
      </c>
      <c r="I20" s="13">
        <v>3687</v>
      </c>
      <c r="J20" s="13">
        <v>0</v>
      </c>
      <c r="K20" s="13">
        <v>3</v>
      </c>
      <c r="L20" s="45">
        <f t="shared" si="0"/>
        <v>1229</v>
      </c>
      <c r="M20" s="41">
        <v>45660</v>
      </c>
      <c r="N20" s="41">
        <v>45656</v>
      </c>
      <c r="O20" s="41"/>
      <c r="P20" s="41"/>
      <c r="Q20" s="41"/>
      <c r="R20" s="51" t="s">
        <v>50</v>
      </c>
      <c r="S20" s="51">
        <v>45603</v>
      </c>
      <c r="T20" s="51">
        <v>45603</v>
      </c>
      <c r="U20" s="41"/>
      <c r="V20" s="41"/>
      <c r="W20" s="11" t="s">
        <v>2444</v>
      </c>
      <c r="X20" s="11" t="s">
        <v>87</v>
      </c>
      <c r="Y20" s="57">
        <v>3.9402</v>
      </c>
      <c r="Z20" s="58">
        <f t="shared" si="1"/>
        <v>14527.5174</v>
      </c>
      <c r="AA20" s="13"/>
      <c r="AB20" s="14" t="s">
        <v>84</v>
      </c>
      <c r="AC20" s="13" t="s">
        <v>56</v>
      </c>
      <c r="AD20" s="13"/>
      <c r="AE20" s="13">
        <f t="shared" si="2"/>
        <v>-3687</v>
      </c>
      <c r="AF20" s="59"/>
      <c r="AG20" s="59"/>
      <c r="AH20" s="11" t="s">
        <v>57</v>
      </c>
      <c r="AI20" s="13">
        <v>0</v>
      </c>
      <c r="AJ20" s="11" t="s">
        <v>73</v>
      </c>
      <c r="AK20" s="13">
        <v>0</v>
      </c>
      <c r="AL20" s="13"/>
      <c r="AM20" s="13">
        <f t="shared" si="3"/>
        <v>3687</v>
      </c>
      <c r="AN20" s="71">
        <f t="shared" si="9"/>
        <v>3687</v>
      </c>
      <c r="AO20" s="71"/>
      <c r="AP20" s="74">
        <f t="shared" si="8"/>
        <v>3687</v>
      </c>
      <c r="AQ20" s="76"/>
      <c r="AR20" s="59"/>
    </row>
    <row r="21" s="2" customFormat="1" ht="39" customHeight="1" spans="1:44">
      <c r="A21" s="20">
        <v>45754</v>
      </c>
      <c r="B21" s="16" t="s">
        <v>852</v>
      </c>
      <c r="C21" s="32" t="s">
        <v>239</v>
      </c>
      <c r="D21" s="30">
        <v>4500162346</v>
      </c>
      <c r="E21" s="29">
        <v>5200006527</v>
      </c>
      <c r="F21" s="30" t="s">
        <v>2445</v>
      </c>
      <c r="G21" s="11" t="s">
        <v>258</v>
      </c>
      <c r="H21" s="11" t="s">
        <v>63</v>
      </c>
      <c r="I21" s="13">
        <v>504</v>
      </c>
      <c r="J21" s="13">
        <v>0</v>
      </c>
      <c r="K21" s="13">
        <v>6</v>
      </c>
      <c r="L21" s="13">
        <f t="shared" si="0"/>
        <v>84</v>
      </c>
      <c r="M21" s="41">
        <v>45783</v>
      </c>
      <c r="N21" s="41">
        <v>45779</v>
      </c>
      <c r="O21" s="41"/>
      <c r="P21" s="41"/>
      <c r="Q21" s="41"/>
      <c r="R21" s="49" t="s">
        <v>50</v>
      </c>
      <c r="S21" s="49">
        <v>45757</v>
      </c>
      <c r="T21" s="49" t="s">
        <v>2446</v>
      </c>
      <c r="U21" s="41" t="s">
        <v>2447</v>
      </c>
      <c r="V21" s="41"/>
      <c r="W21" s="12" t="s">
        <v>2448</v>
      </c>
      <c r="X21" s="19" t="s">
        <v>856</v>
      </c>
      <c r="Y21" s="57">
        <v>3.5505</v>
      </c>
      <c r="Z21" s="58">
        <f t="shared" si="1"/>
        <v>1789.452</v>
      </c>
      <c r="AA21" s="13"/>
      <c r="AB21" s="63"/>
      <c r="AC21" s="13"/>
      <c r="AD21" s="59"/>
      <c r="AE21" s="13">
        <f t="shared" si="2"/>
        <v>-504</v>
      </c>
      <c r="AF21" s="59"/>
      <c r="AG21" s="59"/>
      <c r="AH21" s="11" t="s">
        <v>72</v>
      </c>
      <c r="AI21" s="13">
        <v>0</v>
      </c>
      <c r="AJ21" s="11" t="s">
        <v>136</v>
      </c>
      <c r="AK21" s="13">
        <v>1</v>
      </c>
      <c r="AL21" s="13"/>
      <c r="AM21" s="13">
        <f t="shared" si="3"/>
        <v>504</v>
      </c>
      <c r="AN21" s="71"/>
      <c r="AO21" s="71">
        <f>I21</f>
        <v>504</v>
      </c>
      <c r="AP21" s="74"/>
      <c r="AQ21" s="76"/>
      <c r="AR21" s="59"/>
    </row>
    <row r="22" s="5" customFormat="1" ht="39" customHeight="1" spans="1:46">
      <c r="A22" s="33">
        <v>45973</v>
      </c>
      <c r="B22" s="34" t="s">
        <v>74</v>
      </c>
      <c r="C22" s="35" t="s">
        <v>44</v>
      </c>
      <c r="D22" s="36">
        <v>4500185207</v>
      </c>
      <c r="E22" s="37" t="s">
        <v>2449</v>
      </c>
      <c r="F22" s="36" t="s">
        <v>2450</v>
      </c>
      <c r="G22" s="38" t="s">
        <v>62</v>
      </c>
      <c r="H22" s="38" t="s">
        <v>63</v>
      </c>
      <c r="I22" s="36">
        <v>2004</v>
      </c>
      <c r="J22" s="36">
        <v>0</v>
      </c>
      <c r="K22" s="36">
        <v>6</v>
      </c>
      <c r="L22" s="36">
        <f t="shared" si="0"/>
        <v>334</v>
      </c>
      <c r="M22" s="46">
        <v>46009</v>
      </c>
      <c r="N22" s="46">
        <v>46006</v>
      </c>
      <c r="O22" s="47"/>
      <c r="P22" s="47"/>
      <c r="Q22" s="47"/>
      <c r="R22" s="52" t="s">
        <v>77</v>
      </c>
      <c r="S22" s="53" t="s">
        <v>2128</v>
      </c>
      <c r="T22" s="54" t="s">
        <v>2451</v>
      </c>
      <c r="U22" s="47"/>
      <c r="V22" s="47"/>
      <c r="W22" s="55" t="s">
        <v>2452</v>
      </c>
      <c r="X22" s="56" t="s">
        <v>116</v>
      </c>
      <c r="Y22" s="66">
        <v>1.9993</v>
      </c>
      <c r="Z22" s="67">
        <f t="shared" si="1"/>
        <v>4006.5972</v>
      </c>
      <c r="AA22" s="36"/>
      <c r="AB22" s="68" t="s">
        <v>62</v>
      </c>
      <c r="AC22" s="35" t="s">
        <v>56</v>
      </c>
      <c r="AD22" s="36"/>
      <c r="AE22" s="36">
        <f t="shared" si="2"/>
        <v>-2004</v>
      </c>
      <c r="AF22" s="69"/>
      <c r="AG22" s="69"/>
      <c r="AH22" s="68" t="s">
        <v>57</v>
      </c>
      <c r="AI22" s="73">
        <v>0</v>
      </c>
      <c r="AJ22" s="68" t="s">
        <v>73</v>
      </c>
      <c r="AK22" s="36"/>
      <c r="AL22" s="36"/>
      <c r="AM22" s="36">
        <f t="shared" si="3"/>
        <v>2004</v>
      </c>
      <c r="AN22" s="36">
        <f>IF($AI22=0,$AM22,IF($AI22&gt;0,0))</f>
        <v>2004</v>
      </c>
      <c r="AO22" s="36" t="b">
        <f>IF($AI22=2,$AM22,IF($AI22&gt;0,0))</f>
        <v>0</v>
      </c>
      <c r="AP22" s="36">
        <f>IF($AK22=0,$AM22,IF($AK22&gt;0,0))</f>
        <v>2004</v>
      </c>
      <c r="AS22" s="77"/>
      <c r="AT22" s="69"/>
    </row>
  </sheetData>
  <autoFilter xmlns:etc="http://www.wps.cn/officeDocument/2017/etCustomData" ref="A1:AR22" etc:filterBottomFollowUsedRange="0">
    <extLst/>
  </autoFilter>
  <conditionalFormatting sqref="S2">
    <cfRule type="cellIs" dxfId="1" priority="43" operator="equal">
      <formula>"欠"</formula>
    </cfRule>
  </conditionalFormatting>
  <conditionalFormatting sqref="T2">
    <cfRule type="cellIs" dxfId="1" priority="42" operator="equal">
      <formula>"欠"</formula>
    </cfRule>
  </conditionalFormatting>
  <conditionalFormatting sqref="S3">
    <cfRule type="cellIs" dxfId="1" priority="41" operator="equal">
      <formula>"欠"</formula>
    </cfRule>
  </conditionalFormatting>
  <conditionalFormatting sqref="T3">
    <cfRule type="cellIs" dxfId="1" priority="40" operator="equal">
      <formula>"欠"</formula>
    </cfRule>
  </conditionalFormatting>
  <conditionalFormatting sqref="S4">
    <cfRule type="cellIs" dxfId="1" priority="39" operator="equal">
      <formula>"欠"</formula>
    </cfRule>
  </conditionalFormatting>
  <conditionalFormatting sqref="S5">
    <cfRule type="cellIs" dxfId="1" priority="38" operator="equal">
      <formula>"欠"</formula>
    </cfRule>
  </conditionalFormatting>
  <conditionalFormatting sqref="T5">
    <cfRule type="cellIs" dxfId="1" priority="37" operator="equal">
      <formula>"欠"</formula>
    </cfRule>
  </conditionalFormatting>
  <conditionalFormatting sqref="S6">
    <cfRule type="cellIs" dxfId="1" priority="36" operator="equal">
      <formula>"欠"</formula>
    </cfRule>
  </conditionalFormatting>
  <conditionalFormatting sqref="T6">
    <cfRule type="cellIs" dxfId="1" priority="35" operator="equal">
      <formula>"欠"</formula>
    </cfRule>
  </conditionalFormatting>
  <conditionalFormatting sqref="S7">
    <cfRule type="cellIs" dxfId="1" priority="34" operator="equal">
      <formula>"欠"</formula>
    </cfRule>
  </conditionalFormatting>
  <conditionalFormatting sqref="T7">
    <cfRule type="cellIs" dxfId="1" priority="33" operator="equal">
      <formula>"欠"</formula>
    </cfRule>
  </conditionalFormatting>
  <conditionalFormatting sqref="S8">
    <cfRule type="cellIs" dxfId="1" priority="32" operator="equal">
      <formula>"欠"</formula>
    </cfRule>
  </conditionalFormatting>
  <conditionalFormatting sqref="T8">
    <cfRule type="cellIs" dxfId="1" priority="31" operator="equal">
      <formula>"欠"</formula>
    </cfRule>
  </conditionalFormatting>
  <conditionalFormatting sqref="S9">
    <cfRule type="cellIs" dxfId="1" priority="30" operator="equal">
      <formula>"欠"</formula>
    </cfRule>
  </conditionalFormatting>
  <conditionalFormatting sqref="T9">
    <cfRule type="cellIs" dxfId="1" priority="29" operator="equal">
      <formula>"欠"</formula>
    </cfRule>
  </conditionalFormatting>
  <conditionalFormatting sqref="S10">
    <cfRule type="cellIs" dxfId="1" priority="27" operator="equal">
      <formula>"欠"</formula>
    </cfRule>
  </conditionalFormatting>
  <conditionalFormatting sqref="T10">
    <cfRule type="cellIs" dxfId="1" priority="28" operator="equal">
      <formula>"欠"</formula>
    </cfRule>
  </conditionalFormatting>
  <conditionalFormatting sqref="S12">
    <cfRule type="cellIs" dxfId="1" priority="26" operator="equal">
      <formula>"欠"</formula>
    </cfRule>
  </conditionalFormatting>
  <conditionalFormatting sqref="T12">
    <cfRule type="cellIs" dxfId="1" priority="25" operator="equal">
      <formula>"欠"</formula>
    </cfRule>
  </conditionalFormatting>
  <conditionalFormatting sqref="S13">
    <cfRule type="cellIs" dxfId="1" priority="24" operator="equal">
      <formula>"欠"</formula>
    </cfRule>
  </conditionalFormatting>
  <conditionalFormatting sqref="T13">
    <cfRule type="cellIs" dxfId="1" priority="23" operator="equal">
      <formula>"欠"</formula>
    </cfRule>
  </conditionalFormatting>
  <conditionalFormatting sqref="S14">
    <cfRule type="cellIs" dxfId="1" priority="22" operator="equal">
      <formula>"欠"</formula>
    </cfRule>
  </conditionalFormatting>
  <conditionalFormatting sqref="T14">
    <cfRule type="cellIs" dxfId="1" priority="21" operator="equal">
      <formula>"欠"</formula>
    </cfRule>
  </conditionalFormatting>
  <conditionalFormatting sqref="S15">
    <cfRule type="cellIs" dxfId="1" priority="20" operator="equal">
      <formula>"欠"</formula>
    </cfRule>
  </conditionalFormatting>
  <conditionalFormatting sqref="T15">
    <cfRule type="cellIs" dxfId="1" priority="19" operator="equal">
      <formula>"欠"</formula>
    </cfRule>
  </conditionalFormatting>
  <conditionalFormatting sqref="S16">
    <cfRule type="cellIs" dxfId="1" priority="14" operator="equal">
      <formula>"欠"</formula>
    </cfRule>
  </conditionalFormatting>
  <conditionalFormatting sqref="T16">
    <cfRule type="cellIs" dxfId="1" priority="13" operator="equal">
      <formula>"欠"</formula>
    </cfRule>
  </conditionalFormatting>
  <conditionalFormatting sqref="S17">
    <cfRule type="cellIs" dxfId="1" priority="12" operator="equal">
      <formula>"欠"</formula>
    </cfRule>
  </conditionalFormatting>
  <conditionalFormatting sqref="T17">
    <cfRule type="cellIs" dxfId="1" priority="11" operator="equal">
      <formula>"欠"</formula>
    </cfRule>
  </conditionalFormatting>
  <conditionalFormatting sqref="R18:T18">
    <cfRule type="cellIs" dxfId="1" priority="10" operator="equal">
      <formula>"欠"</formula>
    </cfRule>
  </conditionalFormatting>
  <conditionalFormatting sqref="R20:T20">
    <cfRule type="cellIs" dxfId="1" priority="8" operator="equal">
      <formula>"欠"</formula>
    </cfRule>
  </conditionalFormatting>
  <conditionalFormatting sqref="R21:T21">
    <cfRule type="cellIs" dxfId="1" priority="7" operator="equal">
      <formula>"欠"</formula>
    </cfRule>
  </conditionalFormatting>
  <conditionalFormatting sqref="R22">
    <cfRule type="containsText" dxfId="0" priority="3" operator="between" text="欠">
      <formula>NOT(ISERROR(SEARCH("欠",R22)))</formula>
    </cfRule>
  </conditionalFormatting>
  <conditionalFormatting sqref="S22">
    <cfRule type="containsText" dxfId="0" priority="1" operator="between" text="欠">
      <formula>NOT(ISERROR(SEARCH("欠",S22)))</formula>
    </cfRule>
  </conditionalFormatting>
  <conditionalFormatting sqref="T22">
    <cfRule type="containsText" dxfId="0" priority="2" operator="between" text="欠">
      <formula>NOT(ISERROR(SEARCH("欠",T22)))</formula>
    </cfRule>
  </conditionalFormatting>
  <conditionalFormatting sqref="T19 R19:S19">
    <cfRule type="cellIs" dxfId="1" priority="9" operator="equal">
      <formula>"欠"</formula>
    </cfRule>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大白鲨</vt:lpstr>
      <vt:lpstr>彩盒MA</vt:lpstr>
      <vt:lpstr>产品MA</vt:lpstr>
      <vt:lpstr>客版MA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2018-02-09T00:48:00Z</dcterms:created>
  <cp:lastPrinted>2019-03-26T04:03:00Z</cp:lastPrinted>
  <dcterms:modified xsi:type="dcterms:W3CDTF">2026-02-26T04:04:18Z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6DC5FD6633A8448AA5542C21D5A2A80B</vt:lpwstr>
  </property>
  <property fmtid="{D5CDD505-2E9C-101B-9397-08002B2CF9AE}" pid="5" name="commondata">
    <vt:lpwstr>eyJoZGlkIjoiZTNiMmJjMGUyMDNhMGI0MjllZTc4OTE3ODRjOTBjMWQifQ==</vt:lpwstr>
  </property>
  <property fmtid="{D5CDD505-2E9C-101B-9397-08002B2CF9AE}" pid="6" name="CalculationRule">
    <vt:i4>0</vt:i4>
  </property>
</Properties>
</file>