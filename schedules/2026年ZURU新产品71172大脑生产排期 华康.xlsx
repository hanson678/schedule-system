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687"/>
  </bookViews>
  <sheets>
    <sheet name="71172大脑" sheetId="12" r:id="rId1"/>
    <sheet name="彩盒MA" sheetId="3" r:id="rId2"/>
    <sheet name="产品MA" sheetId="2" r:id="rId3"/>
    <sheet name="客版MA" sheetId="15" r:id="rId4"/>
    <sheet name="取消单" sheetId="16" r:id="rId5"/>
  </sheets>
  <definedNames>
    <definedName name="_xlnm._FilterDatabase" localSheetId="0" hidden="1">'71172大脑'!$A$1:$AQ$12</definedName>
    <definedName name="_xlnm._FilterDatabase" localSheetId="1" hidden="1">彩盒MA!$B$3:$O$10</definedName>
    <definedName name="_xlnm._FilterDatabase" localSheetId="4" hidden="1">取消单!$A$1:$AR$1</definedName>
    <definedName name="_xlnm._FilterDatabase" localSheetId="2" hidden="1">产品MA!$B$3:$AG$3</definedName>
    <definedName name="_xlnm.Print_Area" localSheetId="2">产品MA!$A$1:$H$32</definedName>
    <definedName name="_xlnm.Print_Titles" localSheetId="0">'71172大脑'!#REF!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<sst xmlns="http://schemas.openxmlformats.org/spreadsheetml/2006/main" count="205" uniqueCount="123">
  <si>
    <t>接单期</t>
  </si>
  <si>
    <t>第三方客户名称</t>
  </si>
  <si>
    <t>国家</t>
  </si>
  <si>
    <t>PO号</t>
  </si>
  <si>
    <t>小PO号</t>
  </si>
  <si>
    <t>SKU</t>
  </si>
  <si>
    <t>货号</t>
  </si>
  <si>
    <t>名称</t>
  </si>
  <si>
    <t>PO数量(只)</t>
  </si>
  <si>
    <t>内箱装箱数量(只)</t>
  </si>
  <si>
    <t>外箱装箱数量(只)</t>
  </si>
  <si>
    <t>总箱数</t>
  </si>
  <si>
    <t>客PO期</t>
  </si>
  <si>
    <t>计划验货期</t>
  </si>
  <si>
    <t>第三方验货期</t>
  </si>
  <si>
    <t>验货结果</t>
  </si>
  <si>
    <t>船期SO</t>
  </si>
  <si>
    <r>
      <rPr>
        <sz val="10"/>
        <color rgb="FF2727F0"/>
        <rFont val="等线"/>
        <charset val="134"/>
      </rPr>
      <t>蓝色表示寄出</t>
    </r>
    <r>
      <rPr>
        <sz val="10"/>
        <rFont val="等线"/>
        <charset val="134"/>
      </rPr>
      <t xml:space="preserve">
</t>
    </r>
    <r>
      <rPr>
        <sz val="10"/>
        <color rgb="FFFF0000"/>
        <rFont val="等线"/>
        <charset val="134"/>
      </rPr>
      <t>黄色表示出单</t>
    </r>
  </si>
  <si>
    <t>是否有外箱贴纸</t>
  </si>
  <si>
    <t>箱唛资料</t>
  </si>
  <si>
    <t>客贴纸</t>
  </si>
  <si>
    <t>其他物料</t>
  </si>
  <si>
    <t>日期码</t>
  </si>
  <si>
    <t>备注</t>
  </si>
  <si>
    <t>客跟单</t>
  </si>
  <si>
    <t>单价USD</t>
  </si>
  <si>
    <t>金额USD</t>
  </si>
  <si>
    <t>发票号</t>
  </si>
  <si>
    <t>系统货号</t>
  </si>
  <si>
    <t>是否已入系统</t>
  </si>
  <si>
    <t>已完成数量</t>
  </si>
  <si>
    <t>欠数</t>
  </si>
  <si>
    <t>贴纸情况</t>
  </si>
  <si>
    <t>包装</t>
  </si>
  <si>
    <t>标准=0,客版=1</t>
  </si>
  <si>
    <t>说明书</t>
  </si>
  <si>
    <t>走货情况(离厂日期)</t>
  </si>
  <si>
    <t>71172 产品数</t>
  </si>
  <si>
    <t>71172 MA 1L彩盒</t>
  </si>
  <si>
    <t>71172 MA 3L彩盒</t>
  </si>
  <si>
    <t>71172 MA 9L说明书</t>
  </si>
  <si>
    <t>ZMPO251178</t>
  </si>
  <si>
    <t>71172-S001</t>
  </si>
  <si>
    <t>Remark:跟PP订单一起安排/大货标准箱装箱/箱唛请参照邮件附件
备注：收到样品订单后尽快安排 ，注意样板品质质量要求要高于大货品质要求 ，送货时必须要附带送货单(没有送货单和QC检验合格报告的仓库一律拒绝收货)，请知悉，谢谢！</t>
  </si>
  <si>
    <t>ZPO2512023</t>
  </si>
  <si>
    <t>ZURU LLC</t>
  </si>
  <si>
    <t>美国</t>
  </si>
  <si>
    <t>4500193356-10</t>
  </si>
  <si>
    <t>71172-S001-FS</t>
  </si>
  <si>
    <t>日期码格式：DGYYYYMMDD(日期避开周末和法定节假日) 日期：按实际生产日期
Packaging Info: WMUS FAST START 项目要求:
1. 包装要求：MA 1L包装+MA说明书 (不需要客供RFID贴纸)
Remark: 2. 此单New UPC与STD不同，需加贴New UPC贴纸。贴前须用黑色笔将原UPC条码完全涂黑，使其无法扫描，再粘贴新UPC贴纸。
3.#71172——71172-S001-FS
UPC：193052109309
GTIN：10193052109306
4. 外箱印四面唛头信息，默认正唛和侧唛各两面。参考提供模版，排版供确认后，才能生产。
外箱需印刷外箱GTIN barcode（格式：ITF-14） ，确保清晰可见，可正常扫描。
MFG：DGYYYYMMDD（两面正唛打日期码）
Gross weight/lbs: 可手写上去
5. 此MTS订单不需要第三方抽板验货，但是要通过ZURU QC验货PASS后才能出货。 空运到3PL仓库。</t>
  </si>
  <si>
    <t>Nikki Mo</t>
  </si>
  <si>
    <t>TARGET US</t>
  </si>
  <si>
    <t>10001662884-3891</t>
  </si>
  <si>
    <t>4500193070-10</t>
  </si>
  <si>
    <t>日期码格式：ZURU INC(BVI) 标准格式 日期：按实际生产日期
Packaging Info: 产品包装MA 1L彩盒
Remark: 1. 71172-S001-ROBO ALIVE-BRAIN-SERIES 1-BRIAN THE BRAIN-OPEN BOX-4PCS/CTN
2. 产品包装MA 1L彩盒；彩盒上的UPC显示193052098443；
3. 每个外箱正唛箱唛信息左上方位置粘贴条码箱贴纸，每箱只贴一张; 由ZURU向艾利订购， 对应的外箱贴DPCI：087-02-9468, UPC显示10193052098440 ；
4. 每个外箱正唛信息的右侧需要贴一张Event Label，贴纸内容显示 7/19 TRANSITION TOYS Set Date 7/19/2026，工厂自行订购；
5. 产品和包装上要印刷tracking code信息，格式为ZURU常规；
6. 出货方式：货代自提</t>
  </si>
  <si>
    <t>Holly Zheng</t>
  </si>
  <si>
    <t>10001662903-3890</t>
  </si>
  <si>
    <t>4500193071-10</t>
  </si>
  <si>
    <t>KMART AUSTRALIA LTD</t>
  </si>
  <si>
    <t>澳大利亚</t>
  </si>
  <si>
    <t>4500193539-40</t>
  </si>
  <si>
    <t>日期码格式：ZURU INC(BVI) 标准格式 日期：按实际生产日期
Packaging Info: 
71172：MA英语UPC版本包装（收缩膜和说明书, MA首选1L，如无1L可用多语且含英语的配套多语包装) + 一张防盗贴纸+箱唛 + 外箱SSCC Label
3PCS AA BATTERIES(INCLUDED)
Remark: 1.请务必按时完货，验货。并且按期送货入货代指定仓库，如果晚了导致船期Delay将会有罚金产生或者客户要求空运，所产生的罚金和空运费由工厂承担。
2.SSCC 外箱贴纸请同纸箱瓦楞纸方向（竖纹向）垂直，即外箱贴纸横着贴(注意条码不要被胶带粘住），贴1pc，贴1面正唛，封箱胶纸不能挡住贴纸内容。外箱贴纸
离外箱边距离不少于2cm。
3.外箱材质为ZURU标准；
4.此单需使用KMART封箱胶上下工字型封箱;从2019年6月开始，要用KMART 新版封箱胶带，此单要用"ANKO"封箱胶带
5.此单出口澳大利亚，请按相应的澳新标准生产；
6.产品和包装上生产批号的显示格式ZURU标准日期码格式
7.外箱信息不可手写，重量和体积需要与实际的一致(不可手写）
8. 每款item装箱后的G.W.超过10KG或者CBM超过0.13,(9.5KG或者以上，四舍五入后也属于10KG) 需在外箱上加印超 重或者Bulky LOGO，若发现我们资料没有，请
帮忙提醒
1)重量超过10kg但不超过16kg且CBM不超过0.13,10-16kg 超重logo
2）CBM超过0.13且重量少于17kg，bulky logo
3）不属于以上两种情况，需要使用相应重量范围内的超重logo
4）超重logo需要在外箱四面都印刷(箱唛右上角，两面侧唛超重logo需要尽量靠近毛重)，尺寸为:110mm height* 95mm width
9. 实际外箱重量跟印在箱唛上的数据差异不能超3%，尺寸按实际数据印刷
71172实际上走LCL散货出柜</t>
  </si>
  <si>
    <t>Louise Lu</t>
  </si>
  <si>
    <t>KMART AUSTRALIA LTD(NEW ZEALAND)</t>
  </si>
  <si>
    <t>新西兰</t>
  </si>
  <si>
    <t>4500193541-40</t>
  </si>
  <si>
    <t>日期码格式：ZURU INC(BVI) 标准格式 日期：按实际生产日期
Packaging Info: 
71172：MA英语UPC版本包装（收缩膜和说明书, MA首选1L，如无1L可用多语且含英语的配套多语包装) + 一张防盗贴纸（贴纸资料及位置图翻单PO#4500193539）+箱
唛 + 外箱SSCC Label
3PCS AA BATTERIES(INCLUDED)
Remark: 1.请务必按时完货，验货。并且按期送货入货代指定仓库，如果晚了导致船期Delay将会有罚金产生或者客户要求空运，所产生的罚金和空运费由工厂承担。
2.SSCC 外箱贴纸请同纸箱瓦楞纸方向（竖纹向）垂直，即外箱贴纸横着贴(注意条码不要被胶带粘住），贴1pc，贴1面正唛，封箱胶纸不能挡住贴纸内容。外箱贴纸
离外箱边距离不少于2cm。
3.外箱材质为ZURU标准；
4.此单需使用KMART封箱胶上下工字型封箱;从2019年6月开始，要用KMART 新版封箱胶带，此单要用"ANKO"封箱胶带
5.此单出口新西兰，请按相应的澳新标准生产；
6.产品和包装上生产批号的显示格式ZURU标准日期码格式
7.外箱信息不可手写，重量和体积需要与实际的一致(不可手写）
8. 每款item装箱后的G.W.超过10KG或者CBM超过0.13,(9.5KG或者以上，四舍五入后也属于10KG) 需在外箱上加印超 重或者Bulky LOGO，若发现我们资料没有，请
帮忙提醒
1)重量超过10kg但不超过16kg且CBM不超过0.13,10-16kg 超重logo
2）CBM超过0.13且重量少于17kg，bulky logo
3）不属于以上两种情况，需要使用相应重量范围内的超重logo
4）超重logo需要在外箱四面都印刷(箱唛右上角，两面侧唛超重logo需要尽量靠近毛重)，尺寸为:110mm height* 95mm width
9. 实际外箱重量跟印在箱唛上的数据差异不能超3%，尺寸按实际数据印刷
71172实际上为LCL散货出柜</t>
  </si>
  <si>
    <t>KANDYTOYS LIMITED</t>
  </si>
  <si>
    <t>英国</t>
  </si>
  <si>
    <t>AS191225ZUR15
274</t>
  </si>
  <si>
    <t>4500193688-100</t>
  </si>
  <si>
    <t>日期码格式：ZURU INC(BVI) 标准格式 日期：按实际生产日期
Packaging Info: 
71172-S001:MA UPC包装+WEEE 29L 带电池说明书
配比按MA
Remark: "1.订单出英国，请注意检查产品及包装应带UKCA图标，包装需要显示ZURU UK LTD/ZURU France地址信息，QC同事请查核，如有问题与跟单确认。
2.生产日期按实际的（法定工作日），按ZURU标准格式即可 ，并需要在出货前提供每个产品外包上对应的生产日期明细
3.请注意所有订单都需要经过ZURU QC验货并且通过后方可出货
4.产品条码以订单显示为准 ，请安排生产前先核对再生产。
5.外箱上的条码请确保清晰可扫描，有PDQ， 需要在PDQ底部贴一张带条码并可扫描的贴纸(ZURU 跟单提供模板）。
6.所有产品按符合欧洲标准走货，微塑料需合规并增加IFUD声明，含电池的需要增加WEEE说明书。"</t>
  </si>
  <si>
    <t>Zoe Zhou</t>
  </si>
  <si>
    <t>ASIA GOAL LIMITED TAIWAN BRANCH (H.</t>
  </si>
  <si>
    <t>台湾</t>
  </si>
  <si>
    <t>AG250407-TW</t>
  </si>
  <si>
    <t>4500193394-20</t>
  </si>
  <si>
    <t>日期码格式：ZURU INC(BVI) 标准格式 日期：按实际生产日期
Packaging Info: 此单出TW
71172：MA 1L PKG , MA 说明书 + 1张警语贴纸
Remark:</t>
  </si>
  <si>
    <t>Chelsea Luo</t>
  </si>
  <si>
    <t>香港</t>
  </si>
  <si>
    <t>AG250406-HK</t>
  </si>
  <si>
    <t>4500193390-20</t>
  </si>
  <si>
    <t>日期码格式：ZURU INC(BVI) 标准格式 日期：按实际生产日期
Packaging Info: 此单出HK
71172：MA 1L PKG, MA 说明书+ HK客供警语贴纸
Remark:</t>
  </si>
  <si>
    <t>4500192525-10</t>
  </si>
  <si>
    <t>71172-S003-MB-MTS</t>
  </si>
  <si>
    <t>日期码格式：ZURU INC(BVI) 标准格式 日期：按实际生产日期
Packaging Info: #71172:MA 1L UPC版本 #71172带MA包装入邮包盒，邮包盒图稿跟单提供。
Remark: 1.Amazon domestic 订单。出口美国。外箱最长边不能超过25" （超过了，case pack只能为1），不符合要求的大货，一律不接受。
2.无第三方验货/测试要求。
3.日期码使用ZURU标准版本。
4.如果大货有要求入邮包盒，则对应的邮包盒上面要打上日期码。</t>
  </si>
  <si>
    <t>SD24</t>
  </si>
  <si>
    <t>··</t>
  </si>
  <si>
    <t>合计</t>
  </si>
  <si>
    <t xml:space="preserve"> </t>
  </si>
  <si>
    <t>71172大脑 彩盒、说明书MA剩余表</t>
  </si>
  <si>
    <t>放订人</t>
  </si>
  <si>
    <t>放MA日期</t>
  </si>
  <si>
    <t>PO号码</t>
  </si>
  <si>
    <t>MA订单号码</t>
  </si>
  <si>
    <t>数量</t>
  </si>
  <si>
    <t>版本号</t>
  </si>
  <si>
    <t>语言</t>
  </si>
  <si>
    <t>71126 MA 1L彩盒</t>
  </si>
  <si>
    <t>71126 MA 3L彩盒</t>
  </si>
  <si>
    <t>71126 MA 9L说明书</t>
  </si>
  <si>
    <t>71127EC展示架24个装</t>
  </si>
  <si>
    <t>客版包材</t>
  </si>
  <si>
    <t>接单总数</t>
  </si>
  <si>
    <t>彩盒MA剩余</t>
  </si>
  <si>
    <t>大脑半成品生产MA</t>
  </si>
  <si>
    <t>日期</t>
  </si>
  <si>
    <r>
      <rPr>
        <sz val="10"/>
        <rFont val="宋体"/>
        <charset val="134"/>
      </rPr>
      <t>I</t>
    </r>
    <r>
      <rPr>
        <sz val="10"/>
        <rFont val="宋体"/>
        <charset val="134"/>
      </rPr>
      <t>TEM</t>
    </r>
  </si>
  <si>
    <t>要求完成日期</t>
  </si>
  <si>
    <t>MA_RR_2073</t>
  </si>
  <si>
    <t>大脑</t>
  </si>
  <si>
    <t>MA合计</t>
  </si>
  <si>
    <t>MA剩余</t>
  </si>
  <si>
    <t>大脑IC MA</t>
  </si>
  <si>
    <t>MA_RR_1985</t>
  </si>
  <si>
    <t>HY2410082-30/HY2410082-F9 华远科创</t>
  </si>
  <si>
    <t>MA_RR_2023</t>
  </si>
  <si>
    <t>MA_RR_2046</t>
  </si>
  <si>
    <t>按接单IC 剩余数</t>
  </si>
  <si>
    <t>除去MA半成品 剩余数</t>
  </si>
  <si>
    <t>客供物料</t>
  </si>
  <si>
    <t>已送数量</t>
  </si>
  <si>
    <t>71126 产品数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</si>
</sst>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[$$-409]#,##0.0000;\-[$$-409]#,##0.0000"/>
    <numFmt numFmtId="178" formatCode="yyyy/m/d&quot;周&quot;aaa"/>
    <numFmt numFmtId="179" formatCode="0_ "/>
    <numFmt numFmtId="180" formatCode="0.0000_ "/>
    <numFmt numFmtId="181" formatCode="0.00_ "/>
  </numFmts>
  <fonts count="41">
    <font>
      <sz val="11"/>
      <color theme="1"/>
      <name val="宋体"/>
      <charset val="134"/>
      <scheme val="minor"/>
    </font>
    <font>
      <sz val="11"/>
      <name val="等线"/>
      <charset val="134"/>
    </font>
    <font>
      <sz val="10"/>
      <name val="等线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b/>
      <sz val="14"/>
      <name val="宋体"/>
      <charset val="134"/>
    </font>
    <font>
      <sz val="11"/>
      <name val="Arial"/>
      <charset val="0"/>
    </font>
    <font>
      <sz val="11"/>
      <name val="宋体"/>
      <charset val="134"/>
    </font>
    <font>
      <b/>
      <sz val="11"/>
      <name val="等线"/>
      <charset val="134"/>
    </font>
    <font>
      <b/>
      <sz val="10"/>
      <color rgb="FF0000FF"/>
      <name val="等线"/>
      <charset val="134"/>
    </font>
    <font>
      <b/>
      <sz val="11"/>
      <name val="宋体"/>
      <charset val="134"/>
      <scheme val="minor"/>
    </font>
    <font>
      <sz val="10"/>
      <name val="Arial"/>
      <charset val="134"/>
    </font>
    <font>
      <sz val="10"/>
      <color rgb="FF2727F0"/>
      <name val="宋体"/>
      <charset val="134"/>
    </font>
    <font>
      <sz val="10"/>
      <color rgb="FF0000FF"/>
      <name val="Arial"/>
      <charset val="134"/>
    </font>
    <font>
      <sz val="10"/>
      <color rgb="FF2727F0"/>
      <name val="等线"/>
      <charset val="134"/>
    </font>
    <font>
      <b/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0"/>
      <name val="Helv"/>
      <charset val="0"/>
    </font>
    <font>
      <sz val="10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3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34" applyNumberFormat="0" applyAlignment="0" applyProtection="0">
      <alignment vertical="center"/>
    </xf>
    <xf numFmtId="0" fontId="26" fillId="7" borderId="35" applyNumberFormat="0" applyAlignment="0" applyProtection="0">
      <alignment vertical="center"/>
    </xf>
    <xf numFmtId="0" fontId="27" fillId="7" borderId="34" applyNumberFormat="0" applyAlignment="0" applyProtection="0">
      <alignment vertical="center"/>
    </xf>
    <xf numFmtId="0" fontId="28" fillId="8" borderId="36" applyNumberFormat="0" applyAlignment="0" applyProtection="0">
      <alignment vertical="center"/>
    </xf>
    <xf numFmtId="0" fontId="29" fillId="0" borderId="37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0" borderId="0">
      <alignment vertical="center"/>
    </xf>
    <xf numFmtId="177" fontId="37" fillId="0" borderId="0"/>
    <xf numFmtId="176" fontId="37" fillId="0" borderId="0">
      <alignment vertical="center"/>
    </xf>
    <xf numFmtId="0" fontId="37" fillId="0" borderId="0"/>
    <xf numFmtId="176" fontId="38" fillId="0" borderId="0">
      <alignment vertical="center"/>
    </xf>
    <xf numFmtId="0" fontId="38" fillId="0" borderId="0">
      <alignment vertical="center"/>
    </xf>
    <xf numFmtId="0" fontId="12" fillId="0" borderId="0"/>
    <xf numFmtId="0" fontId="39" fillId="0" borderId="0"/>
  </cellStyleXfs>
  <cellXfs count="173">
    <xf numFmtId="176" fontId="0" fillId="0" borderId="0" xfId="0">
      <alignment vertical="center"/>
    </xf>
    <xf numFmtId="176" fontId="1" fillId="0" borderId="0" xfId="0" applyFont="1" applyFill="1">
      <alignment vertical="center"/>
    </xf>
    <xf numFmtId="178" fontId="2" fillId="0" borderId="1" xfId="0" applyNumberFormat="1" applyFont="1" applyFill="1" applyBorder="1" applyAlignment="1">
      <alignment horizontal="center" vertical="center" wrapText="1" shrinkToFit="1"/>
    </xf>
    <xf numFmtId="0" fontId="2" fillId="0" borderId="1" xfId="0" applyNumberFormat="1" applyFont="1" applyFill="1" applyBorder="1" applyAlignment="1">
      <alignment horizontal="center" vertical="center" wrapText="1" shrinkToFit="1"/>
    </xf>
    <xf numFmtId="176" fontId="2" fillId="0" borderId="1" xfId="0" applyFont="1" applyFill="1" applyBorder="1" applyAlignment="1">
      <alignment horizontal="center" vertical="center" wrapText="1" shrinkToFit="1"/>
    </xf>
    <xf numFmtId="49" fontId="2" fillId="0" borderId="1" xfId="0" applyNumberFormat="1" applyFont="1" applyFill="1" applyBorder="1" applyAlignment="1">
      <alignment horizontal="center" vertical="center" wrapText="1" shrinkToFit="1"/>
    </xf>
    <xf numFmtId="178" fontId="1" fillId="0" borderId="1" xfId="0" applyNumberFormat="1" applyFont="1" applyFill="1" applyBorder="1" applyAlignment="1">
      <alignment horizontal="center" vertical="center" wrapText="1" shrinkToFit="1"/>
    </xf>
    <xf numFmtId="0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3" fillId="2" borderId="2" xfId="0" applyFont="1" applyFill="1" applyBorder="1" applyAlignment="1">
      <alignment horizontal="center" vertical="center"/>
    </xf>
    <xf numFmtId="176" fontId="3" fillId="2" borderId="3" xfId="0" applyFont="1" applyFill="1" applyBorder="1" applyAlignment="1">
      <alignment horizontal="center" vertical="center"/>
    </xf>
    <xf numFmtId="176" fontId="3" fillId="2" borderId="4" xfId="0" applyFont="1" applyFill="1" applyBorder="1" applyAlignment="1">
      <alignment horizontal="center" vertical="center"/>
    </xf>
    <xf numFmtId="176" fontId="3" fillId="2" borderId="5" xfId="0" applyFont="1" applyFill="1" applyBorder="1" applyAlignment="1">
      <alignment vertical="center"/>
    </xf>
    <xf numFmtId="176" fontId="4" fillId="0" borderId="6" xfId="0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horizontal="center" vertical="center" wrapText="1"/>
    </xf>
    <xf numFmtId="176" fontId="0" fillId="0" borderId="11" xfId="0" applyBorder="1" applyAlignment="1">
      <alignment horizontal="center" vertical="center"/>
    </xf>
    <xf numFmtId="176" fontId="4" fillId="0" borderId="12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center" vertical="center" wrapText="1"/>
    </xf>
    <xf numFmtId="178" fontId="4" fillId="0" borderId="1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8" fontId="4" fillId="0" borderId="14" xfId="0" applyNumberFormat="1" applyFont="1" applyFill="1" applyBorder="1" applyAlignment="1">
      <alignment horizontal="center" vertical="center"/>
    </xf>
    <xf numFmtId="176" fontId="0" fillId="0" borderId="11" xfId="0" applyFill="1" applyBorder="1" applyAlignment="1">
      <alignment horizontal="center" vertical="center"/>
    </xf>
    <xf numFmtId="176" fontId="4" fillId="0" borderId="12" xfId="0" applyFont="1" applyFill="1" applyBorder="1" applyAlignment="1">
      <alignment horizontal="center" vertical="center"/>
    </xf>
    <xf numFmtId="0" fontId="4" fillId="0" borderId="14" xfId="0" applyNumberFormat="1" applyFont="1" applyFill="1" applyBorder="1" applyAlignment="1">
      <alignment horizontal="center" vertical="center"/>
    </xf>
    <xf numFmtId="0" fontId="4" fillId="0" borderId="15" xfId="0" applyNumberFormat="1" applyFont="1" applyFill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176" fontId="3" fillId="3" borderId="16" xfId="0" applyFont="1" applyFill="1" applyBorder="1" applyAlignment="1">
      <alignment horizontal="center" vertical="center"/>
    </xf>
    <xf numFmtId="176" fontId="3" fillId="3" borderId="17" xfId="0" applyFont="1" applyFill="1" applyBorder="1" applyAlignment="1">
      <alignment horizontal="center" vertical="center"/>
    </xf>
    <xf numFmtId="176" fontId="3" fillId="3" borderId="18" xfId="0" applyFont="1" applyFill="1" applyBorder="1" applyAlignment="1">
      <alignment horizontal="center" vertical="center"/>
    </xf>
    <xf numFmtId="176" fontId="0" fillId="0" borderId="19" xfId="0" applyBorder="1" applyAlignment="1">
      <alignment horizontal="center" vertical="center"/>
    </xf>
    <xf numFmtId="176" fontId="4" fillId="0" borderId="20" xfId="0" applyFont="1" applyBorder="1" applyAlignment="1">
      <alignment horizontal="center" vertical="center"/>
    </xf>
    <xf numFmtId="0" fontId="4" fillId="0" borderId="21" xfId="0" applyNumberFormat="1" applyFont="1" applyBorder="1" applyAlignment="1">
      <alignment horizontal="center" vertical="center"/>
    </xf>
    <xf numFmtId="0" fontId="4" fillId="0" borderId="21" xfId="0" applyNumberFormat="1" applyFont="1" applyBorder="1" applyAlignment="1">
      <alignment horizontal="center" vertical="center" wrapText="1"/>
    </xf>
    <xf numFmtId="176" fontId="0" fillId="0" borderId="22" xfId="0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3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6" fontId="4" fillId="0" borderId="24" xfId="0" applyFont="1" applyFill="1" applyBorder="1" applyAlignment="1">
      <alignment horizontal="center" vertical="center"/>
    </xf>
    <xf numFmtId="0" fontId="4" fillId="0" borderId="25" xfId="0" applyNumberFormat="1" applyFont="1" applyFill="1" applyBorder="1" applyAlignment="1">
      <alignment horizontal="center" vertical="center"/>
    </xf>
    <xf numFmtId="0" fontId="4" fillId="0" borderId="26" xfId="0" applyNumberFormat="1" applyFont="1" applyFill="1" applyBorder="1" applyAlignment="1">
      <alignment horizontal="center" vertical="center"/>
    </xf>
    <xf numFmtId="176" fontId="0" fillId="0" borderId="27" xfId="0" applyFill="1" applyBorder="1" applyAlignment="1">
      <alignment horizontal="center" vertical="center"/>
    </xf>
    <xf numFmtId="0" fontId="0" fillId="4" borderId="0" xfId="0" applyNumberFormat="1" applyFill="1" applyBorder="1">
      <alignment vertical="center"/>
    </xf>
    <xf numFmtId="0" fontId="0" fillId="4" borderId="0" xfId="0" applyNumberFormat="1" applyFill="1" applyBorder="1" applyAlignment="1">
      <alignment horizontal="center" vertical="center"/>
    </xf>
    <xf numFmtId="176" fontId="0" fillId="4" borderId="0" xfId="0" applyFill="1" applyBorder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6" fontId="6" fillId="2" borderId="28" xfId="0" applyFont="1" applyFill="1" applyBorder="1" applyAlignment="1">
      <alignment horizontal="center" vertical="center"/>
    </xf>
    <xf numFmtId="176" fontId="6" fillId="2" borderId="4" xfId="0" applyFont="1" applyFill="1" applyBorder="1" applyAlignment="1">
      <alignment horizontal="center" vertical="center"/>
    </xf>
    <xf numFmtId="176" fontId="2" fillId="0" borderId="15" xfId="0" applyFont="1" applyBorder="1" applyAlignment="1">
      <alignment horizontal="center" vertical="center"/>
    </xf>
    <xf numFmtId="176" fontId="2" fillId="0" borderId="20" xfId="0" applyFont="1" applyBorder="1" applyAlignment="1">
      <alignment horizontal="center" vertical="center"/>
    </xf>
    <xf numFmtId="0" fontId="2" fillId="0" borderId="21" xfId="0" applyNumberFormat="1" applyFont="1" applyBorder="1" applyAlignment="1">
      <alignment horizontal="center" vertical="center"/>
    </xf>
    <xf numFmtId="176" fontId="2" fillId="0" borderId="12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5" xfId="0" applyNumberFormat="1" applyFont="1" applyBorder="1" applyAlignment="1">
      <alignment horizontal="center" vertical="center"/>
    </xf>
    <xf numFmtId="176" fontId="2" fillId="0" borderId="24" xfId="0" applyFont="1" applyBorder="1" applyAlignment="1">
      <alignment horizontal="center" vertical="center"/>
    </xf>
    <xf numFmtId="0" fontId="2" fillId="0" borderId="25" xfId="0" applyNumberFormat="1" applyFont="1" applyBorder="1" applyAlignment="1">
      <alignment horizontal="center" vertical="center"/>
    </xf>
    <xf numFmtId="176" fontId="6" fillId="2" borderId="5" xfId="0" applyFont="1" applyFill="1" applyBorder="1" applyAlignment="1">
      <alignment horizontal="center" vertical="center"/>
    </xf>
    <xf numFmtId="0" fontId="2" fillId="0" borderId="29" xfId="0" applyNumberFormat="1" applyFont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 wrapText="1"/>
    </xf>
    <xf numFmtId="176" fontId="2" fillId="0" borderId="22" xfId="0" applyFont="1" applyBorder="1" applyAlignment="1">
      <alignment horizontal="center" vertical="center"/>
    </xf>
    <xf numFmtId="176" fontId="2" fillId="0" borderId="11" xfId="0" applyFont="1" applyBorder="1" applyAlignment="1">
      <alignment horizontal="center" vertical="center"/>
    </xf>
    <xf numFmtId="0" fontId="2" fillId="0" borderId="26" xfId="0" applyNumberFormat="1" applyFont="1" applyBorder="1" applyAlignment="1">
      <alignment horizontal="center" vertical="center"/>
    </xf>
    <xf numFmtId="179" fontId="2" fillId="3" borderId="25" xfId="0" applyNumberFormat="1" applyFont="1" applyFill="1" applyBorder="1" applyAlignment="1">
      <alignment horizontal="center" vertical="center"/>
    </xf>
    <xf numFmtId="0" fontId="2" fillId="3" borderId="25" xfId="0" applyNumberFormat="1" applyFont="1" applyFill="1" applyBorder="1" applyAlignment="1">
      <alignment horizontal="center" vertical="center"/>
    </xf>
    <xf numFmtId="179" fontId="2" fillId="3" borderId="26" xfId="0" applyNumberFormat="1" applyFont="1" applyFill="1" applyBorder="1" applyAlignment="1">
      <alignment horizontal="center" vertical="center"/>
    </xf>
    <xf numFmtId="176" fontId="2" fillId="0" borderId="27" xfId="0" applyFont="1" applyBorder="1" applyAlignment="1">
      <alignment horizontal="center" vertical="center"/>
    </xf>
    <xf numFmtId="176" fontId="1" fillId="0" borderId="0" xfId="0" applyFont="1" applyFill="1" applyBorder="1" applyProtection="1">
      <alignment vertical="center"/>
      <protection locked="0"/>
    </xf>
    <xf numFmtId="176" fontId="2" fillId="0" borderId="0" xfId="0" applyFont="1" applyFill="1" applyBorder="1" applyAlignment="1" applyProtection="1">
      <alignment horizontal="center" vertical="center"/>
      <protection locked="0"/>
    </xf>
    <xf numFmtId="176" fontId="2" fillId="2" borderId="0" xfId="0" applyFont="1" applyFill="1" applyBorder="1" applyAlignment="1" applyProtection="1">
      <alignment horizontal="center" vertical="center"/>
      <protection locked="0"/>
    </xf>
    <xf numFmtId="176" fontId="1" fillId="0" borderId="0" xfId="0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Border="1" applyAlignment="1" applyProtection="1">
      <alignment horizontal="center" vertical="center"/>
      <protection locked="0"/>
    </xf>
    <xf numFmtId="178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58" fontId="8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78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 applyProtection="1">
      <alignment horizontal="center" vertical="center"/>
      <protection locked="0"/>
    </xf>
    <xf numFmtId="176" fontId="11" fillId="0" borderId="0" xfId="0" applyFont="1" applyFill="1" applyBorder="1" applyProtection="1">
      <alignment vertical="center"/>
      <protection locked="0"/>
    </xf>
    <xf numFmtId="176" fontId="5" fillId="0" borderId="0" xfId="0" applyFont="1" applyFill="1" applyBorder="1" applyProtection="1">
      <alignment vertical="center"/>
      <protection locked="0"/>
    </xf>
    <xf numFmtId="178" fontId="2" fillId="0" borderId="1" xfId="0" applyNumberFormat="1" applyFont="1" applyFill="1" applyBorder="1" applyAlignment="1" applyProtection="1">
      <alignment horizontal="center" vertical="center" wrapText="1" shrinkToFit="1"/>
    </xf>
    <xf numFmtId="176" fontId="2" fillId="0" borderId="1" xfId="0" applyFont="1" applyFill="1" applyBorder="1" applyAlignment="1" applyProtection="1">
      <alignment horizontal="center" vertical="center" wrapText="1" shrinkToFi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2" fillId="0" borderId="7" xfId="0" applyNumberFormat="1" applyFont="1" applyFill="1" applyBorder="1" applyAlignment="1" applyProtection="1">
      <alignment horizontal="center" vertical="center" wrapText="1" shrinkToFit="1"/>
    </xf>
    <xf numFmtId="176" fontId="2" fillId="0" borderId="7" xfId="0" applyFont="1" applyFill="1" applyBorder="1" applyAlignment="1" applyProtection="1">
      <alignment horizontal="center" vertical="center" wrapText="1" shrinkToFi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7" xfId="0" applyNumberFormat="1" applyFont="1" applyFill="1" applyBorder="1" applyAlignment="1" applyProtection="1">
      <alignment horizontal="center" vertical="center" wrapText="1" shrinkToFit="1"/>
      <protection locked="0"/>
    </xf>
    <xf numFmtId="0" fontId="7" fillId="0" borderId="7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7" xfId="0" applyFont="1" applyFill="1" applyBorder="1" applyAlignment="1" applyProtection="1">
      <alignment horizontal="center" vertical="center"/>
      <protection locked="0"/>
    </xf>
    <xf numFmtId="0" fontId="2" fillId="0" borderId="7" xfId="0" applyNumberFormat="1" applyFont="1" applyFill="1" applyBorder="1" applyAlignment="1" applyProtection="1">
      <alignment horizontal="center" vertical="center"/>
      <protection locked="0"/>
    </xf>
    <xf numFmtId="0" fontId="1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178" fontId="2" fillId="2" borderId="7" xfId="0" applyNumberFormat="1" applyFont="1" applyFill="1" applyBorder="1" applyAlignment="1" applyProtection="1">
      <alignment horizontal="center" vertical="center" wrapText="1" shrinkToFit="1"/>
    </xf>
    <xf numFmtId="0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176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7" xfId="0" applyNumberFormat="1" applyFont="1" applyFill="1" applyBorder="1" applyAlignment="1" applyProtection="1">
      <alignment horizontal="center" vertical="center"/>
      <protection locked="0"/>
    </xf>
    <xf numFmtId="0" fontId="1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7" xfId="0" applyNumberFormat="1" applyFont="1" applyFill="1" applyBorder="1" applyAlignment="1" applyProtection="1">
      <alignment horizontal="center" vertical="center" wrapText="1" shrinkToFit="1"/>
      <protection locked="0"/>
    </xf>
    <xf numFmtId="0" fontId="2" fillId="2" borderId="7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7" xfId="0" applyNumberFormat="1" applyFont="1" applyFill="1" applyBorder="1" applyAlignment="1" applyProtection="1">
      <alignment horizontal="center" vertical="center" shrinkToFit="1"/>
    </xf>
    <xf numFmtId="178" fontId="2" fillId="0" borderId="1" xfId="0" applyNumberFormat="1" applyFont="1" applyFill="1" applyBorder="1" applyAlignment="1" applyProtection="1">
      <alignment horizontal="center" vertical="center" shrinkToFit="1"/>
    </xf>
    <xf numFmtId="176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7" xfId="0" applyNumberFormat="1" applyFont="1" applyFill="1" applyBorder="1" applyAlignment="1" applyProtection="1">
      <alignment horizontal="center" vertical="center"/>
      <protection locked="0"/>
    </xf>
    <xf numFmtId="0" fontId="14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Fill="1" applyBorder="1" applyAlignment="1" applyProtection="1">
      <alignment horizontal="center" vertical="center" shrinkToFit="1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2" fillId="0" borderId="7" xfId="0" applyNumberFormat="1" applyFont="1" applyFill="1" applyBorder="1" applyAlignment="1" applyProtection="1">
      <alignment horizontal="center" vertical="center" wrapText="1" shrinkToFit="1"/>
      <protection locked="0"/>
    </xf>
    <xf numFmtId="178" fontId="1" fillId="0" borderId="7" xfId="0" applyNumberFormat="1" applyFont="1" applyFill="1" applyBorder="1" applyAlignment="1" applyProtection="1">
      <alignment horizontal="center" vertical="center" wrapText="1" shrinkToFit="1"/>
      <protection locked="0"/>
    </xf>
    <xf numFmtId="3" fontId="2" fillId="2" borderId="7" xfId="0" applyNumberFormat="1" applyFont="1" applyFill="1" applyBorder="1" applyAlignment="1" applyProtection="1">
      <alignment horizontal="center" vertical="center"/>
      <protection locked="0"/>
    </xf>
    <xf numFmtId="178" fontId="2" fillId="2" borderId="7" xfId="0" applyNumberFormat="1" applyFont="1" applyFill="1" applyBorder="1" applyAlignment="1" applyProtection="1">
      <alignment horizontal="center" vertical="center" wrapText="1" shrinkToFit="1"/>
      <protection locked="0"/>
    </xf>
    <xf numFmtId="178" fontId="2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2" fillId="0" borderId="7" xfId="0" applyNumberFormat="1" applyFont="1" applyFill="1" applyBorder="1" applyAlignment="1" applyProtection="1">
      <alignment horizontal="center" vertical="center" shrinkToFit="1"/>
      <protection locked="0"/>
    </xf>
    <xf numFmtId="178" fontId="2" fillId="0" borderId="0" xfId="0" applyNumberFormat="1" applyFont="1" applyFill="1" applyBorder="1" applyAlignment="1" applyProtection="1">
      <alignment horizontal="center" vertical="center" shrinkToFit="1"/>
      <protection locked="0"/>
    </xf>
    <xf numFmtId="178" fontId="2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76" fontId="15" fillId="0" borderId="1" xfId="0" applyFont="1" applyFill="1" applyBorder="1" applyAlignment="1" applyProtection="1">
      <alignment horizontal="center" vertical="center" wrapText="1" shrinkToFit="1"/>
      <protection locked="0"/>
    </xf>
    <xf numFmtId="58" fontId="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2" fillId="0" borderId="1" xfId="0" applyNumberFormat="1" applyFont="1" applyFill="1" applyBorder="1" applyAlignment="1" applyProtection="1">
      <alignment horizontal="center" vertical="center" shrinkToFit="1"/>
      <protection locked="0"/>
    </xf>
    <xf numFmtId="58" fontId="8" fillId="0" borderId="7" xfId="0" applyNumberFormat="1" applyFont="1" applyFill="1" applyBorder="1" applyAlignment="1" applyProtection="1">
      <alignment horizontal="center" vertical="center" wrapText="1" shrinkToFit="1"/>
      <protection locked="0"/>
    </xf>
    <xf numFmtId="176" fontId="2" fillId="0" borderId="7" xfId="0" applyFont="1" applyFill="1" applyBorder="1" applyAlignment="1" applyProtection="1">
      <alignment horizontal="center" vertical="center" wrapText="1"/>
      <protection locked="0"/>
    </xf>
    <xf numFmtId="58" fontId="8" fillId="2" borderId="1" xfId="0" applyNumberFormat="1" applyFont="1" applyFill="1" applyBorder="1" applyAlignment="1" applyProtection="1">
      <alignment horizontal="center" vertical="center" wrapText="1" shrinkToFit="1"/>
      <protection locked="0"/>
    </xf>
    <xf numFmtId="58" fontId="8" fillId="2" borderId="7" xfId="0" applyNumberFormat="1" applyFont="1" applyFill="1" applyBorder="1" applyAlignment="1" applyProtection="1">
      <alignment horizontal="center" vertical="center" wrapText="1" shrinkToFit="1"/>
      <protection locked="0"/>
    </xf>
    <xf numFmtId="176" fontId="2" fillId="2" borderId="7" xfId="0" applyFont="1" applyFill="1" applyBorder="1" applyAlignment="1" applyProtection="1">
      <alignment horizontal="center" vertical="center" wrapText="1"/>
      <protection locked="0"/>
    </xf>
    <xf numFmtId="176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30" xfId="0" applyNumberFormat="1" applyFont="1" applyFill="1" applyBorder="1" applyAlignment="1" applyProtection="1">
      <alignment horizontal="center" vertical="center" wrapText="1"/>
      <protection locked="0"/>
    </xf>
    <xf numFmtId="180" fontId="2" fillId="0" borderId="1" xfId="0" applyNumberFormat="1" applyFont="1" applyFill="1" applyBorder="1" applyAlignment="1" applyProtection="1">
      <alignment horizontal="center" vertical="center"/>
      <protection locked="0"/>
    </xf>
    <xf numFmtId="181" fontId="2" fillId="0" borderId="1" xfId="0" applyNumberFormat="1" applyFont="1" applyFill="1" applyBorder="1" applyAlignment="1" applyProtection="1">
      <alignment horizontal="center" vertical="center"/>
      <protection locked="0"/>
    </xf>
    <xf numFmtId="180" fontId="2" fillId="2" borderId="1" xfId="0" applyNumberFormat="1" applyFont="1" applyFill="1" applyBorder="1" applyAlignment="1" applyProtection="1">
      <alignment horizontal="center" vertical="center"/>
      <protection locked="0"/>
    </xf>
    <xf numFmtId="181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180" fontId="2" fillId="0" borderId="7" xfId="0" applyNumberFormat="1" applyFont="1" applyFill="1" applyBorder="1" applyAlignment="1" applyProtection="1">
      <alignment horizontal="center" vertical="center"/>
      <protection locked="0"/>
    </xf>
    <xf numFmtId="181" fontId="2" fillId="0" borderId="7" xfId="0" applyNumberFormat="1" applyFont="1" applyFill="1" applyBorder="1" applyAlignment="1" applyProtection="1">
      <alignment horizontal="center" vertical="center"/>
      <protection locked="0"/>
    </xf>
    <xf numFmtId="180" fontId="2" fillId="0" borderId="0" xfId="0" applyNumberFormat="1" applyFont="1" applyFill="1" applyBorder="1" applyAlignment="1" applyProtection="1">
      <alignment horizontal="center" vertical="center"/>
      <protection locked="0"/>
    </xf>
    <xf numFmtId="181" fontId="2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NumberFormat="1" applyFont="1" applyFill="1" applyBorder="1" applyAlignment="1" applyProtection="1">
      <alignment horizontal="center" vertical="center"/>
      <protection locked="0"/>
    </xf>
    <xf numFmtId="176" fontId="16" fillId="0" borderId="1" xfId="0" applyFont="1" applyFill="1" applyBorder="1" applyAlignment="1" applyProtection="1">
      <alignment horizontal="center" vertical="center"/>
      <protection locked="0"/>
    </xf>
    <xf numFmtId="0" fontId="16" fillId="0" borderId="0" xfId="0" applyNumberFormat="1" applyFont="1" applyFill="1" applyBorder="1" applyAlignment="1" applyProtection="1">
      <alignment horizontal="center" vertical="center"/>
      <protection locked="0"/>
    </xf>
    <xf numFmtId="176" fontId="16" fillId="0" borderId="0" xfId="0" applyFont="1" applyFill="1" applyBorder="1" applyAlignment="1" applyProtection="1">
      <alignment horizontal="center" vertical="center"/>
      <protection locked="0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 2" xfId="49"/>
    <cellStyle name="常规 2 2" xfId="50"/>
    <cellStyle name="常规 130" xfId="51"/>
    <cellStyle name="常规 2" xfId="52"/>
    <cellStyle name="常规 4" xfId="53"/>
    <cellStyle name="常规 4 3" xfId="54"/>
    <cellStyle name="常规 3" xfId="55"/>
    <cellStyle name="常规_Sheet1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E2EF0"/>
      <color rgb="0092D050"/>
      <color rgb="00FFFFFF"/>
      <color rgb="003E2CEA"/>
      <color rgb="000000FF"/>
      <color rgb="00010CDD"/>
      <color rgb="00FF0000"/>
      <color rgb="00000000"/>
      <color rgb="00FFFF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20"/>
  <sheetViews>
    <sheetView tabSelected="1" zoomScale="85" zoomScaleNormal="85" workbookViewId="0">
      <pane xSplit="14" ySplit="1" topLeftCell="U2" activePane="bottomRight" state="frozen"/>
      <selection/>
      <selection pane="topRight"/>
      <selection pane="bottomLeft"/>
      <selection pane="bottomRight" activeCell="E12" sqref="E12"/>
    </sheetView>
  </sheetViews>
  <sheetFormatPr defaultColWidth="9" defaultRowHeight="23" customHeight="1"/>
  <cols>
    <col min="1" max="1" width="13.95" style="81" customWidth="1"/>
    <col min="2" max="2" width="15.8" style="82" customWidth="1"/>
    <col min="3" max="3" width="11.2416666666667" style="83" customWidth="1"/>
    <col min="4" max="4" width="11.5583333333333" style="84" customWidth="1"/>
    <col min="5" max="5" width="17.1416666666667" style="85" customWidth="1"/>
    <col min="6" max="6" width="14.05" style="86" customWidth="1"/>
    <col min="7" max="7" width="14.4333333333333" style="87" customWidth="1"/>
    <col min="8" max="8" width="12.45" style="87" customWidth="1"/>
    <col min="9" max="9" width="8.96666666666667" style="84" customWidth="1"/>
    <col min="10" max="12" width="7.2" style="84" customWidth="1"/>
    <col min="13" max="14" width="13.2833333333333" style="88" customWidth="1"/>
    <col min="15" max="15" width="11.0916666666667" style="89" customWidth="1"/>
    <col min="16" max="16" width="12.1833333333333" style="88" customWidth="1"/>
    <col min="17" max="18" width="11.1333333333333" style="83" customWidth="1"/>
    <col min="19" max="21" width="9.88333333333333" style="90" customWidth="1"/>
    <col min="22" max="23" width="16.2166666666667" style="91" customWidth="1"/>
    <col min="24" max="24" width="30.4166666666667" style="84" customWidth="1"/>
    <col min="25" max="25" width="10.4333333333333" style="84" customWidth="1"/>
    <col min="26" max="26" width="10.8833333333333" style="84" customWidth="1"/>
    <col min="27" max="27" width="11.025" style="84" customWidth="1"/>
    <col min="28" max="28" width="11.8833333333333" style="84" customWidth="1"/>
    <col min="29" max="29" width="15.175" style="85" customWidth="1"/>
    <col min="30" max="30" width="11.4416666666667" style="84" customWidth="1"/>
    <col min="31" max="31" width="11.175" style="84" customWidth="1"/>
    <col min="32" max="32" width="7.48333333333333" style="84" customWidth="1"/>
    <col min="33" max="33" width="5.59166666666667" style="83" customWidth="1"/>
    <col min="34" max="34" width="9.68333333333333" style="83" customWidth="1"/>
    <col min="35" max="35" width="12.2" style="87" customWidth="1"/>
    <col min="36" max="36" width="8.35833333333333" style="84" customWidth="1"/>
    <col min="37" max="37" width="14.65" style="87" customWidth="1"/>
    <col min="38" max="38" width="6.88333333333333" style="84" customWidth="1"/>
    <col min="39" max="39" width="9" style="84" customWidth="1" outlineLevel="1"/>
    <col min="40" max="40" width="12.325" style="84" customWidth="1" outlineLevel="1"/>
    <col min="41" max="41" width="9.55" style="92" customWidth="1"/>
    <col min="42" max="42" width="9.76666666666667" style="93"/>
    <col min="43" max="43" width="10.3833333333333" style="94"/>
    <col min="44" max="16384" width="9" style="95"/>
  </cols>
  <sheetData>
    <row r="1" s="78" customFormat="1" ht="39" customHeight="1" spans="1:43">
      <c r="A1" s="96" t="s">
        <v>0</v>
      </c>
      <c r="B1" s="97" t="s">
        <v>1</v>
      </c>
      <c r="C1" s="97" t="s">
        <v>2</v>
      </c>
      <c r="D1" s="98" t="s">
        <v>3</v>
      </c>
      <c r="E1" s="99" t="s">
        <v>4</v>
      </c>
      <c r="F1" s="99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98" t="s">
        <v>10</v>
      </c>
      <c r="L1" s="98" t="s">
        <v>11</v>
      </c>
      <c r="M1" s="134" t="s">
        <v>12</v>
      </c>
      <c r="N1" s="135" t="s">
        <v>13</v>
      </c>
      <c r="O1" s="134" t="s">
        <v>14</v>
      </c>
      <c r="P1" s="135" t="s">
        <v>15</v>
      </c>
      <c r="Q1" s="97" t="s">
        <v>16</v>
      </c>
      <c r="R1" s="144" t="s">
        <v>17</v>
      </c>
      <c r="S1" s="145" t="s">
        <v>18</v>
      </c>
      <c r="T1" s="145" t="s">
        <v>19</v>
      </c>
      <c r="U1" s="145" t="s">
        <v>20</v>
      </c>
      <c r="V1" s="134" t="s">
        <v>21</v>
      </c>
      <c r="W1" s="134" t="s">
        <v>22</v>
      </c>
      <c r="X1" s="146" t="s">
        <v>23</v>
      </c>
      <c r="Y1" s="98" t="s">
        <v>24</v>
      </c>
      <c r="Z1" s="98" t="s">
        <v>25</v>
      </c>
      <c r="AA1" s="98" t="s">
        <v>26</v>
      </c>
      <c r="AB1" s="98" t="s">
        <v>27</v>
      </c>
      <c r="AC1" s="99" t="s">
        <v>28</v>
      </c>
      <c r="AD1" s="98" t="s">
        <v>29</v>
      </c>
      <c r="AE1" s="98" t="s">
        <v>30</v>
      </c>
      <c r="AF1" s="98" t="s">
        <v>31</v>
      </c>
      <c r="AG1" s="97" t="s">
        <v>32</v>
      </c>
      <c r="AH1" s="98" t="s">
        <v>29</v>
      </c>
      <c r="AI1" s="98" t="s">
        <v>33</v>
      </c>
      <c r="AJ1" s="98" t="s">
        <v>34</v>
      </c>
      <c r="AK1" s="98" t="s">
        <v>35</v>
      </c>
      <c r="AL1" s="98" t="s">
        <v>34</v>
      </c>
      <c r="AM1" s="98" t="s">
        <v>36</v>
      </c>
      <c r="AN1" s="98" t="s">
        <v>37</v>
      </c>
      <c r="AO1" s="168" t="s">
        <v>38</v>
      </c>
      <c r="AP1" s="168" t="s">
        <v>39</v>
      </c>
      <c r="AQ1" s="168" t="s">
        <v>40</v>
      </c>
    </row>
    <row r="2" s="78" customFormat="1" ht="39" customHeight="1" spans="1:43">
      <c r="A2" s="100">
        <v>46022</v>
      </c>
      <c r="B2" s="101"/>
      <c r="C2" s="101"/>
      <c r="D2" s="102" t="s">
        <v>41</v>
      </c>
      <c r="E2" s="103"/>
      <c r="F2" s="103"/>
      <c r="G2" s="102" t="s">
        <v>42</v>
      </c>
      <c r="H2" s="102"/>
      <c r="I2" s="102">
        <v>200</v>
      </c>
      <c r="J2" s="102">
        <v>0</v>
      </c>
      <c r="K2" s="102">
        <v>4</v>
      </c>
      <c r="L2" s="102">
        <f t="shared" ref="L2:L12" si="0">I2/K2</f>
        <v>50</v>
      </c>
      <c r="M2" s="136"/>
      <c r="N2" s="137"/>
      <c r="O2" s="136"/>
      <c r="P2" s="137"/>
      <c r="Q2" s="101"/>
      <c r="R2" s="101"/>
      <c r="S2" s="145"/>
      <c r="T2" s="147"/>
      <c r="U2" s="145"/>
      <c r="V2" s="136"/>
      <c r="W2" s="136"/>
      <c r="X2" s="102" t="s">
        <v>43</v>
      </c>
      <c r="Y2" s="102"/>
      <c r="Z2" s="98"/>
      <c r="AA2" s="98"/>
      <c r="AB2" s="98"/>
      <c r="AC2" s="99"/>
      <c r="AD2" s="102"/>
      <c r="AE2" s="98"/>
      <c r="AF2" s="98"/>
      <c r="AG2" s="101"/>
      <c r="AH2" s="102"/>
      <c r="AI2" s="98"/>
      <c r="AJ2" s="98"/>
      <c r="AK2" s="98"/>
      <c r="AL2" s="98"/>
      <c r="AM2" s="98"/>
      <c r="AN2" s="98"/>
      <c r="AO2" s="168"/>
      <c r="AP2" s="168"/>
      <c r="AQ2" s="168"/>
    </row>
    <row r="3" s="79" customFormat="1" ht="39" customHeight="1" spans="1:43">
      <c r="A3" s="100">
        <v>46022</v>
      </c>
      <c r="B3" s="104"/>
      <c r="C3" s="105"/>
      <c r="D3" s="106" t="s">
        <v>44</v>
      </c>
      <c r="E3" s="107"/>
      <c r="F3" s="106"/>
      <c r="G3" s="102" t="s">
        <v>42</v>
      </c>
      <c r="H3" s="108"/>
      <c r="I3" s="106">
        <v>500</v>
      </c>
      <c r="J3" s="102">
        <v>0</v>
      </c>
      <c r="K3" s="102">
        <v>4</v>
      </c>
      <c r="L3" s="102">
        <f t="shared" si="0"/>
        <v>125</v>
      </c>
      <c r="M3" s="136"/>
      <c r="N3" s="136"/>
      <c r="O3" s="136"/>
      <c r="P3" s="136"/>
      <c r="Q3" s="136"/>
      <c r="R3" s="136"/>
      <c r="S3" s="145"/>
      <c r="T3" s="147"/>
      <c r="U3" s="145"/>
      <c r="V3" s="136"/>
      <c r="W3" s="136"/>
      <c r="X3" s="148"/>
      <c r="Y3" s="108"/>
      <c r="Z3" s="154"/>
      <c r="AA3" s="155"/>
      <c r="AB3" s="119"/>
      <c r="AC3" s="123"/>
      <c r="AD3" s="105"/>
      <c r="AE3" s="119"/>
      <c r="AF3" s="119"/>
      <c r="AG3" s="105"/>
      <c r="AH3" s="105"/>
      <c r="AI3" s="122"/>
      <c r="AJ3" s="119"/>
      <c r="AK3" s="122"/>
      <c r="AL3" s="119"/>
      <c r="AM3" s="119"/>
      <c r="AN3" s="164"/>
      <c r="AO3" s="119"/>
      <c r="AP3" s="119"/>
      <c r="AQ3" s="119"/>
    </row>
    <row r="4" s="80" customFormat="1" ht="39" customHeight="1" spans="1:43">
      <c r="A4" s="109">
        <v>46059</v>
      </c>
      <c r="B4" s="110" t="s">
        <v>45</v>
      </c>
      <c r="C4" s="111" t="s">
        <v>46</v>
      </c>
      <c r="D4" s="112">
        <v>4500193356</v>
      </c>
      <c r="E4" s="113">
        <v>5200008960</v>
      </c>
      <c r="F4" s="112" t="s">
        <v>47</v>
      </c>
      <c r="G4" s="114" t="s">
        <v>48</v>
      </c>
      <c r="H4" s="115"/>
      <c r="I4" s="138">
        <v>20</v>
      </c>
      <c r="J4" s="114">
        <v>0</v>
      </c>
      <c r="K4" s="114">
        <v>4</v>
      </c>
      <c r="L4" s="114">
        <f t="shared" si="0"/>
        <v>5</v>
      </c>
      <c r="M4" s="139">
        <v>46118</v>
      </c>
      <c r="N4" s="139">
        <v>46114</v>
      </c>
      <c r="O4" s="139"/>
      <c r="P4" s="139"/>
      <c r="Q4" s="139"/>
      <c r="R4" s="139"/>
      <c r="S4" s="149"/>
      <c r="T4" s="150"/>
      <c r="U4" s="149"/>
      <c r="V4" s="139"/>
      <c r="W4" s="139"/>
      <c r="X4" s="151" t="s">
        <v>49</v>
      </c>
      <c r="Y4" s="115" t="s">
        <v>50</v>
      </c>
      <c r="Z4" s="156">
        <v>5.916</v>
      </c>
      <c r="AA4" s="157">
        <f t="shared" ref="AA4:AA12" si="1">I4*Z4</f>
        <v>118.32</v>
      </c>
      <c r="AB4" s="158"/>
      <c r="AC4" s="159"/>
      <c r="AD4" s="111"/>
      <c r="AE4" s="158"/>
      <c r="AF4" s="158"/>
      <c r="AG4" s="111"/>
      <c r="AH4" s="111"/>
      <c r="AI4" s="165"/>
      <c r="AJ4" s="158"/>
      <c r="AK4" s="165"/>
      <c r="AL4" s="158"/>
      <c r="AM4" s="158"/>
      <c r="AN4" s="166"/>
      <c r="AO4" s="158"/>
      <c r="AP4" s="158"/>
      <c r="AQ4" s="158"/>
    </row>
    <row r="5" s="80" customFormat="1" ht="39" customHeight="1" spans="1:43">
      <c r="A5" s="109">
        <v>46065</v>
      </c>
      <c r="B5" s="110" t="s">
        <v>51</v>
      </c>
      <c r="C5" s="111" t="s">
        <v>46</v>
      </c>
      <c r="D5" s="112">
        <v>4500193070</v>
      </c>
      <c r="E5" s="113" t="s">
        <v>52</v>
      </c>
      <c r="F5" s="112" t="s">
        <v>53</v>
      </c>
      <c r="G5" s="114" t="s">
        <v>42</v>
      </c>
      <c r="H5" s="115"/>
      <c r="I5" s="138">
        <v>4172</v>
      </c>
      <c r="J5" s="114">
        <v>0</v>
      </c>
      <c r="K5" s="114">
        <v>4</v>
      </c>
      <c r="L5" s="114">
        <f t="shared" si="0"/>
        <v>1043</v>
      </c>
      <c r="M5" s="139">
        <v>46119</v>
      </c>
      <c r="N5" s="139">
        <v>46115</v>
      </c>
      <c r="O5" s="139"/>
      <c r="P5" s="139"/>
      <c r="Q5" s="139"/>
      <c r="R5" s="139"/>
      <c r="S5" s="149"/>
      <c r="T5" s="150"/>
      <c r="U5" s="149"/>
      <c r="V5" s="139"/>
      <c r="W5" s="139"/>
      <c r="X5" s="151" t="s">
        <v>54</v>
      </c>
      <c r="Y5" s="115" t="s">
        <v>55</v>
      </c>
      <c r="Z5" s="156">
        <v>5.82</v>
      </c>
      <c r="AA5" s="157">
        <f t="shared" si="1"/>
        <v>24281.04</v>
      </c>
      <c r="AB5" s="158"/>
      <c r="AC5" s="159"/>
      <c r="AD5" s="111"/>
      <c r="AE5" s="158"/>
      <c r="AF5" s="158"/>
      <c r="AG5" s="111"/>
      <c r="AH5" s="111"/>
      <c r="AI5" s="165"/>
      <c r="AJ5" s="158"/>
      <c r="AK5" s="165"/>
      <c r="AL5" s="158"/>
      <c r="AM5" s="158"/>
      <c r="AN5" s="166"/>
      <c r="AO5" s="158"/>
      <c r="AP5" s="158"/>
      <c r="AQ5" s="158"/>
    </row>
    <row r="6" s="80" customFormat="1" ht="39" customHeight="1" spans="1:43">
      <c r="A6" s="109">
        <v>46065</v>
      </c>
      <c r="B6" s="110" t="s">
        <v>51</v>
      </c>
      <c r="C6" s="111" t="s">
        <v>46</v>
      </c>
      <c r="D6" s="112">
        <v>4500193071</v>
      </c>
      <c r="E6" s="113" t="s">
        <v>56</v>
      </c>
      <c r="F6" s="112" t="s">
        <v>57</v>
      </c>
      <c r="G6" s="114" t="s">
        <v>42</v>
      </c>
      <c r="H6" s="115"/>
      <c r="I6" s="138">
        <v>188</v>
      </c>
      <c r="J6" s="114">
        <v>0</v>
      </c>
      <c r="K6" s="114">
        <v>4</v>
      </c>
      <c r="L6" s="114">
        <f t="shared" si="0"/>
        <v>47</v>
      </c>
      <c r="M6" s="139">
        <v>46119</v>
      </c>
      <c r="N6" s="139">
        <v>46115</v>
      </c>
      <c r="O6" s="139"/>
      <c r="P6" s="139"/>
      <c r="Q6" s="139"/>
      <c r="R6" s="139"/>
      <c r="S6" s="149"/>
      <c r="T6" s="150"/>
      <c r="U6" s="149"/>
      <c r="V6" s="139"/>
      <c r="W6" s="139"/>
      <c r="X6" s="151" t="s">
        <v>54</v>
      </c>
      <c r="Y6" s="115" t="s">
        <v>55</v>
      </c>
      <c r="Z6" s="156">
        <v>5.82</v>
      </c>
      <c r="AA6" s="157">
        <f t="shared" si="1"/>
        <v>1094.16</v>
      </c>
      <c r="AB6" s="158"/>
      <c r="AC6" s="159"/>
      <c r="AD6" s="111"/>
      <c r="AE6" s="158"/>
      <c r="AF6" s="158"/>
      <c r="AG6" s="111"/>
      <c r="AH6" s="111"/>
      <c r="AI6" s="165"/>
      <c r="AJ6" s="158"/>
      <c r="AK6" s="165"/>
      <c r="AL6" s="158"/>
      <c r="AM6" s="158"/>
      <c r="AN6" s="166"/>
      <c r="AO6" s="158"/>
      <c r="AP6" s="158"/>
      <c r="AQ6" s="158"/>
    </row>
    <row r="7" s="80" customFormat="1" ht="39" customHeight="1" spans="1:43">
      <c r="A7" s="109">
        <v>46078</v>
      </c>
      <c r="B7" s="110" t="s">
        <v>58</v>
      </c>
      <c r="C7" s="111" t="s">
        <v>59</v>
      </c>
      <c r="D7" s="112">
        <v>4500193539</v>
      </c>
      <c r="E7" s="113">
        <v>21431979</v>
      </c>
      <c r="F7" s="112" t="s">
        <v>60</v>
      </c>
      <c r="G7" s="114" t="s">
        <v>42</v>
      </c>
      <c r="H7" s="115"/>
      <c r="I7" s="138">
        <v>1392</v>
      </c>
      <c r="J7" s="114">
        <v>0</v>
      </c>
      <c r="K7" s="114">
        <v>4</v>
      </c>
      <c r="L7" s="114">
        <f t="shared" si="0"/>
        <v>348</v>
      </c>
      <c r="M7" s="139">
        <v>46121</v>
      </c>
      <c r="N7" s="139">
        <v>46118</v>
      </c>
      <c r="O7" s="139"/>
      <c r="P7" s="139"/>
      <c r="Q7" s="139"/>
      <c r="R7" s="139"/>
      <c r="S7" s="149"/>
      <c r="T7" s="150"/>
      <c r="U7" s="149"/>
      <c r="V7" s="139"/>
      <c r="W7" s="139"/>
      <c r="X7" s="151" t="s">
        <v>61</v>
      </c>
      <c r="Y7" s="115" t="s">
        <v>62</v>
      </c>
      <c r="Z7" s="156">
        <v>9.86</v>
      </c>
      <c r="AA7" s="157">
        <f t="shared" si="1"/>
        <v>13725.12</v>
      </c>
      <c r="AB7" s="158"/>
      <c r="AC7" s="159"/>
      <c r="AD7" s="111"/>
      <c r="AE7" s="158"/>
      <c r="AF7" s="158"/>
      <c r="AG7" s="111"/>
      <c r="AH7" s="111"/>
      <c r="AI7" s="165"/>
      <c r="AJ7" s="158"/>
      <c r="AK7" s="165"/>
      <c r="AL7" s="158"/>
      <c r="AM7" s="158"/>
      <c r="AN7" s="166"/>
      <c r="AO7" s="158"/>
      <c r="AP7" s="158"/>
      <c r="AQ7" s="158"/>
    </row>
    <row r="8" s="80" customFormat="1" ht="39" customHeight="1" spans="1:43">
      <c r="A8" s="109">
        <v>46078</v>
      </c>
      <c r="B8" s="110" t="s">
        <v>63</v>
      </c>
      <c r="C8" s="111" t="s">
        <v>64</v>
      </c>
      <c r="D8" s="112">
        <v>4500193541</v>
      </c>
      <c r="E8" s="113">
        <v>21431981</v>
      </c>
      <c r="F8" s="112" t="s">
        <v>65</v>
      </c>
      <c r="G8" s="114" t="s">
        <v>42</v>
      </c>
      <c r="H8" s="115"/>
      <c r="I8" s="138">
        <v>108</v>
      </c>
      <c r="J8" s="114">
        <v>0</v>
      </c>
      <c r="K8" s="114">
        <v>4</v>
      </c>
      <c r="L8" s="114">
        <f t="shared" si="0"/>
        <v>27</v>
      </c>
      <c r="M8" s="139">
        <v>46121</v>
      </c>
      <c r="N8" s="139">
        <v>46118</v>
      </c>
      <c r="O8" s="139"/>
      <c r="P8" s="139"/>
      <c r="Q8" s="139"/>
      <c r="R8" s="139"/>
      <c r="S8" s="149"/>
      <c r="T8" s="150"/>
      <c r="U8" s="149"/>
      <c r="V8" s="139"/>
      <c r="W8" s="139"/>
      <c r="X8" s="151" t="s">
        <v>66</v>
      </c>
      <c r="Y8" s="115" t="s">
        <v>62</v>
      </c>
      <c r="Z8" s="156">
        <v>9.86</v>
      </c>
      <c r="AA8" s="157">
        <f t="shared" si="1"/>
        <v>1064.88</v>
      </c>
      <c r="AB8" s="158"/>
      <c r="AC8" s="159"/>
      <c r="AD8" s="111"/>
      <c r="AE8" s="158"/>
      <c r="AF8" s="158"/>
      <c r="AG8" s="111"/>
      <c r="AH8" s="111"/>
      <c r="AI8" s="165"/>
      <c r="AJ8" s="158"/>
      <c r="AK8" s="165"/>
      <c r="AL8" s="158"/>
      <c r="AM8" s="158"/>
      <c r="AN8" s="166"/>
      <c r="AO8" s="158"/>
      <c r="AP8" s="158"/>
      <c r="AQ8" s="158"/>
    </row>
    <row r="9" s="80" customFormat="1" ht="39" customHeight="1" spans="1:43">
      <c r="A9" s="109">
        <v>46065</v>
      </c>
      <c r="B9" s="110" t="s">
        <v>67</v>
      </c>
      <c r="C9" s="111" t="s">
        <v>68</v>
      </c>
      <c r="D9" s="112">
        <v>4500193688</v>
      </c>
      <c r="E9" s="113" t="s">
        <v>69</v>
      </c>
      <c r="F9" s="112" t="s">
        <v>70</v>
      </c>
      <c r="G9" s="114" t="s">
        <v>42</v>
      </c>
      <c r="H9" s="115"/>
      <c r="I9" s="138">
        <v>500</v>
      </c>
      <c r="J9" s="114">
        <v>0</v>
      </c>
      <c r="K9" s="114">
        <v>4</v>
      </c>
      <c r="L9" s="114">
        <f t="shared" si="0"/>
        <v>125</v>
      </c>
      <c r="M9" s="139">
        <v>46125</v>
      </c>
      <c r="N9" s="139">
        <v>46121</v>
      </c>
      <c r="O9" s="139"/>
      <c r="P9" s="139"/>
      <c r="Q9" s="139"/>
      <c r="R9" s="139"/>
      <c r="S9" s="149"/>
      <c r="T9" s="150"/>
      <c r="U9" s="149"/>
      <c r="V9" s="139"/>
      <c r="W9" s="139"/>
      <c r="X9" s="151" t="s">
        <v>71</v>
      </c>
      <c r="Y9" s="115" t="s">
        <v>72</v>
      </c>
      <c r="Z9" s="156">
        <v>9.86</v>
      </c>
      <c r="AA9" s="157">
        <f t="shared" si="1"/>
        <v>4930</v>
      </c>
      <c r="AB9" s="158"/>
      <c r="AC9" s="159"/>
      <c r="AD9" s="111"/>
      <c r="AE9" s="158"/>
      <c r="AF9" s="158"/>
      <c r="AG9" s="111"/>
      <c r="AH9" s="111"/>
      <c r="AI9" s="165"/>
      <c r="AJ9" s="158"/>
      <c r="AK9" s="165"/>
      <c r="AL9" s="158"/>
      <c r="AM9" s="158"/>
      <c r="AN9" s="166"/>
      <c r="AO9" s="158"/>
      <c r="AP9" s="158"/>
      <c r="AQ9" s="158"/>
    </row>
    <row r="10" s="80" customFormat="1" ht="39" customHeight="1" spans="1:43">
      <c r="A10" s="109">
        <v>46061</v>
      </c>
      <c r="B10" s="110" t="s">
        <v>73</v>
      </c>
      <c r="C10" s="111" t="s">
        <v>74</v>
      </c>
      <c r="D10" s="112">
        <v>4500193394</v>
      </c>
      <c r="E10" s="113" t="s">
        <v>75</v>
      </c>
      <c r="F10" s="112" t="s">
        <v>76</v>
      </c>
      <c r="G10" s="114" t="s">
        <v>42</v>
      </c>
      <c r="H10" s="115"/>
      <c r="I10" s="138">
        <v>120</v>
      </c>
      <c r="J10" s="114">
        <v>0</v>
      </c>
      <c r="K10" s="114">
        <v>4</v>
      </c>
      <c r="L10" s="114">
        <f t="shared" si="0"/>
        <v>30</v>
      </c>
      <c r="M10" s="139">
        <v>46134</v>
      </c>
      <c r="N10" s="139">
        <v>46130</v>
      </c>
      <c r="O10" s="139"/>
      <c r="P10" s="139"/>
      <c r="Q10" s="139"/>
      <c r="R10" s="139"/>
      <c r="S10" s="149"/>
      <c r="T10" s="150"/>
      <c r="U10" s="149"/>
      <c r="V10" s="139"/>
      <c r="W10" s="139"/>
      <c r="X10" s="151" t="s">
        <v>77</v>
      </c>
      <c r="Y10" s="115" t="s">
        <v>78</v>
      </c>
      <c r="Z10" s="156">
        <v>9.86</v>
      </c>
      <c r="AA10" s="157">
        <f t="shared" si="1"/>
        <v>1183.2</v>
      </c>
      <c r="AB10" s="158"/>
      <c r="AC10" s="159"/>
      <c r="AD10" s="111"/>
      <c r="AE10" s="158"/>
      <c r="AF10" s="158"/>
      <c r="AG10" s="111"/>
      <c r="AH10" s="111"/>
      <c r="AI10" s="165"/>
      <c r="AJ10" s="158"/>
      <c r="AK10" s="165"/>
      <c r="AL10" s="158"/>
      <c r="AM10" s="158"/>
      <c r="AN10" s="166"/>
      <c r="AO10" s="158"/>
      <c r="AP10" s="158"/>
      <c r="AQ10" s="158"/>
    </row>
    <row r="11" s="80" customFormat="1" ht="39" customHeight="1" spans="1:43">
      <c r="A11" s="109">
        <v>46061</v>
      </c>
      <c r="B11" s="110" t="s">
        <v>73</v>
      </c>
      <c r="C11" s="111" t="s">
        <v>79</v>
      </c>
      <c r="D11" s="112">
        <v>4500193390</v>
      </c>
      <c r="E11" s="113" t="s">
        <v>80</v>
      </c>
      <c r="F11" s="112" t="s">
        <v>81</v>
      </c>
      <c r="G11" s="114" t="s">
        <v>42</v>
      </c>
      <c r="H11" s="115"/>
      <c r="I11" s="138">
        <v>120</v>
      </c>
      <c r="J11" s="114">
        <v>0</v>
      </c>
      <c r="K11" s="114">
        <v>4</v>
      </c>
      <c r="L11" s="114">
        <f t="shared" si="0"/>
        <v>30</v>
      </c>
      <c r="M11" s="139">
        <v>46134</v>
      </c>
      <c r="N11" s="139">
        <v>46130</v>
      </c>
      <c r="O11" s="139"/>
      <c r="P11" s="139"/>
      <c r="Q11" s="139"/>
      <c r="R11" s="139"/>
      <c r="S11" s="149"/>
      <c r="T11" s="150"/>
      <c r="U11" s="149"/>
      <c r="V11" s="139"/>
      <c r="W11" s="139"/>
      <c r="X11" s="151" t="s">
        <v>82</v>
      </c>
      <c r="Y11" s="115" t="s">
        <v>78</v>
      </c>
      <c r="Z11" s="156">
        <v>9.86</v>
      </c>
      <c r="AA11" s="157">
        <f t="shared" si="1"/>
        <v>1183.2</v>
      </c>
      <c r="AB11" s="158"/>
      <c r="AC11" s="159"/>
      <c r="AD11" s="111"/>
      <c r="AE11" s="158"/>
      <c r="AF11" s="158"/>
      <c r="AG11" s="111"/>
      <c r="AH11" s="111"/>
      <c r="AI11" s="165"/>
      <c r="AJ11" s="158"/>
      <c r="AK11" s="165"/>
      <c r="AL11" s="158"/>
      <c r="AM11" s="158"/>
      <c r="AN11" s="166"/>
      <c r="AO11" s="158"/>
      <c r="AP11" s="158"/>
      <c r="AQ11" s="158"/>
    </row>
    <row r="12" s="80" customFormat="1" ht="39" customHeight="1" spans="1:43">
      <c r="A12" s="109">
        <v>46051</v>
      </c>
      <c r="B12" s="110" t="s">
        <v>45</v>
      </c>
      <c r="C12" s="111" t="s">
        <v>46</v>
      </c>
      <c r="D12" s="112">
        <v>4500192525</v>
      </c>
      <c r="E12" s="113">
        <v>5200008815</v>
      </c>
      <c r="F12" s="112" t="s">
        <v>83</v>
      </c>
      <c r="G12" s="114" t="s">
        <v>84</v>
      </c>
      <c r="H12" s="115"/>
      <c r="I12" s="138">
        <v>1000</v>
      </c>
      <c r="J12" s="114">
        <v>0</v>
      </c>
      <c r="K12" s="114">
        <v>4</v>
      </c>
      <c r="L12" s="114">
        <f t="shared" si="0"/>
        <v>250</v>
      </c>
      <c r="M12" s="139">
        <v>46148</v>
      </c>
      <c r="N12" s="139">
        <v>46144</v>
      </c>
      <c r="O12" s="139"/>
      <c r="P12" s="139"/>
      <c r="Q12" s="139"/>
      <c r="R12" s="139"/>
      <c r="S12" s="149"/>
      <c r="T12" s="150"/>
      <c r="U12" s="149"/>
      <c r="V12" s="139"/>
      <c r="W12" s="139"/>
      <c r="X12" s="151" t="s">
        <v>85</v>
      </c>
      <c r="Y12" s="115" t="s">
        <v>86</v>
      </c>
      <c r="Z12" s="156">
        <v>5.916</v>
      </c>
      <c r="AA12" s="157">
        <f t="shared" si="1"/>
        <v>5916</v>
      </c>
      <c r="AB12" s="158"/>
      <c r="AC12" s="159"/>
      <c r="AD12" s="111"/>
      <c r="AE12" s="158"/>
      <c r="AF12" s="158"/>
      <c r="AG12" s="111"/>
      <c r="AH12" s="111"/>
      <c r="AI12" s="165"/>
      <c r="AJ12" s="158"/>
      <c r="AK12" s="165"/>
      <c r="AL12" s="158"/>
      <c r="AM12" s="158"/>
      <c r="AN12" s="166"/>
      <c r="AO12" s="158"/>
      <c r="AP12" s="158"/>
      <c r="AQ12" s="158"/>
    </row>
    <row r="13" s="79" customFormat="1" ht="39" customHeight="1" spans="1:43">
      <c r="A13" s="116"/>
      <c r="B13" s="104"/>
      <c r="C13" s="105"/>
      <c r="D13" s="106"/>
      <c r="E13" s="107"/>
      <c r="F13" s="106"/>
      <c r="G13" s="108"/>
      <c r="H13" s="108"/>
      <c r="I13" s="106"/>
      <c r="J13" s="106"/>
      <c r="K13" s="106"/>
      <c r="L13" s="106"/>
      <c r="M13" s="136"/>
      <c r="N13" s="136"/>
      <c r="O13" s="136"/>
      <c r="P13" s="136"/>
      <c r="Q13" s="136"/>
      <c r="R13" s="136"/>
      <c r="S13" s="145"/>
      <c r="T13" s="147"/>
      <c r="U13" s="145"/>
      <c r="V13" s="136"/>
      <c r="W13" s="136"/>
      <c r="X13" s="148"/>
      <c r="Y13" s="108"/>
      <c r="Z13" s="154"/>
      <c r="AA13" s="155"/>
      <c r="AB13" s="119"/>
      <c r="AC13" s="123"/>
      <c r="AD13" s="105"/>
      <c r="AE13" s="119"/>
      <c r="AF13" s="119"/>
      <c r="AG13" s="105"/>
      <c r="AH13" s="105"/>
      <c r="AI13" s="122"/>
      <c r="AJ13" s="119"/>
      <c r="AK13" s="122"/>
      <c r="AL13" s="119"/>
      <c r="AM13" s="119"/>
      <c r="AN13" s="164"/>
      <c r="AO13" s="119"/>
      <c r="AP13" s="119"/>
      <c r="AQ13" s="119"/>
    </row>
    <row r="14" s="79" customFormat="1" ht="39" customHeight="1" spans="1:43">
      <c r="A14" s="117"/>
      <c r="B14" s="104"/>
      <c r="C14" s="118" t="s">
        <v>87</v>
      </c>
      <c r="D14" s="119"/>
      <c r="E14" s="120"/>
      <c r="F14" s="121"/>
      <c r="G14" s="122"/>
      <c r="H14" s="122"/>
      <c r="I14" s="122"/>
      <c r="J14" s="119"/>
      <c r="K14" s="119"/>
      <c r="L14" s="119"/>
      <c r="M14" s="140"/>
      <c r="N14" s="134"/>
      <c r="O14" s="134"/>
      <c r="P14" s="134"/>
      <c r="Q14" s="134"/>
      <c r="R14" s="134"/>
      <c r="S14" s="145"/>
      <c r="T14" s="145"/>
      <c r="U14" s="145"/>
      <c r="V14" s="134"/>
      <c r="W14" s="134"/>
      <c r="X14" s="152"/>
      <c r="Y14" s="122"/>
      <c r="Z14" s="154"/>
      <c r="AA14" s="155"/>
      <c r="AB14" s="119"/>
      <c r="AC14" s="124"/>
      <c r="AD14" s="119"/>
      <c r="AE14" s="119"/>
      <c r="AF14" s="119"/>
      <c r="AG14" s="118"/>
      <c r="AH14" s="118"/>
      <c r="AI14" s="122"/>
      <c r="AJ14" s="119"/>
      <c r="AK14" s="122"/>
      <c r="AL14" s="119"/>
      <c r="AM14" s="119"/>
      <c r="AN14" s="119"/>
      <c r="AO14" s="167"/>
      <c r="AP14" s="169"/>
      <c r="AQ14" s="170"/>
    </row>
    <row r="15" s="79" customFormat="1" ht="39" customHeight="1" spans="1:43">
      <c r="A15" s="117"/>
      <c r="B15" s="104"/>
      <c r="C15" s="118"/>
      <c r="D15" s="119"/>
      <c r="E15" s="123"/>
      <c r="F15" s="124"/>
      <c r="G15" s="122"/>
      <c r="H15" s="122"/>
      <c r="I15" s="122"/>
      <c r="J15" s="122"/>
      <c r="K15" s="119"/>
      <c r="L15" s="119"/>
      <c r="M15" s="140"/>
      <c r="N15" s="134"/>
      <c r="O15" s="134"/>
      <c r="P15" s="134"/>
      <c r="Q15" s="134"/>
      <c r="R15" s="134"/>
      <c r="S15" s="145"/>
      <c r="T15" s="145"/>
      <c r="U15" s="145"/>
      <c r="V15" s="134"/>
      <c r="W15" s="134"/>
      <c r="X15" s="122"/>
      <c r="Y15" s="122"/>
      <c r="Z15" s="154"/>
      <c r="AA15" s="155"/>
      <c r="AB15" s="118"/>
      <c r="AC15" s="124"/>
      <c r="AD15" s="119"/>
      <c r="AE15" s="119"/>
      <c r="AF15" s="119"/>
      <c r="AG15" s="118"/>
      <c r="AH15" s="118"/>
      <c r="AI15" s="122"/>
      <c r="AJ15" s="119"/>
      <c r="AK15" s="122"/>
      <c r="AL15" s="119"/>
      <c r="AM15" s="119"/>
      <c r="AN15" s="167"/>
      <c r="AO15" s="170"/>
      <c r="AP15" s="169"/>
      <c r="AQ15" s="170"/>
    </row>
    <row r="16" s="79" customFormat="1" ht="39" customHeight="1" spans="1:43">
      <c r="A16" s="116"/>
      <c r="B16" s="104"/>
      <c r="C16" s="105"/>
      <c r="D16" s="106"/>
      <c r="E16" s="125"/>
      <c r="F16" s="126"/>
      <c r="G16" s="108"/>
      <c r="H16" s="108"/>
      <c r="I16" s="106"/>
      <c r="J16" s="106"/>
      <c r="K16" s="106"/>
      <c r="L16" s="106"/>
      <c r="M16" s="141"/>
      <c r="N16" s="136"/>
      <c r="O16" s="136"/>
      <c r="P16" s="136"/>
      <c r="Q16" s="141"/>
      <c r="R16" s="141"/>
      <c r="S16" s="145"/>
      <c r="T16" s="145"/>
      <c r="U16" s="145"/>
      <c r="V16" s="136"/>
      <c r="W16" s="136"/>
      <c r="X16" s="108"/>
      <c r="Y16" s="108"/>
      <c r="Z16" s="154"/>
      <c r="AA16" s="155"/>
      <c r="AB16" s="119"/>
      <c r="AC16" s="125"/>
      <c r="AD16" s="106"/>
      <c r="AE16" s="119"/>
      <c r="AF16" s="106"/>
      <c r="AG16" s="105"/>
      <c r="AH16" s="105"/>
      <c r="AI16" s="108"/>
      <c r="AJ16" s="106"/>
      <c r="AK16" s="108"/>
      <c r="AL16" s="106"/>
      <c r="AM16" s="119"/>
      <c r="AN16" s="119"/>
      <c r="AO16" s="167"/>
      <c r="AP16" s="169"/>
      <c r="AQ16" s="170"/>
    </row>
    <row r="17" s="79" customFormat="1" ht="35" customHeight="1" spans="1:43">
      <c r="A17" s="117"/>
      <c r="B17" s="104"/>
      <c r="C17" s="118"/>
      <c r="D17" s="119"/>
      <c r="E17" s="124"/>
      <c r="F17" s="123"/>
      <c r="G17" s="122" t="s">
        <v>88</v>
      </c>
      <c r="H17" s="122"/>
      <c r="I17" s="119">
        <f>SUM(I2:I16)</f>
        <v>8320</v>
      </c>
      <c r="J17" s="119"/>
      <c r="K17" s="119"/>
      <c r="L17" s="119">
        <f>SUM(L2:L16)</f>
        <v>2080</v>
      </c>
      <c r="M17" s="140"/>
      <c r="N17" s="134"/>
      <c r="O17" s="134"/>
      <c r="P17" s="134"/>
      <c r="Q17" s="140"/>
      <c r="R17" s="140"/>
      <c r="S17" s="145"/>
      <c r="T17" s="145"/>
      <c r="U17" s="145"/>
      <c r="V17" s="134"/>
      <c r="W17" s="134"/>
      <c r="X17" s="122"/>
      <c r="Y17" s="122"/>
      <c r="Z17" s="154"/>
      <c r="AA17" s="119">
        <f>SUM(AA3:AA16)</f>
        <v>53495.92</v>
      </c>
      <c r="AB17" s="119"/>
      <c r="AC17" s="124"/>
      <c r="AD17" s="119"/>
      <c r="AE17" s="119">
        <f>SUM(AE1:AE16)</f>
        <v>0</v>
      </c>
      <c r="AF17" s="119"/>
      <c r="AG17" s="118"/>
      <c r="AH17" s="118"/>
      <c r="AI17" s="122"/>
      <c r="AJ17" s="119"/>
      <c r="AK17" s="122"/>
      <c r="AL17" s="119"/>
      <c r="AM17" s="119"/>
      <c r="AN17" s="119">
        <f>SUM(AN3:AN16)</f>
        <v>0</v>
      </c>
      <c r="AO17" s="167">
        <f>SUM(AO3:AO16)</f>
        <v>0</v>
      </c>
      <c r="AP17" s="167">
        <f>SUM(AP3:AP16)</f>
        <v>0</v>
      </c>
      <c r="AQ17" s="167">
        <f>SUM(AQ3:AQ16)</f>
        <v>0</v>
      </c>
    </row>
    <row r="18" s="79" customFormat="1" ht="39" customHeight="1" spans="1:43">
      <c r="A18" s="116"/>
      <c r="B18" s="104"/>
      <c r="C18" s="105"/>
      <c r="D18" s="106"/>
      <c r="E18" s="125"/>
      <c r="F18" s="127"/>
      <c r="G18" s="108"/>
      <c r="H18" s="122"/>
      <c r="I18" s="108"/>
      <c r="J18" s="106"/>
      <c r="K18" s="106"/>
      <c r="L18" s="106"/>
      <c r="M18" s="141"/>
      <c r="N18" s="136"/>
      <c r="O18" s="136"/>
      <c r="P18" s="136"/>
      <c r="Q18" s="141" t="s">
        <v>89</v>
      </c>
      <c r="R18" s="141"/>
      <c r="S18" s="145"/>
      <c r="T18" s="145"/>
      <c r="U18" s="145"/>
      <c r="V18" s="136"/>
      <c r="W18" s="136"/>
      <c r="X18" s="153"/>
      <c r="Y18" s="122"/>
      <c r="Z18" s="160"/>
      <c r="AA18" s="161"/>
      <c r="AB18" s="106"/>
      <c r="AC18" s="125"/>
      <c r="AD18" s="106"/>
      <c r="AE18" s="119"/>
      <c r="AF18" s="106"/>
      <c r="AG18" s="105"/>
      <c r="AH18" s="105"/>
      <c r="AI18" s="108"/>
      <c r="AJ18" s="106"/>
      <c r="AK18" s="108"/>
      <c r="AL18" s="119"/>
      <c r="AM18" s="119"/>
      <c r="AN18" s="119"/>
      <c r="AO18" s="119"/>
      <c r="AP18" s="119"/>
      <c r="AQ18" s="167"/>
    </row>
    <row r="19" s="79" customFormat="1" ht="39" customHeight="1" spans="1:43">
      <c r="A19" s="117"/>
      <c r="B19" s="128"/>
      <c r="C19" s="118"/>
      <c r="D19" s="119"/>
      <c r="E19" s="124"/>
      <c r="F19" s="123"/>
      <c r="G19" s="122"/>
      <c r="H19" s="122"/>
      <c r="I19" s="119"/>
      <c r="J19" s="119"/>
      <c r="K19" s="119"/>
      <c r="L19" s="119"/>
      <c r="M19" s="140"/>
      <c r="N19" s="134"/>
      <c r="O19" s="134"/>
      <c r="P19" s="134"/>
      <c r="Q19" s="140"/>
      <c r="R19" s="140"/>
      <c r="S19" s="145"/>
      <c r="T19" s="145"/>
      <c r="U19" s="145"/>
      <c r="V19" s="134"/>
      <c r="W19" s="134"/>
      <c r="X19" s="122"/>
      <c r="Y19" s="122"/>
      <c r="Z19" s="154"/>
      <c r="AA19" s="155"/>
      <c r="AB19" s="119"/>
      <c r="AC19" s="124"/>
      <c r="AD19" s="119"/>
      <c r="AE19" s="119"/>
      <c r="AF19" s="119"/>
      <c r="AG19" s="118"/>
      <c r="AH19" s="118"/>
      <c r="AI19" s="122"/>
      <c r="AJ19" s="119"/>
      <c r="AK19" s="122"/>
      <c r="AL19" s="119"/>
      <c r="AM19" s="119"/>
      <c r="AN19" s="119"/>
      <c r="AO19" s="119"/>
      <c r="AP19" s="119"/>
      <c r="AQ19" s="119"/>
    </row>
    <row r="20" s="79" customFormat="1" ht="39" customHeight="1" spans="1:43">
      <c r="A20" s="129"/>
      <c r="B20" s="82"/>
      <c r="D20" s="130"/>
      <c r="E20" s="131"/>
      <c r="F20" s="132"/>
      <c r="G20" s="133"/>
      <c r="H20" s="133"/>
      <c r="I20" s="130"/>
      <c r="J20" s="130"/>
      <c r="K20" s="130"/>
      <c r="L20" s="130"/>
      <c r="M20" s="142"/>
      <c r="N20" s="143"/>
      <c r="O20" s="143"/>
      <c r="P20" s="143"/>
      <c r="Q20" s="142"/>
      <c r="R20" s="142"/>
      <c r="S20" s="90"/>
      <c r="T20" s="90"/>
      <c r="U20" s="90"/>
      <c r="V20" s="143"/>
      <c r="W20" s="143"/>
      <c r="X20" s="133"/>
      <c r="Y20" s="133"/>
      <c r="Z20" s="162"/>
      <c r="AA20" s="163"/>
      <c r="AB20" s="130"/>
      <c r="AC20" s="131"/>
      <c r="AD20" s="130"/>
      <c r="AE20" s="130"/>
      <c r="AF20" s="130"/>
      <c r="AI20" s="133"/>
      <c r="AJ20" s="130"/>
      <c r="AK20" s="133"/>
      <c r="AL20" s="130"/>
      <c r="AM20" s="130"/>
      <c r="AN20" s="130"/>
      <c r="AO20" s="171"/>
      <c r="AP20" s="93"/>
      <c r="AQ20" s="172"/>
    </row>
  </sheetData>
  <sheetProtection selectLockedCells="1" autoFilter="0"/>
  <autoFilter xmlns:etc="http://www.wps.cn/officeDocument/2017/etCustomData" ref="A1:AQ12" etc:filterBottomFollowUsedRange="0">
    <extLst/>
  </autoFilter>
  <conditionalFormatting sqref="S9">
    <cfRule type="containsText" dxfId="0" priority="3" operator="between" text="欠">
      <formula>NOT(ISERROR(SEARCH("欠",S9)))</formula>
    </cfRule>
  </conditionalFormatting>
  <conditionalFormatting sqref="T9">
    <cfRule type="containsText" dxfId="0" priority="2" operator="between" text="欠">
      <formula>NOT(ISERROR(SEARCH("欠",T9)))</formula>
    </cfRule>
  </conditionalFormatting>
  <conditionalFormatting sqref="U9">
    <cfRule type="containsText" dxfId="0" priority="1" operator="between" text="欠">
      <formula>NOT(ISERROR(SEARCH("欠",U9)))</formula>
    </cfRule>
  </conditionalFormatting>
  <conditionalFormatting sqref="S10">
    <cfRule type="containsText" dxfId="0" priority="9" operator="between" text="欠">
      <formula>NOT(ISERROR(SEARCH("欠",S10)))</formula>
    </cfRule>
  </conditionalFormatting>
  <conditionalFormatting sqref="T10">
    <cfRule type="containsText" dxfId="0" priority="8" operator="between" text="欠">
      <formula>NOT(ISERROR(SEARCH("欠",T10)))</formula>
    </cfRule>
  </conditionalFormatting>
  <conditionalFormatting sqref="U10">
    <cfRule type="containsText" dxfId="0" priority="7" operator="between" text="欠">
      <formula>NOT(ISERROR(SEARCH("欠",U10)))</formula>
    </cfRule>
  </conditionalFormatting>
  <conditionalFormatting sqref="S11">
    <cfRule type="containsText" dxfId="0" priority="6" operator="between" text="欠">
      <formula>NOT(ISERROR(SEARCH("欠",S11)))</formula>
    </cfRule>
  </conditionalFormatting>
  <conditionalFormatting sqref="T11">
    <cfRule type="containsText" dxfId="0" priority="5" operator="between" text="欠">
      <formula>NOT(ISERROR(SEARCH("欠",T11)))</formula>
    </cfRule>
  </conditionalFormatting>
  <conditionalFormatting sqref="U11">
    <cfRule type="containsText" dxfId="0" priority="4" operator="between" text="欠">
      <formula>NOT(ISERROR(SEARCH("欠",U11)))</formula>
    </cfRule>
  </conditionalFormatting>
  <conditionalFormatting sqref="S13">
    <cfRule type="containsText" dxfId="0" priority="125" operator="between" text="欠">
      <formula>NOT(ISERROR(SEARCH("欠",S13)))</formula>
    </cfRule>
  </conditionalFormatting>
  <conditionalFormatting sqref="T13">
    <cfRule type="containsText" dxfId="0" priority="85" operator="between" text="欠">
      <formula>NOT(ISERROR(SEARCH("欠",T13)))</formula>
    </cfRule>
  </conditionalFormatting>
  <conditionalFormatting sqref="U13">
    <cfRule type="containsText" dxfId="0" priority="45" operator="between" text="欠">
      <formula>NOT(ISERROR(SEARCH("欠",U13)))</formula>
    </cfRule>
  </conditionalFormatting>
  <conditionalFormatting sqref="S4:S8">
    <cfRule type="containsText" dxfId="0" priority="12" operator="between" text="欠">
      <formula>NOT(ISERROR(SEARCH("欠",S4)))</formula>
    </cfRule>
  </conditionalFormatting>
  <conditionalFormatting sqref="T4:T8">
    <cfRule type="containsText" dxfId="0" priority="11" operator="between" text="欠">
      <formula>NOT(ISERROR(SEARCH("欠",T4)))</formula>
    </cfRule>
  </conditionalFormatting>
  <conditionalFormatting sqref="U4:U8">
    <cfRule type="containsText" dxfId="0" priority="10" operator="between" text="欠">
      <formula>NOT(ISERROR(SEARCH("欠",U4)))</formula>
    </cfRule>
  </conditionalFormatting>
  <conditionalFormatting sqref="S1:U2 S14:U1048576">
    <cfRule type="containsText" dxfId="0" priority="525" operator="between" text="欠">
      <formula>NOT(ISERROR(SEARCH("欠",S1)))</formula>
    </cfRule>
  </conditionalFormatting>
  <conditionalFormatting sqref="S3 S12">
    <cfRule type="containsText" dxfId="0" priority="126" operator="between" text="欠">
      <formula>NOT(ISERROR(SEARCH("欠",S3)))</formula>
    </cfRule>
  </conditionalFormatting>
  <conditionalFormatting sqref="T3 T12">
    <cfRule type="containsText" dxfId="0" priority="86" operator="between" text="欠">
      <formula>NOT(ISERROR(SEARCH("欠",T3)))</formula>
    </cfRule>
  </conditionalFormatting>
  <conditionalFormatting sqref="U3 U12">
    <cfRule type="containsText" dxfId="0" priority="46" operator="between" text="欠">
      <formula>NOT(ISERROR(SEARCH("欠",U3)))</formula>
    </cfRule>
  </conditionalFormatting>
  <pageMargins left="0.15625" right="0.0777777777777778" top="0.590277777777778" bottom="0.55" header="0.235416666666667" footer="0.235416666666667"/>
  <pageSetup paperSize="9" scale="10" orientation="portrait"/>
  <headerFooter>
    <oddHeader>&amp;C&amp;18&amp;BZURU 恐龙，蜘蛛生产排期表</oddHeader>
    <oddFooter>&amp;L制表：黄玲&amp;C日期：&amp;D 第&amp;P页，共&amp;N页&amp;R审核：陈炎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pane xSplit="7" ySplit="3" topLeftCell="H4" activePane="bottomRight" state="frozen"/>
      <selection/>
      <selection pane="topRight"/>
      <selection pane="bottomLeft"/>
      <selection pane="bottomRight" activeCell="J15" sqref="J15"/>
    </sheetView>
  </sheetViews>
  <sheetFormatPr defaultColWidth="9" defaultRowHeight="13.5"/>
  <cols>
    <col min="1" max="1" width="9" style="55"/>
    <col min="2" max="2" width="11.3333333333333" style="55" customWidth="1"/>
    <col min="3" max="3" width="14.5166666666667" style="56" customWidth="1"/>
    <col min="4" max="4" width="15.275" style="56" customWidth="1"/>
    <col min="5" max="5" width="12.8833333333333" style="56" customWidth="1"/>
    <col min="6" max="6" width="9.44166666666667" style="56" customWidth="1"/>
    <col min="7" max="7" width="19.3083333333333" style="56" customWidth="1"/>
    <col min="8" max="8" width="13.1333333333333" style="56" customWidth="1"/>
    <col min="9" max="9" width="12.325" style="56" customWidth="1"/>
    <col min="10" max="14" width="11.7666666666667" style="56" customWidth="1"/>
    <col min="15" max="15" width="55.85" style="55" customWidth="1"/>
    <col min="16" max="16384" width="9" style="55"/>
  </cols>
  <sheetData>
    <row r="1" ht="14.25"/>
    <row r="2" ht="22.95" customHeight="1" spans="2:15">
      <c r="B2" s="57" t="s">
        <v>90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67"/>
    </row>
    <row r="3" s="54" customFormat="1" ht="37.95" customHeight="1" spans="1:15">
      <c r="A3" s="59" t="s">
        <v>91</v>
      </c>
      <c r="B3" s="60" t="s">
        <v>92</v>
      </c>
      <c r="C3" s="61" t="s">
        <v>93</v>
      </c>
      <c r="D3" s="61" t="s">
        <v>94</v>
      </c>
      <c r="E3" s="61" t="s">
        <v>6</v>
      </c>
      <c r="F3" s="61" t="s">
        <v>95</v>
      </c>
      <c r="G3" s="61" t="s">
        <v>7</v>
      </c>
      <c r="H3" s="61" t="s">
        <v>96</v>
      </c>
      <c r="I3" s="68" t="s">
        <v>97</v>
      </c>
      <c r="J3" s="69" t="s">
        <v>98</v>
      </c>
      <c r="K3" s="69" t="s">
        <v>99</v>
      </c>
      <c r="L3" s="69" t="s">
        <v>100</v>
      </c>
      <c r="M3" s="70" t="s">
        <v>101</v>
      </c>
      <c r="N3" s="70" t="s">
        <v>102</v>
      </c>
      <c r="O3" s="71" t="s">
        <v>23</v>
      </c>
    </row>
    <row r="4" s="54" customFormat="1" ht="19.05" customHeight="1" spans="1:15">
      <c r="A4" s="59"/>
      <c r="B4" s="62"/>
      <c r="C4" s="63"/>
      <c r="D4" s="63"/>
      <c r="E4" s="63"/>
      <c r="F4" s="63"/>
      <c r="G4" s="64"/>
      <c r="H4" s="63"/>
      <c r="I4" s="64"/>
      <c r="J4" s="63"/>
      <c r="K4" s="63"/>
      <c r="L4" s="63"/>
      <c r="M4" s="63"/>
      <c r="N4" s="64"/>
      <c r="O4" s="72"/>
    </row>
    <row r="5" s="54" customFormat="1" ht="19.05" customHeight="1" spans="1:15">
      <c r="A5" s="59"/>
      <c r="B5" s="62"/>
      <c r="C5" s="63"/>
      <c r="D5" s="63"/>
      <c r="E5" s="63"/>
      <c r="F5" s="63"/>
      <c r="G5" s="64"/>
      <c r="H5" s="63"/>
      <c r="I5" s="64"/>
      <c r="J5" s="63"/>
      <c r="K5" s="63"/>
      <c r="L5" s="63"/>
      <c r="M5" s="63"/>
      <c r="N5" s="64"/>
      <c r="O5" s="72"/>
    </row>
    <row r="6" s="54" customFormat="1" ht="19.05" customHeight="1" spans="1:15">
      <c r="A6" s="59"/>
      <c r="B6" s="62"/>
      <c r="C6" s="63"/>
      <c r="D6" s="63"/>
      <c r="E6" s="63"/>
      <c r="F6" s="63"/>
      <c r="G6" s="64"/>
      <c r="H6" s="63"/>
      <c r="I6" s="64"/>
      <c r="J6" s="63"/>
      <c r="K6" s="63"/>
      <c r="L6" s="63"/>
      <c r="M6" s="63"/>
      <c r="N6" s="64"/>
      <c r="O6" s="72"/>
    </row>
    <row r="7" s="54" customFormat="1" ht="19.05" customHeight="1" spans="1:15">
      <c r="A7" s="59"/>
      <c r="B7" s="62"/>
      <c r="C7" s="63"/>
      <c r="D7" s="63"/>
      <c r="E7" s="63"/>
      <c r="F7" s="63"/>
      <c r="G7" s="64"/>
      <c r="H7" s="63"/>
      <c r="I7" s="64"/>
      <c r="J7" s="63"/>
      <c r="K7" s="63"/>
      <c r="L7" s="63"/>
      <c r="M7" s="63"/>
      <c r="N7" s="64"/>
      <c r="O7" s="72"/>
    </row>
    <row r="8" s="54" customFormat="1" ht="19.05" customHeight="1" spans="1:15">
      <c r="A8" s="59"/>
      <c r="B8" s="62"/>
      <c r="C8" s="63"/>
      <c r="D8" s="63"/>
      <c r="E8" s="63"/>
      <c r="F8" s="63"/>
      <c r="G8" s="63" t="s">
        <v>88</v>
      </c>
      <c r="H8" s="63"/>
      <c r="I8" s="64"/>
      <c r="J8" s="63">
        <f>SUM(J4:J7)</f>
        <v>0</v>
      </c>
      <c r="K8" s="63">
        <f>SUM(K4:K7)</f>
        <v>0</v>
      </c>
      <c r="L8" s="63">
        <f>SUM(L4:L7)</f>
        <v>0</v>
      </c>
      <c r="M8" s="63">
        <f>SUM(M4:M7)</f>
        <v>0</v>
      </c>
      <c r="N8" s="64"/>
      <c r="O8" s="72"/>
    </row>
    <row r="9" s="54" customFormat="1" ht="19.05" customHeight="1" spans="1:15">
      <c r="A9" s="59"/>
      <c r="B9" s="62"/>
      <c r="C9" s="63"/>
      <c r="D9" s="63"/>
      <c r="E9" s="63"/>
      <c r="F9" s="63"/>
      <c r="G9" s="63" t="s">
        <v>103</v>
      </c>
      <c r="H9" s="63"/>
      <c r="I9" s="64"/>
      <c r="J9" s="63">
        <f>'71172大脑'!AO17</f>
        <v>0</v>
      </c>
      <c r="K9" s="63">
        <f>'71172大脑'!AP17</f>
        <v>0</v>
      </c>
      <c r="L9" s="63">
        <f>'71172大脑'!AQ17</f>
        <v>0</v>
      </c>
      <c r="M9" s="63">
        <f>SUM(M5:M8)</f>
        <v>0</v>
      </c>
      <c r="N9" s="64"/>
      <c r="O9" s="72"/>
    </row>
    <row r="10" s="54" customFormat="1" ht="19.05" customHeight="1" spans="1:15">
      <c r="A10" s="59"/>
      <c r="B10" s="65"/>
      <c r="C10" s="66"/>
      <c r="D10" s="66"/>
      <c r="E10" s="66"/>
      <c r="F10" s="66"/>
      <c r="G10" s="66" t="s">
        <v>104</v>
      </c>
      <c r="H10" s="66"/>
      <c r="I10" s="73"/>
      <c r="J10" s="74">
        <f>J8-J9</f>
        <v>0</v>
      </c>
      <c r="K10" s="75">
        <f>K8-K9</f>
        <v>0</v>
      </c>
      <c r="L10" s="74">
        <f>L8-L9</f>
        <v>0</v>
      </c>
      <c r="M10" s="74">
        <f>M8-M9</f>
        <v>0</v>
      </c>
      <c r="N10" s="76"/>
      <c r="O10" s="77"/>
    </row>
  </sheetData>
  <autoFilter xmlns:etc="http://www.wps.cn/officeDocument/2017/etCustomData" ref="B3:O10" etc:filterBottomFollowUsedRange="0">
    <extLst/>
  </autoFilter>
  <mergeCells count="1">
    <mergeCell ref="B2:O2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F32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H20" sqref="H20"/>
    </sheetView>
  </sheetViews>
  <sheetFormatPr defaultColWidth="9" defaultRowHeight="13.5"/>
  <cols>
    <col min="1" max="1" width="3.2" customWidth="1"/>
    <col min="2" max="2" width="18.4333333333333" customWidth="1"/>
    <col min="3" max="3" width="14.55" style="10" customWidth="1"/>
    <col min="4" max="4" width="11.5583333333333" style="10" customWidth="1"/>
    <col min="5" max="5" width="13.825" style="10" customWidth="1"/>
    <col min="6" max="6" width="14.3333333333333" style="10" customWidth="1"/>
    <col min="7" max="7" width="17.1083333333333" style="10" customWidth="1"/>
    <col min="8" max="8" width="35.3833333333333" customWidth="1"/>
    <col min="9" max="9" width="13.8833333333333" style="10" customWidth="1"/>
    <col min="10" max="13" width="9" style="11"/>
  </cols>
  <sheetData>
    <row r="1" ht="21" customHeight="1" spans="2:32">
      <c r="B1" s="12" t="s">
        <v>105</v>
      </c>
      <c r="C1" s="13"/>
      <c r="D1" s="13"/>
      <c r="E1" s="13"/>
      <c r="F1" s="13"/>
      <c r="G1" s="14"/>
      <c r="H1" s="15"/>
      <c r="I1" s="49"/>
      <c r="J1" s="50"/>
      <c r="K1" s="50"/>
      <c r="L1" s="50"/>
      <c r="M1" s="50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 ht="16.05" customHeight="1" spans="2:32">
      <c r="B2" s="16" t="s">
        <v>106</v>
      </c>
      <c r="C2" s="17" t="s">
        <v>94</v>
      </c>
      <c r="D2" s="18" t="s">
        <v>107</v>
      </c>
      <c r="E2" s="17" t="s">
        <v>7</v>
      </c>
      <c r="F2" s="19" t="s">
        <v>95</v>
      </c>
      <c r="G2" s="20" t="s">
        <v>108</v>
      </c>
      <c r="H2" s="21" t="s">
        <v>23</v>
      </c>
      <c r="I2" s="49"/>
      <c r="J2" s="50"/>
      <c r="K2" s="50"/>
      <c r="L2" s="50"/>
      <c r="M2" s="50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</row>
    <row r="3" ht="24" customHeight="1" spans="2:32">
      <c r="B3" s="22"/>
      <c r="C3" s="23"/>
      <c r="D3" s="17"/>
      <c r="E3" s="23"/>
      <c r="F3" s="24"/>
      <c r="G3" s="25"/>
      <c r="H3" s="21"/>
      <c r="I3" s="49"/>
      <c r="J3" s="50"/>
      <c r="K3" s="50"/>
      <c r="L3" s="50"/>
      <c r="M3" s="50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 s="9" customFormat="1" ht="15" customHeight="1" spans="2:13">
      <c r="B4" s="26">
        <v>46036</v>
      </c>
      <c r="C4" s="27" t="s">
        <v>109</v>
      </c>
      <c r="D4" s="27">
        <v>71172</v>
      </c>
      <c r="E4" s="27" t="s">
        <v>110</v>
      </c>
      <c r="F4" s="27">
        <v>60000</v>
      </c>
      <c r="G4" s="28">
        <v>46150</v>
      </c>
      <c r="H4" s="29"/>
      <c r="I4" s="52"/>
      <c r="J4" s="53"/>
      <c r="K4" s="53"/>
      <c r="L4" s="53"/>
      <c r="M4" s="53"/>
    </row>
    <row r="5" s="9" customFormat="1" ht="15" customHeight="1" spans="2:13">
      <c r="B5" s="30"/>
      <c r="C5" s="27"/>
      <c r="D5" s="27"/>
      <c r="E5" s="27"/>
      <c r="F5" s="27"/>
      <c r="G5" s="31"/>
      <c r="H5" s="29"/>
      <c r="I5" s="52"/>
      <c r="J5" s="53"/>
      <c r="K5" s="53"/>
      <c r="L5" s="53"/>
      <c r="M5" s="53"/>
    </row>
    <row r="6" s="9" customFormat="1" ht="15" customHeight="1" spans="2:13">
      <c r="B6" s="30"/>
      <c r="C6" s="27"/>
      <c r="D6" s="27"/>
      <c r="E6" s="27"/>
      <c r="F6" s="27"/>
      <c r="G6" s="31"/>
      <c r="H6" s="29"/>
      <c r="I6" s="52"/>
      <c r="J6" s="53"/>
      <c r="K6" s="53"/>
      <c r="L6" s="53"/>
      <c r="M6" s="53"/>
    </row>
    <row r="7" s="9" customFormat="1" ht="15" customHeight="1" spans="2:13">
      <c r="B7" s="30"/>
      <c r="C7" s="27"/>
      <c r="D7" s="27"/>
      <c r="E7" s="27"/>
      <c r="F7" s="27"/>
      <c r="G7" s="31"/>
      <c r="H7" s="29"/>
      <c r="I7" s="52"/>
      <c r="J7" s="53"/>
      <c r="K7" s="53"/>
      <c r="L7" s="53"/>
      <c r="M7" s="53"/>
    </row>
    <row r="8" s="9" customFormat="1" ht="15" customHeight="1" spans="2:13">
      <c r="B8" s="30"/>
      <c r="C8" s="27"/>
      <c r="D8" s="27"/>
      <c r="E8" s="27"/>
      <c r="F8" s="27"/>
      <c r="G8" s="31"/>
      <c r="H8" s="29"/>
      <c r="I8" s="52"/>
      <c r="J8" s="53"/>
      <c r="K8" s="53"/>
      <c r="L8" s="53"/>
      <c r="M8" s="53"/>
    </row>
    <row r="9" s="9" customFormat="1" ht="15" customHeight="1" spans="2:13">
      <c r="B9" s="30"/>
      <c r="C9" s="27"/>
      <c r="D9" s="27"/>
      <c r="E9" s="27" t="s">
        <v>111</v>
      </c>
      <c r="F9" s="27">
        <f>SUM(F4:F8)</f>
        <v>60000</v>
      </c>
      <c r="G9" s="32"/>
      <c r="H9" s="29"/>
      <c r="I9" s="52"/>
      <c r="J9" s="53"/>
      <c r="K9" s="53"/>
      <c r="L9" s="53"/>
      <c r="M9" s="53"/>
    </row>
    <row r="10" s="9" customFormat="1" ht="15" customHeight="1" spans="2:13">
      <c r="B10" s="30"/>
      <c r="C10" s="27"/>
      <c r="D10" s="27"/>
      <c r="E10" s="27" t="s">
        <v>103</v>
      </c>
      <c r="F10" s="27">
        <f>'71172大脑'!I17</f>
        <v>8320</v>
      </c>
      <c r="G10" s="32"/>
      <c r="H10" s="29"/>
      <c r="I10" s="52"/>
      <c r="J10" s="53"/>
      <c r="K10" s="53"/>
      <c r="L10" s="53"/>
      <c r="M10" s="53"/>
    </row>
    <row r="11" s="9" customFormat="1" ht="15" customHeight="1" spans="2:13">
      <c r="B11" s="30"/>
      <c r="C11" s="27" t="s">
        <v>89</v>
      </c>
      <c r="D11" s="27"/>
      <c r="E11" s="27" t="s">
        <v>112</v>
      </c>
      <c r="F11" s="27">
        <f>F9-F10</f>
        <v>51680</v>
      </c>
      <c r="G11" s="32"/>
      <c r="H11" s="29"/>
      <c r="I11" s="52"/>
      <c r="J11" s="53"/>
      <c r="K11" s="53"/>
      <c r="L11" s="53"/>
      <c r="M11" s="53"/>
    </row>
    <row r="12" ht="15" customHeight="1" spans="2:8">
      <c r="B12" s="22"/>
      <c r="C12" s="23"/>
      <c r="D12" s="23"/>
      <c r="E12" s="23"/>
      <c r="F12" s="23"/>
      <c r="G12" s="33"/>
      <c r="H12" s="21"/>
    </row>
    <row r="13" s="9" customFormat="1" ht="15" customHeight="1" spans="2:13">
      <c r="B13" s="30"/>
      <c r="C13" s="27"/>
      <c r="D13" s="27"/>
      <c r="E13" s="27"/>
      <c r="F13" s="27"/>
      <c r="G13" s="32"/>
      <c r="H13" s="29"/>
      <c r="I13" s="52"/>
      <c r="J13" s="53"/>
      <c r="K13" s="53"/>
      <c r="L13" s="53"/>
      <c r="M13" s="53"/>
    </row>
    <row r="14" s="9" customFormat="1" ht="15" customHeight="1" spans="2:13">
      <c r="B14" s="30"/>
      <c r="C14" s="27"/>
      <c r="D14" s="27"/>
      <c r="E14" s="27"/>
      <c r="F14" s="27"/>
      <c r="G14" s="32"/>
      <c r="H14" s="29"/>
      <c r="I14" s="52"/>
      <c r="J14" s="53"/>
      <c r="K14" s="53"/>
      <c r="L14" s="53"/>
      <c r="M14" s="53"/>
    </row>
    <row r="15" ht="22" customHeight="1" spans="2:8">
      <c r="B15" s="34" t="s">
        <v>113</v>
      </c>
      <c r="C15" s="35"/>
      <c r="D15" s="35"/>
      <c r="E15" s="35"/>
      <c r="F15" s="36"/>
      <c r="G15" s="35"/>
      <c r="H15" s="37"/>
    </row>
    <row r="16" s="9" customFormat="1" ht="16" customHeight="1" spans="2:13">
      <c r="B16" s="38" t="s">
        <v>106</v>
      </c>
      <c r="C16" s="39" t="s">
        <v>94</v>
      </c>
      <c r="D16" s="18" t="s">
        <v>107</v>
      </c>
      <c r="E16" s="39" t="s">
        <v>7</v>
      </c>
      <c r="F16" s="40">
        <v>71172</v>
      </c>
      <c r="G16" s="20" t="s">
        <v>108</v>
      </c>
      <c r="H16" s="41" t="s">
        <v>23</v>
      </c>
      <c r="I16" s="52"/>
      <c r="J16" s="53"/>
      <c r="K16" s="53"/>
      <c r="L16" s="53"/>
      <c r="M16" s="53"/>
    </row>
    <row r="17" s="9" customFormat="1" ht="16" customHeight="1" spans="2:13">
      <c r="B17" s="22"/>
      <c r="C17" s="23"/>
      <c r="D17" s="17"/>
      <c r="E17" s="23"/>
      <c r="F17" s="42" t="s">
        <v>110</v>
      </c>
      <c r="G17" s="25"/>
      <c r="H17" s="21"/>
      <c r="I17" s="52"/>
      <c r="J17" s="53"/>
      <c r="K17" s="53"/>
      <c r="L17" s="53"/>
      <c r="M17" s="53"/>
    </row>
    <row r="18" s="9" customFormat="1" ht="15" customHeight="1" spans="2:13">
      <c r="B18" s="26">
        <v>45989</v>
      </c>
      <c r="C18" s="27" t="s">
        <v>114</v>
      </c>
      <c r="D18" s="27">
        <v>71172</v>
      </c>
      <c r="E18" s="27" t="s">
        <v>110</v>
      </c>
      <c r="F18" s="27">
        <v>40000</v>
      </c>
      <c r="G18" s="28">
        <v>46004</v>
      </c>
      <c r="H18" s="29" t="s">
        <v>115</v>
      </c>
      <c r="I18" s="52"/>
      <c r="J18" s="53"/>
      <c r="K18" s="53"/>
      <c r="L18" s="53"/>
      <c r="M18" s="53"/>
    </row>
    <row r="19" s="9" customFormat="1" ht="15" customHeight="1" spans="2:13">
      <c r="B19" s="26">
        <v>46016</v>
      </c>
      <c r="C19" s="27" t="s">
        <v>116</v>
      </c>
      <c r="D19" s="27">
        <v>71172</v>
      </c>
      <c r="E19" s="27" t="s">
        <v>110</v>
      </c>
      <c r="F19" s="27">
        <v>12000</v>
      </c>
      <c r="G19" s="28">
        <v>46051</v>
      </c>
      <c r="H19" s="29" t="s">
        <v>115</v>
      </c>
      <c r="I19" s="52"/>
      <c r="J19" s="53"/>
      <c r="K19" s="53"/>
      <c r="L19" s="53"/>
      <c r="M19" s="53"/>
    </row>
    <row r="20" s="9" customFormat="1" ht="15" customHeight="1" spans="2:13">
      <c r="B20" s="26">
        <v>46031</v>
      </c>
      <c r="C20" s="27" t="s">
        <v>117</v>
      </c>
      <c r="D20" s="27">
        <v>71172</v>
      </c>
      <c r="E20" s="27" t="s">
        <v>110</v>
      </c>
      <c r="F20" s="27">
        <v>72000</v>
      </c>
      <c r="G20" s="28">
        <v>46046</v>
      </c>
      <c r="H20" s="29" t="s">
        <v>115</v>
      </c>
      <c r="I20" s="52"/>
      <c r="J20" s="53"/>
      <c r="K20" s="53"/>
      <c r="L20" s="53"/>
      <c r="M20" s="53"/>
    </row>
    <row r="21" s="9" customFormat="1" ht="15" customHeight="1" spans="2:13">
      <c r="B21" s="26"/>
      <c r="C21" s="27"/>
      <c r="D21" s="27"/>
      <c r="E21" s="43"/>
      <c r="F21" s="27"/>
      <c r="G21" s="28"/>
      <c r="H21" s="29"/>
      <c r="I21" s="52"/>
      <c r="J21" s="53"/>
      <c r="K21" s="53"/>
      <c r="L21" s="53"/>
      <c r="M21" s="53"/>
    </row>
    <row r="22" s="9" customFormat="1" ht="15" customHeight="1" spans="2:13">
      <c r="B22" s="26"/>
      <c r="C22" s="27"/>
      <c r="D22" s="27"/>
      <c r="E22" s="43"/>
      <c r="F22" s="27"/>
      <c r="G22" s="28"/>
      <c r="H22" s="29"/>
      <c r="I22" s="52"/>
      <c r="J22" s="53"/>
      <c r="K22" s="53"/>
      <c r="L22" s="53"/>
      <c r="M22" s="53"/>
    </row>
    <row r="23" s="9" customFormat="1" ht="15" customHeight="1" spans="2:13">
      <c r="B23" s="26"/>
      <c r="C23" s="27"/>
      <c r="D23" s="27"/>
      <c r="E23" s="43"/>
      <c r="F23" s="27"/>
      <c r="G23" s="28"/>
      <c r="H23" s="29"/>
      <c r="I23" s="52"/>
      <c r="J23" s="53"/>
      <c r="K23" s="53"/>
      <c r="L23" s="53"/>
      <c r="M23" s="53"/>
    </row>
    <row r="24" s="9" customFormat="1" ht="15" customHeight="1" spans="2:13">
      <c r="B24" s="30"/>
      <c r="C24" s="27"/>
      <c r="D24" s="27"/>
      <c r="E24" s="30"/>
      <c r="F24" s="44">
        <f>SUM(F18:F23)</f>
        <v>124000</v>
      </c>
      <c r="G24" s="32"/>
      <c r="H24" s="29"/>
      <c r="I24" s="52"/>
      <c r="J24" s="53"/>
      <c r="K24" s="53"/>
      <c r="L24" s="53"/>
      <c r="M24" s="53"/>
    </row>
    <row r="25" s="9" customFormat="1" ht="15" customHeight="1" spans="2:13">
      <c r="B25" s="30" t="s">
        <v>103</v>
      </c>
      <c r="C25" s="27"/>
      <c r="D25" s="27"/>
      <c r="E25" s="27"/>
      <c r="F25" s="27">
        <f>F10</f>
        <v>8320</v>
      </c>
      <c r="G25" s="32"/>
      <c r="H25" s="29"/>
      <c r="I25" s="52"/>
      <c r="J25" s="53"/>
      <c r="K25" s="53"/>
      <c r="L25" s="53"/>
      <c r="M25" s="53"/>
    </row>
    <row r="26" s="9" customFormat="1" ht="15" customHeight="1" spans="2:13">
      <c r="B26" s="30" t="s">
        <v>118</v>
      </c>
      <c r="C26" s="27"/>
      <c r="D26" s="27"/>
      <c r="E26" s="27"/>
      <c r="F26" s="27">
        <f>F24-F25</f>
        <v>115680</v>
      </c>
      <c r="G26" s="32"/>
      <c r="H26" s="29"/>
      <c r="I26" s="52"/>
      <c r="J26" s="53"/>
      <c r="K26" s="53"/>
      <c r="L26" s="53"/>
      <c r="M26" s="53"/>
    </row>
    <row r="27" s="9" customFormat="1" ht="15" customHeight="1" spans="2:13">
      <c r="B27" s="30" t="s">
        <v>119</v>
      </c>
      <c r="C27" s="27"/>
      <c r="D27" s="27"/>
      <c r="E27" s="27"/>
      <c r="F27" s="27">
        <f>F24-F9</f>
        <v>64000</v>
      </c>
      <c r="G27" s="32"/>
      <c r="H27" s="29"/>
      <c r="I27" s="52"/>
      <c r="J27" s="53"/>
      <c r="K27" s="53"/>
      <c r="L27" s="53"/>
      <c r="M27" s="53"/>
    </row>
    <row r="28" s="9" customFormat="1" ht="15" customHeight="1" spans="2:13">
      <c r="B28" s="30"/>
      <c r="C28" s="27"/>
      <c r="D28" s="27"/>
      <c r="E28" s="27"/>
      <c r="F28" s="27"/>
      <c r="G28" s="32"/>
      <c r="H28" s="29"/>
      <c r="I28" s="52"/>
      <c r="J28" s="53"/>
      <c r="K28" s="53"/>
      <c r="L28" s="53"/>
      <c r="M28" s="53"/>
    </row>
    <row r="29" s="9" customFormat="1" ht="15" customHeight="1" spans="2:13">
      <c r="B29" s="30"/>
      <c r="C29" s="27"/>
      <c r="D29" s="27"/>
      <c r="E29" s="27"/>
      <c r="F29" s="27"/>
      <c r="G29" s="32"/>
      <c r="H29" s="29"/>
      <c r="I29" s="52"/>
      <c r="J29" s="53"/>
      <c r="K29" s="53"/>
      <c r="L29" s="53"/>
      <c r="M29" s="53"/>
    </row>
    <row r="30" s="9" customFormat="1" ht="15" customHeight="1" spans="2:13">
      <c r="B30" s="30"/>
      <c r="C30" s="27"/>
      <c r="D30" s="27"/>
      <c r="E30" s="27"/>
      <c r="F30" s="27"/>
      <c r="G30" s="32"/>
      <c r="H30" s="29"/>
      <c r="I30" s="52"/>
      <c r="J30" s="53"/>
      <c r="K30" s="53"/>
      <c r="L30" s="53"/>
      <c r="M30" s="53"/>
    </row>
    <row r="31" s="9" customFormat="1" ht="15" customHeight="1" spans="2:13">
      <c r="B31" s="30"/>
      <c r="C31" s="27"/>
      <c r="D31" s="27"/>
      <c r="E31" s="27"/>
      <c r="F31" s="27"/>
      <c r="G31" s="32"/>
      <c r="H31" s="29"/>
      <c r="I31" s="52"/>
      <c r="J31" s="53"/>
      <c r="K31" s="53"/>
      <c r="L31" s="53"/>
      <c r="M31" s="53"/>
    </row>
    <row r="32" s="9" customFormat="1" ht="15" customHeight="1" spans="2:13">
      <c r="B32" s="45"/>
      <c r="C32" s="46"/>
      <c r="D32" s="46"/>
      <c r="E32" s="46"/>
      <c r="F32" s="46"/>
      <c r="G32" s="47"/>
      <c r="H32" s="48"/>
      <c r="I32" s="52"/>
      <c r="J32" s="53"/>
      <c r="K32" s="53"/>
      <c r="L32" s="53"/>
      <c r="M32" s="53"/>
    </row>
  </sheetData>
  <mergeCells count="15">
    <mergeCell ref="B1:F1"/>
    <mergeCell ref="B15:F15"/>
    <mergeCell ref="B2:B3"/>
    <mergeCell ref="B16:B17"/>
    <mergeCell ref="C2:C3"/>
    <mergeCell ref="C16:C17"/>
    <mergeCell ref="D2:D3"/>
    <mergeCell ref="D16:D17"/>
    <mergeCell ref="E2:E3"/>
    <mergeCell ref="E16:E17"/>
    <mergeCell ref="F2:F3"/>
    <mergeCell ref="G2:G3"/>
    <mergeCell ref="G16:G17"/>
    <mergeCell ref="H2:H3"/>
    <mergeCell ref="H16:H17"/>
  </mergeCells>
  <pageMargins left="0.235416666666667" right="0.235416666666667" top="0" bottom="0" header="0" footer="0"/>
  <pageSetup paperSize="9" scale="55" orientation="landscape"/>
  <headerFooter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5" sqref="D5"/>
    </sheetView>
  </sheetViews>
  <sheetFormatPr defaultColWidth="9.025" defaultRowHeight="13.5"/>
  <sheetData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"/>
  <sheetViews>
    <sheetView workbookViewId="0">
      <selection activeCell="G1" sqref="G1"/>
    </sheetView>
  </sheetViews>
  <sheetFormatPr defaultColWidth="9" defaultRowHeight="13.5"/>
  <cols>
    <col min="4" max="5" width="10.1333333333333"/>
    <col min="19" max="19" width="10.1333333333333"/>
    <col min="20" max="20" width="9.25"/>
    <col min="26" max="26" width="9.25"/>
  </cols>
  <sheetData>
    <row r="1" s="1" customFormat="1" ht="40" customHeight="1" spans="1:42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6" t="s">
        <v>13</v>
      </c>
      <c r="O1" s="2" t="s">
        <v>14</v>
      </c>
      <c r="P1" s="6" t="s">
        <v>15</v>
      </c>
      <c r="Q1" s="4" t="s">
        <v>16</v>
      </c>
      <c r="R1" s="2" t="s">
        <v>18</v>
      </c>
      <c r="S1" s="2" t="s">
        <v>19</v>
      </c>
      <c r="T1" s="2" t="s">
        <v>20</v>
      </c>
      <c r="U1" s="2" t="s">
        <v>120</v>
      </c>
      <c r="V1" s="2" t="s">
        <v>22</v>
      </c>
      <c r="W1" s="7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5" t="s">
        <v>28</v>
      </c>
      <c r="AC1" s="3" t="s">
        <v>29</v>
      </c>
      <c r="AD1" s="3" t="s">
        <v>121</v>
      </c>
      <c r="AE1" s="3" t="s">
        <v>31</v>
      </c>
      <c r="AF1" s="4" t="s">
        <v>32</v>
      </c>
      <c r="AG1" s="3" t="s">
        <v>29</v>
      </c>
      <c r="AH1" s="3" t="s">
        <v>33</v>
      </c>
      <c r="AI1" s="3" t="s">
        <v>34</v>
      </c>
      <c r="AJ1" s="3" t="s">
        <v>35</v>
      </c>
      <c r="AK1" s="3" t="s">
        <v>34</v>
      </c>
      <c r="AL1" s="3" t="s">
        <v>36</v>
      </c>
      <c r="AM1" s="3" t="s">
        <v>122</v>
      </c>
      <c r="AN1" s="8" t="s">
        <v>98</v>
      </c>
      <c r="AO1" s="8" t="s">
        <v>99</v>
      </c>
      <c r="AP1" s="8" t="s">
        <v>100</v>
      </c>
    </row>
  </sheetData>
  <autoFilter xmlns:etc="http://www.wps.cn/officeDocument/2017/etCustomData" ref="A1:AR1" etc:filterBottomFollowUsedRange="0">
    <extLst/>
  </autoFilter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71172大脑</vt:lpstr>
      <vt:lpstr>彩盒MA</vt:lpstr>
      <vt:lpstr>产品MA</vt:lpstr>
      <vt:lpstr>客版MA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2018-02-09T00:48:00Z</dcterms:created>
  <cp:lastPrinted>2019-03-26T04:03:00Z</cp:lastPrinted>
  <dcterms:modified xsi:type="dcterms:W3CDTF">2026-02-27T09:13:09Z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eadingLayout">
    <vt:bool>false</vt:bool>
  </property>
  <property fmtid="{D5CDD505-2E9C-101B-9397-08002B2CF9AE}" pid="4" name="ICV">
    <vt:lpwstr>6DC5FD6633A8448AA5542C21D5A2A80B</vt:lpwstr>
  </property>
  <property fmtid="{D5CDD505-2E9C-101B-9397-08002B2CF9AE}" pid="5" name="commondata">
    <vt:lpwstr>eyJoZGlkIjoiZTNiMmJjMGUyMDNhMGI0MjllZTc4OTE3ODRjOTBjMWQifQ==</vt:lpwstr>
  </property>
  <property fmtid="{D5CDD505-2E9C-101B-9397-08002B2CF9AE}" pid="6" name="CalculationRule">
    <vt:i4>0</vt:i4>
  </property>
</Properties>
</file>