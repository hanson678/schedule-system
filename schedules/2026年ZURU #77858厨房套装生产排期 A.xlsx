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25"/>
  </bookViews>
  <sheets>
    <sheet name="77858厨房套装" sheetId="1" r:id="rId1"/>
    <sheet name="生产MA" sheetId="2" r:id="rId2"/>
    <sheet name="布料 IC MA" sheetId="3" r:id="rId3"/>
    <sheet name="包材MA" sheetId="4" r:id="rId4"/>
    <sheet name="取消单" sheetId="5" r:id="rId5"/>
  </sheets>
  <externalReferences>
    <externalReference r:id="rId6"/>
  </externalReferences>
  <definedNames>
    <definedName name="_xlnm._FilterDatabase" localSheetId="0" hidden="1">'77858厨房套装'!$A$3:$XCY$19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<sst xmlns="http://schemas.openxmlformats.org/spreadsheetml/2006/main" count="311" uniqueCount="207">
  <si>
    <r>
      <rPr>
        <b/>
        <sz val="12"/>
        <rFont val="Arial"/>
        <charset val="0"/>
      </rPr>
      <t xml:space="preserve">ZURU  </t>
    </r>
    <r>
      <rPr>
        <b/>
        <sz val="12"/>
        <rFont val="宋体"/>
        <charset val="0"/>
      </rPr>
      <t>（</t>
    </r>
    <r>
      <rPr>
        <b/>
        <sz val="12"/>
        <rFont val="Arial"/>
        <charset val="0"/>
      </rPr>
      <t xml:space="preserve">77858 </t>
    </r>
    <r>
      <rPr>
        <b/>
        <sz val="12"/>
        <rFont val="宋体"/>
        <charset val="0"/>
      </rPr>
      <t>厨房套装）生产排期表</t>
    </r>
  </si>
  <si>
    <t>香港接单日期</t>
  </si>
  <si>
    <t>提醒追客箱唛</t>
  </si>
  <si>
    <t>第三方客户名称</t>
  </si>
  <si>
    <t>走货国家</t>
  </si>
  <si>
    <t>ZURU PO NO#</t>
  </si>
  <si>
    <t>第三方客户
 PO NO#</t>
  </si>
  <si>
    <t>SKU</t>
  </si>
  <si>
    <t>ITEM#</t>
  </si>
  <si>
    <t>中文名</t>
  </si>
  <si>
    <t>PO数量
(pcs)</t>
  </si>
  <si>
    <t>内箱装箱数量(pcs)</t>
  </si>
  <si>
    <t>外箱装箱数量(pcs)</t>
  </si>
  <si>
    <t>总箱数</t>
  </si>
  <si>
    <t>客PO期</t>
  </si>
  <si>
    <t>验货期</t>
  </si>
  <si>
    <t>第三方验货期</t>
  </si>
  <si>
    <t>驗貨結果</t>
  </si>
  <si>
    <r>
      <rPr>
        <b/>
        <sz val="11"/>
        <rFont val="Arial"/>
        <charset val="0"/>
      </rPr>
      <t>S/0</t>
    </r>
    <r>
      <rPr>
        <b/>
        <sz val="11"/>
        <rFont val="宋体"/>
        <charset val="0"/>
      </rPr>
      <t>船期</t>
    </r>
  </si>
  <si>
    <t>箱唛确认</t>
  </si>
  <si>
    <t>箱唛资料(收到日期)</t>
  </si>
  <si>
    <t>外箱贴纸</t>
  </si>
  <si>
    <t>客供贴纸AI(收到日期)</t>
  </si>
  <si>
    <t>客供物料</t>
  </si>
  <si>
    <t>备注</t>
  </si>
  <si>
    <t>ZURU 跟单</t>
  </si>
  <si>
    <t>单价USD</t>
  </si>
  <si>
    <t>金额USD</t>
  </si>
  <si>
    <t>發票號</t>
  </si>
  <si>
    <t>系统货号</t>
  </si>
  <si>
    <t>是否入系统</t>
  </si>
  <si>
    <t>系统出单</t>
  </si>
  <si>
    <t>送货情况</t>
  </si>
  <si>
    <t>欠数</t>
  </si>
  <si>
    <t>贴纸</t>
  </si>
  <si>
    <t>MA 1L彩盒</t>
  </si>
  <si>
    <t>MA 3L彩盒</t>
  </si>
  <si>
    <t>MA车线说明书</t>
  </si>
  <si>
    <t>电池说明书</t>
  </si>
  <si>
    <t>ZURU</t>
  </si>
  <si>
    <t>中国</t>
  </si>
  <si>
    <t>#ZPO2511013</t>
  </si>
  <si>
    <t>工程安排</t>
  </si>
  <si>
    <t>77858-S001</t>
  </si>
  <si>
    <t>厨房套装</t>
  </si>
  <si>
    <t>空白箱</t>
  </si>
  <si>
    <t>无</t>
  </si>
  <si>
    <t>PP 样品：QA Testing Samples ，数量：6，地址：深圳市罗湖区东门南路1006号口岸大楼17B.Sally ,13418550560  备注2箱bulk pack需正确纸箱做运输测试+8套散件。
PP 样品：UL SZ Sample，数量：6，地址：Joyce Yao 电话：+ 86 755 8120 2849 优力胜邦质量检测（上海）有限公司深圳分公司 深圳市宝安区西乡街道航城大道一号中德欧产业园B 栋4 楼， 邮编：518126（寄出时请告知快递单号方便快速处理）包装完整成品
PP 样品：Internal Samples/Sample，数量：8/12,地址：深圳市罗湖区东门南路1006号口岸大楼A栋3楼，Shirley 18819441898
PP 样品：Signed  Sample room/show room,数量：220/24,东莞市库有实业有限公司, 地址：东莞市清溪镇香芒西路213号   收件人：Jessica,电话：15999542773
PP 样品：Fast star sample,数量：24，地址：TBD （请留意保留好此PP 样板，跟单会补下PO 单扣减此数量），需空运到新西兰做上架试卖，务必保证外观功能ok</t>
  </si>
  <si>
    <t>已入</t>
  </si>
  <si>
    <t>ZMPO251171</t>
  </si>
  <si>
    <t>Remark:跟PP订单一起安排/大货标准箱装箱/箱唛请参照邮件附件
备注：收到样品订单后尽快安排 ，注意样板品质质量要求要高于大货品质要求 ，送货时必须要附带送货单(没有送货单和QC检验合格报告的仓库一律拒绝收货)，请知悉，谢谢！</t>
  </si>
  <si>
    <t>ZURU NEW ZEALAND LIMITED</t>
  </si>
  <si>
    <t>新西兰</t>
  </si>
  <si>
    <t>从PP中扣数</t>
  </si>
  <si>
    <t>4500192110-10</t>
  </si>
  <si>
    <t>77858-S001-FS</t>
  </si>
  <si>
    <t>是</t>
  </si>
  <si>
    <t>有</t>
  </si>
  <si>
    <t>1/23黄色贴纸</t>
  </si>
  <si>
    <t>日期码格式：ZURU INC(BVI) 标准格式 日期：按实际生产日期
Packaging Info:
Remark: NZ Fast Start Order, 从PP PO中扣数，需要更换为fast start专属UPC，外箱除常规箱唛外，还需要加贴一张黄色贴纸，印“fast start".</t>
  </si>
  <si>
    <t>SD92</t>
  </si>
  <si>
    <t>无bom</t>
  </si>
  <si>
    <t>TARGET US</t>
  </si>
  <si>
    <t>美国</t>
  </si>
  <si>
    <t>10001661694-3891</t>
  </si>
  <si>
    <t>4500190738-30</t>
  </si>
  <si>
    <t>欠</t>
  </si>
  <si>
    <t>欠条码箱贴纸+Event label</t>
  </si>
  <si>
    <r>
      <rPr>
        <sz val="11"/>
        <rFont val="宋体"/>
        <charset val="0"/>
      </rPr>
      <t>日期码格式：ZURU INC(BVI) 标准格式 日期：按实际生产日期
Packaging Info:
77858： 产品包装 MA 1L</t>
    </r>
    <r>
      <rPr>
        <sz val="11"/>
        <color rgb="FFFF0000"/>
        <rFont val="宋体"/>
        <charset val="0"/>
      </rPr>
      <t xml:space="preserve"> 彩盒，彩盒上的UPC显示193052100238;</t>
    </r>
    <r>
      <rPr>
        <sz val="11"/>
        <rFont val="宋体"/>
        <charset val="0"/>
      </rPr>
      <t xml:space="preserve">
Remark: 
77858：
1. 77858-S001-MINI BRANDS-MAGIC COOK KITCHEN PLAYSET-SERIES 1-WINDOW BOX,3PCS/CTN;
2. 产品包装 MA 1L</t>
    </r>
    <r>
      <rPr>
        <sz val="11"/>
        <color rgb="FFFF0000"/>
        <rFont val="宋体"/>
        <charset val="0"/>
      </rPr>
      <t xml:space="preserve"> 彩盒，彩盒上的UPC显示193052100238;</t>
    </r>
    <r>
      <rPr>
        <sz val="11"/>
        <rFont val="宋体"/>
        <charset val="0"/>
      </rPr>
      <t xml:space="preserve">
3. 外箱正唛左上角位置粘贴条码箱贴纸，每箱只贴一张，由ZURU订购。来料贴纸上显示的客户DPCI: 086-02-5654, UPC显示10193052100235;
4. 每个外箱正唛箱唛内容右侧需贴一张Event label，内容显示 7/19 TRANSITION TOYS Set Date 7/19/2026，工厂自行订购;
以上Items：
1. 产品和包装上均要印刷tracking code信息，格式为ZURU常规格式；
2. 需要我司QC验货之后才能安排出货
3. 出货方式： 货代自提</t>
    </r>
  </si>
  <si>
    <t>Holly Zheng</t>
  </si>
  <si>
    <t>SMYTHS TOYS EU HQ UNLIMITED COMPANY</t>
  </si>
  <si>
    <t xml:space="preserve">法国 </t>
  </si>
  <si>
    <t>4500192944-10</t>
  </si>
  <si>
    <r>
      <rPr>
        <sz val="11"/>
        <rFont val="宋体"/>
        <charset val="134"/>
      </rPr>
      <t>欠</t>
    </r>
    <r>
      <rPr>
        <sz val="9"/>
        <color rgb="FF000000"/>
        <rFont val="STSong-Light"/>
        <charset val="134"/>
      </rPr>
      <t>MA</t>
    </r>
    <r>
      <rPr>
        <sz val="9"/>
        <color rgb="FF000000"/>
        <rFont val="宋体"/>
        <charset val="134"/>
      </rPr>
      <t>蔬菜盒子贴纸</t>
    </r>
  </si>
  <si>
    <t>日期码格式：ZURU INC(BVI) 标准格式 日期：按实际生产日期
Packaging Info: "77858: 最新MA3L-23Lwarning EAN彩盒+MA蔬菜盒子贴纸+MA复合袋+MA23L说明书+MA5L收藏指南+B版WEEE声明(不带电池)走货欧洲通用30L说明书
EAN#4894680058729"
Remark: Smyths 法国
1. 请准时出货，推期会有罚款；
2. 所有产品按符合欧洲标准走货，需要是不含微塑料版本。
3. 电子产品需增加一张WEEE声明30L通用黑白说明书(不接受A版本，翻译有误)，区分带电池和不带电池出货版本, 如已做客版说明书可忽略此要求；
4. 出口法国的产品, 法规规定禁止在包装和共公众用的印刷品中使用矿物油中含有的物质, 包装印刷油墨中含有的MOAH/MOSH的质量浓度不能超过1%, 否则出货到
法国被抽检出现问题, 供应商需要对此负责;
5.订单备注显示有分批的（不同仓库/订单号） ，注意分开做货出货，否则会导致罚款 。
6.包装日期码按ZURU格式即可，请确保不迟于外箱日期码，可等于或者早于外箱日期码，必须为法定工作日。
7.做货前请先复核包装条码与订单是否一致再安排，对不上的需与ZURU跟单确认再安排。</t>
  </si>
  <si>
    <t>Sherry Lu</t>
  </si>
  <si>
    <t>B版WEEE声明(不带电池)走货欧洲通用30L说明书</t>
  </si>
  <si>
    <t>4500192944-20</t>
  </si>
  <si>
    <t>SMYTHS TOYS HQ UC UK</t>
  </si>
  <si>
    <t>英国</t>
  </si>
  <si>
    <t>4400537129</t>
  </si>
  <si>
    <t>4500192931-10</t>
  </si>
  <si>
    <t>日期码格式：ZURU INC(BVI) 标准格式 日期：按实际生产日期
Packaging Info: "77858: 最新MA3L-23Lwarning EAN彩盒+MA蔬菜盒子贴纸+MA复合袋+MA23L说明书+MA5L收藏指南+B版WEEE声明(不带电池)走货欧洲通用30L说明书
EAN#4894680058729"
Remark: Smyths 英国/爱尔兰
1. 请准时出货，推期会有罚款；
2. 所有产品按符合欧洲标准走货，需要是不含微塑料版本。
3.包装日期码按ZURU格式即可，请确保不迟于外箱日期码，可等于或者早于外箱日期码，必须为法定工作日，印刷前请先检查外箱日期码。
4.请注意检查产品及包装应带UKCA图标（14+产品除外），包装显示ZURU UK LTD/ZURU France地址信息，QC部门请查核，如有问题与跟单确认
5.电子产品需增加一张WEEE声明30L通用黑白说明书(不接受A版本，翻译有误)，区分带电池和不带电池出货版本, 如已做客版说明书可忽略此要求；
6.订单备注显示有分批的（不同仓库/订单号） ，注意分开做货出货，否则会导致罚款 。
7.做货前请先复核包装条码与订单是否一致再安排，对不上的需与ZURU跟单确认再安排。</t>
  </si>
  <si>
    <t>SMYTHS TOYS HQ UC IE</t>
  </si>
  <si>
    <t>爱尔兰</t>
  </si>
  <si>
    <t>4400537132</t>
  </si>
  <si>
    <t>4500192938-10</t>
  </si>
  <si>
    <t>SMYTHS TOYS EU HQ UC</t>
  </si>
  <si>
    <t>德国</t>
  </si>
  <si>
    <t>4400537136</t>
  </si>
  <si>
    <t>4500192949-10</t>
  </si>
  <si>
    <t>2/10德语callout贴纸(本单放稿)+欠MA蔬菜盒子贴纸</t>
  </si>
  <si>
    <t>日期码格式：ZURU INC(BVI) 标准格式 日期：按实际生产日期
Packaging Info: "77858: 最新MA3L-23Lwarning EAN彩盒+1张德语callout贴纸(本单放稿)+MA蔬菜盒子贴纸+MA复合袋+MA23L说明书+MA5L收藏指南+B版WEEE声明(不带电池)走货欧洲
通用30L说明书
EAN#4894680058729"
Remark: Smyths 德国
1. 请准时出货，推期会有罚款；
2. 所有产品按符合欧洲标准走货，需要是不含微塑料版本。
3. 所有电子产品身上需要加字唛，为ZURU FRANCE 地址 (如无电子产品，产品布标有此地址，或产品太小无法增加可忽略此信息)，新地址ZURU FRANCE.33 rue Pa
ul Meurice 75020 Paris, France.
4. 电子产品需增加一张WEEE声明30L通用黑白说明书(不接受A版本，翻译有误)，区分带电池和不带电池出货版本, 如已做客版说明书可忽略此要求；
5.所有出往德国市场有关slime和带香味的都需要出无硼无香版本；
6.订单备注显示有分批的（不同仓库/订单号） ，注意分开做货出货，否则会导致罚款 。
7.包装日期码按ZURU格式即可，请确保不迟于外箱日期码，可等于或者早于外箱日期码，必须为法定工作日。
8.做货前请先复核包装条码与订单是否一致再安排，对不上的需与ZURU跟单确认再安排。
9.包装必须含法国Sorting Label信息，如没有，请提醒跟单提供贴纸资料。</t>
  </si>
  <si>
    <t>4400537151</t>
  </si>
  <si>
    <t>4500192949-20</t>
  </si>
  <si>
    <t>AMAZON.COM SERVICES LLC</t>
  </si>
  <si>
    <t>6FOAAL4E</t>
  </si>
  <si>
    <t>4500193997-10</t>
  </si>
  <si>
    <t>77858-S003-MB</t>
  </si>
  <si>
    <t>日期码格式：ZURU INC(BVI) 标准格式 日期：按实际生产日期
Packaging Info: #77858: STD 77858带MA包装入邮包盒，邮包盒图稿翻单4500192979。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</si>
  <si>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Kelly Shen/Mia Pan/P</t>
  </si>
  <si>
    <t>2FJ8CEIC</t>
  </si>
  <si>
    <t>4500194000-10</t>
  </si>
  <si>
    <t>LEKIA AB</t>
  </si>
  <si>
    <t>瑞典</t>
  </si>
  <si>
    <t>4500193679-10</t>
  </si>
  <si>
    <t>日期码格式：ZURU INC(BVI) 标准格式 日期：按实际生产日期
Packaging Info: 1. 77858: MA A3L(23L warning) EAN版彩盒+MA A23L黑白电池说明书+MA A版收藏指南+WEEE_不带电池走货 _ 说明书欧洲EN+29L_C版
Remark: 1. 包装如含PVC,请改为PET
2. 产品/包装要求无硼无香；
3. 出欧洲，微塑料需合规。
4.带电池出货的产品所用到的电池需要符合欧洲电池新规(EU) 2023-1542
5.产品/包装不含PFAS and/or Bisfenol成分
6. 产品条码如下: 请先检查条码是否正确再安排做货，如有问题请告知:
77858-S001:4894680058729</t>
  </si>
  <si>
    <t>Sheba Ye</t>
  </si>
  <si>
    <t>ZURU LLC</t>
  </si>
  <si>
    <t>5200008906</t>
  </si>
  <si>
    <t>4500192979-120</t>
  </si>
  <si>
    <t>77858-S003-MB-MTS</t>
  </si>
  <si>
    <t>邮包盒</t>
  </si>
  <si>
    <t>日期码格式：ZURU INC(BVI) 标准格式 日期：按实际生产日期
Packaging Info:
#77858: STD 77858带MA包装入邮包盒，邮包盒图稿跟单提供。首单需要提供大货样1PC(含邮包盒+产品)，测试样规格和大货一样，用于测ISTA6.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</si>
  <si>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360 SALES SOLUTIONS INC</t>
  </si>
  <si>
    <t>加拿大</t>
  </si>
  <si>
    <t>2026ZURU02</t>
  </si>
  <si>
    <t>4500192784-20</t>
  </si>
  <si>
    <t>日期码格式： 标准格式 日期：按实际生产日期
Packaging Info:
77858 MA 多语UPC版本包装193052100238
Remark: 出加拿大
Zuru验货.日期跟踪码：产品外包装及产品本身都必须有日期跟踪码，ZURU标准格式日期码。（箱唛日期码按跟单提供格式）</t>
  </si>
  <si>
    <t>Bella Tan</t>
  </si>
  <si>
    <t>.</t>
  </si>
  <si>
    <t>MA Order No. :</t>
  </si>
  <si>
    <t>MA-RR-2075</t>
  </si>
  <si>
    <t>MA-RR-</t>
  </si>
  <si>
    <t>Grand Total</t>
  </si>
  <si>
    <t>Order Date:</t>
  </si>
  <si>
    <t>Required CRD:</t>
  </si>
  <si>
    <t>Capsule 77858</t>
  </si>
  <si>
    <t>MA NO.</t>
  </si>
  <si>
    <t>IC No.</t>
  </si>
  <si>
    <t>IC Supplier</t>
  </si>
  <si>
    <t>IC Wafer</t>
  </si>
  <si>
    <t>L/T</t>
  </si>
  <si>
    <t>MOQ</t>
  </si>
  <si>
    <t>Unit Price</t>
  </si>
  <si>
    <t>MFQ QTY</t>
  </si>
  <si>
    <r>
      <rPr>
        <b/>
        <sz val="9"/>
        <color rgb="FFFFFF00"/>
        <rFont val="Tahoma"/>
        <charset val="134"/>
      </rPr>
      <t>MA-RR-1</t>
    </r>
    <r>
      <rPr>
        <b/>
        <sz val="9"/>
        <color indexed="34"/>
        <rFont val="宋体"/>
        <charset val="134"/>
      </rPr>
      <t>983</t>
    </r>
  </si>
  <si>
    <t>MA-RR-2025</t>
  </si>
  <si>
    <t>MA-RR-2045</t>
  </si>
  <si>
    <t>MA-RR-2119</t>
  </si>
  <si>
    <r>
      <rPr>
        <b/>
        <sz val="10"/>
        <color theme="0"/>
        <rFont val="Tahoma"/>
        <charset val="134"/>
      </rPr>
      <t>MA</t>
    </r>
    <r>
      <rPr>
        <b/>
        <sz val="10"/>
        <color indexed="9"/>
        <rFont val="宋体"/>
        <charset val="134"/>
      </rPr>
      <t>订单累计</t>
    </r>
    <r>
      <rPr>
        <b/>
        <sz val="10"/>
        <color indexed="9"/>
        <rFont val="Tahoma"/>
        <charset val="134"/>
      </rPr>
      <t xml:space="preserve"> Cumulative Total</t>
    </r>
  </si>
  <si>
    <t>Ordered Date</t>
  </si>
  <si>
    <t>Required Delivery Date</t>
  </si>
  <si>
    <t>供应商回复货期</t>
  </si>
  <si>
    <t>MB-Magic Cook Kitchen Playset S1 #77858</t>
  </si>
  <si>
    <t>HY2409148-6</t>
  </si>
  <si>
    <t>华远科创</t>
  </si>
  <si>
    <r>
      <rPr>
        <sz val="10"/>
        <color rgb="FFFF0000"/>
        <rFont val="Arial"/>
        <charset val="134"/>
      </rPr>
      <t>ZJ-3718L-1511 (</t>
    </r>
    <r>
      <rPr>
        <sz val="10"/>
        <color rgb="FFFF0000"/>
        <rFont val="宋体"/>
        <charset val="134"/>
      </rPr>
      <t>安规雾化片</t>
    </r>
    <r>
      <rPr>
        <sz val="10"/>
        <color rgb="FFFF0000"/>
        <rFont val="Arial"/>
        <charset val="134"/>
      </rPr>
      <t>)</t>
    </r>
  </si>
  <si>
    <t>东莞市智杰电子科技有限公司</t>
  </si>
  <si>
    <t>Running Sum</t>
  </si>
  <si>
    <t>放定日期</t>
  </si>
  <si>
    <t>到料日期</t>
  </si>
  <si>
    <t>Damand FCST by 2025-10-27</t>
  </si>
  <si>
    <t>MA No.</t>
  </si>
  <si>
    <t>MA-RR-1957</t>
  </si>
  <si>
    <t>MA</t>
  </si>
  <si>
    <t>图片</t>
  </si>
  <si>
    <t>名称</t>
  </si>
  <si>
    <t>Ratio</t>
  </si>
  <si>
    <t>布料名称</t>
  </si>
  <si>
    <t>部位</t>
  </si>
  <si>
    <t>用量</t>
  </si>
  <si>
    <t>可生产item数量(PCS)</t>
  </si>
  <si>
    <t>单价
(RMB)</t>
  </si>
  <si>
    <t>布料生產期單位(天)+测试</t>
  </si>
  <si>
    <t>MOQ可生产球的数量</t>
  </si>
  <si>
    <t>FCST布料需求量</t>
  </si>
  <si>
    <t>新购买</t>
  </si>
  <si>
    <t>累计购买金额</t>
  </si>
  <si>
    <t>总放定布料数</t>
  </si>
  <si>
    <t>总放定布料可生产数</t>
  </si>
  <si>
    <t>此款需求数(按Playset MA数量)</t>
  </si>
  <si>
    <t>此款布料需求(按球MA数量)</t>
  </si>
  <si>
    <t>库存剩余数量</t>
  </si>
  <si>
    <t>剩余布料可生产球数</t>
  </si>
  <si>
    <t>橙色格子帘布</t>
  </si>
  <si>
    <t>60"200G不防水白色四面弹斜纹布+数码满地印红橙格子+正反折皱</t>
  </si>
  <si>
    <t>帘子</t>
  </si>
  <si>
    <t>35+7天</t>
  </si>
  <si>
    <t>REVISION#</t>
  </si>
  <si>
    <t>DATE:</t>
  </si>
  <si>
    <t>COMMENT:</t>
  </si>
  <si>
    <t>Shipment Date:</t>
  </si>
  <si>
    <t>Zuru Order#</t>
  </si>
  <si>
    <t>MA-RR-2089</t>
  </si>
  <si>
    <t>Payment Terms</t>
  </si>
  <si>
    <t>SUPPLIER:</t>
  </si>
  <si>
    <t>Royal Regent - Hanson</t>
  </si>
  <si>
    <t>Attn:</t>
  </si>
  <si>
    <t>From:</t>
  </si>
  <si>
    <t>Jasmine Huang</t>
  </si>
  <si>
    <r>
      <rPr>
        <b/>
        <sz val="13"/>
        <color theme="0"/>
        <rFont val="黑体"/>
        <charset val="134"/>
      </rPr>
      <t>图片</t>
    </r>
  </si>
  <si>
    <r>
      <rPr>
        <b/>
        <sz val="13"/>
        <color theme="0"/>
        <rFont val="黑体"/>
        <charset val="134"/>
      </rPr>
      <t>名称</t>
    </r>
  </si>
  <si>
    <r>
      <rPr>
        <b/>
        <sz val="13"/>
        <color theme="0"/>
        <rFont val="黑体"/>
        <charset val="134"/>
      </rPr>
      <t>布料名称</t>
    </r>
  </si>
  <si>
    <r>
      <rPr>
        <b/>
        <sz val="13"/>
        <color theme="0"/>
        <rFont val="黑体"/>
        <charset val="134"/>
      </rPr>
      <t>布料</t>
    </r>
    <r>
      <rPr>
        <b/>
        <sz val="13"/>
        <color theme="0"/>
        <rFont val="Tahoma"/>
        <charset val="134"/>
      </rPr>
      <t>MOQ(y)</t>
    </r>
  </si>
  <si>
    <r>
      <rPr>
        <b/>
        <sz val="13"/>
        <color theme="0"/>
        <rFont val="黑体"/>
        <charset val="134"/>
      </rPr>
      <t>用量</t>
    </r>
  </si>
  <si>
    <r>
      <rPr>
        <b/>
        <sz val="13"/>
        <color theme="0"/>
        <rFont val="Tahoma"/>
        <charset val="134"/>
      </rPr>
      <t>MOQ</t>
    </r>
    <r>
      <rPr>
        <b/>
        <sz val="13"/>
        <color theme="0"/>
        <rFont val="黑体"/>
        <charset val="134"/>
      </rPr>
      <t>可生产数量</t>
    </r>
    <r>
      <rPr>
        <b/>
        <sz val="13"/>
        <color theme="0"/>
        <rFont val="Tahoma"/>
        <charset val="134"/>
      </rPr>
      <t>(PCS)</t>
    </r>
  </si>
  <si>
    <r>
      <rPr>
        <b/>
        <sz val="13"/>
        <color theme="0"/>
        <rFont val="黑体"/>
        <charset val="134"/>
      </rPr>
      <t xml:space="preserve">单价
</t>
    </r>
    <r>
      <rPr>
        <b/>
        <sz val="13"/>
        <color theme="0"/>
        <rFont val="Tahoma"/>
        <charset val="134"/>
      </rPr>
      <t>(RMB)</t>
    </r>
  </si>
  <si>
    <t>MA Qty</t>
  </si>
  <si>
    <t>Units</t>
  </si>
  <si>
    <r>
      <rPr>
        <b/>
        <sz val="13"/>
        <color theme="0"/>
        <rFont val="Tahoma"/>
        <charset val="134"/>
      </rPr>
      <t>MA Estimated Output</t>
    </r>
    <r>
      <rPr>
        <b/>
        <sz val="13"/>
        <color theme="0"/>
        <rFont val="黑体"/>
        <charset val="134"/>
      </rPr>
      <t>（</t>
    </r>
    <r>
      <rPr>
        <b/>
        <sz val="13"/>
        <color theme="0"/>
        <rFont val="Tahoma"/>
        <charset val="134"/>
      </rPr>
      <t>item</t>
    </r>
    <r>
      <rPr>
        <b/>
        <sz val="13"/>
        <color theme="0"/>
        <rFont val="黑体"/>
        <charset val="134"/>
      </rPr>
      <t>数）</t>
    </r>
  </si>
  <si>
    <t>Amount</t>
  </si>
  <si>
    <t>Remark</t>
  </si>
  <si>
    <r>
      <rPr>
        <sz val="13"/>
        <rFont val="Tahoma"/>
        <charset val="134"/>
      </rPr>
      <t>60"200G</t>
    </r>
    <r>
      <rPr>
        <sz val="13"/>
        <rFont val="宋体"/>
        <charset val="134"/>
      </rPr>
      <t>不防水白色四面弹斜纹布</t>
    </r>
    <r>
      <rPr>
        <sz val="13"/>
        <rFont val="Tahoma"/>
        <charset val="134"/>
      </rPr>
      <t>+</t>
    </r>
    <r>
      <rPr>
        <sz val="13"/>
        <rFont val="宋体"/>
        <charset val="134"/>
      </rPr>
      <t>数码满地印红橙格子</t>
    </r>
    <r>
      <rPr>
        <sz val="13"/>
        <rFont val="Tahoma"/>
        <charset val="134"/>
      </rPr>
      <t>+</t>
    </r>
    <r>
      <rPr>
        <sz val="13"/>
        <rFont val="宋体"/>
        <charset val="134"/>
      </rPr>
      <t>正反折皱</t>
    </r>
  </si>
  <si>
    <t>YDS</t>
  </si>
  <si>
    <t xml:space="preserve">77858#Magic Cook Kitchen Playset S1 Playset </t>
  </si>
  <si>
    <t>TTL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</si>
</sst>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00;\-[$$-409]#,##0.0000"/>
    <numFmt numFmtId="177" formatCode="_-* #,##0.00_-;\-* #,##0.00_-;_-* &quot;-&quot;??_-;_-@_-"/>
    <numFmt numFmtId="178" formatCode="#,##0_);[Red]\(#,##0\)"/>
    <numFmt numFmtId="179" formatCode="[$-409]d\-mmm\-yy;@"/>
    <numFmt numFmtId="180" formatCode="0.0000"/>
    <numFmt numFmtId="181" formatCode="_ * #,##0_ ;_ * \-#,##0_ ;_ * &quot;-&quot;??_ ;_ @_ "/>
    <numFmt numFmtId="182" formatCode="#,##0.000_ "/>
    <numFmt numFmtId="183" formatCode="\¥#,##0.00;\¥\-#,##0.00"/>
    <numFmt numFmtId="184" formatCode="_-* #,##0_-;\-* #,##0_-;_-* &quot;-&quot;??_-;_-@_-"/>
    <numFmt numFmtId="185" formatCode="\¥#,##0_);[Red]\(\¥#,##0\)"/>
    <numFmt numFmtId="186" formatCode="0.00_ "/>
    <numFmt numFmtId="187" formatCode="#,##0_ "/>
    <numFmt numFmtId="188" formatCode="#,##0_ ;[Red]\-#,##0\ "/>
    <numFmt numFmtId="189" formatCode="yyyy/m/d;@"/>
    <numFmt numFmtId="190" formatCode="yyyy/m/d&quot;周&quot;aaa"/>
    <numFmt numFmtId="191" formatCode="m/d;@"/>
    <numFmt numFmtId="192" formatCode="&quot;US$&quot;#,##0_);[Red]\(&quot;US$&quot;#,##0\)"/>
  </numFmts>
  <fonts count="93">
    <font>
      <sz val="11"/>
      <color theme="1"/>
      <name val="宋体"/>
      <charset val="134"/>
      <scheme val="minor"/>
    </font>
    <font>
      <sz val="12"/>
      <name val="宋体"/>
      <charset val="134"/>
    </font>
    <font>
      <sz val="10"/>
      <color rgb="FFC00000"/>
      <name val="Arial"/>
      <charset val="134"/>
    </font>
    <font>
      <sz val="10"/>
      <color rgb="FFFF0000"/>
      <name val="Arial"/>
      <charset val="134"/>
    </font>
    <font>
      <sz val="10"/>
      <name val="Arial"/>
      <charset val="134"/>
    </font>
    <font>
      <b/>
      <sz val="10"/>
      <color theme="0"/>
      <name val="Tahoma"/>
      <charset val="134"/>
    </font>
    <font>
      <b/>
      <sz val="10"/>
      <name val="Arial"/>
      <charset val="134"/>
    </font>
    <font>
      <sz val="10"/>
      <name val="Tahoma"/>
      <charset val="134"/>
    </font>
    <font>
      <b/>
      <sz val="10"/>
      <color rgb="FFC00000"/>
      <name val="宋体"/>
      <charset val="134"/>
    </font>
    <font>
      <b/>
      <sz val="10"/>
      <color rgb="FFC00000"/>
      <name val="Arial"/>
      <charset val="134"/>
    </font>
    <font>
      <sz val="10"/>
      <color rgb="FFC00000"/>
      <name val="Tahoma"/>
      <charset val="134"/>
    </font>
    <font>
      <sz val="10"/>
      <name val="宋体"/>
      <charset val="134"/>
    </font>
    <font>
      <b/>
      <sz val="10"/>
      <color theme="0"/>
      <name val="Arial"/>
      <charset val="134"/>
    </font>
    <font>
      <sz val="11"/>
      <color theme="1"/>
      <name val="Times New Roman"/>
      <charset val="134"/>
    </font>
    <font>
      <b/>
      <sz val="11"/>
      <color theme="0"/>
      <name val="宋体"/>
      <charset val="134"/>
      <scheme val="minor"/>
    </font>
    <font>
      <b/>
      <sz val="11"/>
      <color rgb="FFFFFF00"/>
      <name val="宋体"/>
      <charset val="134"/>
      <scheme val="minor"/>
    </font>
    <font>
      <sz val="11"/>
      <color rgb="FFFFFF00"/>
      <name val="宋体"/>
      <charset val="134"/>
      <scheme val="minor"/>
    </font>
    <font>
      <sz val="11"/>
      <color theme="0"/>
      <name val="宋体"/>
      <charset val="134"/>
      <scheme val="minor"/>
    </font>
    <font>
      <sz val="10"/>
      <color indexed="8"/>
      <name val="宋体"/>
      <charset val="134"/>
      <scheme val="minor"/>
    </font>
    <font>
      <sz val="11"/>
      <name val="宋体"/>
      <charset val="134"/>
      <scheme val="minor"/>
    </font>
    <font>
      <sz val="11"/>
      <color theme="1"/>
      <name val="Tahoma"/>
      <charset val="134"/>
    </font>
    <font>
      <b/>
      <sz val="14"/>
      <name val="Tahoma"/>
      <charset val="134"/>
    </font>
    <font>
      <sz val="13"/>
      <color theme="1"/>
      <name val="Tahoma"/>
      <charset val="134"/>
    </font>
    <font>
      <sz val="13"/>
      <name val="Tahoma"/>
      <charset val="134"/>
    </font>
    <font>
      <b/>
      <sz val="13"/>
      <color rgb="FF0000CC"/>
      <name val="Tahoma"/>
      <charset val="134"/>
    </font>
    <font>
      <b/>
      <sz val="13"/>
      <color rgb="FFFF0000"/>
      <name val="Tahoma"/>
      <charset val="134"/>
    </font>
    <font>
      <sz val="13"/>
      <color rgb="FFFF0000"/>
      <name val="Tahoma"/>
      <charset val="134"/>
    </font>
    <font>
      <b/>
      <sz val="13"/>
      <color theme="0"/>
      <name val="Tahoma"/>
      <charset val="134"/>
    </font>
    <font>
      <sz val="13"/>
      <color theme="1"/>
      <name val="宋体"/>
      <charset val="134"/>
    </font>
    <font>
      <b/>
      <sz val="9"/>
      <color rgb="FFFFFF00"/>
      <name val="Tahoma"/>
      <charset val="134"/>
    </font>
    <font>
      <b/>
      <sz val="11"/>
      <color rgb="FFFFC000"/>
      <name val="宋体"/>
      <charset val="134"/>
      <scheme val="minor"/>
    </font>
    <font>
      <b/>
      <sz val="11"/>
      <name val="Tahoma"/>
      <charset val="134"/>
    </font>
    <font>
      <sz val="11"/>
      <name val="Tahoma"/>
      <charset val="134"/>
    </font>
    <font>
      <b/>
      <sz val="11"/>
      <name val="宋体"/>
      <charset val="134"/>
      <scheme val="minor"/>
    </font>
    <font>
      <b/>
      <sz val="10"/>
      <name val="Times New Roman"/>
      <charset val="134"/>
    </font>
    <font>
      <b/>
      <sz val="10"/>
      <color rgb="FFFFFF00"/>
      <name val="Times New Roman"/>
      <charset val="134"/>
    </font>
    <font>
      <sz val="10"/>
      <name val="Times New Roman"/>
      <charset val="134"/>
    </font>
    <font>
      <b/>
      <sz val="10"/>
      <color theme="0"/>
      <name val="Times New Roman"/>
      <charset val="134"/>
    </font>
    <font>
      <b/>
      <sz val="10"/>
      <color theme="1"/>
      <name val="Times New Roman"/>
      <charset val="134"/>
    </font>
    <font>
      <sz val="11"/>
      <name val="Arial"/>
      <charset val="0"/>
    </font>
    <font>
      <b/>
      <sz val="12"/>
      <name val="Arial"/>
      <charset val="0"/>
    </font>
    <font>
      <b/>
      <sz val="16"/>
      <name val="Arial"/>
      <charset val="0"/>
    </font>
    <font>
      <b/>
      <sz val="11"/>
      <name val="Arial"/>
      <charset val="0"/>
    </font>
    <font>
      <b/>
      <sz val="9"/>
      <color rgb="FFFF0000"/>
      <name val="宋体"/>
      <charset val="0"/>
    </font>
    <font>
      <b/>
      <sz val="12"/>
      <color rgb="FFFF0000"/>
      <name val="宋体"/>
      <charset val="134"/>
    </font>
    <font>
      <b/>
      <sz val="11"/>
      <name val="Arial"/>
      <charset val="134"/>
    </font>
    <font>
      <b/>
      <sz val="12"/>
      <color indexed="10"/>
      <name val="宋体"/>
      <charset val="134"/>
    </font>
    <font>
      <b/>
      <sz val="12"/>
      <name val="宋体"/>
      <charset val="134"/>
    </font>
    <font>
      <b/>
      <sz val="11"/>
      <name val="宋体"/>
      <charset val="0"/>
    </font>
    <font>
      <sz val="10"/>
      <name val="等线"/>
      <charset val="134"/>
    </font>
    <font>
      <sz val="9"/>
      <color rgb="FFFF0000"/>
      <name val="宋体"/>
      <charset val="134"/>
      <scheme val="major"/>
    </font>
    <font>
      <sz val="11"/>
      <name val="宋体"/>
      <charset val="0"/>
    </font>
    <font>
      <sz val="10"/>
      <name val="Arial"/>
      <charset val="0"/>
    </font>
    <font>
      <sz val="11"/>
      <name val="宋体"/>
      <charset val="134"/>
    </font>
    <font>
      <b/>
      <sz val="10"/>
      <name val="Arial"/>
      <charset val="0"/>
    </font>
    <font>
      <b/>
      <sz val="9"/>
      <name val="宋体"/>
      <charset val="134"/>
      <scheme val="minor"/>
    </font>
    <font>
      <b/>
      <sz val="11"/>
      <name val="宋体"/>
      <charset val="134"/>
    </font>
    <font>
      <sz val="10.5"/>
      <name val="宋体"/>
      <charset val="134"/>
    </font>
    <font>
      <sz val="10"/>
      <name val="宋体"/>
      <charset val="134"/>
      <scheme val="minor"/>
    </font>
    <font>
      <sz val="9"/>
      <color rgb="FF000000"/>
      <name val="STSong-Light"/>
      <charset val="134"/>
    </font>
    <font>
      <b/>
      <sz val="11"/>
      <color rgb="FF7030A0"/>
      <name val="宋体"/>
      <charset val="0"/>
    </font>
    <font>
      <sz val="10"/>
      <color rgb="FFFF0000"/>
      <name val="宋体"/>
      <charset val="0"/>
    </font>
    <font>
      <sz val="9"/>
      <name val="STSong-Light"/>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新細明體"/>
      <charset val="134"/>
    </font>
    <font>
      <b/>
      <sz val="13"/>
      <color theme="0"/>
      <name val="黑体"/>
      <charset val="134"/>
    </font>
    <font>
      <b/>
      <sz val="9"/>
      <color indexed="34"/>
      <name val="宋体"/>
      <charset val="134"/>
    </font>
    <font>
      <b/>
      <sz val="12"/>
      <name val="宋体"/>
      <charset val="0"/>
    </font>
    <font>
      <sz val="10"/>
      <color rgb="FFFF0000"/>
      <name val="宋体"/>
      <charset val="134"/>
    </font>
    <font>
      <b/>
      <sz val="10"/>
      <color indexed="9"/>
      <name val="宋体"/>
      <charset val="134"/>
    </font>
    <font>
      <b/>
      <sz val="10"/>
      <color indexed="9"/>
      <name val="Tahoma"/>
      <charset val="134"/>
    </font>
    <font>
      <sz val="11"/>
      <color rgb="FFFF0000"/>
      <name val="宋体"/>
      <charset val="0"/>
    </font>
    <font>
      <sz val="13"/>
      <name val="宋体"/>
      <charset val="134"/>
    </font>
    <font>
      <sz val="9"/>
      <color rgb="FF000000"/>
      <name val="宋体"/>
      <charset val="134"/>
    </font>
  </fonts>
  <fills count="46">
    <fill>
      <patternFill patternType="none"/>
    </fill>
    <fill>
      <patternFill patternType="gray125"/>
    </fill>
    <fill>
      <patternFill patternType="solid">
        <fgColor theme="1" tint="0.499984740745262"/>
        <bgColor indexed="64"/>
      </patternFill>
    </fill>
    <fill>
      <patternFill patternType="solid">
        <fgColor theme="0" tint="-0.149998474074526"/>
        <bgColor indexed="64"/>
      </patternFill>
    </fill>
    <fill>
      <patternFill patternType="solid">
        <fgColor theme="6" tint="0.799981688894314"/>
        <bgColor indexed="64"/>
      </patternFill>
    </fill>
    <fill>
      <patternFill patternType="solid">
        <fgColor theme="0" tint="-0.499984740745262"/>
        <bgColor indexed="64"/>
      </patternFill>
    </fill>
    <fill>
      <patternFill patternType="solid">
        <fgColor indexed="9"/>
        <bgColor indexed="64"/>
      </patternFill>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A4FCB9"/>
        <bgColor indexed="64"/>
      </patternFill>
    </fill>
    <fill>
      <patternFill patternType="solid">
        <fgColor rgb="FFFFFF00"/>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0" tint="-0.0499893185216834"/>
        <bgColor indexed="64"/>
      </patternFill>
    </fill>
    <fill>
      <patternFill patternType="solid">
        <fgColor theme="0" tint="-0.149906918546098"/>
        <bgColor indexed="64"/>
      </patternFill>
    </fill>
    <fill>
      <patternFill patternType="solid">
        <fgColor rgb="FF00B0F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0" fillId="18" borderId="19"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20" applyNumberFormat="0" applyFill="0" applyAlignment="0" applyProtection="0">
      <alignment vertical="center"/>
    </xf>
    <xf numFmtId="0" fontId="69" fillId="0" borderId="20" applyNumberFormat="0" applyFill="0" applyAlignment="0" applyProtection="0">
      <alignment vertical="center"/>
    </xf>
    <xf numFmtId="0" fontId="70" fillId="0" borderId="21" applyNumberFormat="0" applyFill="0" applyAlignment="0" applyProtection="0">
      <alignment vertical="center"/>
    </xf>
    <xf numFmtId="0" fontId="70" fillId="0" borderId="0" applyNumberFormat="0" applyFill="0" applyBorder="0" applyAlignment="0" applyProtection="0">
      <alignment vertical="center"/>
    </xf>
    <xf numFmtId="0" fontId="71" fillId="19" borderId="22" applyNumberFormat="0" applyAlignment="0" applyProtection="0">
      <alignment vertical="center"/>
    </xf>
    <xf numFmtId="0" fontId="72" fillId="20" borderId="23" applyNumberFormat="0" applyAlignment="0" applyProtection="0">
      <alignment vertical="center"/>
    </xf>
    <xf numFmtId="0" fontId="73" fillId="20" borderId="22" applyNumberFormat="0" applyAlignment="0" applyProtection="0">
      <alignment vertical="center"/>
    </xf>
    <xf numFmtId="0" fontId="74" fillId="21" borderId="24" applyNumberFormat="0" applyAlignment="0" applyProtection="0">
      <alignment vertical="center"/>
    </xf>
    <xf numFmtId="0" fontId="75" fillId="0" borderId="25" applyNumberFormat="0" applyFill="0" applyAlignment="0" applyProtection="0">
      <alignment vertical="center"/>
    </xf>
    <xf numFmtId="0" fontId="76" fillId="0" borderId="26" applyNumberFormat="0" applyFill="0" applyAlignment="0" applyProtection="0">
      <alignment vertical="center"/>
    </xf>
    <xf numFmtId="0" fontId="77" fillId="22" borderId="0" applyNumberFormat="0" applyBorder="0" applyAlignment="0" applyProtection="0">
      <alignment vertical="center"/>
    </xf>
    <xf numFmtId="0" fontId="78" fillId="23" borderId="0" applyNumberFormat="0" applyBorder="0" applyAlignment="0" applyProtection="0">
      <alignment vertical="center"/>
    </xf>
    <xf numFmtId="0" fontId="79" fillId="24" borderId="0" applyNumberFormat="0" applyBorder="0" applyAlignment="0" applyProtection="0">
      <alignment vertical="center"/>
    </xf>
    <xf numFmtId="0" fontId="80" fillId="25" borderId="0" applyNumberFormat="0" applyBorder="0" applyAlignment="0" applyProtection="0">
      <alignment vertical="center"/>
    </xf>
    <xf numFmtId="0" fontId="81" fillId="26" borderId="0" applyNumberFormat="0" applyBorder="0" applyAlignment="0" applyProtection="0">
      <alignment vertical="center"/>
    </xf>
    <xf numFmtId="0" fontId="81" fillId="27" borderId="0" applyNumberFormat="0" applyBorder="0" applyAlignment="0" applyProtection="0">
      <alignment vertical="center"/>
    </xf>
    <xf numFmtId="0" fontId="80" fillId="28" borderId="0" applyNumberFormat="0" applyBorder="0" applyAlignment="0" applyProtection="0">
      <alignment vertical="center"/>
    </xf>
    <xf numFmtId="0" fontId="80" fillId="29" borderId="0" applyNumberFormat="0" applyBorder="0" applyAlignment="0" applyProtection="0">
      <alignment vertical="center"/>
    </xf>
    <xf numFmtId="0" fontId="81" fillId="30" borderId="0" applyNumberFormat="0" applyBorder="0" applyAlignment="0" applyProtection="0">
      <alignment vertical="center"/>
    </xf>
    <xf numFmtId="0" fontId="81" fillId="31" borderId="0" applyNumberFormat="0" applyBorder="0" applyAlignment="0" applyProtection="0">
      <alignment vertical="center"/>
    </xf>
    <xf numFmtId="0" fontId="80" fillId="32" borderId="0" applyNumberFormat="0" applyBorder="0" applyAlignment="0" applyProtection="0">
      <alignment vertical="center"/>
    </xf>
    <xf numFmtId="0" fontId="80" fillId="33" borderId="0" applyNumberFormat="0" applyBorder="0" applyAlignment="0" applyProtection="0">
      <alignment vertical="center"/>
    </xf>
    <xf numFmtId="0" fontId="81" fillId="4" borderId="0" applyNumberFormat="0" applyBorder="0" applyAlignment="0" applyProtection="0">
      <alignment vertical="center"/>
    </xf>
    <xf numFmtId="0" fontId="81" fillId="13" borderId="0" applyNumberFormat="0" applyBorder="0" applyAlignment="0" applyProtection="0">
      <alignment vertical="center"/>
    </xf>
    <xf numFmtId="0" fontId="80" fillId="34" borderId="0" applyNumberFormat="0" applyBorder="0" applyAlignment="0" applyProtection="0">
      <alignment vertical="center"/>
    </xf>
    <xf numFmtId="0" fontId="80" fillId="35" borderId="0" applyNumberFormat="0" applyBorder="0" applyAlignment="0" applyProtection="0">
      <alignment vertical="center"/>
    </xf>
    <xf numFmtId="0" fontId="81" fillId="36" borderId="0" applyNumberFormat="0" applyBorder="0" applyAlignment="0" applyProtection="0">
      <alignment vertical="center"/>
    </xf>
    <xf numFmtId="0" fontId="81" fillId="37" borderId="0" applyNumberFormat="0" applyBorder="0" applyAlignment="0" applyProtection="0">
      <alignment vertical="center"/>
    </xf>
    <xf numFmtId="0" fontId="80" fillId="38" borderId="0" applyNumberFormat="0" applyBorder="0" applyAlignment="0" applyProtection="0">
      <alignment vertical="center"/>
    </xf>
    <xf numFmtId="0" fontId="80" fillId="39" borderId="0" applyNumberFormat="0" applyBorder="0" applyAlignment="0" applyProtection="0">
      <alignment vertical="center"/>
    </xf>
    <xf numFmtId="0" fontId="81" fillId="40" borderId="0" applyNumberFormat="0" applyBorder="0" applyAlignment="0" applyProtection="0">
      <alignment vertical="center"/>
    </xf>
    <xf numFmtId="0" fontId="81" fillId="41" borderId="0" applyNumberFormat="0" applyBorder="0" applyAlignment="0" applyProtection="0">
      <alignment vertical="center"/>
    </xf>
    <xf numFmtId="0" fontId="80" fillId="42" borderId="0" applyNumberFormat="0" applyBorder="0" applyAlignment="0" applyProtection="0">
      <alignment vertical="center"/>
    </xf>
    <xf numFmtId="0" fontId="80" fillId="43" borderId="0" applyNumberFormat="0" applyBorder="0" applyAlignment="0" applyProtection="0">
      <alignment vertical="center"/>
    </xf>
    <xf numFmtId="0" fontId="81" fillId="44" borderId="0" applyNumberFormat="0" applyBorder="0" applyAlignment="0" applyProtection="0">
      <alignment vertical="center"/>
    </xf>
    <xf numFmtId="0" fontId="81" fillId="12" borderId="0" applyNumberFormat="0" applyBorder="0" applyAlignment="0" applyProtection="0">
      <alignment vertical="center"/>
    </xf>
    <xf numFmtId="0" fontId="80" fillId="45" borderId="0" applyNumberFormat="0" applyBorder="0" applyAlignment="0" applyProtection="0">
      <alignment vertical="center"/>
    </xf>
    <xf numFmtId="43" fontId="0" fillId="0" borderId="0" applyFont="0" applyFill="0" applyBorder="0" applyAlignment="0" applyProtection="0">
      <alignment vertical="center"/>
    </xf>
    <xf numFmtId="0" fontId="1" fillId="0" borderId="0">
      <alignment vertical="center"/>
    </xf>
    <xf numFmtId="176" fontId="82" fillId="0" borderId="0">
      <alignment vertical="center"/>
    </xf>
    <xf numFmtId="177" fontId="4" fillId="0" borderId="0" applyFont="0" applyFill="0" applyBorder="0" applyAlignment="0" applyProtection="0">
      <alignment vertical="center"/>
    </xf>
    <xf numFmtId="0" fontId="4" fillId="0" borderId="0"/>
    <xf numFmtId="0" fontId="0" fillId="0" borderId="0"/>
    <xf numFmtId="176" fontId="83" fillId="0" borderId="0">
      <alignment vertical="center"/>
    </xf>
    <xf numFmtId="0" fontId="1" fillId="0" borderId="0">
      <alignment vertical="center"/>
    </xf>
    <xf numFmtId="0" fontId="0" fillId="0" borderId="0">
      <alignment vertical="center"/>
    </xf>
  </cellStyleXfs>
  <cellXfs count="334">
    <xf numFmtId="0" fontId="0" fillId="0" borderId="0" xfId="0">
      <alignment vertical="center"/>
    </xf>
    <xf numFmtId="0" fontId="1" fillId="0" borderId="0" xfId="0" applyFont="1" applyFill="1" applyAlignment="1">
      <alignment vertical="center"/>
    </xf>
    <xf numFmtId="0" fontId="2" fillId="0" borderId="0" xfId="53" applyFont="1"/>
    <xf numFmtId="0" fontId="3" fillId="0" borderId="0" xfId="53" applyFont="1"/>
    <xf numFmtId="0" fontId="0" fillId="0" borderId="0" xfId="53" applyFont="1" applyFill="1" applyAlignment="1"/>
    <xf numFmtId="0" fontId="0" fillId="0" borderId="0" xfId="53" applyFont="1" applyFill="1" applyAlignment="1">
      <alignment horizontal="center" vertical="center"/>
    </xf>
    <xf numFmtId="0" fontId="4" fillId="0" borderId="0" xfId="53"/>
    <xf numFmtId="0" fontId="5" fillId="2" borderId="1" xfId="53" applyFont="1" applyFill="1" applyBorder="1" applyAlignment="1" applyProtection="1">
      <alignment horizontal="center" vertical="top" wrapText="1"/>
      <protection locked="0"/>
    </xf>
    <xf numFmtId="0" fontId="6" fillId="3" borderId="1" xfId="53" applyFont="1" applyFill="1" applyBorder="1" applyAlignment="1" applyProtection="1">
      <protection locked="0"/>
    </xf>
    <xf numFmtId="14" fontId="7" fillId="3" borderId="1" xfId="53" applyNumberFormat="1" applyFont="1" applyFill="1" applyBorder="1" applyAlignment="1" applyProtection="1">
      <alignment horizontal="center" vertical="center"/>
      <protection locked="0"/>
    </xf>
    <xf numFmtId="0" fontId="8" fillId="3" borderId="1" xfId="53" applyFont="1" applyFill="1" applyBorder="1" applyAlignment="1" applyProtection="1">
      <protection locked="0"/>
    </xf>
    <xf numFmtId="0" fontId="9" fillId="3" borderId="1" xfId="53" applyFont="1" applyFill="1" applyBorder="1" applyAlignment="1" applyProtection="1">
      <protection locked="0"/>
    </xf>
    <xf numFmtId="14" fontId="10" fillId="3" borderId="1" xfId="53" applyNumberFormat="1" applyFont="1" applyFill="1" applyBorder="1" applyAlignment="1" applyProtection="1">
      <alignment horizontal="center" vertical="center"/>
      <protection locked="0"/>
    </xf>
    <xf numFmtId="0" fontId="6" fillId="4" borderId="1" xfId="53" applyFont="1" applyFill="1" applyBorder="1" applyAlignment="1" applyProtection="1">
      <alignment horizontal="left" vertical="center" wrapText="1"/>
      <protection locked="0"/>
    </xf>
    <xf numFmtId="0" fontId="3" fillId="4" borderId="1" xfId="53" applyFont="1" applyFill="1" applyBorder="1" applyAlignment="1" applyProtection="1">
      <alignment horizontal="center" vertical="center"/>
      <protection locked="0"/>
    </xf>
    <xf numFmtId="0" fontId="11" fillId="4" borderId="1" xfId="53" applyFont="1" applyFill="1" applyBorder="1" applyAlignment="1" applyProtection="1">
      <alignment horizontal="center" vertical="center"/>
      <protection locked="0"/>
    </xf>
    <xf numFmtId="0" fontId="4" fillId="4" borderId="1" xfId="53" applyFont="1" applyFill="1" applyBorder="1" applyAlignment="1" applyProtection="1">
      <alignment horizontal="center" vertical="center"/>
      <protection locked="0"/>
    </xf>
    <xf numFmtId="178" fontId="4" fillId="4" borderId="1" xfId="53" applyNumberFormat="1" applyFont="1" applyFill="1" applyBorder="1" applyAlignment="1" applyProtection="1">
      <alignment horizontal="right" vertical="center"/>
      <protection locked="0"/>
    </xf>
    <xf numFmtId="177" fontId="10" fillId="3" borderId="1" xfId="52" applyFont="1" applyFill="1" applyBorder="1" applyAlignment="1" applyProtection="1">
      <alignment horizontal="center" vertical="center"/>
      <protection locked="0"/>
    </xf>
    <xf numFmtId="0" fontId="3" fillId="4" borderId="1" xfId="53" applyFont="1" applyFill="1" applyBorder="1" applyAlignment="1" applyProtection="1">
      <alignment horizontal="center" vertical="center" wrapText="1"/>
      <protection locked="0"/>
    </xf>
    <xf numFmtId="0" fontId="11" fillId="4" borderId="1" xfId="53" applyFont="1" applyFill="1" applyBorder="1" applyAlignment="1" applyProtection="1">
      <alignment horizontal="center" vertical="center" wrapText="1"/>
      <protection locked="0"/>
    </xf>
    <xf numFmtId="0" fontId="12" fillId="2" borderId="1" xfId="53" applyFont="1" applyFill="1" applyBorder="1" applyAlignment="1" applyProtection="1">
      <protection locked="0"/>
    </xf>
    <xf numFmtId="14" fontId="4" fillId="0" borderId="0" xfId="53" applyNumberFormat="1"/>
    <xf numFmtId="0" fontId="13" fillId="0" borderId="0" xfId="0" applyFont="1" applyFill="1" applyAlignment="1">
      <alignment vertical="center"/>
    </xf>
    <xf numFmtId="0" fontId="0" fillId="0" borderId="0" xfId="54" applyAlignment="1">
      <alignment horizontal="left" wrapText="1"/>
    </xf>
    <xf numFmtId="0" fontId="0" fillId="0" borderId="0" xfId="54" applyAlignment="1">
      <alignment horizontal="left" vertical="center" wrapText="1"/>
    </xf>
    <xf numFmtId="176" fontId="14" fillId="5" borderId="1" xfId="51" applyFont="1" applyFill="1" applyBorder="1" applyAlignment="1">
      <alignment horizontal="left" vertical="center" wrapText="1"/>
    </xf>
    <xf numFmtId="179" fontId="14" fillId="5" borderId="1" xfId="52" applyNumberFormat="1" applyFont="1" applyFill="1" applyBorder="1" applyAlignment="1">
      <alignment horizontal="left" vertical="center" wrapText="1"/>
    </xf>
    <xf numFmtId="179" fontId="15" fillId="5" borderId="1" xfId="52" applyNumberFormat="1" applyFont="1" applyFill="1" applyBorder="1" applyAlignment="1">
      <alignment horizontal="left" vertical="center" wrapText="1"/>
    </xf>
    <xf numFmtId="179" fontId="16" fillId="5" borderId="2" xfId="52" applyNumberFormat="1" applyFont="1" applyFill="1" applyBorder="1" applyAlignment="1">
      <alignment horizontal="left" vertical="center" wrapText="1"/>
    </xf>
    <xf numFmtId="176" fontId="17" fillId="5" borderId="1" xfId="51" applyFont="1" applyFill="1" applyBorder="1" applyAlignment="1">
      <alignment horizontal="left" vertical="center" wrapText="1"/>
    </xf>
    <xf numFmtId="176" fontId="14" fillId="5" borderId="2" xfId="51" applyFont="1" applyFill="1" applyBorder="1" applyAlignment="1">
      <alignment horizontal="left" vertical="top" wrapText="1"/>
    </xf>
    <xf numFmtId="176" fontId="17" fillId="5" borderId="2" xfId="51" applyFont="1" applyFill="1" applyBorder="1" applyAlignment="1">
      <alignment horizontal="left" vertical="top" wrapText="1"/>
    </xf>
    <xf numFmtId="176" fontId="14" fillId="5" borderId="2" xfId="51" applyFont="1" applyFill="1" applyBorder="1" applyAlignment="1">
      <alignment horizontal="left" vertical="top" wrapText="1" shrinkToFit="1"/>
    </xf>
    <xf numFmtId="0" fontId="0" fillId="0" borderId="3" xfId="54" applyBorder="1" applyAlignment="1">
      <alignment vertical="center" wrapText="1"/>
    </xf>
    <xf numFmtId="0" fontId="0" fillId="0" borderId="4" xfId="54" applyBorder="1" applyAlignment="1">
      <alignment vertical="center" wrapText="1"/>
    </xf>
    <xf numFmtId="180" fontId="18" fillId="0" borderId="4" xfId="55" applyNumberFormat="1" applyFont="1" applyBorder="1" applyAlignment="1">
      <alignment vertical="center" wrapText="1"/>
    </xf>
    <xf numFmtId="0" fontId="19" fillId="0" borderId="5" xfId="56" applyFont="1" applyBorder="1" applyAlignment="1">
      <alignment horizontal="center" vertical="center" wrapText="1"/>
    </xf>
    <xf numFmtId="181" fontId="0" fillId="0" borderId="5" xfId="52" applyNumberFormat="1" applyFont="1" applyFill="1" applyBorder="1" applyAlignment="1">
      <alignment horizontal="center" vertical="center" wrapText="1"/>
    </xf>
    <xf numFmtId="181" fontId="0" fillId="0" borderId="5" xfId="52" applyNumberFormat="1" applyFont="1" applyFill="1" applyBorder="1" applyAlignment="1">
      <alignment horizontal="center" vertical="center" wrapText="1" shrinkToFit="1"/>
    </xf>
    <xf numFmtId="180" fontId="0" fillId="0" borderId="5" xfId="54" applyNumberFormat="1" applyBorder="1" applyAlignment="1">
      <alignment horizontal="center" vertical="center" wrapText="1"/>
    </xf>
    <xf numFmtId="178" fontId="15" fillId="5" borderId="1" xfId="52" applyNumberFormat="1" applyFont="1" applyFill="1" applyBorder="1" applyAlignment="1">
      <alignment horizontal="left" vertical="center" wrapText="1"/>
    </xf>
    <xf numFmtId="0" fontId="20" fillId="0" borderId="6" xfId="54" applyFont="1" applyFill="1" applyBorder="1" applyAlignment="1">
      <alignment horizontal="left" wrapText="1"/>
    </xf>
    <xf numFmtId="0" fontId="20" fillId="0" borderId="0" xfId="54" applyFont="1" applyFill="1" applyAlignment="1">
      <alignment horizontal="left" wrapText="1"/>
    </xf>
    <xf numFmtId="0" fontId="21" fillId="0" borderId="0" xfId="54" applyFont="1" applyFill="1" applyAlignment="1">
      <alignment horizontal="left"/>
    </xf>
    <xf numFmtId="0" fontId="22" fillId="0" borderId="6" xfId="54" applyFont="1" applyFill="1" applyBorder="1" applyAlignment="1">
      <alignment horizontal="left" wrapText="1"/>
    </xf>
    <xf numFmtId="3" fontId="23" fillId="0" borderId="1" xfId="54" applyNumberFormat="1" applyFont="1" applyFill="1" applyBorder="1" applyAlignment="1"/>
    <xf numFmtId="14" fontId="24" fillId="0" borderId="7" xfId="54" applyNumberFormat="1" applyFont="1" applyFill="1" applyBorder="1" applyAlignment="1">
      <alignment horizontal="left"/>
    </xf>
    <xf numFmtId="14" fontId="24" fillId="0" borderId="8" xfId="54" applyNumberFormat="1" applyFont="1" applyFill="1" applyBorder="1" applyAlignment="1">
      <alignment horizontal="left"/>
    </xf>
    <xf numFmtId="0" fontId="22" fillId="0" borderId="0" xfId="54" applyFont="1" applyFill="1" applyAlignment="1">
      <alignment horizontal="left" wrapText="1"/>
    </xf>
    <xf numFmtId="0" fontId="23" fillId="6" borderId="1" xfId="54" applyFont="1" applyFill="1" applyBorder="1" applyAlignment="1">
      <alignment horizontal="left"/>
    </xf>
    <xf numFmtId="0" fontId="23" fillId="0" borderId="7" xfId="54" applyFont="1" applyFill="1" applyBorder="1" applyAlignment="1"/>
    <xf numFmtId="0" fontId="23" fillId="6" borderId="7" xfId="54" applyFont="1" applyFill="1" applyBorder="1" applyAlignment="1"/>
    <xf numFmtId="0" fontId="23" fillId="0" borderId="1" xfId="54" applyFont="1" applyFill="1" applyBorder="1" applyAlignment="1"/>
    <xf numFmtId="0" fontId="25" fillId="0" borderId="7" xfId="54" applyFont="1" applyFill="1" applyBorder="1" applyAlignment="1">
      <alignment horizontal="left"/>
    </xf>
    <xf numFmtId="0" fontId="25" fillId="0" borderId="8" xfId="54" applyFont="1" applyFill="1" applyBorder="1" applyAlignment="1">
      <alignment horizontal="left"/>
    </xf>
    <xf numFmtId="58" fontId="26" fillId="6" borderId="1" xfId="54" applyNumberFormat="1" applyFont="1" applyFill="1" applyBorder="1" applyAlignment="1">
      <alignment horizontal="left"/>
    </xf>
    <xf numFmtId="14" fontId="26" fillId="6" borderId="1" xfId="54" applyNumberFormat="1" applyFont="1" applyFill="1" applyBorder="1" applyAlignment="1">
      <alignment horizontal="left"/>
    </xf>
    <xf numFmtId="3" fontId="26" fillId="6" borderId="6" xfId="54" applyNumberFormat="1" applyFont="1" applyFill="1" applyBorder="1" applyAlignment="1"/>
    <xf numFmtId="0" fontId="23" fillId="0" borderId="7" xfId="54" applyFont="1" applyFill="1" applyBorder="1" applyAlignment="1">
      <alignment horizontal="left"/>
    </xf>
    <xf numFmtId="0" fontId="23" fillId="0" borderId="8" xfId="54" applyFont="1" applyFill="1" applyBorder="1" applyAlignment="1">
      <alignment horizontal="left"/>
    </xf>
    <xf numFmtId="14" fontId="26" fillId="6" borderId="7" xfId="54" applyNumberFormat="1" applyFont="1" applyFill="1" applyBorder="1" applyAlignment="1">
      <alignment horizontal="left"/>
    </xf>
    <xf numFmtId="0" fontId="23" fillId="6" borderId="0" xfId="54" applyFont="1" applyFill="1" applyAlignment="1">
      <alignment horizontal="left"/>
    </xf>
    <xf numFmtId="0" fontId="23" fillId="6" borderId="0" xfId="54" applyFont="1" applyFill="1" applyAlignment="1"/>
    <xf numFmtId="0" fontId="27" fillId="5" borderId="1" xfId="50" applyFont="1" applyFill="1" applyBorder="1" applyAlignment="1">
      <alignment horizontal="left" vertical="top" wrapText="1"/>
    </xf>
    <xf numFmtId="0" fontId="27" fillId="5" borderId="7" xfId="50" applyFont="1" applyFill="1" applyBorder="1" applyAlignment="1">
      <alignment horizontal="left" vertical="top" wrapText="1"/>
    </xf>
    <xf numFmtId="0" fontId="27" fillId="5" borderId="8" xfId="50" applyFont="1" applyFill="1" applyBorder="1" applyAlignment="1">
      <alignment horizontal="left" vertical="top" wrapText="1"/>
    </xf>
    <xf numFmtId="0" fontId="27" fillId="5" borderId="1" xfId="50" applyFont="1" applyFill="1" applyBorder="1" applyAlignment="1">
      <alignment horizontal="left" vertical="top" wrapText="1" shrinkToFit="1"/>
    </xf>
    <xf numFmtId="0" fontId="27" fillId="5" borderId="9" xfId="50" applyFont="1" applyFill="1" applyBorder="1" applyAlignment="1">
      <alignment horizontal="left" vertical="top" wrapText="1" shrinkToFit="1"/>
    </xf>
    <xf numFmtId="0" fontId="22" fillId="0" borderId="2" xfId="54" applyFont="1" applyFill="1" applyBorder="1" applyAlignment="1">
      <alignment horizontal="center" wrapText="1"/>
    </xf>
    <xf numFmtId="0" fontId="28" fillId="0" borderId="2" xfId="54" applyFont="1" applyFill="1" applyBorder="1" applyAlignment="1">
      <alignment horizontal="center" vertical="center" wrapText="1"/>
    </xf>
    <xf numFmtId="0" fontId="23" fillId="0" borderId="10" xfId="56" applyFont="1" applyFill="1" applyBorder="1" applyAlignment="1">
      <alignment horizontal="center" vertical="center" wrapText="1"/>
    </xf>
    <xf numFmtId="0" fontId="23" fillId="0" borderId="11" xfId="56" applyFont="1" applyFill="1" applyBorder="1" applyAlignment="1">
      <alignment horizontal="center" vertical="center" wrapText="1"/>
    </xf>
    <xf numFmtId="182" fontId="23" fillId="0" borderId="10" xfId="56" applyNumberFormat="1" applyFont="1" applyFill="1" applyBorder="1" applyAlignment="1">
      <alignment horizontal="center" vertical="center" wrapText="1"/>
    </xf>
    <xf numFmtId="181" fontId="22" fillId="0" borderId="2" xfId="49" applyNumberFormat="1" applyFont="1" applyFill="1" applyBorder="1" applyAlignment="1">
      <alignment horizontal="center" vertical="center" wrapText="1" shrinkToFit="1"/>
    </xf>
    <xf numFmtId="183" fontId="23" fillId="0" borderId="10" xfId="56" applyNumberFormat="1" applyFont="1" applyFill="1" applyBorder="1" applyAlignment="1">
      <alignment horizontal="center" vertical="center" wrapText="1"/>
    </xf>
    <xf numFmtId="0" fontId="22" fillId="0" borderId="12" xfId="54" applyFont="1" applyFill="1" applyBorder="1" applyAlignment="1">
      <alignment horizontal="center" wrapText="1"/>
    </xf>
    <xf numFmtId="0" fontId="28" fillId="0" borderId="12" xfId="54" applyFont="1" applyFill="1" applyBorder="1" applyAlignment="1">
      <alignment horizontal="center" vertical="center" wrapText="1"/>
    </xf>
    <xf numFmtId="0" fontId="23" fillId="0" borderId="13" xfId="56" applyFont="1" applyFill="1" applyBorder="1" applyAlignment="1">
      <alignment horizontal="center" vertical="center" wrapText="1"/>
    </xf>
    <xf numFmtId="0" fontId="23" fillId="0" borderId="14" xfId="56" applyFont="1" applyFill="1" applyBorder="1" applyAlignment="1">
      <alignment horizontal="center" vertical="center" wrapText="1"/>
    </xf>
    <xf numFmtId="182" fontId="23" fillId="0" borderId="13" xfId="56" applyNumberFormat="1" applyFont="1" applyFill="1" applyBorder="1" applyAlignment="1">
      <alignment horizontal="center" vertical="center" wrapText="1"/>
    </xf>
    <xf numFmtId="181" fontId="22" fillId="0" borderId="12" xfId="49" applyNumberFormat="1" applyFont="1" applyFill="1" applyBorder="1" applyAlignment="1">
      <alignment horizontal="center" vertical="center" wrapText="1" shrinkToFit="1"/>
    </xf>
    <xf numFmtId="183" fontId="23" fillId="0" borderId="13" xfId="56" applyNumberFormat="1" applyFont="1" applyFill="1" applyBorder="1" applyAlignment="1">
      <alignment horizontal="center" vertical="center" wrapText="1"/>
    </xf>
    <xf numFmtId="178" fontId="23" fillId="7" borderId="13" xfId="54" applyNumberFormat="1" applyFont="1" applyFill="1" applyBorder="1" applyAlignment="1">
      <alignment horizontal="left" wrapText="1"/>
    </xf>
    <xf numFmtId="178" fontId="23" fillId="7" borderId="15" xfId="54" applyNumberFormat="1" applyFont="1" applyFill="1" applyBorder="1" applyAlignment="1">
      <alignment horizontal="left" wrapText="1"/>
    </xf>
    <xf numFmtId="0" fontId="29" fillId="2" borderId="1" xfId="53" applyFont="1" applyFill="1" applyBorder="1" applyAlignment="1" applyProtection="1">
      <alignment horizontal="center" vertical="top" wrapText="1"/>
      <protection locked="0"/>
    </xf>
    <xf numFmtId="178" fontId="4" fillId="0" borderId="1" xfId="53" applyNumberFormat="1" applyFont="1" applyFill="1" applyBorder="1" applyAlignment="1">
      <alignment horizontal="right" vertical="center"/>
    </xf>
    <xf numFmtId="178" fontId="12" fillId="2" borderId="1" xfId="53" applyNumberFormat="1" applyFont="1" applyFill="1" applyBorder="1" applyAlignment="1" applyProtection="1">
      <alignment horizontal="right" vertical="center"/>
      <protection locked="0"/>
    </xf>
    <xf numFmtId="184" fontId="12" fillId="2" borderId="1" xfId="52" applyNumberFormat="1" applyFont="1" applyFill="1" applyBorder="1" applyAlignment="1" applyProtection="1">
      <protection locked="0"/>
    </xf>
    <xf numFmtId="178" fontId="12" fillId="8" borderId="1" xfId="53" applyNumberFormat="1" applyFont="1" applyFill="1" applyBorder="1" applyAlignment="1" applyProtection="1">
      <protection locked="0"/>
    </xf>
    <xf numFmtId="179" fontId="15" fillId="5" borderId="1" xfId="52" applyNumberFormat="1" applyFont="1" applyFill="1" applyBorder="1" applyAlignment="1">
      <alignment horizontal="center" vertical="center" wrapText="1"/>
    </xf>
    <xf numFmtId="14" fontId="15" fillId="5" borderId="1" xfId="52" applyNumberFormat="1" applyFont="1" applyFill="1" applyBorder="1" applyAlignment="1">
      <alignment horizontal="center" vertical="center" wrapText="1"/>
    </xf>
    <xf numFmtId="185" fontId="0" fillId="0" borderId="0" xfId="52" applyNumberFormat="1" applyFont="1" applyAlignment="1">
      <alignment horizontal="left" vertical="center" wrapText="1"/>
    </xf>
    <xf numFmtId="179" fontId="15" fillId="5" borderId="2" xfId="52" applyNumberFormat="1" applyFont="1" applyFill="1" applyBorder="1" applyAlignment="1">
      <alignment horizontal="center" vertical="center" wrapText="1"/>
    </xf>
    <xf numFmtId="14" fontId="15" fillId="5" borderId="2" xfId="52" applyNumberFormat="1" applyFont="1" applyFill="1" applyBorder="1" applyAlignment="1">
      <alignment horizontal="center" vertical="center" wrapText="1"/>
    </xf>
    <xf numFmtId="186" fontId="14" fillId="5" borderId="7" xfId="51" applyNumberFormat="1" applyFont="1" applyFill="1" applyBorder="1" applyAlignment="1">
      <alignment horizontal="center" vertical="center" wrapText="1"/>
    </xf>
    <xf numFmtId="186" fontId="14" fillId="5" borderId="8" xfId="51" applyNumberFormat="1" applyFont="1" applyFill="1" applyBorder="1" applyAlignment="1">
      <alignment horizontal="center" vertical="center" wrapText="1"/>
    </xf>
    <xf numFmtId="181" fontId="14" fillId="5" borderId="1" xfId="52" applyNumberFormat="1" applyFont="1" applyFill="1" applyBorder="1" applyAlignment="1">
      <alignment horizontal="left" vertical="center" wrapText="1"/>
    </xf>
    <xf numFmtId="178" fontId="15" fillId="5" borderId="1" xfId="54" applyNumberFormat="1" applyFont="1" applyFill="1" applyBorder="1" applyAlignment="1">
      <alignment horizontal="center" vertical="center" wrapText="1"/>
    </xf>
    <xf numFmtId="186" fontId="14" fillId="5" borderId="2" xfId="51" applyNumberFormat="1" applyFont="1" applyFill="1" applyBorder="1" applyAlignment="1">
      <alignment horizontal="left" vertical="top" wrapText="1" shrinkToFit="1"/>
    </xf>
    <xf numFmtId="181" fontId="14" fillId="5" borderId="2" xfId="52" applyNumberFormat="1" applyFont="1" applyFill="1" applyBorder="1" applyAlignment="1">
      <alignment horizontal="left" vertical="top" wrapText="1"/>
    </xf>
    <xf numFmtId="181" fontId="30" fillId="5" borderId="2" xfId="52" applyNumberFormat="1" applyFont="1" applyFill="1" applyBorder="1" applyAlignment="1">
      <alignment horizontal="left" vertical="top" wrapText="1"/>
    </xf>
    <xf numFmtId="183" fontId="0" fillId="0" borderId="5" xfId="51" applyNumberFormat="1" applyFont="1" applyBorder="1" applyAlignment="1">
      <alignment horizontal="center" vertical="center" wrapText="1" shrinkToFit="1"/>
    </xf>
    <xf numFmtId="187" fontId="0" fillId="0" borderId="5" xfId="54" applyNumberFormat="1" applyBorder="1" applyAlignment="1">
      <alignment horizontal="center" vertical="center" wrapText="1"/>
    </xf>
    <xf numFmtId="178" fontId="0" fillId="9" borderId="5" xfId="54" applyNumberFormat="1" applyFill="1" applyBorder="1" applyAlignment="1">
      <alignment horizontal="center" vertical="center" wrapText="1"/>
    </xf>
    <xf numFmtId="178" fontId="0" fillId="10" borderId="1" xfId="54" applyNumberFormat="1" applyFill="1" applyBorder="1" applyAlignment="1">
      <alignment horizontal="center" vertical="center" wrapText="1"/>
    </xf>
    <xf numFmtId="185" fontId="0" fillId="0" borderId="9" xfId="52" applyNumberFormat="1" applyFont="1" applyBorder="1" applyAlignment="1">
      <alignment horizontal="center" vertical="center" wrapText="1"/>
    </xf>
    <xf numFmtId="0" fontId="20" fillId="0" borderId="16" xfId="54" applyFont="1" applyFill="1" applyBorder="1" applyAlignment="1">
      <alignment horizontal="left" wrapText="1"/>
    </xf>
    <xf numFmtId="0" fontId="22" fillId="0" borderId="7" xfId="54" applyFont="1" applyFill="1" applyBorder="1" applyAlignment="1">
      <alignment horizontal="left" wrapText="1"/>
    </xf>
    <xf numFmtId="0" fontId="23" fillId="6" borderId="17" xfId="54" applyFont="1" applyFill="1" applyBorder="1" applyAlignment="1"/>
    <xf numFmtId="0" fontId="23" fillId="6" borderId="8" xfId="54" applyFont="1" applyFill="1" applyBorder="1" applyAlignment="1"/>
    <xf numFmtId="0" fontId="23" fillId="6" borderId="1" xfId="54" applyFont="1" applyFill="1" applyBorder="1" applyAlignment="1"/>
    <xf numFmtId="14" fontId="22" fillId="0" borderId="1" xfId="54" applyNumberFormat="1" applyFont="1" applyFill="1" applyBorder="1" applyAlignment="1">
      <alignment horizontal="left" wrapText="1"/>
    </xf>
    <xf numFmtId="3" fontId="23" fillId="6" borderId="0" xfId="54" applyNumberFormat="1" applyFont="1" applyFill="1" applyAlignment="1"/>
    <xf numFmtId="3" fontId="23" fillId="6" borderId="16" xfId="54" applyNumberFormat="1" applyFont="1" applyFill="1" applyBorder="1" applyAlignment="1"/>
    <xf numFmtId="3" fontId="23" fillId="0" borderId="0" xfId="54" applyNumberFormat="1" applyFont="1" applyFill="1" applyAlignment="1"/>
    <xf numFmtId="0" fontId="22" fillId="0" borderId="1" xfId="54" applyFont="1" applyFill="1" applyBorder="1" applyAlignment="1">
      <alignment horizontal="left" wrapText="1"/>
    </xf>
    <xf numFmtId="3" fontId="26" fillId="6" borderId="10" xfId="54" applyNumberFormat="1" applyFont="1" applyFill="1" applyBorder="1" applyAlignment="1"/>
    <xf numFmtId="3" fontId="23" fillId="6" borderId="18" xfId="54" applyNumberFormat="1" applyFont="1" applyFill="1" applyBorder="1" applyAlignment="1"/>
    <xf numFmtId="3" fontId="23" fillId="6" borderId="11" xfId="54" applyNumberFormat="1" applyFont="1" applyFill="1" applyBorder="1" applyAlignment="1"/>
    <xf numFmtId="3" fontId="26" fillId="6" borderId="7" xfId="54" applyNumberFormat="1" applyFont="1" applyFill="1" applyBorder="1" applyAlignment="1"/>
    <xf numFmtId="3" fontId="23" fillId="6" borderId="17" xfId="54" applyNumberFormat="1" applyFont="1" applyFill="1" applyBorder="1" applyAlignment="1"/>
    <xf numFmtId="3" fontId="23" fillId="6" borderId="8" xfId="54" applyNumberFormat="1" applyFont="1" applyFill="1" applyBorder="1" applyAlignment="1"/>
    <xf numFmtId="0" fontId="22" fillId="0" borderId="16" xfId="54" applyFont="1" applyFill="1" applyBorder="1" applyAlignment="1">
      <alignment horizontal="left" wrapText="1"/>
    </xf>
    <xf numFmtId="0" fontId="27" fillId="5" borderId="9" xfId="50" applyFont="1" applyFill="1" applyBorder="1" applyAlignment="1">
      <alignment horizontal="left" vertical="top" wrapText="1"/>
    </xf>
    <xf numFmtId="0" fontId="27" fillId="5" borderId="10" xfId="50" applyFont="1" applyFill="1" applyBorder="1" applyAlignment="1">
      <alignment horizontal="left" vertical="top" wrapText="1"/>
    </xf>
    <xf numFmtId="0" fontId="31" fillId="5" borderId="11" xfId="54" applyFont="1" applyFill="1" applyBorder="1" applyAlignment="1">
      <alignment horizontal="left" vertical="top" wrapText="1"/>
    </xf>
    <xf numFmtId="187" fontId="22" fillId="10" borderId="12" xfId="54" applyNumberFormat="1" applyFont="1" applyFill="1" applyBorder="1" applyAlignment="1">
      <alignment horizontal="center" vertical="center" wrapText="1"/>
    </xf>
    <xf numFmtId="187" fontId="22" fillId="0" borderId="2" xfId="54" applyNumberFormat="1" applyFont="1" applyFill="1" applyBorder="1" applyAlignment="1">
      <alignment horizontal="center" vertical="center" wrapText="1"/>
    </xf>
    <xf numFmtId="185" fontId="22" fillId="0" borderId="2" xfId="54" applyNumberFormat="1" applyFont="1" applyFill="1" applyBorder="1" applyAlignment="1">
      <alignment horizontal="center" vertical="center" wrapText="1"/>
    </xf>
    <xf numFmtId="0" fontId="32" fillId="6" borderId="10" xfId="54" applyFont="1" applyFill="1" applyBorder="1" applyAlignment="1">
      <alignment horizontal="center" vertical="center"/>
    </xf>
    <xf numFmtId="0" fontId="32" fillId="6" borderId="11" xfId="54" applyFont="1" applyFill="1" applyBorder="1" applyAlignment="1">
      <alignment horizontal="center" vertical="center"/>
    </xf>
    <xf numFmtId="187" fontId="22" fillId="10" borderId="9" xfId="54" applyNumberFormat="1" applyFont="1" applyFill="1" applyBorder="1" applyAlignment="1">
      <alignment horizontal="center" vertical="center" wrapText="1"/>
    </xf>
    <xf numFmtId="187" fontId="22" fillId="0" borderId="9" xfId="54" applyNumberFormat="1" applyFont="1" applyFill="1" applyBorder="1" applyAlignment="1">
      <alignment horizontal="center" vertical="center" wrapText="1"/>
    </xf>
    <xf numFmtId="185" fontId="22" fillId="0" borderId="9" xfId="54" applyNumberFormat="1" applyFont="1" applyFill="1" applyBorder="1" applyAlignment="1">
      <alignment horizontal="center" vertical="center" wrapText="1"/>
    </xf>
    <xf numFmtId="0" fontId="32" fillId="6" borderId="13" xfId="54" applyFont="1" applyFill="1" applyBorder="1" applyAlignment="1">
      <alignment horizontal="center" vertical="center"/>
    </xf>
    <xf numFmtId="0" fontId="32" fillId="6" borderId="14" xfId="54" applyFont="1" applyFill="1" applyBorder="1" applyAlignment="1">
      <alignment horizontal="center" vertical="center"/>
    </xf>
    <xf numFmtId="178" fontId="23" fillId="7" borderId="15" xfId="54" applyNumberFormat="1" applyFont="1" applyFill="1" applyBorder="1" applyAlignment="1">
      <alignment horizontal="center" vertical="center" wrapText="1"/>
    </xf>
    <xf numFmtId="185" fontId="23" fillId="7" borderId="15" xfId="54" applyNumberFormat="1" applyFont="1" applyFill="1" applyBorder="1" applyAlignment="1">
      <alignment horizontal="center" vertical="center" wrapText="1"/>
    </xf>
    <xf numFmtId="0" fontId="22" fillId="7" borderId="7" xfId="54" applyFont="1" applyFill="1" applyBorder="1" applyAlignment="1">
      <alignment horizontal="left" wrapText="1"/>
    </xf>
    <xf numFmtId="0" fontId="20" fillId="7" borderId="8" xfId="54" applyFont="1" applyFill="1" applyBorder="1" applyAlignment="1">
      <alignment horizontal="left" wrapText="1"/>
    </xf>
    <xf numFmtId="178" fontId="0" fillId="0" borderId="0" xfId="54" applyNumberFormat="1" applyAlignment="1">
      <alignment horizontal="left" vertical="center" wrapText="1"/>
    </xf>
    <xf numFmtId="178" fontId="33" fillId="3" borderId="2" xfId="54" applyNumberFormat="1" applyFont="1" applyFill="1" applyBorder="1" applyAlignment="1">
      <alignment horizontal="center" vertical="center" wrapText="1"/>
    </xf>
    <xf numFmtId="181" fontId="15" fillId="5" borderId="2" xfId="52" applyNumberFormat="1" applyFont="1" applyFill="1" applyBorder="1" applyAlignment="1">
      <alignment horizontal="left" vertical="top" wrapText="1"/>
    </xf>
    <xf numFmtId="178" fontId="33" fillId="3" borderId="2" xfId="54" applyNumberFormat="1" applyFont="1" applyFill="1" applyBorder="1" applyAlignment="1">
      <alignment horizontal="left" vertical="top" wrapText="1"/>
    </xf>
    <xf numFmtId="178" fontId="0" fillId="11" borderId="5" xfId="54" applyNumberFormat="1" applyFill="1" applyBorder="1" applyAlignment="1">
      <alignment horizontal="center" vertical="center" wrapText="1"/>
    </xf>
    <xf numFmtId="187" fontId="0" fillId="12" borderId="5" xfId="54" applyNumberFormat="1" applyFill="1" applyBorder="1" applyAlignment="1">
      <alignment horizontal="center" vertical="center" wrapText="1"/>
    </xf>
    <xf numFmtId="178" fontId="0" fillId="0" borderId="5" xfId="54" applyNumberFormat="1" applyBorder="1" applyAlignment="1">
      <alignment horizontal="center" vertical="center" wrapText="1"/>
    </xf>
    <xf numFmtId="188" fontId="0" fillId="0" borderId="1" xfId="52" applyNumberFormat="1" applyFont="1" applyBorder="1" applyAlignment="1">
      <alignment horizontal="center" vertical="center"/>
    </xf>
    <xf numFmtId="0" fontId="34" fillId="13" borderId="7" xfId="57" applyFont="1" applyFill="1" applyBorder="1" applyAlignment="1">
      <alignment horizontal="left" vertical="center"/>
    </xf>
    <xf numFmtId="0" fontId="34" fillId="13" borderId="8" xfId="57" applyFont="1" applyFill="1" applyBorder="1" applyAlignment="1">
      <alignment horizontal="left" vertical="center"/>
    </xf>
    <xf numFmtId="178" fontId="35" fillId="2" borderId="1" xfId="57" applyNumberFormat="1" applyFont="1" applyFill="1" applyBorder="1" applyAlignment="1">
      <alignment horizontal="center" vertical="top" wrapText="1"/>
    </xf>
    <xf numFmtId="14" fontId="35" fillId="2" borderId="1" xfId="57" applyNumberFormat="1" applyFont="1" applyFill="1" applyBorder="1" applyAlignment="1">
      <alignment horizontal="center" vertical="center" wrapText="1"/>
    </xf>
    <xf numFmtId="0" fontId="34" fillId="14" borderId="7" xfId="57" applyFont="1" applyFill="1" applyBorder="1" applyAlignment="1">
      <alignment horizontal="left" vertical="center"/>
    </xf>
    <xf numFmtId="0" fontId="34" fillId="14" borderId="8" xfId="57" applyFont="1" applyFill="1" applyBorder="1" applyAlignment="1">
      <alignment horizontal="left" vertical="center"/>
    </xf>
    <xf numFmtId="38" fontId="36" fillId="0" borderId="1" xfId="57" applyNumberFormat="1" applyFont="1" applyBorder="1">
      <alignment vertical="center"/>
    </xf>
    <xf numFmtId="0" fontId="37" fillId="2" borderId="1" xfId="57" applyFont="1" applyFill="1" applyBorder="1" applyAlignment="1">
      <alignment horizontal="center" vertical="top" wrapText="1"/>
    </xf>
    <xf numFmtId="38" fontId="38" fillId="15" borderId="1" xfId="52" applyNumberFormat="1" applyFont="1" applyFill="1" applyBorder="1" applyAlignment="1">
      <alignment horizontal="right" vertical="center"/>
    </xf>
    <xf numFmtId="0" fontId="39" fillId="0" borderId="0" xfId="0" applyFont="1" applyFill="1" applyBorder="1" applyAlignment="1" applyProtection="1">
      <alignment horizontal="center" vertical="center"/>
      <protection locked="0"/>
    </xf>
    <xf numFmtId="0" fontId="39" fillId="0" borderId="0" xfId="0" applyFont="1" applyFill="1" applyBorder="1" applyAlignment="1" applyProtection="1">
      <alignment vertical="center"/>
      <protection locked="0"/>
    </xf>
    <xf numFmtId="0" fontId="39" fillId="0" borderId="0" xfId="0" applyFont="1" applyFill="1" applyAlignment="1" applyProtection="1">
      <alignment horizontal="center" vertical="top" wrapText="1"/>
      <protection locked="0"/>
    </xf>
    <xf numFmtId="0" fontId="1" fillId="0" borderId="0" xfId="0" applyFont="1" applyFill="1" applyAlignment="1" applyProtection="1">
      <alignment vertical="center"/>
      <protection locked="0"/>
    </xf>
    <xf numFmtId="0" fontId="1" fillId="0" borderId="1" xfId="0" applyFont="1" applyFill="1" applyBorder="1" applyAlignment="1" applyProtection="1">
      <alignment vertical="center"/>
      <protection locked="0"/>
    </xf>
    <xf numFmtId="0" fontId="1" fillId="11" borderId="1" xfId="0" applyFont="1" applyFill="1" applyBorder="1" applyAlignment="1" applyProtection="1">
      <alignment vertical="center"/>
      <protection locked="0"/>
    </xf>
    <xf numFmtId="0" fontId="1" fillId="11" borderId="0" xfId="0" applyFont="1" applyFill="1" applyAlignment="1" applyProtection="1">
      <alignment vertical="center"/>
      <protection locked="0"/>
    </xf>
    <xf numFmtId="0" fontId="1" fillId="16" borderId="0" xfId="0" applyFont="1" applyFill="1" applyAlignment="1" applyProtection="1">
      <alignment vertical="center"/>
      <protection locked="0"/>
    </xf>
    <xf numFmtId="189" fontId="40" fillId="0" borderId="0" xfId="0" applyNumberFormat="1" applyFont="1" applyFill="1" applyBorder="1" applyAlignment="1" applyProtection="1">
      <alignment vertical="center"/>
    </xf>
    <xf numFmtId="189" fontId="41" fillId="0" borderId="0" xfId="0" applyNumberFormat="1" applyFont="1" applyFill="1" applyBorder="1" applyAlignment="1" applyProtection="1">
      <alignment vertical="center"/>
      <protection locked="0"/>
    </xf>
    <xf numFmtId="0" fontId="41" fillId="0" borderId="0" xfId="0" applyFont="1" applyFill="1" applyBorder="1" applyAlignment="1" applyProtection="1">
      <alignment vertical="center" wrapText="1"/>
      <protection locked="0"/>
    </xf>
    <xf numFmtId="189" fontId="42" fillId="0" borderId="0" xfId="0" applyNumberFormat="1" applyFont="1" applyFill="1" applyBorder="1" applyAlignment="1" applyProtection="1">
      <alignment vertical="center"/>
      <protection locked="0"/>
    </xf>
    <xf numFmtId="0" fontId="43" fillId="0" borderId="0" xfId="0" applyNumberFormat="1" applyFont="1" applyFill="1" applyBorder="1" applyAlignment="1" applyProtection="1">
      <alignment vertical="center"/>
      <protection locked="0"/>
    </xf>
    <xf numFmtId="189" fontId="44" fillId="0" borderId="0" xfId="0" applyNumberFormat="1" applyFont="1" applyFill="1" applyBorder="1" applyAlignment="1" applyProtection="1">
      <alignment horizontal="center" vertical="center"/>
    </xf>
    <xf numFmtId="189" fontId="44" fillId="0" borderId="0" xfId="0" applyNumberFormat="1" applyFont="1" applyFill="1" applyBorder="1" applyAlignment="1" applyProtection="1">
      <alignment horizontal="center" vertical="center"/>
      <protection locked="0"/>
    </xf>
    <xf numFmtId="0" fontId="42" fillId="0" borderId="0" xfId="0" applyFont="1" applyFill="1" applyBorder="1" applyAlignment="1" applyProtection="1">
      <alignment horizontal="center" vertical="center" wrapText="1"/>
      <protection locked="0"/>
    </xf>
    <xf numFmtId="189" fontId="45" fillId="0" borderId="0" xfId="0" applyNumberFormat="1" applyFont="1" applyFill="1" applyBorder="1" applyAlignment="1" applyProtection="1">
      <alignment vertical="center"/>
      <protection locked="0"/>
    </xf>
    <xf numFmtId="189" fontId="46" fillId="0" borderId="0" xfId="0" applyNumberFormat="1" applyFont="1" applyFill="1" applyBorder="1" applyAlignment="1" applyProtection="1">
      <alignment vertical="center"/>
      <protection locked="0"/>
    </xf>
    <xf numFmtId="0" fontId="46" fillId="0" borderId="0" xfId="0" applyNumberFormat="1" applyFont="1" applyFill="1" applyBorder="1" applyAlignment="1" applyProtection="1">
      <alignment vertical="center"/>
      <protection locked="0"/>
    </xf>
    <xf numFmtId="0" fontId="47" fillId="0" borderId="0" xfId="0" applyFont="1" applyFill="1" applyBorder="1" applyAlignment="1" applyProtection="1">
      <alignment horizontal="center" vertical="center" wrapText="1"/>
      <protection locked="0"/>
    </xf>
    <xf numFmtId="189" fontId="48" fillId="0" borderId="1" xfId="0" applyNumberFormat="1" applyFont="1" applyFill="1" applyBorder="1" applyAlignment="1" applyProtection="1">
      <alignment horizontal="center" vertical="top" wrapText="1" shrinkToFit="1"/>
    </xf>
    <xf numFmtId="0" fontId="48" fillId="0" borderId="1" xfId="0" applyFont="1" applyFill="1" applyBorder="1" applyAlignment="1" applyProtection="1">
      <alignment horizontal="center" vertical="top" wrapText="1" shrinkToFit="1"/>
      <protection locked="0"/>
    </xf>
    <xf numFmtId="0" fontId="42" fillId="0" borderId="1" xfId="0" applyFont="1" applyFill="1" applyBorder="1" applyAlignment="1" applyProtection="1">
      <alignment horizontal="center" vertical="top" wrapText="1" shrinkToFit="1"/>
      <protection locked="0"/>
    </xf>
    <xf numFmtId="190" fontId="49" fillId="0" borderId="1" xfId="0" applyNumberFormat="1" applyFont="1" applyFill="1" applyBorder="1" applyAlignment="1" applyProtection="1">
      <alignment horizontal="center" vertical="center" shrinkToFit="1"/>
    </xf>
    <xf numFmtId="190" fontId="50" fillId="0" borderId="1" xfId="0" applyNumberFormat="1" applyFont="1" applyFill="1" applyBorder="1" applyAlignment="1" applyProtection="1">
      <alignment horizontal="center" vertical="center" wrapText="1"/>
    </xf>
    <xf numFmtId="191" fontId="51" fillId="0" borderId="1" xfId="0" applyNumberFormat="1" applyFont="1" applyFill="1" applyBorder="1" applyAlignment="1" applyProtection="1">
      <alignment horizontal="center" vertical="center" wrapText="1"/>
      <protection locked="0"/>
    </xf>
    <xf numFmtId="0" fontId="39" fillId="0" borderId="1" xfId="0" applyNumberFormat="1" applyFont="1" applyFill="1" applyBorder="1" applyAlignment="1" applyProtection="1">
      <alignment horizontal="center" vertical="center"/>
      <protection locked="0"/>
    </xf>
    <xf numFmtId="49" fontId="51" fillId="0" borderId="1" xfId="0" applyNumberFormat="1"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wrapText="1"/>
      <protection locked="0"/>
    </xf>
    <xf numFmtId="0" fontId="1" fillId="0" borderId="1" xfId="0" applyFont="1" applyFill="1" applyBorder="1" applyAlignment="1" applyProtection="1">
      <alignment vertical="center" wrapText="1"/>
      <protection locked="0"/>
    </xf>
    <xf numFmtId="190" fontId="49" fillId="0" borderId="2" xfId="0" applyNumberFormat="1" applyFont="1" applyFill="1" applyBorder="1" applyAlignment="1" applyProtection="1">
      <alignment horizontal="center" vertical="center" shrinkToFit="1"/>
    </xf>
    <xf numFmtId="190" fontId="50" fillId="0" borderId="2" xfId="0" applyNumberFormat="1" applyFont="1" applyFill="1" applyBorder="1" applyAlignment="1" applyProtection="1">
      <alignment horizontal="center" vertical="center" wrapText="1"/>
    </xf>
    <xf numFmtId="191" fontId="51" fillId="0" borderId="2" xfId="0" applyNumberFormat="1" applyFont="1" applyFill="1" applyBorder="1" applyAlignment="1" applyProtection="1">
      <alignment horizontal="center" vertical="center" wrapText="1"/>
      <protection locked="0"/>
    </xf>
    <xf numFmtId="0" fontId="39" fillId="0" borderId="2" xfId="0" applyNumberFormat="1" applyFont="1" applyFill="1" applyBorder="1" applyAlignment="1" applyProtection="1">
      <alignment horizontal="center" vertical="center"/>
      <protection locked="0"/>
    </xf>
    <xf numFmtId="49" fontId="51" fillId="0" borderId="2" xfId="0" applyNumberFormat="1" applyFont="1" applyFill="1" applyBorder="1" applyAlignment="1" applyProtection="1">
      <alignment horizontal="center" vertical="center" wrapText="1"/>
      <protection locked="0"/>
    </xf>
    <xf numFmtId="0" fontId="52" fillId="0" borderId="2" xfId="0" applyFont="1" applyFill="1" applyBorder="1" applyAlignment="1" applyProtection="1">
      <alignment horizontal="center" vertical="center" wrapText="1"/>
      <protection locked="0"/>
    </xf>
    <xf numFmtId="0" fontId="1" fillId="0" borderId="2" xfId="0" applyFont="1" applyFill="1" applyBorder="1" applyAlignment="1" applyProtection="1">
      <alignment vertical="center" wrapText="1"/>
      <protection locked="0"/>
    </xf>
    <xf numFmtId="49" fontId="53" fillId="0" borderId="1" xfId="0" applyNumberFormat="1" applyFont="1" applyFill="1" applyBorder="1" applyAlignment="1" applyProtection="1">
      <alignment horizontal="center" vertical="center" wrapText="1"/>
      <protection locked="0"/>
    </xf>
    <xf numFmtId="190" fontId="49" fillId="11" borderId="1" xfId="0" applyNumberFormat="1" applyFont="1" applyFill="1" applyBorder="1" applyAlignment="1" applyProtection="1">
      <alignment horizontal="center" vertical="center" shrinkToFit="1"/>
    </xf>
    <xf numFmtId="190" fontId="50" fillId="11" borderId="1" xfId="0" applyNumberFormat="1" applyFont="1" applyFill="1" applyBorder="1" applyAlignment="1" applyProtection="1">
      <alignment horizontal="center" vertical="center" wrapText="1"/>
    </xf>
    <xf numFmtId="191" fontId="51" fillId="11" borderId="1" xfId="0" applyNumberFormat="1" applyFont="1" applyFill="1" applyBorder="1" applyAlignment="1" applyProtection="1">
      <alignment horizontal="center" vertical="center" wrapText="1"/>
      <protection locked="0"/>
    </xf>
    <xf numFmtId="0" fontId="39" fillId="11" borderId="1" xfId="0" applyNumberFormat="1" applyFont="1" applyFill="1" applyBorder="1" applyAlignment="1" applyProtection="1">
      <alignment horizontal="center" vertical="center"/>
      <protection locked="0"/>
    </xf>
    <xf numFmtId="49" fontId="53" fillId="11" borderId="1" xfId="0" applyNumberFormat="1" applyFont="1" applyFill="1" applyBorder="1" applyAlignment="1" applyProtection="1">
      <alignment horizontal="center" vertical="center" wrapText="1"/>
      <protection locked="0"/>
    </xf>
    <xf numFmtId="0" fontId="1" fillId="11" borderId="1" xfId="0" applyFont="1" applyFill="1" applyBorder="1" applyAlignment="1" applyProtection="1">
      <alignment vertical="center" wrapText="1"/>
      <protection locked="0"/>
    </xf>
    <xf numFmtId="190" fontId="49" fillId="0" borderId="9" xfId="0" applyNumberFormat="1" applyFont="1" applyFill="1" applyBorder="1" applyAlignment="1" applyProtection="1">
      <alignment horizontal="center" vertical="center" shrinkToFit="1"/>
    </xf>
    <xf numFmtId="190" fontId="50" fillId="11" borderId="9" xfId="0" applyNumberFormat="1" applyFont="1" applyFill="1" applyBorder="1" applyAlignment="1" applyProtection="1">
      <alignment horizontal="center" vertical="center" wrapText="1"/>
    </xf>
    <xf numFmtId="191" fontId="51" fillId="0" borderId="9" xfId="0" applyNumberFormat="1" applyFont="1" applyFill="1" applyBorder="1" applyAlignment="1" applyProtection="1">
      <alignment horizontal="center" vertical="center" wrapText="1"/>
      <protection locked="0"/>
    </xf>
    <xf numFmtId="0" fontId="39" fillId="0" borderId="9" xfId="0" applyNumberFormat="1" applyFont="1" applyFill="1" applyBorder="1" applyAlignment="1" applyProtection="1">
      <alignment horizontal="center" vertical="center"/>
      <protection locked="0"/>
    </xf>
    <xf numFmtId="49" fontId="53" fillId="0" borderId="9" xfId="0" applyNumberFormat="1" applyFont="1" applyFill="1" applyBorder="1" applyAlignment="1" applyProtection="1">
      <alignment horizontal="center" vertical="center" wrapText="1"/>
      <protection locked="0"/>
    </xf>
    <xf numFmtId="0" fontId="1" fillId="0" borderId="9" xfId="0" applyFont="1" applyFill="1" applyBorder="1" applyAlignment="1" applyProtection="1">
      <alignment vertical="center" wrapText="1"/>
      <protection locked="0"/>
    </xf>
    <xf numFmtId="190" fontId="49" fillId="16" borderId="9" xfId="0" applyNumberFormat="1" applyFont="1" applyFill="1" applyBorder="1" applyAlignment="1" applyProtection="1">
      <alignment horizontal="center" vertical="center" shrinkToFit="1"/>
    </xf>
    <xf numFmtId="190" fontId="50" fillId="16" borderId="9" xfId="0" applyNumberFormat="1" applyFont="1" applyFill="1" applyBorder="1" applyAlignment="1" applyProtection="1">
      <alignment horizontal="center" vertical="center" wrapText="1"/>
    </xf>
    <xf numFmtId="191" fontId="51" fillId="16" borderId="9" xfId="0" applyNumberFormat="1" applyFont="1" applyFill="1" applyBorder="1" applyAlignment="1" applyProtection="1">
      <alignment horizontal="center" vertical="center" wrapText="1"/>
      <protection locked="0"/>
    </xf>
    <xf numFmtId="191" fontId="51" fillId="17" borderId="9" xfId="0" applyNumberFormat="1" applyFont="1" applyFill="1" applyBorder="1" applyAlignment="1" applyProtection="1">
      <alignment horizontal="center" vertical="center" wrapText="1"/>
      <protection locked="0"/>
    </xf>
    <xf numFmtId="0" fontId="39" fillId="16" borderId="9" xfId="0" applyNumberFormat="1" applyFont="1" applyFill="1" applyBorder="1" applyAlignment="1" applyProtection="1">
      <alignment horizontal="center" vertical="center"/>
      <protection locked="0"/>
    </xf>
    <xf numFmtId="49" fontId="53" fillId="16" borderId="9" xfId="0" applyNumberFormat="1" applyFont="1" applyFill="1" applyBorder="1" applyAlignment="1" applyProtection="1">
      <alignment horizontal="center" vertical="center" wrapText="1"/>
      <protection locked="0"/>
    </xf>
    <xf numFmtId="0" fontId="1" fillId="16" borderId="9" xfId="0" applyFont="1" applyFill="1" applyBorder="1" applyAlignment="1" applyProtection="1">
      <alignment vertical="center" wrapText="1"/>
      <protection locked="0"/>
    </xf>
    <xf numFmtId="0" fontId="39" fillId="0" borderId="1" xfId="0" applyFont="1" applyFill="1" applyBorder="1" applyAlignment="1" applyProtection="1">
      <alignment horizontal="center" vertical="center" wrapText="1"/>
      <protection locked="0"/>
    </xf>
    <xf numFmtId="0" fontId="41" fillId="0" borderId="0" xfId="0" applyFont="1" applyFill="1" applyBorder="1" applyAlignment="1" applyProtection="1">
      <alignment vertical="center"/>
      <protection locked="0"/>
    </xf>
    <xf numFmtId="0" fontId="41" fillId="0" borderId="0" xfId="0" applyNumberFormat="1" applyFont="1" applyFill="1" applyBorder="1" applyAlignment="1" applyProtection="1">
      <alignment vertical="center"/>
      <protection locked="0"/>
    </xf>
    <xf numFmtId="0" fontId="42" fillId="0" borderId="0" xfId="0" applyFont="1" applyFill="1" applyBorder="1" applyAlignment="1" applyProtection="1">
      <alignment horizontal="center" vertical="center"/>
      <protection locked="0"/>
    </xf>
    <xf numFmtId="191" fontId="42" fillId="0" borderId="0" xfId="0" applyNumberFormat="1" applyFont="1" applyFill="1" applyBorder="1" applyAlignment="1" applyProtection="1">
      <alignment horizontal="center" vertical="center" wrapText="1"/>
      <protection locked="0"/>
    </xf>
    <xf numFmtId="0" fontId="54" fillId="0" borderId="1" xfId="0" applyFont="1" applyFill="1" applyBorder="1" applyAlignment="1" applyProtection="1">
      <alignment horizontal="center" vertical="top" wrapText="1" shrinkToFit="1"/>
      <protection locked="0"/>
    </xf>
    <xf numFmtId="190" fontId="55" fillId="0" borderId="1" xfId="0" applyNumberFormat="1" applyFont="1" applyFill="1" applyBorder="1" applyAlignment="1" applyProtection="1">
      <alignment horizontal="center" vertical="top" wrapText="1" shrinkToFit="1"/>
      <protection locked="0"/>
    </xf>
    <xf numFmtId="191" fontId="48" fillId="0" borderId="1" xfId="0" applyNumberFormat="1" applyFont="1" applyFill="1" applyBorder="1" applyAlignment="1" applyProtection="1">
      <alignment horizontal="center" vertical="top" wrapText="1" shrinkToFit="1"/>
      <protection locked="0"/>
    </xf>
    <xf numFmtId="0" fontId="53" fillId="0" borderId="1" xfId="0"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wrapText="1"/>
      <protection locked="0"/>
    </xf>
    <xf numFmtId="0" fontId="51" fillId="0" borderId="1" xfId="0" applyFont="1" applyFill="1" applyBorder="1" applyAlignment="1" applyProtection="1">
      <alignment horizontal="center" vertical="center" wrapText="1" shrinkToFit="1"/>
      <protection locked="0"/>
    </xf>
    <xf numFmtId="0" fontId="0" fillId="0" borderId="1" xfId="0" applyBorder="1" applyAlignment="1">
      <alignment horizontal="center" vertical="center"/>
    </xf>
    <xf numFmtId="190" fontId="53" fillId="0" borderId="1" xfId="0" applyNumberFormat="1" applyFont="1" applyFill="1" applyBorder="1" applyAlignment="1" applyProtection="1">
      <alignment horizontal="center" vertical="center" wrapText="1" shrinkToFit="1"/>
      <protection locked="0"/>
    </xf>
    <xf numFmtId="191" fontId="53" fillId="0" borderId="1" xfId="0" applyNumberFormat="1" applyFont="1" applyFill="1" applyBorder="1" applyAlignment="1" applyProtection="1">
      <alignment horizontal="center" vertical="center" wrapText="1"/>
      <protection locked="0"/>
    </xf>
    <xf numFmtId="0" fontId="53" fillId="0" borderId="2" xfId="0" applyFont="1" applyFill="1" applyBorder="1" applyAlignment="1" applyProtection="1">
      <alignment horizontal="center" vertical="center" wrapText="1"/>
      <protection locked="0"/>
    </xf>
    <xf numFmtId="0" fontId="51" fillId="0" borderId="2" xfId="0" applyFont="1" applyFill="1" applyBorder="1" applyAlignment="1" applyProtection="1">
      <alignment horizontal="center" vertical="center" wrapText="1"/>
      <protection locked="0"/>
    </xf>
    <xf numFmtId="0" fontId="51" fillId="0" borderId="2" xfId="0" applyFont="1" applyFill="1" applyBorder="1" applyAlignment="1" applyProtection="1">
      <alignment horizontal="center" vertical="center" wrapText="1" shrinkToFit="1"/>
      <protection locked="0"/>
    </xf>
    <xf numFmtId="0" fontId="19" fillId="0" borderId="2" xfId="0" applyFont="1" applyFill="1" applyBorder="1" applyAlignment="1">
      <alignment horizontal="center" vertical="center"/>
    </xf>
    <xf numFmtId="190" fontId="53" fillId="0" borderId="2" xfId="0" applyNumberFormat="1" applyFont="1" applyFill="1" applyBorder="1" applyAlignment="1" applyProtection="1">
      <alignment horizontal="center" vertical="center" wrapText="1" shrinkToFit="1"/>
      <protection locked="0"/>
    </xf>
    <xf numFmtId="191" fontId="53" fillId="0" borderId="2" xfId="0" applyNumberFormat="1" applyFont="1" applyFill="1" applyBorder="1" applyAlignment="1" applyProtection="1">
      <alignment horizontal="center" vertical="center" wrapText="1"/>
      <protection locked="0"/>
    </xf>
    <xf numFmtId="0" fontId="19" fillId="0" borderId="1" xfId="0" applyFont="1" applyFill="1" applyBorder="1" applyAlignment="1">
      <alignment horizontal="center" vertical="center"/>
    </xf>
    <xf numFmtId="0" fontId="53" fillId="11" borderId="1" xfId="0" applyFont="1" applyFill="1" applyBorder="1" applyAlignment="1" applyProtection="1">
      <alignment horizontal="center" vertical="center" wrapText="1"/>
      <protection locked="0"/>
    </xf>
    <xf numFmtId="0" fontId="51" fillId="11" borderId="1" xfId="0" applyFont="1" applyFill="1" applyBorder="1" applyAlignment="1" applyProtection="1">
      <alignment horizontal="center" vertical="center" wrapText="1"/>
      <protection locked="0"/>
    </xf>
    <xf numFmtId="0" fontId="51" fillId="11" borderId="1" xfId="0" applyFont="1" applyFill="1" applyBorder="1" applyAlignment="1" applyProtection="1">
      <alignment horizontal="center" vertical="center" wrapText="1" shrinkToFit="1"/>
      <protection locked="0"/>
    </xf>
    <xf numFmtId="0" fontId="19" fillId="11" borderId="1" xfId="0" applyFont="1" applyFill="1" applyBorder="1" applyAlignment="1">
      <alignment horizontal="center" vertical="center"/>
    </xf>
    <xf numFmtId="190" fontId="53" fillId="11" borderId="1" xfId="0" applyNumberFormat="1" applyFont="1" applyFill="1" applyBorder="1" applyAlignment="1" applyProtection="1">
      <alignment horizontal="center" vertical="center" wrapText="1" shrinkToFit="1"/>
      <protection locked="0"/>
    </xf>
    <xf numFmtId="191" fontId="53" fillId="11" borderId="1" xfId="0" applyNumberFormat="1" applyFont="1" applyFill="1" applyBorder="1" applyAlignment="1" applyProtection="1">
      <alignment horizontal="center" vertical="center" wrapText="1"/>
      <protection locked="0"/>
    </xf>
    <xf numFmtId="0" fontId="53" fillId="0" borderId="9" xfId="0" applyFont="1" applyFill="1" applyBorder="1" applyAlignment="1" applyProtection="1">
      <alignment horizontal="center" vertical="center" wrapText="1"/>
      <protection locked="0"/>
    </xf>
    <xf numFmtId="0" fontId="51" fillId="0" borderId="9" xfId="0" applyFont="1" applyFill="1" applyBorder="1" applyAlignment="1" applyProtection="1">
      <alignment horizontal="center" vertical="center" wrapText="1"/>
      <protection locked="0"/>
    </xf>
    <xf numFmtId="0" fontId="51" fillId="0" borderId="9" xfId="0" applyFont="1" applyFill="1" applyBorder="1" applyAlignment="1" applyProtection="1">
      <alignment horizontal="center" vertical="center" wrapText="1" shrinkToFit="1"/>
      <protection locked="0"/>
    </xf>
    <xf numFmtId="0" fontId="19" fillId="0" borderId="9" xfId="0" applyFont="1" applyFill="1" applyBorder="1" applyAlignment="1">
      <alignment horizontal="center" vertical="center"/>
    </xf>
    <xf numFmtId="190" fontId="53" fillId="0" borderId="9" xfId="0" applyNumberFormat="1" applyFont="1" applyFill="1" applyBorder="1" applyAlignment="1" applyProtection="1">
      <alignment horizontal="center" vertical="center" wrapText="1" shrinkToFit="1"/>
      <protection locked="0"/>
    </xf>
    <xf numFmtId="191" fontId="53" fillId="0" borderId="9" xfId="0" applyNumberFormat="1" applyFont="1" applyFill="1" applyBorder="1" applyAlignment="1" applyProtection="1">
      <alignment horizontal="center" vertical="center" wrapText="1"/>
      <protection locked="0"/>
    </xf>
    <xf numFmtId="3" fontId="51" fillId="0" borderId="9" xfId="0" applyNumberFormat="1" applyFont="1" applyFill="1" applyBorder="1" applyAlignment="1" applyProtection="1">
      <alignment horizontal="center" vertical="center" wrapText="1"/>
      <protection locked="0"/>
    </xf>
    <xf numFmtId="0" fontId="53" fillId="16" borderId="9" xfId="0" applyFont="1" applyFill="1" applyBorder="1" applyAlignment="1" applyProtection="1">
      <alignment horizontal="center" vertical="center" wrapText="1"/>
      <protection locked="0"/>
    </xf>
    <xf numFmtId="3" fontId="51" fillId="17" borderId="9" xfId="0" applyNumberFormat="1" applyFont="1" applyFill="1" applyBorder="1" applyAlignment="1" applyProtection="1">
      <alignment horizontal="center" vertical="center" wrapText="1"/>
      <protection locked="0"/>
    </xf>
    <xf numFmtId="0" fontId="51" fillId="17" borderId="9" xfId="0" applyFont="1" applyFill="1" applyBorder="1" applyAlignment="1" applyProtection="1">
      <alignment horizontal="center" vertical="center" wrapText="1" shrinkToFit="1"/>
      <protection locked="0"/>
    </xf>
    <xf numFmtId="0" fontId="19" fillId="17" borderId="9" xfId="0" applyFont="1" applyFill="1" applyBorder="1" applyAlignment="1">
      <alignment horizontal="center" vertical="center"/>
    </xf>
    <xf numFmtId="190" fontId="53" fillId="16" borderId="9" xfId="0" applyNumberFormat="1" applyFont="1" applyFill="1" applyBorder="1" applyAlignment="1" applyProtection="1">
      <alignment horizontal="center" vertical="center" wrapText="1" shrinkToFit="1"/>
      <protection locked="0"/>
    </xf>
    <xf numFmtId="191" fontId="53" fillId="16" borderId="9" xfId="0" applyNumberFormat="1" applyFont="1" applyFill="1" applyBorder="1" applyAlignment="1" applyProtection="1">
      <alignment horizontal="center" vertical="center" wrapText="1"/>
      <protection locked="0"/>
    </xf>
    <xf numFmtId="0" fontId="53" fillId="17" borderId="9" xfId="0" applyFont="1" applyFill="1" applyBorder="1" applyAlignment="1" applyProtection="1">
      <alignment horizontal="center" vertical="center" wrapText="1"/>
      <protection locked="0"/>
    </xf>
    <xf numFmtId="0" fontId="51" fillId="11" borderId="9" xfId="0" applyFont="1" applyFill="1" applyBorder="1" applyAlignment="1" applyProtection="1">
      <alignment horizontal="center" vertical="center" wrapText="1"/>
      <protection locked="0"/>
    </xf>
    <xf numFmtId="191" fontId="41" fillId="0" borderId="0" xfId="0" applyNumberFormat="1" applyFont="1" applyFill="1" applyBorder="1" applyAlignment="1" applyProtection="1">
      <alignment vertical="center" wrapText="1"/>
      <protection locked="0"/>
    </xf>
    <xf numFmtId="191" fontId="42" fillId="0" borderId="7" xfId="0" applyNumberFormat="1" applyFont="1" applyFill="1" applyBorder="1" applyAlignment="1" applyProtection="1">
      <alignment horizontal="center" vertical="top" wrapText="1" shrinkToFit="1"/>
      <protection locked="0"/>
    </xf>
    <xf numFmtId="191" fontId="48" fillId="0" borderId="7" xfId="0" applyNumberFormat="1" applyFont="1" applyFill="1" applyBorder="1" applyAlignment="1" applyProtection="1">
      <alignment horizontal="center" vertical="top" wrapText="1" shrinkToFit="1"/>
      <protection locked="0"/>
    </xf>
    <xf numFmtId="0" fontId="56" fillId="0" borderId="1" xfId="0" applyNumberFormat="1" applyFont="1" applyFill="1" applyBorder="1" applyAlignment="1" applyProtection="1">
      <alignment horizontal="center" vertical="top" wrapText="1" shrinkToFit="1"/>
      <protection locked="0"/>
    </xf>
    <xf numFmtId="0" fontId="57" fillId="0" borderId="1" xfId="0" applyFont="1" applyFill="1" applyBorder="1" applyAlignment="1" applyProtection="1">
      <alignment vertical="center" wrapText="1"/>
      <protection locked="0"/>
    </xf>
    <xf numFmtId="191" fontId="58" fillId="0" borderId="1" xfId="0" applyNumberFormat="1" applyFont="1" applyFill="1" applyBorder="1" applyAlignment="1" applyProtection="1">
      <alignment horizontal="center" vertical="center" wrapText="1"/>
      <protection locked="0"/>
    </xf>
    <xf numFmtId="0" fontId="51" fillId="0" borderId="1" xfId="0" applyNumberFormat="1" applyFont="1" applyFill="1" applyBorder="1" applyAlignment="1" applyProtection="1">
      <alignment horizontal="center" vertical="center" wrapText="1"/>
      <protection locked="0"/>
    </xf>
    <xf numFmtId="0" fontId="57" fillId="0" borderId="2" xfId="0" applyFont="1" applyFill="1" applyBorder="1" applyAlignment="1" applyProtection="1">
      <alignment vertical="center" wrapText="1"/>
      <protection locked="0"/>
    </xf>
    <xf numFmtId="191" fontId="58" fillId="0" borderId="2" xfId="0" applyNumberFormat="1" applyFont="1" applyFill="1" applyBorder="1" applyAlignment="1" applyProtection="1">
      <alignment horizontal="center" vertical="center" wrapText="1"/>
      <protection locked="0"/>
    </xf>
    <xf numFmtId="0" fontId="51" fillId="0" borderId="2" xfId="0" applyNumberFormat="1" applyFont="1" applyFill="1" applyBorder="1" applyAlignment="1" applyProtection="1">
      <alignment horizontal="center" vertical="center" wrapText="1"/>
      <protection locked="0"/>
    </xf>
    <xf numFmtId="0" fontId="57" fillId="0" borderId="1" xfId="0" applyFont="1" applyFill="1" applyBorder="1" applyAlignment="1" applyProtection="1">
      <alignment horizontal="center" vertical="center" wrapText="1"/>
      <protection locked="0"/>
    </xf>
    <xf numFmtId="0" fontId="57" fillId="11" borderId="1" xfId="0" applyFont="1" applyFill="1" applyBorder="1" applyAlignment="1" applyProtection="1">
      <alignment vertical="center" wrapText="1"/>
      <protection locked="0"/>
    </xf>
    <xf numFmtId="191" fontId="58" fillId="11" borderId="1" xfId="0" applyNumberFormat="1" applyFont="1" applyFill="1" applyBorder="1" applyAlignment="1" applyProtection="1">
      <alignment horizontal="center" vertical="center" wrapText="1"/>
      <protection locked="0"/>
    </xf>
    <xf numFmtId="0" fontId="51" fillId="11" borderId="1" xfId="0" applyNumberFormat="1" applyFont="1" applyFill="1" applyBorder="1" applyAlignment="1" applyProtection="1">
      <alignment horizontal="center" vertical="center" wrapText="1"/>
      <protection locked="0"/>
    </xf>
    <xf numFmtId="0" fontId="57" fillId="0" borderId="9" xfId="0" applyFont="1" applyFill="1" applyBorder="1" applyAlignment="1" applyProtection="1">
      <alignment vertical="center" wrapText="1"/>
      <protection locked="0"/>
    </xf>
    <xf numFmtId="191" fontId="58" fillId="0" borderId="9" xfId="0" applyNumberFormat="1" applyFont="1" applyFill="1" applyBorder="1" applyAlignment="1" applyProtection="1">
      <alignment horizontal="center" vertical="center" wrapText="1"/>
      <protection locked="0"/>
    </xf>
    <xf numFmtId="0" fontId="51" fillId="0" borderId="9" xfId="0" applyNumberFormat="1" applyFont="1" applyFill="1" applyBorder="1" applyAlignment="1" applyProtection="1">
      <alignment horizontal="center" vertical="center" wrapText="1"/>
      <protection locked="0"/>
    </xf>
    <xf numFmtId="0" fontId="57" fillId="16" borderId="9" xfId="0" applyFont="1" applyFill="1" applyBorder="1" applyAlignment="1" applyProtection="1">
      <alignment vertical="center" wrapText="1"/>
      <protection locked="0"/>
    </xf>
    <xf numFmtId="191" fontId="58" fillId="16" borderId="9" xfId="0" applyNumberFormat="1" applyFont="1" applyFill="1" applyBorder="1" applyAlignment="1" applyProtection="1">
      <alignment horizontal="center" vertical="center" wrapText="1"/>
      <protection locked="0"/>
    </xf>
    <xf numFmtId="191" fontId="53" fillId="16" borderId="0" xfId="0" applyNumberFormat="1" applyFont="1" applyFill="1" applyAlignment="1" applyProtection="1">
      <alignment horizontal="center" vertical="center" wrapText="1"/>
      <protection locked="0"/>
    </xf>
    <xf numFmtId="0" fontId="51" fillId="16" borderId="9" xfId="0" applyNumberFormat="1" applyFont="1" applyFill="1" applyBorder="1" applyAlignment="1" applyProtection="1">
      <alignment horizontal="center" vertical="center" wrapText="1"/>
      <protection locked="0"/>
    </xf>
    <xf numFmtId="0" fontId="59" fillId="0" borderId="0" xfId="0" applyFont="1" applyFill="1" applyAlignment="1">
      <alignment horizontal="center" vertical="center"/>
    </xf>
    <xf numFmtId="0" fontId="57" fillId="0" borderId="9" xfId="0" applyFont="1" applyFill="1" applyBorder="1" applyAlignment="1" applyProtection="1">
      <alignment horizontal="center" vertical="center" wrapText="1"/>
      <protection locked="0"/>
    </xf>
    <xf numFmtId="0" fontId="41" fillId="0" borderId="0" xfId="0" applyNumberFormat="1" applyFont="1" applyFill="1" applyBorder="1" applyAlignment="1" applyProtection="1">
      <alignment horizontal="center" vertical="center"/>
      <protection locked="0"/>
    </xf>
    <xf numFmtId="0" fontId="41" fillId="0" borderId="0" xfId="0" applyNumberFormat="1" applyFont="1" applyFill="1" applyBorder="1" applyAlignment="1" applyProtection="1">
      <alignment vertical="center" wrapText="1"/>
      <protection locked="0"/>
    </xf>
    <xf numFmtId="192" fontId="42" fillId="0" borderId="0" xfId="0" applyNumberFormat="1" applyFont="1" applyFill="1" applyBorder="1" applyAlignment="1" applyProtection="1">
      <alignment horizontal="center" vertical="center"/>
      <protection locked="0"/>
    </xf>
    <xf numFmtId="0" fontId="42" fillId="0" borderId="0" xfId="0" applyNumberFormat="1" applyFont="1" applyFill="1" applyBorder="1" applyAlignment="1" applyProtection="1">
      <alignment horizontal="center" vertical="center"/>
      <protection locked="0"/>
    </xf>
    <xf numFmtId="0" fontId="42" fillId="0" borderId="0" xfId="0" applyNumberFormat="1" applyFont="1" applyFill="1" applyBorder="1" applyAlignment="1" applyProtection="1">
      <alignment horizontal="center" vertical="center" wrapText="1"/>
      <protection locked="0"/>
    </xf>
    <xf numFmtId="0" fontId="42" fillId="0" borderId="8" xfId="0" applyFont="1" applyFill="1" applyBorder="1" applyAlignment="1" applyProtection="1">
      <alignment horizontal="center" vertical="top" wrapText="1" shrinkToFit="1"/>
      <protection locked="0"/>
    </xf>
    <xf numFmtId="192" fontId="42" fillId="0" borderId="1" xfId="0" applyNumberFormat="1" applyFont="1" applyFill="1" applyBorder="1" applyAlignment="1" applyProtection="1">
      <alignment horizontal="center" vertical="top" wrapText="1" shrinkToFit="1"/>
      <protection locked="0"/>
    </xf>
    <xf numFmtId="0" fontId="42" fillId="0" borderId="1" xfId="0" applyNumberFormat="1" applyFont="1" applyFill="1" applyBorder="1" applyAlignment="1" applyProtection="1">
      <alignment horizontal="center" vertical="top" wrapText="1" shrinkToFit="1"/>
      <protection locked="0"/>
    </xf>
    <xf numFmtId="0" fontId="48" fillId="0" borderId="1" xfId="0" applyNumberFormat="1" applyFont="1" applyFill="1" applyBorder="1" applyAlignment="1" applyProtection="1">
      <alignment horizontal="center" vertical="top" wrapText="1" shrinkToFit="1"/>
      <protection locked="0"/>
    </xf>
    <xf numFmtId="0" fontId="60" fillId="0" borderId="1" xfId="0" applyNumberFormat="1" applyFont="1" applyFill="1" applyBorder="1" applyAlignment="1" applyProtection="1">
      <alignment horizontal="center" vertical="top" wrapText="1" shrinkToFit="1"/>
      <protection locked="0"/>
    </xf>
    <xf numFmtId="0" fontId="39" fillId="0" borderId="1" xfId="0" applyFont="1" applyFill="1" applyBorder="1" applyAlignment="1" applyProtection="1">
      <alignment horizontal="center" vertical="center"/>
      <protection locked="0"/>
    </xf>
    <xf numFmtId="186" fontId="51" fillId="0" borderId="1" xfId="0" applyNumberFormat="1" applyFont="1" applyFill="1" applyBorder="1" applyAlignment="1" applyProtection="1">
      <alignment horizontal="center" vertical="center" wrapText="1" shrinkToFit="1"/>
      <protection locked="0"/>
    </xf>
    <xf numFmtId="192" fontId="51" fillId="0" borderId="1" xfId="0" applyNumberFormat="1" applyFont="1" applyFill="1" applyBorder="1" applyAlignment="1" applyProtection="1">
      <alignment horizontal="center" vertical="center"/>
      <protection locked="0"/>
    </xf>
    <xf numFmtId="0" fontId="39" fillId="0" borderId="1" xfId="0" applyNumberFormat="1" applyFont="1" applyFill="1" applyBorder="1" applyAlignment="1" applyProtection="1">
      <alignment horizontal="center" vertical="center" wrapText="1"/>
      <protection locked="0"/>
    </xf>
    <xf numFmtId="0" fontId="39" fillId="0" borderId="2" xfId="0" applyFont="1" applyFill="1" applyBorder="1" applyAlignment="1" applyProtection="1">
      <alignment horizontal="center" vertical="center"/>
      <protection locked="0"/>
    </xf>
    <xf numFmtId="186" fontId="51" fillId="0" borderId="2" xfId="0" applyNumberFormat="1" applyFont="1" applyFill="1" applyBorder="1" applyAlignment="1" applyProtection="1">
      <alignment horizontal="center" vertical="center" wrapText="1" shrinkToFit="1"/>
      <protection locked="0"/>
    </xf>
    <xf numFmtId="192" fontId="51" fillId="0" borderId="2" xfId="0" applyNumberFormat="1" applyFont="1" applyFill="1" applyBorder="1" applyAlignment="1" applyProtection="1">
      <alignment horizontal="center" vertical="center"/>
      <protection locked="0"/>
    </xf>
    <xf numFmtId="0" fontId="1" fillId="0" borderId="2" xfId="0" applyFont="1" applyFill="1" applyBorder="1" applyAlignment="1" applyProtection="1">
      <alignment vertical="center"/>
      <protection locked="0"/>
    </xf>
    <xf numFmtId="0" fontId="39" fillId="0" borderId="2" xfId="0" applyNumberFormat="1" applyFont="1" applyFill="1" applyBorder="1" applyAlignment="1" applyProtection="1">
      <alignment horizontal="center" vertical="center" wrapText="1"/>
      <protection locked="0"/>
    </xf>
    <xf numFmtId="0" fontId="39" fillId="11" borderId="1" xfId="0" applyFont="1" applyFill="1" applyBorder="1" applyAlignment="1" applyProtection="1">
      <alignment horizontal="center" vertical="center"/>
      <protection locked="0"/>
    </xf>
    <xf numFmtId="186" fontId="51" fillId="11" borderId="1" xfId="0" applyNumberFormat="1" applyFont="1" applyFill="1" applyBorder="1" applyAlignment="1" applyProtection="1">
      <alignment horizontal="center" vertical="center" wrapText="1" shrinkToFit="1"/>
      <protection locked="0"/>
    </xf>
    <xf numFmtId="192" fontId="51" fillId="11" borderId="1" xfId="0" applyNumberFormat="1" applyFont="1" applyFill="1" applyBorder="1" applyAlignment="1" applyProtection="1">
      <alignment horizontal="center" vertical="center"/>
      <protection locked="0"/>
    </xf>
    <xf numFmtId="0" fontId="39" fillId="11" borderId="1" xfId="0" applyNumberFormat="1" applyFont="1" applyFill="1" applyBorder="1" applyAlignment="1" applyProtection="1">
      <alignment horizontal="center" vertical="center" wrapText="1"/>
      <protection locked="0"/>
    </xf>
    <xf numFmtId="0" fontId="39" fillId="0" borderId="9" xfId="0" applyFont="1" applyFill="1" applyBorder="1" applyAlignment="1" applyProtection="1">
      <alignment horizontal="center" vertical="center"/>
      <protection locked="0"/>
    </xf>
    <xf numFmtId="186" fontId="51" fillId="0" borderId="9" xfId="0" applyNumberFormat="1" applyFont="1" applyFill="1" applyBorder="1" applyAlignment="1" applyProtection="1">
      <alignment horizontal="center" vertical="center" wrapText="1" shrinkToFit="1"/>
      <protection locked="0"/>
    </xf>
    <xf numFmtId="192" fontId="51" fillId="0" borderId="9" xfId="0" applyNumberFormat="1" applyFont="1" applyFill="1" applyBorder="1" applyAlignment="1" applyProtection="1">
      <alignment horizontal="center" vertical="center"/>
      <protection locked="0"/>
    </xf>
    <xf numFmtId="0" fontId="1" fillId="0" borderId="9" xfId="0" applyFont="1" applyFill="1" applyBorder="1" applyAlignment="1" applyProtection="1">
      <alignment vertical="center"/>
      <protection locked="0"/>
    </xf>
    <xf numFmtId="0" fontId="39" fillId="0" borderId="9" xfId="0" applyNumberFormat="1" applyFont="1" applyFill="1" applyBorder="1" applyAlignment="1" applyProtection="1">
      <alignment horizontal="center" vertical="center" wrapText="1"/>
      <protection locked="0"/>
    </xf>
    <xf numFmtId="0" fontId="39" fillId="16" borderId="9" xfId="0" applyFont="1" applyFill="1" applyBorder="1" applyAlignment="1" applyProtection="1">
      <alignment horizontal="center" vertical="center"/>
      <protection locked="0"/>
    </xf>
    <xf numFmtId="186" fontId="51" fillId="17" borderId="9" xfId="0" applyNumberFormat="1" applyFont="1" applyFill="1" applyBorder="1" applyAlignment="1" applyProtection="1">
      <alignment horizontal="center" vertical="center" wrapText="1" shrinkToFit="1"/>
      <protection locked="0"/>
    </xf>
    <xf numFmtId="192" fontId="51" fillId="17" borderId="9" xfId="0" applyNumberFormat="1" applyFont="1" applyFill="1" applyBorder="1" applyAlignment="1" applyProtection="1">
      <alignment horizontal="center" vertical="center"/>
      <protection locked="0"/>
    </xf>
    <xf numFmtId="0" fontId="1" fillId="16" borderId="1" xfId="0" applyFont="1" applyFill="1" applyBorder="1" applyAlignment="1" applyProtection="1">
      <alignment vertical="center"/>
      <protection locked="0"/>
    </xf>
    <xf numFmtId="0" fontId="51" fillId="16" borderId="9" xfId="0" applyFont="1" applyFill="1" applyBorder="1" applyAlignment="1" applyProtection="1">
      <alignment horizontal="center" vertical="center" wrapText="1" shrinkToFit="1"/>
      <protection locked="0"/>
    </xf>
    <xf numFmtId="0" fontId="39" fillId="16" borderId="9" xfId="0" applyNumberFormat="1" applyFont="1" applyFill="1" applyBorder="1" applyAlignment="1" applyProtection="1">
      <alignment horizontal="center" vertical="center" wrapText="1"/>
      <protection locked="0"/>
    </xf>
    <xf numFmtId="0" fontId="51" fillId="0" borderId="1" xfId="0" applyNumberFormat="1" applyFont="1" applyFill="1" applyBorder="1" applyAlignment="1" applyProtection="1">
      <alignment horizontal="center" vertical="center"/>
      <protection locked="0"/>
    </xf>
    <xf numFmtId="191" fontId="61" fillId="0" borderId="0" xfId="0" applyNumberFormat="1" applyFont="1" applyFill="1" applyBorder="1" applyAlignment="1" applyProtection="1">
      <alignment vertical="center"/>
      <protection locked="0"/>
    </xf>
    <xf numFmtId="0" fontId="52" fillId="0" borderId="0" xfId="0" applyNumberFormat="1" applyFont="1" applyFill="1" applyBorder="1" applyAlignment="1" applyProtection="1">
      <alignment horizontal="center" vertical="center"/>
      <protection locked="0"/>
    </xf>
    <xf numFmtId="0" fontId="53" fillId="0" borderId="1" xfId="0" applyNumberFormat="1" applyFont="1" applyFill="1" applyBorder="1" applyAlignment="1" applyProtection="1">
      <alignment horizontal="center" vertical="center" wrapText="1" shrinkToFit="1"/>
      <protection locked="0"/>
    </xf>
    <xf numFmtId="0" fontId="52" fillId="0" borderId="1" xfId="0" applyNumberFormat="1" applyFont="1" applyFill="1" applyBorder="1" applyAlignment="1" applyProtection="1">
      <alignment horizontal="center" vertical="center"/>
      <protection locked="0"/>
    </xf>
    <xf numFmtId="0" fontId="53" fillId="0" borderId="2" xfId="0" applyNumberFormat="1" applyFont="1" applyFill="1" applyBorder="1" applyAlignment="1" applyProtection="1">
      <alignment horizontal="center" vertical="center" wrapText="1" shrinkToFit="1"/>
      <protection locked="0"/>
    </xf>
    <xf numFmtId="0" fontId="52" fillId="0" borderId="2" xfId="0" applyNumberFormat="1" applyFont="1" applyFill="1" applyBorder="1" applyAlignment="1" applyProtection="1">
      <alignment horizontal="center" vertical="center"/>
      <protection locked="0"/>
    </xf>
    <xf numFmtId="0" fontId="53" fillId="11" borderId="1" xfId="0" applyNumberFormat="1" applyFont="1" applyFill="1" applyBorder="1" applyAlignment="1" applyProtection="1">
      <alignment horizontal="center" vertical="center" wrapText="1" shrinkToFit="1"/>
      <protection locked="0"/>
    </xf>
    <xf numFmtId="0" fontId="52" fillId="11" borderId="1" xfId="0" applyNumberFormat="1" applyFont="1" applyFill="1" applyBorder="1" applyAlignment="1" applyProtection="1">
      <alignment horizontal="center" vertical="center"/>
      <protection locked="0"/>
    </xf>
    <xf numFmtId="0" fontId="59" fillId="11" borderId="1" xfId="0" applyFont="1" applyFill="1" applyBorder="1" applyAlignment="1">
      <alignment vertical="center" wrapText="1"/>
    </xf>
    <xf numFmtId="0" fontId="59" fillId="0" borderId="1" xfId="0" applyFont="1" applyFill="1" applyBorder="1" applyAlignment="1">
      <alignment vertical="center" wrapText="1"/>
    </xf>
    <xf numFmtId="0" fontId="53" fillId="0" borderId="9" xfId="0" applyNumberFormat="1" applyFont="1" applyFill="1" applyBorder="1" applyAlignment="1" applyProtection="1">
      <alignment horizontal="center" vertical="center" wrapText="1" shrinkToFit="1"/>
      <protection locked="0"/>
    </xf>
    <xf numFmtId="0" fontId="52" fillId="0" borderId="9" xfId="0" applyNumberFormat="1" applyFont="1" applyFill="1" applyBorder="1" applyAlignment="1" applyProtection="1">
      <alignment horizontal="center" vertical="center"/>
      <protection locked="0"/>
    </xf>
    <xf numFmtId="0" fontId="59" fillId="0" borderId="9" xfId="0" applyFont="1" applyFill="1" applyBorder="1" applyAlignment="1">
      <alignment vertical="center" wrapText="1"/>
    </xf>
    <xf numFmtId="0" fontId="53" fillId="16" borderId="9" xfId="0" applyNumberFormat="1" applyFont="1" applyFill="1" applyBorder="1" applyAlignment="1" applyProtection="1">
      <alignment horizontal="center" vertical="center" wrapText="1" shrinkToFit="1"/>
      <protection locked="0"/>
    </xf>
    <xf numFmtId="0" fontId="52" fillId="16" borderId="9" xfId="0" applyNumberFormat="1" applyFont="1" applyFill="1" applyBorder="1" applyAlignment="1" applyProtection="1">
      <alignment horizontal="center" vertical="center"/>
      <protection locked="0"/>
    </xf>
    <xf numFmtId="0" fontId="59" fillId="16" borderId="1" xfId="0" applyFont="1" applyFill="1" applyBorder="1" applyAlignment="1">
      <alignment vertical="center" wrapText="1"/>
    </xf>
    <xf numFmtId="0" fontId="62" fillId="16" borderId="1" xfId="0" applyFont="1" applyFill="1" applyBorder="1" applyAlignment="1">
      <alignment vertical="center" wrapText="1"/>
    </xf>
    <xf numFmtId="190" fontId="49" fillId="11" borderId="12" xfId="0" applyNumberFormat="1" applyFont="1" applyFill="1" applyBorder="1" applyAlignment="1" applyProtection="1">
      <alignment horizontal="center" vertical="center" shrinkToFit="1"/>
    </xf>
    <xf numFmtId="190" fontId="49" fillId="16" borderId="12" xfId="0" applyNumberFormat="1" applyFont="1" applyFill="1" applyBorder="1" applyAlignment="1" applyProtection="1">
      <alignment horizontal="center" vertical="center" shrinkToFit="1"/>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千位分隔 3 2" xfId="49"/>
    <cellStyle name="常规 2 2" xfId="50"/>
    <cellStyle name="常规 2 3" xfId="51"/>
    <cellStyle name="千位分隔 2" xfId="52"/>
    <cellStyle name="常规 4" xfId="53"/>
    <cellStyle name="常规 5" xfId="54"/>
    <cellStyle name="20% - 强调文字颜色 4 2 3 117" xfId="55"/>
    <cellStyle name="常规 10 2 2 2 2 2 2 2 2" xfId="56"/>
    <cellStyle name="常规 3" xfId="57"/>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FFF00"/>
      <color rgb="0000B0F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12</xdr:row>
      <xdr:rowOff>0</xdr:rowOff>
    </xdr:from>
    <xdr:to>
      <xdr:col>3</xdr:col>
      <xdr:colOff>400050</xdr:colOff>
      <xdr:row>16</xdr:row>
      <xdr:rowOff>33020</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2974975"/>
          <a:ext cx="5012055" cy="747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266700</xdr:colOff>
      <xdr:row>23</xdr:row>
      <xdr:rowOff>35560</xdr:rowOff>
    </xdr:from>
    <xdr:ext cx="628015" cy="546100"/>
    <xdr:pic>
      <xdr:nvPicPr>
        <xdr:cNvPr id="3" name="图片 2"/>
        <xdr:cNvPicPr>
          <a:picLocks noChangeAspect="1"/>
        </xdr:cNvPicPr>
      </xdr:nvPicPr>
      <xdr:blipFill>
        <a:blip r:embed="rId2"/>
        <a:stretch>
          <a:fillRect/>
        </a:stretch>
      </xdr:blipFill>
      <xdr:spPr>
        <a:xfrm>
          <a:off x="266700" y="6069330"/>
          <a:ext cx="628015" cy="546100"/>
        </a:xfrm>
        <a:prstGeom prst="rect">
          <a:avLst/>
        </a:prstGeom>
      </xdr:spPr>
    </xdr:pic>
    <xdr:clientData/>
  </xdr:oneCellAnchor>
  <xdr:twoCellAnchor editAs="oneCell">
    <xdr:from>
      <xdr:col>4</xdr:col>
      <xdr:colOff>18415</xdr:colOff>
      <xdr:row>10</xdr:row>
      <xdr:rowOff>27305</xdr:rowOff>
    </xdr:from>
    <xdr:to>
      <xdr:col>10</xdr:col>
      <xdr:colOff>92075</xdr:colOff>
      <xdr:row>19</xdr:row>
      <xdr:rowOff>104775</xdr:rowOff>
    </xdr:to>
    <xdr:pic>
      <xdr:nvPicPr>
        <xdr:cNvPr id="4" name="图片 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5146040" y="2640330"/>
          <a:ext cx="5095875" cy="1639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436880</xdr:colOff>
      <xdr:row>34</xdr:row>
      <xdr:rowOff>51435</xdr:rowOff>
    </xdr:from>
    <xdr:ext cx="1190476" cy="980945"/>
    <xdr:pic>
      <xdr:nvPicPr>
        <xdr:cNvPr id="5" name="图片 4"/>
        <xdr:cNvPicPr>
          <a:picLocks noChangeAspect="1"/>
        </xdr:cNvPicPr>
      </xdr:nvPicPr>
      <xdr:blipFill>
        <a:blip r:embed="rId2"/>
        <a:stretch>
          <a:fillRect/>
        </a:stretch>
      </xdr:blipFill>
      <xdr:spPr>
        <a:xfrm>
          <a:off x="436880" y="8851900"/>
          <a:ext cx="1189990" cy="98044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Roaming\Foxmail7\Temp-17908-20260127185724\Attach\MA-RR-2089%20(Mini%20Brands%20Magic%20Cook%20Kitchen%20Playset%20S1%2077858#%20Material&#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RR-2089"/>
      <sheetName val="Summary"/>
      <sheetName val="Application (2)"/>
      <sheetName val="填写说明"/>
      <sheetName val="Data"/>
      <sheetName val="Milestone"/>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XCY21"/>
  <sheetViews>
    <sheetView tabSelected="1" workbookViewId="0">
      <pane xSplit="15" ySplit="3" topLeftCell="Z6" activePane="bottomRight" state="frozen"/>
      <selection/>
      <selection pane="topRight"/>
      <selection pane="bottomLeft"/>
      <selection pane="bottomRight" activeCell="H9" sqref="H9"/>
    </sheetView>
  </sheetViews>
  <sheetFormatPr defaultColWidth="9" defaultRowHeight="13.5"/>
  <cols>
    <col min="1" max="1" width="13.8083333333333" customWidth="1"/>
    <col min="2" max="2" width="11.9" hidden="1" customWidth="1"/>
    <col min="5" max="5" width="16.1333333333333" customWidth="1"/>
    <col min="6" max="7" width="11.5"/>
    <col min="8" max="8" width="13.5666666666667" customWidth="1"/>
    <col min="14" max="15" width="13.8" customWidth="1"/>
    <col min="24" max="24" width="47.025" customWidth="1"/>
    <col min="27" max="27" width="11.5"/>
    <col min="29" max="29" width="13.0333333333333" customWidth="1"/>
    <col min="30" max="30" width="8.38333333333333" customWidth="1"/>
  </cols>
  <sheetData>
    <row r="1" s="158" customFormat="1" ht="42" customHeight="1" spans="1:16327">
      <c r="A1" s="166" t="s">
        <v>0</v>
      </c>
      <c r="B1" s="166"/>
      <c r="C1" s="167"/>
      <c r="D1" s="168"/>
      <c r="E1" s="169"/>
      <c r="F1" s="167"/>
      <c r="G1" s="170"/>
      <c r="H1" s="167"/>
      <c r="I1" s="167"/>
      <c r="J1" s="167"/>
      <c r="K1" s="216"/>
      <c r="L1" s="216"/>
      <c r="M1" s="216"/>
      <c r="N1" s="216"/>
      <c r="O1" s="216"/>
      <c r="P1" s="217"/>
      <c r="Q1" s="168"/>
      <c r="R1" s="168"/>
      <c r="S1" s="168"/>
      <c r="T1" s="216"/>
      <c r="U1" s="216"/>
      <c r="V1" s="257"/>
      <c r="W1" s="257"/>
      <c r="X1" s="167"/>
      <c r="Y1" s="167"/>
      <c r="Z1" s="216"/>
      <c r="AA1" s="216"/>
      <c r="AB1" s="217"/>
      <c r="AC1" s="280"/>
      <c r="AD1" s="280"/>
      <c r="AE1" s="217"/>
      <c r="AF1" s="281"/>
      <c r="AG1" s="257"/>
      <c r="AH1" s="315"/>
      <c r="AI1" s="217"/>
      <c r="AJ1" s="217"/>
      <c r="AK1" s="217"/>
      <c r="AL1" s="217"/>
      <c r="XCY1"/>
    </row>
    <row r="2" s="159" customFormat="1" ht="15" spans="1:16327">
      <c r="A2" s="171"/>
      <c r="B2" s="171"/>
      <c r="C2" s="172"/>
      <c r="D2" s="173"/>
      <c r="E2" s="174"/>
      <c r="F2" s="175"/>
      <c r="G2" s="176"/>
      <c r="H2" s="177"/>
      <c r="I2" s="177"/>
      <c r="J2" s="177"/>
      <c r="K2" s="218"/>
      <c r="L2" s="218"/>
      <c r="M2" s="218"/>
      <c r="N2" s="218"/>
      <c r="O2" s="218"/>
      <c r="P2" s="219"/>
      <c r="Q2" s="173"/>
      <c r="R2" s="173"/>
      <c r="S2" s="173"/>
      <c r="T2" s="218"/>
      <c r="U2" s="218"/>
      <c r="V2" s="219"/>
      <c r="W2" s="219"/>
      <c r="X2" s="219"/>
      <c r="Y2" s="175"/>
      <c r="Z2" s="218"/>
      <c r="AA2" s="282"/>
      <c r="AB2" s="283"/>
      <c r="AC2" s="283"/>
      <c r="AD2" s="283"/>
      <c r="AE2" s="283"/>
      <c r="AF2" s="284"/>
      <c r="AG2" s="283"/>
      <c r="AH2" s="316"/>
      <c r="AI2" s="283"/>
      <c r="AJ2" s="283"/>
      <c r="AK2" s="283"/>
      <c r="AL2" s="283"/>
      <c r="XCY2"/>
    </row>
    <row r="3" s="160" customFormat="1" ht="46" customHeight="1" spans="1:16327">
      <c r="A3" s="178" t="s">
        <v>1</v>
      </c>
      <c r="B3" s="178" t="s">
        <v>2</v>
      </c>
      <c r="C3" s="179" t="s">
        <v>3</v>
      </c>
      <c r="D3" s="180" t="s">
        <v>4</v>
      </c>
      <c r="E3" s="180" t="s">
        <v>5</v>
      </c>
      <c r="F3" s="180" t="s">
        <v>6</v>
      </c>
      <c r="G3" s="180" t="s">
        <v>7</v>
      </c>
      <c r="H3" s="180" t="s">
        <v>8</v>
      </c>
      <c r="I3" s="220" t="s">
        <v>9</v>
      </c>
      <c r="J3" s="220" t="s">
        <v>10</v>
      </c>
      <c r="K3" s="220" t="s">
        <v>11</v>
      </c>
      <c r="L3" s="180" t="s">
        <v>12</v>
      </c>
      <c r="M3" s="180" t="s">
        <v>13</v>
      </c>
      <c r="N3" s="221" t="s">
        <v>14</v>
      </c>
      <c r="O3" s="221" t="s">
        <v>15</v>
      </c>
      <c r="P3" s="222" t="s">
        <v>16</v>
      </c>
      <c r="Q3" s="180" t="s">
        <v>17</v>
      </c>
      <c r="R3" s="180" t="s">
        <v>18</v>
      </c>
      <c r="S3" s="179" t="s">
        <v>19</v>
      </c>
      <c r="T3" s="180" t="s">
        <v>20</v>
      </c>
      <c r="U3" s="179" t="s">
        <v>21</v>
      </c>
      <c r="V3" s="258" t="s">
        <v>22</v>
      </c>
      <c r="W3" s="259" t="s">
        <v>23</v>
      </c>
      <c r="X3" s="260" t="s">
        <v>24</v>
      </c>
      <c r="Y3" s="285" t="s">
        <v>25</v>
      </c>
      <c r="Z3" s="180" t="s">
        <v>26</v>
      </c>
      <c r="AA3" s="286" t="s">
        <v>27</v>
      </c>
      <c r="AB3" s="287" t="s">
        <v>28</v>
      </c>
      <c r="AC3" s="288" t="s">
        <v>29</v>
      </c>
      <c r="AD3" s="287" t="s">
        <v>30</v>
      </c>
      <c r="AE3" s="289" t="s">
        <v>31</v>
      </c>
      <c r="AF3" s="289" t="s">
        <v>32</v>
      </c>
      <c r="AG3" s="289" t="s">
        <v>33</v>
      </c>
      <c r="AH3" s="289" t="s">
        <v>34</v>
      </c>
      <c r="AI3" s="288" t="s">
        <v>35</v>
      </c>
      <c r="AJ3" s="288" t="s">
        <v>36</v>
      </c>
      <c r="AK3" s="288" t="s">
        <v>37</v>
      </c>
      <c r="AL3" s="288" t="s">
        <v>38</v>
      </c>
      <c r="XCY3"/>
    </row>
    <row r="4" s="161" customFormat="1" ht="36" customHeight="1" spans="1:16327">
      <c r="A4" s="181">
        <v>45989</v>
      </c>
      <c r="B4" s="182" t="str">
        <f ca="1">IF(TODAY()-5&gt;=A4,IF(T4="","异常",""),"")</f>
        <v/>
      </c>
      <c r="C4" s="183" t="s">
        <v>39</v>
      </c>
      <c r="D4" s="183" t="s">
        <v>40</v>
      </c>
      <c r="E4" s="184" t="s">
        <v>41</v>
      </c>
      <c r="F4" s="185" t="s">
        <v>42</v>
      </c>
      <c r="G4" s="186"/>
      <c r="H4" s="187" t="s">
        <v>43</v>
      </c>
      <c r="I4" s="223" t="s">
        <v>44</v>
      </c>
      <c r="J4" s="224">
        <v>300</v>
      </c>
      <c r="K4" s="225">
        <v>0</v>
      </c>
      <c r="L4" s="225">
        <v>3</v>
      </c>
      <c r="M4" s="226">
        <f>J4/L4</f>
        <v>100</v>
      </c>
      <c r="N4" s="227">
        <v>45666</v>
      </c>
      <c r="O4" s="227">
        <v>45666</v>
      </c>
      <c r="P4" s="228"/>
      <c r="Q4" s="228"/>
      <c r="R4" s="261"/>
      <c r="S4" s="261"/>
      <c r="T4" s="228" t="s">
        <v>45</v>
      </c>
      <c r="U4" s="262" t="s">
        <v>46</v>
      </c>
      <c r="V4" s="262" t="s">
        <v>46</v>
      </c>
      <c r="W4" s="262"/>
      <c r="X4" s="263" t="s">
        <v>47</v>
      </c>
      <c r="Y4" s="290"/>
      <c r="Z4" s="291"/>
      <c r="AA4" s="292"/>
      <c r="AB4" s="184"/>
      <c r="AC4" s="187" t="s">
        <v>43</v>
      </c>
      <c r="AD4" s="162" t="s">
        <v>48</v>
      </c>
      <c r="AE4" s="225"/>
      <c r="AF4" s="293"/>
      <c r="AG4" s="317"/>
      <c r="AH4" s="318"/>
      <c r="AI4" s="184"/>
      <c r="AJ4" s="184"/>
      <c r="AK4" s="184"/>
      <c r="AL4" s="184"/>
      <c r="XCY4" s="188"/>
    </row>
    <row r="5" s="161" customFormat="1" ht="36" customHeight="1" spans="1:16327">
      <c r="A5" s="188">
        <v>46021</v>
      </c>
      <c r="B5" s="189"/>
      <c r="C5" s="190"/>
      <c r="D5" s="190"/>
      <c r="E5" s="191" t="s">
        <v>49</v>
      </c>
      <c r="F5" s="192"/>
      <c r="G5" s="193"/>
      <c r="H5" s="194" t="s">
        <v>43</v>
      </c>
      <c r="I5" s="229" t="s">
        <v>44</v>
      </c>
      <c r="J5" s="230">
        <v>498</v>
      </c>
      <c r="K5" s="231">
        <v>0</v>
      </c>
      <c r="L5" s="231">
        <v>3</v>
      </c>
      <c r="M5" s="232">
        <f>J5/L5</f>
        <v>166</v>
      </c>
      <c r="N5" s="233">
        <v>46038</v>
      </c>
      <c r="O5" s="233">
        <v>46038</v>
      </c>
      <c r="P5" s="234"/>
      <c r="Q5" s="234"/>
      <c r="R5" s="264"/>
      <c r="S5" s="264"/>
      <c r="T5" s="234">
        <v>46386</v>
      </c>
      <c r="U5" s="265" t="s">
        <v>46</v>
      </c>
      <c r="V5" s="265" t="s">
        <v>46</v>
      </c>
      <c r="W5" s="265"/>
      <c r="X5" s="266" t="s">
        <v>50</v>
      </c>
      <c r="Y5" s="294"/>
      <c r="Z5" s="295"/>
      <c r="AA5" s="296"/>
      <c r="AB5" s="191"/>
      <c r="AC5" s="194" t="s">
        <v>43</v>
      </c>
      <c r="AD5" s="297" t="s">
        <v>48</v>
      </c>
      <c r="AE5" s="231"/>
      <c r="AF5" s="298"/>
      <c r="AG5" s="319"/>
      <c r="AH5" s="320"/>
      <c r="AI5" s="191"/>
      <c r="AJ5" s="191"/>
      <c r="AK5" s="191"/>
      <c r="AL5" s="191"/>
      <c r="XCY5" s="188"/>
    </row>
    <row r="6" s="162" customFormat="1" ht="36" hidden="1" customHeight="1" spans="1:16327">
      <c r="A6" s="181">
        <v>46045</v>
      </c>
      <c r="B6" s="182"/>
      <c r="C6" s="183" t="s">
        <v>51</v>
      </c>
      <c r="D6" s="183" t="s">
        <v>52</v>
      </c>
      <c r="E6" s="184">
        <v>4500192110</v>
      </c>
      <c r="F6" s="195" t="s">
        <v>53</v>
      </c>
      <c r="G6" s="187" t="s">
        <v>54</v>
      </c>
      <c r="H6" s="187" t="s">
        <v>55</v>
      </c>
      <c r="I6" s="223" t="s">
        <v>44</v>
      </c>
      <c r="J6" s="224">
        <v>24</v>
      </c>
      <c r="K6" s="225">
        <v>0</v>
      </c>
      <c r="L6" s="225">
        <v>3</v>
      </c>
      <c r="M6" s="235">
        <f>J6/L6</f>
        <v>8</v>
      </c>
      <c r="N6" s="227">
        <v>46052</v>
      </c>
      <c r="O6" s="227">
        <v>46048</v>
      </c>
      <c r="P6" s="228"/>
      <c r="Q6" s="228"/>
      <c r="R6" s="261"/>
      <c r="S6" s="267" t="s">
        <v>56</v>
      </c>
      <c r="T6" s="228">
        <v>46045</v>
      </c>
      <c r="U6" s="262" t="s">
        <v>57</v>
      </c>
      <c r="V6" s="262" t="s">
        <v>58</v>
      </c>
      <c r="W6" s="262"/>
      <c r="X6" s="263" t="s">
        <v>59</v>
      </c>
      <c r="Y6" s="290" t="s">
        <v>60</v>
      </c>
      <c r="Z6" s="291">
        <v>8.5</v>
      </c>
      <c r="AA6" s="292">
        <f>J6*Z6</f>
        <v>204</v>
      </c>
      <c r="AB6" s="184"/>
      <c r="AC6" s="187" t="s">
        <v>55</v>
      </c>
      <c r="AD6" s="162" t="s">
        <v>61</v>
      </c>
      <c r="AE6" s="225"/>
      <c r="AF6" s="293"/>
      <c r="AG6" s="317"/>
      <c r="AH6" s="318"/>
      <c r="AI6" s="184"/>
      <c r="AJ6" s="184"/>
      <c r="AK6" s="184"/>
      <c r="AL6" s="184"/>
      <c r="XCY6" s="181"/>
    </row>
    <row r="7" s="163" customFormat="1" ht="36" customHeight="1" spans="1:16327">
      <c r="A7" s="196">
        <v>46059</v>
      </c>
      <c r="B7" s="197" t="s">
        <v>62</v>
      </c>
      <c r="C7" s="198" t="s">
        <v>62</v>
      </c>
      <c r="D7" s="198" t="s">
        <v>63</v>
      </c>
      <c r="E7" s="199">
        <v>4500190738</v>
      </c>
      <c r="F7" s="200" t="s">
        <v>64</v>
      </c>
      <c r="G7" s="201" t="s">
        <v>65</v>
      </c>
      <c r="H7" s="201" t="s">
        <v>43</v>
      </c>
      <c r="I7" s="236" t="s">
        <v>44</v>
      </c>
      <c r="J7" s="237">
        <v>2442</v>
      </c>
      <c r="K7" s="238">
        <v>0</v>
      </c>
      <c r="L7" s="238">
        <v>3</v>
      </c>
      <c r="M7" s="239">
        <f>J7/L7</f>
        <v>814</v>
      </c>
      <c r="N7" s="240">
        <v>46119</v>
      </c>
      <c r="O7" s="240">
        <v>46115</v>
      </c>
      <c r="P7" s="241"/>
      <c r="Q7" s="241"/>
      <c r="R7" s="268"/>
      <c r="S7" s="268"/>
      <c r="T7" s="241" t="s">
        <v>66</v>
      </c>
      <c r="U7" s="269" t="s">
        <v>57</v>
      </c>
      <c r="V7" s="241" t="s">
        <v>67</v>
      </c>
      <c r="W7" s="241"/>
      <c r="X7" s="270" t="s">
        <v>68</v>
      </c>
      <c r="Y7" s="299" t="s">
        <v>69</v>
      </c>
      <c r="Z7" s="300">
        <v>5.28</v>
      </c>
      <c r="AA7" s="301">
        <f>J7*Z7</f>
        <v>12893.76</v>
      </c>
      <c r="AB7" s="199"/>
      <c r="AC7" s="201"/>
      <c r="AE7" s="238"/>
      <c r="AF7" s="302"/>
      <c r="AG7" s="321"/>
      <c r="AH7" s="322"/>
      <c r="AI7" s="199">
        <f>J7</f>
        <v>2442</v>
      </c>
      <c r="AJ7" s="199"/>
      <c r="AK7" s="199"/>
      <c r="AL7" s="323"/>
      <c r="XCY7" s="196"/>
    </row>
    <row r="8" s="163" customFormat="1" ht="36" customHeight="1" spans="1:16327">
      <c r="A8" s="181">
        <v>46055</v>
      </c>
      <c r="B8" s="197"/>
      <c r="C8" s="183" t="s">
        <v>70</v>
      </c>
      <c r="D8" s="183" t="s">
        <v>71</v>
      </c>
      <c r="E8" s="184">
        <v>4500192944</v>
      </c>
      <c r="F8" s="195">
        <v>4400536944</v>
      </c>
      <c r="G8" s="187" t="s">
        <v>72</v>
      </c>
      <c r="H8" s="187" t="s">
        <v>43</v>
      </c>
      <c r="I8" s="223" t="s">
        <v>44</v>
      </c>
      <c r="J8" s="224">
        <v>561</v>
      </c>
      <c r="K8" s="225">
        <v>0</v>
      </c>
      <c r="L8" s="225">
        <v>3</v>
      </c>
      <c r="M8" s="235">
        <f t="shared" ref="M8:M15" si="0">J8/L8</f>
        <v>187</v>
      </c>
      <c r="N8" s="227">
        <v>46122</v>
      </c>
      <c r="O8" s="227">
        <v>46118</v>
      </c>
      <c r="P8" s="228"/>
      <c r="Q8" s="228"/>
      <c r="R8" s="261"/>
      <c r="S8" s="261"/>
      <c r="T8" s="228" t="s">
        <v>66</v>
      </c>
      <c r="U8" s="262" t="s">
        <v>46</v>
      </c>
      <c r="V8" s="228" t="s">
        <v>73</v>
      </c>
      <c r="W8" s="228"/>
      <c r="X8" s="263" t="s">
        <v>74</v>
      </c>
      <c r="Y8" s="290" t="s">
        <v>75</v>
      </c>
      <c r="Z8" s="291">
        <v>8.8</v>
      </c>
      <c r="AA8" s="292">
        <f t="shared" ref="AA8:AA15" si="1">J8*Z8</f>
        <v>4936.8</v>
      </c>
      <c r="AB8" s="184"/>
      <c r="AC8" s="187" t="s">
        <v>43</v>
      </c>
      <c r="AD8" s="162" t="s">
        <v>48</v>
      </c>
      <c r="AE8" s="225"/>
      <c r="AF8" s="293"/>
      <c r="AG8" s="317"/>
      <c r="AH8" s="318"/>
      <c r="AI8" s="184"/>
      <c r="AJ8" s="184">
        <f t="shared" ref="AJ8:AJ13" si="2">J8</f>
        <v>561</v>
      </c>
      <c r="AK8" s="184"/>
      <c r="AL8" s="324" t="s">
        <v>76</v>
      </c>
      <c r="XCY8" s="196"/>
    </row>
    <row r="9" s="164" customFormat="1" ht="36" customHeight="1" spans="1:16327">
      <c r="A9" s="202">
        <v>46055</v>
      </c>
      <c r="B9" s="203"/>
      <c r="C9" s="204" t="s">
        <v>70</v>
      </c>
      <c r="D9" s="204" t="s">
        <v>71</v>
      </c>
      <c r="E9" s="205">
        <v>4500192944</v>
      </c>
      <c r="F9" s="206">
        <v>4400536950</v>
      </c>
      <c r="G9" s="207" t="s">
        <v>77</v>
      </c>
      <c r="H9" s="207" t="s">
        <v>43</v>
      </c>
      <c r="I9" s="242" t="s">
        <v>44</v>
      </c>
      <c r="J9" s="243">
        <v>240</v>
      </c>
      <c r="K9" s="244">
        <v>0</v>
      </c>
      <c r="L9" s="244">
        <v>3</v>
      </c>
      <c r="M9" s="245">
        <f t="shared" si="0"/>
        <v>80</v>
      </c>
      <c r="N9" s="246">
        <v>46122</v>
      </c>
      <c r="O9" s="246">
        <v>46118</v>
      </c>
      <c r="P9" s="247"/>
      <c r="Q9" s="247"/>
      <c r="R9" s="271"/>
      <c r="S9" s="271"/>
      <c r="T9" s="247" t="s">
        <v>66</v>
      </c>
      <c r="U9" s="272" t="s">
        <v>46</v>
      </c>
      <c r="V9" s="247" t="s">
        <v>73</v>
      </c>
      <c r="W9" s="247"/>
      <c r="X9" s="273" t="s">
        <v>74</v>
      </c>
      <c r="Y9" s="303" t="s">
        <v>75</v>
      </c>
      <c r="Z9" s="304">
        <v>8.8</v>
      </c>
      <c r="AA9" s="305">
        <f t="shared" si="1"/>
        <v>2112</v>
      </c>
      <c r="AB9" s="205"/>
      <c r="AC9" s="207" t="s">
        <v>43</v>
      </c>
      <c r="AD9" s="306" t="s">
        <v>48</v>
      </c>
      <c r="AE9" s="244"/>
      <c r="AF9" s="307"/>
      <c r="AG9" s="325"/>
      <c r="AH9" s="326"/>
      <c r="AI9" s="205"/>
      <c r="AJ9" s="205">
        <f t="shared" si="2"/>
        <v>240</v>
      </c>
      <c r="AK9" s="205"/>
      <c r="AL9" s="327" t="s">
        <v>76</v>
      </c>
      <c r="XCY9" s="332"/>
    </row>
    <row r="10" s="164" customFormat="1" ht="36" customHeight="1" spans="1:16327">
      <c r="A10" s="202">
        <v>46055</v>
      </c>
      <c r="B10" s="203"/>
      <c r="C10" s="204" t="s">
        <v>78</v>
      </c>
      <c r="D10" s="204" t="s">
        <v>79</v>
      </c>
      <c r="E10" s="205">
        <v>4500192931</v>
      </c>
      <c r="F10" s="206" t="s">
        <v>80</v>
      </c>
      <c r="G10" s="207" t="s">
        <v>81</v>
      </c>
      <c r="H10" s="207" t="s">
        <v>43</v>
      </c>
      <c r="I10" s="242" t="s">
        <v>44</v>
      </c>
      <c r="J10" s="248">
        <v>3000</v>
      </c>
      <c r="K10" s="244">
        <v>0</v>
      </c>
      <c r="L10" s="244">
        <v>3</v>
      </c>
      <c r="M10" s="245">
        <f t="shared" si="0"/>
        <v>1000</v>
      </c>
      <c r="N10" s="246">
        <v>46122</v>
      </c>
      <c r="O10" s="246">
        <v>46118</v>
      </c>
      <c r="P10" s="247"/>
      <c r="Q10" s="247"/>
      <c r="R10" s="271"/>
      <c r="S10" s="271"/>
      <c r="T10" s="247" t="s">
        <v>66</v>
      </c>
      <c r="U10" s="272" t="s">
        <v>46</v>
      </c>
      <c r="V10" s="247" t="s">
        <v>73</v>
      </c>
      <c r="W10" s="247"/>
      <c r="X10" s="273" t="s">
        <v>82</v>
      </c>
      <c r="Y10" s="303" t="s">
        <v>75</v>
      </c>
      <c r="Z10" s="304">
        <v>8.8</v>
      </c>
      <c r="AA10" s="305">
        <f t="shared" si="1"/>
        <v>26400</v>
      </c>
      <c r="AB10" s="205"/>
      <c r="AC10" s="207" t="s">
        <v>43</v>
      </c>
      <c r="AD10" s="162" t="s">
        <v>48</v>
      </c>
      <c r="AE10" s="244"/>
      <c r="AF10" s="307"/>
      <c r="AG10" s="325"/>
      <c r="AH10" s="326"/>
      <c r="AI10" s="205"/>
      <c r="AJ10" s="205">
        <f t="shared" si="2"/>
        <v>3000</v>
      </c>
      <c r="AK10" s="205"/>
      <c r="AL10" s="324" t="s">
        <v>76</v>
      </c>
      <c r="XCY10" s="332"/>
    </row>
    <row r="11" s="164" customFormat="1" ht="36" customHeight="1" spans="1:16327">
      <c r="A11" s="202">
        <v>46055</v>
      </c>
      <c r="B11" s="203"/>
      <c r="C11" s="204" t="s">
        <v>83</v>
      </c>
      <c r="D11" s="204" t="s">
        <v>84</v>
      </c>
      <c r="E11" s="205">
        <v>4500192938</v>
      </c>
      <c r="F11" s="206" t="s">
        <v>85</v>
      </c>
      <c r="G11" s="207" t="s">
        <v>86</v>
      </c>
      <c r="H11" s="207" t="s">
        <v>43</v>
      </c>
      <c r="I11" s="242" t="s">
        <v>44</v>
      </c>
      <c r="J11" s="248">
        <v>1002</v>
      </c>
      <c r="K11" s="244">
        <v>0</v>
      </c>
      <c r="L11" s="244">
        <v>3</v>
      </c>
      <c r="M11" s="245">
        <f t="shared" si="0"/>
        <v>334</v>
      </c>
      <c r="N11" s="246">
        <v>46122</v>
      </c>
      <c r="O11" s="246">
        <v>46118</v>
      </c>
      <c r="P11" s="247"/>
      <c r="Q11" s="247"/>
      <c r="R11" s="271"/>
      <c r="S11" s="271"/>
      <c r="T11" s="247" t="s">
        <v>66</v>
      </c>
      <c r="U11" s="272" t="s">
        <v>46</v>
      </c>
      <c r="V11" s="247" t="s">
        <v>73</v>
      </c>
      <c r="W11" s="247"/>
      <c r="X11" s="273" t="s">
        <v>82</v>
      </c>
      <c r="Y11" s="303" t="s">
        <v>75</v>
      </c>
      <c r="Z11" s="304">
        <v>8.8</v>
      </c>
      <c r="AA11" s="305">
        <f t="shared" si="1"/>
        <v>8817.6</v>
      </c>
      <c r="AB11" s="205"/>
      <c r="AC11" s="207" t="s">
        <v>43</v>
      </c>
      <c r="AD11" s="162" t="s">
        <v>48</v>
      </c>
      <c r="AE11" s="244"/>
      <c r="AF11" s="307"/>
      <c r="AG11" s="325"/>
      <c r="AH11" s="326"/>
      <c r="AI11" s="205"/>
      <c r="AJ11" s="205">
        <f t="shared" si="2"/>
        <v>1002</v>
      </c>
      <c r="AK11" s="205"/>
      <c r="AL11" s="324" t="s">
        <v>76</v>
      </c>
      <c r="XCY11" s="332"/>
    </row>
    <row r="12" s="164" customFormat="1" ht="36" customHeight="1" spans="1:16327">
      <c r="A12" s="202">
        <v>46055</v>
      </c>
      <c r="B12" s="203"/>
      <c r="C12" s="204" t="s">
        <v>87</v>
      </c>
      <c r="D12" s="204" t="s">
        <v>88</v>
      </c>
      <c r="E12" s="205">
        <v>4500192949</v>
      </c>
      <c r="F12" s="206" t="s">
        <v>89</v>
      </c>
      <c r="G12" s="207" t="s">
        <v>90</v>
      </c>
      <c r="H12" s="207" t="s">
        <v>43</v>
      </c>
      <c r="I12" s="242" t="s">
        <v>44</v>
      </c>
      <c r="J12" s="248">
        <v>840</v>
      </c>
      <c r="K12" s="244">
        <v>0</v>
      </c>
      <c r="L12" s="244">
        <v>3</v>
      </c>
      <c r="M12" s="245">
        <f t="shared" si="0"/>
        <v>280</v>
      </c>
      <c r="N12" s="246">
        <v>46122</v>
      </c>
      <c r="O12" s="246">
        <v>46118</v>
      </c>
      <c r="P12" s="247"/>
      <c r="Q12" s="247"/>
      <c r="R12" s="271"/>
      <c r="S12" s="271"/>
      <c r="T12" s="247" t="s">
        <v>66</v>
      </c>
      <c r="U12" s="272" t="s">
        <v>46</v>
      </c>
      <c r="V12" s="247" t="s">
        <v>91</v>
      </c>
      <c r="W12" s="247"/>
      <c r="X12" s="273" t="s">
        <v>92</v>
      </c>
      <c r="Y12" s="303" t="s">
        <v>75</v>
      </c>
      <c r="Z12" s="304">
        <v>8.8</v>
      </c>
      <c r="AA12" s="305">
        <f t="shared" si="1"/>
        <v>7392</v>
      </c>
      <c r="AB12" s="205"/>
      <c r="AC12" s="207" t="s">
        <v>43</v>
      </c>
      <c r="AD12" s="162" t="s">
        <v>48</v>
      </c>
      <c r="AE12" s="244"/>
      <c r="AF12" s="307"/>
      <c r="AG12" s="325"/>
      <c r="AH12" s="326"/>
      <c r="AI12" s="205"/>
      <c r="AJ12" s="205">
        <f t="shared" si="2"/>
        <v>840</v>
      </c>
      <c r="AK12" s="205"/>
      <c r="AL12" s="324" t="s">
        <v>76</v>
      </c>
      <c r="XCY12" s="332"/>
    </row>
    <row r="13" s="164" customFormat="1" ht="36" customHeight="1" spans="1:16327">
      <c r="A13" s="202">
        <v>46055</v>
      </c>
      <c r="B13" s="203"/>
      <c r="C13" s="204" t="s">
        <v>87</v>
      </c>
      <c r="D13" s="204" t="s">
        <v>88</v>
      </c>
      <c r="E13" s="205">
        <v>4500192949</v>
      </c>
      <c r="F13" s="206" t="s">
        <v>93</v>
      </c>
      <c r="G13" s="207" t="s">
        <v>94</v>
      </c>
      <c r="H13" s="207" t="s">
        <v>43</v>
      </c>
      <c r="I13" s="242" t="s">
        <v>44</v>
      </c>
      <c r="J13" s="248">
        <v>660</v>
      </c>
      <c r="K13" s="244">
        <v>0</v>
      </c>
      <c r="L13" s="244">
        <v>3</v>
      </c>
      <c r="M13" s="245">
        <f t="shared" si="0"/>
        <v>220</v>
      </c>
      <c r="N13" s="246">
        <v>46122</v>
      </c>
      <c r="O13" s="246">
        <v>46118</v>
      </c>
      <c r="P13" s="247"/>
      <c r="Q13" s="247"/>
      <c r="R13" s="271"/>
      <c r="S13" s="271"/>
      <c r="T13" s="247" t="s">
        <v>66</v>
      </c>
      <c r="U13" s="272" t="s">
        <v>46</v>
      </c>
      <c r="V13" s="247" t="s">
        <v>91</v>
      </c>
      <c r="W13" s="247"/>
      <c r="X13" s="273" t="s">
        <v>92</v>
      </c>
      <c r="Y13" s="303" t="s">
        <v>75</v>
      </c>
      <c r="Z13" s="304">
        <v>8.8</v>
      </c>
      <c r="AA13" s="305">
        <f t="shared" si="1"/>
        <v>5808</v>
      </c>
      <c r="AB13" s="205"/>
      <c r="AC13" s="207" t="s">
        <v>43</v>
      </c>
      <c r="AD13" s="162" t="s">
        <v>48</v>
      </c>
      <c r="AE13" s="244"/>
      <c r="AF13" s="307"/>
      <c r="AG13" s="325"/>
      <c r="AH13" s="326"/>
      <c r="AI13" s="205"/>
      <c r="AJ13" s="205">
        <f t="shared" si="2"/>
        <v>660</v>
      </c>
      <c r="AK13" s="205"/>
      <c r="AL13" s="324" t="s">
        <v>76</v>
      </c>
      <c r="XCY13" s="332"/>
    </row>
    <row r="14" s="165" customFormat="1" ht="36" hidden="1" customHeight="1" spans="1:16327">
      <c r="A14" s="208">
        <v>46067</v>
      </c>
      <c r="B14" s="209"/>
      <c r="C14" s="210" t="s">
        <v>95</v>
      </c>
      <c r="D14" s="211" t="s">
        <v>63</v>
      </c>
      <c r="E14" s="212">
        <v>4500193997</v>
      </c>
      <c r="F14" s="213" t="s">
        <v>96</v>
      </c>
      <c r="G14" s="214" t="s">
        <v>97</v>
      </c>
      <c r="H14" s="214" t="s">
        <v>98</v>
      </c>
      <c r="I14" s="249"/>
      <c r="J14" s="250">
        <v>192</v>
      </c>
      <c r="K14" s="251">
        <v>0</v>
      </c>
      <c r="L14" s="251">
        <v>3</v>
      </c>
      <c r="M14" s="252">
        <f>J14/L14</f>
        <v>64</v>
      </c>
      <c r="N14" s="253">
        <v>46125</v>
      </c>
      <c r="O14" s="253">
        <v>46121</v>
      </c>
      <c r="P14" s="254"/>
      <c r="Q14" s="254"/>
      <c r="R14" s="274"/>
      <c r="S14" s="274"/>
      <c r="T14" s="254"/>
      <c r="U14" s="275"/>
      <c r="V14" s="254"/>
      <c r="W14" s="276"/>
      <c r="X14" s="277" t="s">
        <v>99</v>
      </c>
      <c r="Y14" s="308" t="s">
        <v>100</v>
      </c>
      <c r="Z14" s="309">
        <v>7.3813</v>
      </c>
      <c r="AA14" s="310">
        <f>J14*Z14</f>
        <v>1417.2096</v>
      </c>
      <c r="AB14" s="212"/>
      <c r="AC14" s="214"/>
      <c r="AD14" s="311"/>
      <c r="AE14" s="312"/>
      <c r="AF14" s="313"/>
      <c r="AG14" s="328"/>
      <c r="AH14" s="329"/>
      <c r="AI14" s="212"/>
      <c r="AJ14" s="212"/>
      <c r="AK14" s="212"/>
      <c r="AL14" s="330"/>
      <c r="XCY14" s="333"/>
    </row>
    <row r="15" s="165" customFormat="1" ht="36" hidden="1" customHeight="1" spans="1:16327">
      <c r="A15" s="208">
        <v>46067</v>
      </c>
      <c r="B15" s="209"/>
      <c r="C15" s="210" t="s">
        <v>95</v>
      </c>
      <c r="D15" s="211" t="s">
        <v>63</v>
      </c>
      <c r="E15" s="212">
        <v>4500194000</v>
      </c>
      <c r="F15" s="213" t="s">
        <v>101</v>
      </c>
      <c r="G15" s="214" t="s">
        <v>102</v>
      </c>
      <c r="H15" s="214" t="s">
        <v>98</v>
      </c>
      <c r="I15" s="249"/>
      <c r="J15" s="250">
        <v>96</v>
      </c>
      <c r="K15" s="251">
        <v>0</v>
      </c>
      <c r="L15" s="251">
        <v>3</v>
      </c>
      <c r="M15" s="252">
        <f>J15/L15</f>
        <v>32</v>
      </c>
      <c r="N15" s="253">
        <v>46125</v>
      </c>
      <c r="O15" s="253">
        <v>46121</v>
      </c>
      <c r="P15" s="254"/>
      <c r="Q15" s="254"/>
      <c r="R15" s="274"/>
      <c r="S15" s="274"/>
      <c r="T15" s="254"/>
      <c r="U15" s="275"/>
      <c r="V15" s="254"/>
      <c r="W15" s="276"/>
      <c r="X15" s="277" t="s">
        <v>99</v>
      </c>
      <c r="Y15" s="308" t="s">
        <v>100</v>
      </c>
      <c r="Z15" s="309">
        <v>7.59</v>
      </c>
      <c r="AA15" s="310">
        <f>J15*Z15</f>
        <v>728.64</v>
      </c>
      <c r="AB15" s="212"/>
      <c r="AC15" s="214"/>
      <c r="AD15" s="311"/>
      <c r="AE15" s="312"/>
      <c r="AF15" s="313"/>
      <c r="AG15" s="328"/>
      <c r="AH15" s="329"/>
      <c r="AI15" s="212"/>
      <c r="AJ15" s="212"/>
      <c r="AK15" s="212"/>
      <c r="AL15" s="330"/>
      <c r="XCY15" s="333"/>
    </row>
    <row r="16" s="165" customFormat="1" ht="36" customHeight="1" spans="1:16327">
      <c r="A16" s="208">
        <v>46064</v>
      </c>
      <c r="B16" s="209"/>
      <c r="C16" s="210" t="s">
        <v>103</v>
      </c>
      <c r="D16" s="211" t="s">
        <v>104</v>
      </c>
      <c r="E16" s="212">
        <v>4500193679</v>
      </c>
      <c r="F16" s="213"/>
      <c r="G16" s="214" t="s">
        <v>105</v>
      </c>
      <c r="H16" s="214" t="s">
        <v>43</v>
      </c>
      <c r="I16" s="255" t="s">
        <v>44</v>
      </c>
      <c r="J16" s="250">
        <v>2502</v>
      </c>
      <c r="K16" s="251">
        <v>0</v>
      </c>
      <c r="L16" s="251">
        <v>3</v>
      </c>
      <c r="M16" s="252">
        <f>J16/L16</f>
        <v>834</v>
      </c>
      <c r="N16" s="253">
        <v>46128</v>
      </c>
      <c r="O16" s="253">
        <v>46125</v>
      </c>
      <c r="P16" s="254"/>
      <c r="Q16" s="254"/>
      <c r="R16" s="274"/>
      <c r="S16" s="274"/>
      <c r="T16" s="254"/>
      <c r="U16" s="275"/>
      <c r="V16" s="254"/>
      <c r="W16" s="276"/>
      <c r="X16" s="277" t="s">
        <v>106</v>
      </c>
      <c r="Y16" s="308" t="s">
        <v>107</v>
      </c>
      <c r="Z16" s="309">
        <v>8.8</v>
      </c>
      <c r="AA16" s="310">
        <f>J16*Z16</f>
        <v>22017.6</v>
      </c>
      <c r="AB16" s="212"/>
      <c r="AC16" s="214"/>
      <c r="AD16" s="311"/>
      <c r="AE16" s="312"/>
      <c r="AF16" s="313"/>
      <c r="AG16" s="328"/>
      <c r="AH16" s="329"/>
      <c r="AI16" s="212"/>
      <c r="AJ16" s="212"/>
      <c r="AK16" s="212"/>
      <c r="AL16" s="331"/>
      <c r="XCY16" s="333"/>
    </row>
    <row r="17" s="164" customFormat="1" ht="36" hidden="1" customHeight="1" spans="1:16327">
      <c r="A17" s="202">
        <v>46056</v>
      </c>
      <c r="B17" s="203" t="s">
        <v>108</v>
      </c>
      <c r="C17" s="204" t="s">
        <v>108</v>
      </c>
      <c r="D17" s="204" t="s">
        <v>63</v>
      </c>
      <c r="E17" s="205">
        <v>4500192979</v>
      </c>
      <c r="F17" s="206" t="s">
        <v>109</v>
      </c>
      <c r="G17" s="207" t="s">
        <v>110</v>
      </c>
      <c r="H17" s="207" t="s">
        <v>111</v>
      </c>
      <c r="I17" s="242"/>
      <c r="J17" s="248">
        <v>3999</v>
      </c>
      <c r="K17" s="244">
        <v>0</v>
      </c>
      <c r="L17" s="244">
        <v>3</v>
      </c>
      <c r="M17" s="245">
        <f>J17/L17</f>
        <v>1333</v>
      </c>
      <c r="N17" s="246">
        <v>46132</v>
      </c>
      <c r="O17" s="246">
        <v>46128</v>
      </c>
      <c r="P17" s="247"/>
      <c r="Q17" s="247"/>
      <c r="R17" s="271"/>
      <c r="S17" s="271"/>
      <c r="T17" s="247">
        <v>46056</v>
      </c>
      <c r="U17" s="272" t="s">
        <v>46</v>
      </c>
      <c r="V17" s="247" t="s">
        <v>46</v>
      </c>
      <c r="W17" s="278" t="s">
        <v>112</v>
      </c>
      <c r="X17" s="273" t="s">
        <v>113</v>
      </c>
      <c r="Y17" s="303" t="s">
        <v>100</v>
      </c>
      <c r="Z17" s="304">
        <v>7.59</v>
      </c>
      <c r="AA17" s="305">
        <f>J17*Z17</f>
        <v>30352.41</v>
      </c>
      <c r="AB17" s="205"/>
      <c r="AC17" s="207" t="s">
        <v>111</v>
      </c>
      <c r="AD17" s="162" t="s">
        <v>61</v>
      </c>
      <c r="AE17" s="244"/>
      <c r="AF17" s="307"/>
      <c r="AG17" s="325"/>
      <c r="AH17" s="326"/>
      <c r="AI17" s="205"/>
      <c r="AJ17" s="205"/>
      <c r="AK17" s="205"/>
      <c r="AL17" s="324"/>
      <c r="XCY17" s="332"/>
    </row>
    <row r="18" s="164" customFormat="1" ht="36" customHeight="1" spans="1:16327">
      <c r="A18" s="202">
        <v>46052</v>
      </c>
      <c r="B18" s="203"/>
      <c r="C18" s="204" t="s">
        <v>114</v>
      </c>
      <c r="D18" s="204" t="s">
        <v>115</v>
      </c>
      <c r="E18" s="205">
        <v>4500192784</v>
      </c>
      <c r="F18" s="206" t="s">
        <v>116</v>
      </c>
      <c r="G18" s="207" t="s">
        <v>117</v>
      </c>
      <c r="H18" s="207" t="s">
        <v>43</v>
      </c>
      <c r="I18" s="242" t="s">
        <v>44</v>
      </c>
      <c r="J18" s="256">
        <v>1005</v>
      </c>
      <c r="K18" s="244">
        <v>0</v>
      </c>
      <c r="L18" s="244">
        <v>3</v>
      </c>
      <c r="M18" s="245">
        <f>J18/L18</f>
        <v>335</v>
      </c>
      <c r="N18" s="246">
        <v>46142</v>
      </c>
      <c r="O18" s="246">
        <v>46139</v>
      </c>
      <c r="P18" s="247"/>
      <c r="Q18" s="247"/>
      <c r="R18" s="271"/>
      <c r="S18" s="279" t="s">
        <v>56</v>
      </c>
      <c r="T18" s="247">
        <v>46052</v>
      </c>
      <c r="U18" s="272" t="s">
        <v>46</v>
      </c>
      <c r="V18" s="272" t="s">
        <v>46</v>
      </c>
      <c r="W18" s="272"/>
      <c r="X18" s="273" t="s">
        <v>118</v>
      </c>
      <c r="Y18" s="303" t="s">
        <v>119</v>
      </c>
      <c r="Z18" s="304">
        <v>8.8</v>
      </c>
      <c r="AA18" s="305">
        <f>J18*Z18</f>
        <v>8844</v>
      </c>
      <c r="AB18" s="205"/>
      <c r="AC18" s="207" t="s">
        <v>43</v>
      </c>
      <c r="AD18" s="162" t="s">
        <v>48</v>
      </c>
      <c r="AE18" s="244"/>
      <c r="AF18" s="307"/>
      <c r="AG18" s="325"/>
      <c r="AH18" s="326"/>
      <c r="AI18" s="205"/>
      <c r="AJ18" s="205">
        <f>J18</f>
        <v>1005</v>
      </c>
      <c r="AK18" s="205"/>
      <c r="AL18" s="184"/>
      <c r="XCY18" s="332"/>
    </row>
    <row r="19" s="161" customFormat="1" ht="36" hidden="1" customHeight="1" spans="1:16327">
      <c r="A19" s="181"/>
      <c r="B19" s="182"/>
      <c r="C19" s="183"/>
      <c r="D19" s="183"/>
      <c r="E19" s="184"/>
      <c r="F19" s="215"/>
      <c r="G19" s="186"/>
      <c r="H19" s="187" t="s">
        <v>120</v>
      </c>
      <c r="I19" s="223"/>
      <c r="J19" s="224"/>
      <c r="K19" s="225"/>
      <c r="L19" s="225"/>
      <c r="M19" s="226"/>
      <c r="N19" s="227"/>
      <c r="O19" s="227"/>
      <c r="P19" s="228"/>
      <c r="Q19" s="228"/>
      <c r="R19" s="261"/>
      <c r="S19" s="261"/>
      <c r="T19" s="228"/>
      <c r="U19" s="262"/>
      <c r="V19" s="262"/>
      <c r="W19" s="262"/>
      <c r="X19" s="263"/>
      <c r="Y19" s="290"/>
      <c r="Z19" s="291"/>
      <c r="AA19" s="292"/>
      <c r="AB19" s="184"/>
      <c r="AC19" s="162"/>
      <c r="AD19" s="314"/>
      <c r="AE19" s="225"/>
      <c r="AF19" s="293"/>
      <c r="AG19" s="317"/>
      <c r="AH19" s="318"/>
      <c r="AI19" s="184"/>
      <c r="AJ19" s="184"/>
      <c r="AK19" s="184"/>
      <c r="AL19" s="184"/>
      <c r="XCY19" s="188"/>
    </row>
    <row r="20" s="161" customFormat="1" ht="36" customHeight="1" spans="1:16327">
      <c r="A20" s="181"/>
      <c r="B20" s="182"/>
      <c r="C20" s="183"/>
      <c r="D20" s="183"/>
      <c r="E20" s="184"/>
      <c r="F20" s="215"/>
      <c r="G20" s="186"/>
      <c r="H20" s="187"/>
      <c r="I20" s="223"/>
      <c r="J20" s="224"/>
      <c r="K20" s="225"/>
      <c r="L20" s="225"/>
      <c r="M20" s="226"/>
      <c r="N20" s="227"/>
      <c r="O20" s="227"/>
      <c r="P20" s="228"/>
      <c r="Q20" s="228"/>
      <c r="R20" s="261"/>
      <c r="S20" s="261"/>
      <c r="T20" s="228"/>
      <c r="U20" s="262"/>
      <c r="V20" s="262"/>
      <c r="W20" s="262"/>
      <c r="X20" s="263"/>
      <c r="Y20" s="290"/>
      <c r="Z20" s="291"/>
      <c r="AA20" s="292"/>
      <c r="AB20" s="184"/>
      <c r="AC20" s="162"/>
      <c r="AD20" s="314"/>
      <c r="AE20" s="225"/>
      <c r="AF20" s="293"/>
      <c r="AG20" s="317"/>
      <c r="AH20" s="318"/>
      <c r="AI20" s="184"/>
      <c r="AJ20" s="184"/>
      <c r="AK20" s="184"/>
      <c r="AL20" s="184"/>
      <c r="XCY20" s="188"/>
    </row>
    <row r="21" s="161" customFormat="1" ht="36" customHeight="1" spans="1:16327">
      <c r="A21" s="181"/>
      <c r="B21" s="182"/>
      <c r="C21" s="183"/>
      <c r="D21" s="183"/>
      <c r="E21" s="184"/>
      <c r="F21" s="215"/>
      <c r="G21" s="186"/>
      <c r="H21" s="187"/>
      <c r="I21" s="223"/>
      <c r="J21" s="224"/>
      <c r="K21" s="225"/>
      <c r="L21" s="225"/>
      <c r="M21" s="226"/>
      <c r="N21" s="227"/>
      <c r="O21" s="227"/>
      <c r="P21" s="228"/>
      <c r="Q21" s="228"/>
      <c r="R21" s="261"/>
      <c r="S21" s="261"/>
      <c r="T21" s="228"/>
      <c r="U21" s="262"/>
      <c r="V21" s="262"/>
      <c r="W21" s="262"/>
      <c r="X21" s="263"/>
      <c r="Y21" s="290"/>
      <c r="Z21" s="291"/>
      <c r="AA21" s="292"/>
      <c r="AB21" s="184"/>
      <c r="AC21" s="162"/>
      <c r="AD21" s="314"/>
      <c r="AE21" s="225"/>
      <c r="AF21" s="293"/>
      <c r="AG21" s="317"/>
      <c r="AH21" s="318"/>
      <c r="AI21" s="184"/>
      <c r="AJ21" s="184"/>
      <c r="AK21" s="184"/>
      <c r="AL21" s="184"/>
      <c r="XCY21" s="188"/>
    </row>
  </sheetData>
  <autoFilter xmlns:etc="http://www.wps.cn/officeDocument/2017/etCustomData" ref="A3:XCY19" etc:filterBottomFollowUsedRange="0">
    <filterColumn colId="7">
      <filters>
        <filter val="77858-S001"/>
      </filters>
    </filterColumn>
    <extLst/>
  </autoFilter>
  <mergeCells count="2">
    <mergeCell ref="A2:C2"/>
    <mergeCell ref="H2:I2"/>
  </mergeCells>
  <conditionalFormatting sqref="X2">
    <cfRule type="cellIs" dxfId="0" priority="77" operator="equal">
      <formula>"欠"</formula>
    </cfRule>
  </conditionalFormatting>
  <conditionalFormatting sqref="T7">
    <cfRule type="cellIs" dxfId="0" priority="4" operator="equal">
      <formula>"欠"</formula>
    </cfRule>
    <cfRule type="containsText" dxfId="1" priority="3" operator="between" text="欠">
      <formula>NOT(ISERROR(SEARCH("欠",T7)))</formula>
    </cfRule>
  </conditionalFormatting>
  <conditionalFormatting sqref="V7:W7">
    <cfRule type="cellIs" dxfId="0" priority="2" operator="equal">
      <formula>"欠"</formula>
    </cfRule>
    <cfRule type="containsText" dxfId="1" priority="1" operator="between" text="欠">
      <formula>NOT(ISERROR(SEARCH("欠",V7)))</formula>
    </cfRule>
  </conditionalFormatting>
  <conditionalFormatting sqref="T8">
    <cfRule type="containsText" dxfId="1" priority="32" operator="between" text="欠">
      <formula>NOT(ISERROR(SEARCH("欠",T8)))</formula>
    </cfRule>
    <cfRule type="cellIs" dxfId="0" priority="34" operator="equal">
      <formula>"欠"</formula>
    </cfRule>
  </conditionalFormatting>
  <conditionalFormatting sqref="T17">
    <cfRule type="containsText" dxfId="1" priority="21" operator="between" text="欠">
      <formula>NOT(ISERROR(SEARCH("欠",T17)))</formula>
    </cfRule>
    <cfRule type="cellIs" dxfId="0" priority="22" operator="equal">
      <formula>"欠"</formula>
    </cfRule>
  </conditionalFormatting>
  <conditionalFormatting sqref="V17">
    <cfRule type="containsText" dxfId="1" priority="19" operator="between" text="欠">
      <formula>NOT(ISERROR(SEARCH("欠",V17)))</formula>
    </cfRule>
    <cfRule type="cellIs" dxfId="0" priority="20" operator="equal">
      <formula>"欠"</formula>
    </cfRule>
  </conditionalFormatting>
  <conditionalFormatting sqref="T18">
    <cfRule type="containsText" dxfId="1" priority="53" operator="between" text="欠">
      <formula>NOT(ISERROR(SEARCH("欠",T18)))</formula>
    </cfRule>
    <cfRule type="cellIs" dxfId="0" priority="54" operator="equal">
      <formula>"欠"</formula>
    </cfRule>
  </conditionalFormatting>
  <conditionalFormatting sqref="V18:W18">
    <cfRule type="cellIs" dxfId="0" priority="51" operator="equal">
      <formula>"欠"</formula>
    </cfRule>
    <cfRule type="containsText" dxfId="1" priority="52" operator="between" text="欠">
      <formula>NOT(ISERROR(SEARCH("欠",V18)))</formula>
    </cfRule>
  </conditionalFormatting>
  <conditionalFormatting sqref="T19">
    <cfRule type="containsText" dxfId="1" priority="67" operator="between" text="欠">
      <formula>NOT(ISERROR(SEARCH("欠",T19)))</formula>
    </cfRule>
    <cfRule type="cellIs" dxfId="0" priority="70" operator="equal">
      <formula>"欠"</formula>
    </cfRule>
  </conditionalFormatting>
  <conditionalFormatting sqref="U19">
    <cfRule type="cellIs" dxfId="0" priority="73" operator="equal">
      <formula>"欠"</formula>
    </cfRule>
    <cfRule type="containsText" dxfId="1" priority="76" operator="between" text="欠">
      <formula>NOT(ISERROR(SEARCH("欠",U19)))</formula>
    </cfRule>
  </conditionalFormatting>
  <conditionalFormatting sqref="V19:W19">
    <cfRule type="cellIs" dxfId="0" priority="61" operator="equal">
      <formula>"欠"</formula>
    </cfRule>
    <cfRule type="containsText" dxfId="1" priority="64" operator="between" text="欠">
      <formula>NOT(ISERROR(SEARCH("欠",V19)))</formula>
    </cfRule>
  </conditionalFormatting>
  <conditionalFormatting sqref="T20">
    <cfRule type="containsText" dxfId="1" priority="66" operator="between" text="欠">
      <formula>NOT(ISERROR(SEARCH("欠",T20)))</formula>
    </cfRule>
    <cfRule type="cellIs" dxfId="0" priority="69" operator="equal">
      <formula>"欠"</formula>
    </cfRule>
  </conditionalFormatting>
  <conditionalFormatting sqref="U20">
    <cfRule type="cellIs" dxfId="0" priority="72" operator="equal">
      <formula>"欠"</formula>
    </cfRule>
    <cfRule type="containsText" dxfId="1" priority="75" operator="between" text="欠">
      <formula>NOT(ISERROR(SEARCH("欠",U20)))</formula>
    </cfRule>
  </conditionalFormatting>
  <conditionalFormatting sqref="V20:W20">
    <cfRule type="cellIs" dxfId="0" priority="60" operator="equal">
      <formula>"欠"</formula>
    </cfRule>
    <cfRule type="containsText" dxfId="1" priority="63" operator="between" text="欠">
      <formula>NOT(ISERROR(SEARCH("欠",V20)))</formula>
    </cfRule>
  </conditionalFormatting>
  <conditionalFormatting sqref="T21">
    <cfRule type="containsText" dxfId="1" priority="65" operator="between" text="欠">
      <formula>NOT(ISERROR(SEARCH("欠",T21)))</formula>
    </cfRule>
    <cfRule type="cellIs" dxfId="0" priority="68" operator="equal">
      <formula>"欠"</formula>
    </cfRule>
  </conditionalFormatting>
  <conditionalFormatting sqref="U21">
    <cfRule type="cellIs" dxfId="0" priority="71" operator="equal">
      <formula>"欠"</formula>
    </cfRule>
    <cfRule type="containsText" dxfId="1" priority="74" operator="between" text="欠">
      <formula>NOT(ISERROR(SEARCH("欠",U21)))</formula>
    </cfRule>
  </conditionalFormatting>
  <conditionalFormatting sqref="V21:W21">
    <cfRule type="cellIs" dxfId="0" priority="59" operator="equal">
      <formula>"欠"</formula>
    </cfRule>
    <cfRule type="containsText" dxfId="1" priority="62" operator="between" text="欠">
      <formula>NOT(ISERROR(SEARCH("欠",V21)))</formula>
    </cfRule>
  </conditionalFormatting>
  <conditionalFormatting sqref="T4:T6">
    <cfRule type="containsText" dxfId="1" priority="80" operator="between" text="欠">
      <formula>NOT(ISERROR(SEARCH("欠",T4)))</formula>
    </cfRule>
    <cfRule type="cellIs" dxfId="0" priority="81" operator="equal">
      <formula>"欠"</formula>
    </cfRule>
  </conditionalFormatting>
  <conditionalFormatting sqref="T9:T16">
    <cfRule type="containsText" dxfId="1" priority="31" operator="between" text="欠">
      <formula>NOT(ISERROR(SEARCH("欠",T9)))</formula>
    </cfRule>
    <cfRule type="cellIs" dxfId="0" priority="33" operator="equal">
      <formula>"欠"</formula>
    </cfRule>
  </conditionalFormatting>
  <conditionalFormatting sqref="U4:U7">
    <cfRule type="cellIs" dxfId="0" priority="82" operator="equal">
      <formula>"欠"</formula>
    </cfRule>
    <cfRule type="containsText" dxfId="1" priority="83" operator="between" text="欠">
      <formula>NOT(ISERROR(SEARCH("欠",U4)))</formula>
    </cfRule>
  </conditionalFormatting>
  <conditionalFormatting sqref="U8:U18">
    <cfRule type="cellIs" dxfId="0" priority="36" operator="equal">
      <formula>"欠"</formula>
    </cfRule>
    <cfRule type="containsText" dxfId="1" priority="38" operator="between" text="欠">
      <formula>NOT(ISERROR(SEARCH("欠",U8)))</formula>
    </cfRule>
  </conditionalFormatting>
  <conditionalFormatting sqref="T1:W3">
    <cfRule type="cellIs" dxfId="0" priority="84" operator="equal">
      <formula>"欠"</formula>
    </cfRule>
  </conditionalFormatting>
  <conditionalFormatting sqref="V4:W6">
    <cfRule type="cellIs" dxfId="0" priority="57" operator="equal">
      <formula>"欠"</formula>
    </cfRule>
    <cfRule type="containsText" dxfId="1" priority="58" operator="between" text="欠">
      <formula>NOT(ISERROR(SEARCH("欠",V4)))</formula>
    </cfRule>
  </conditionalFormatting>
  <conditionalFormatting sqref="V8:W11">
    <cfRule type="containsText" dxfId="1" priority="25" operator="between" text="欠">
      <formula>NOT(ISERROR(SEARCH("欠",V8)))</formula>
    </cfRule>
    <cfRule type="cellIs" dxfId="0" priority="26" operator="equal">
      <formula>"欠"</formula>
    </cfRule>
  </conditionalFormatting>
  <conditionalFormatting sqref="V12:W16">
    <cfRule type="containsText" dxfId="1" priority="8" operator="between" text="欠">
      <formula>NOT(ISERROR(SEARCH("欠",V12)))</formula>
    </cfRule>
    <cfRule type="cellIs" dxfId="0" priority="10" operator="equal">
      <formula>"欠"</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
  <sheetViews>
    <sheetView workbookViewId="0">
      <selection activeCell="B43" sqref="B43"/>
    </sheetView>
  </sheetViews>
  <sheetFormatPr defaultColWidth="9" defaultRowHeight="13.5" outlineLevelRow="3"/>
  <cols>
    <col min="4" max="4" width="9.775"/>
  </cols>
  <sheetData>
    <row r="1" ht="25.5" spans="1:11">
      <c r="A1" s="149" t="s">
        <v>121</v>
      </c>
      <c r="B1" s="150"/>
      <c r="C1" s="150"/>
      <c r="D1" s="151" t="s">
        <v>122</v>
      </c>
      <c r="E1" s="151" t="s">
        <v>123</v>
      </c>
      <c r="F1" s="151" t="s">
        <v>123</v>
      </c>
      <c r="G1" s="151" t="s">
        <v>123</v>
      </c>
      <c r="H1" s="151" t="s">
        <v>123</v>
      </c>
      <c r="I1" s="151" t="s">
        <v>123</v>
      </c>
      <c r="J1" s="156" t="s">
        <v>124</v>
      </c>
      <c r="K1" s="151" t="s">
        <v>24</v>
      </c>
    </row>
    <row r="2" spans="1:11">
      <c r="A2" s="149" t="s">
        <v>125</v>
      </c>
      <c r="B2" s="150"/>
      <c r="C2" s="150"/>
      <c r="D2" s="152">
        <v>46041</v>
      </c>
      <c r="E2" s="152"/>
      <c r="F2" s="152"/>
      <c r="G2" s="152"/>
      <c r="H2" s="152"/>
      <c r="I2" s="152"/>
      <c r="J2" s="152"/>
      <c r="K2" s="152"/>
    </row>
    <row r="3" spans="1:11">
      <c r="A3" s="149" t="s">
        <v>126</v>
      </c>
      <c r="B3" s="150"/>
      <c r="C3" s="150"/>
      <c r="D3" s="152">
        <v>46101</v>
      </c>
      <c r="E3" s="152"/>
      <c r="F3" s="152"/>
      <c r="G3" s="152"/>
      <c r="H3" s="152"/>
      <c r="I3" s="152"/>
      <c r="J3" s="152"/>
      <c r="K3" s="152"/>
    </row>
    <row r="4" spans="1:11">
      <c r="A4" s="153" t="s">
        <v>127</v>
      </c>
      <c r="B4" s="154"/>
      <c r="C4" s="154"/>
      <c r="D4" s="155">
        <v>78000</v>
      </c>
      <c r="E4" s="155"/>
      <c r="F4" s="155"/>
      <c r="G4" s="155"/>
      <c r="H4" s="155"/>
      <c r="I4" s="155"/>
      <c r="J4" s="157">
        <f>SUM(D4:I4)</f>
        <v>78000</v>
      </c>
      <c r="K4" s="155"/>
    </row>
  </sheetData>
  <mergeCells count="4">
    <mergeCell ref="A1:B1"/>
    <mergeCell ref="A2:B2"/>
    <mergeCell ref="A3:B3"/>
    <mergeCell ref="A4:B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8"/>
  <sheetViews>
    <sheetView topLeftCell="B1" workbookViewId="0">
      <selection activeCell="J9" sqref="J9"/>
    </sheetView>
  </sheetViews>
  <sheetFormatPr defaultColWidth="8.35833333333333" defaultRowHeight="12.75"/>
  <cols>
    <col min="1" max="1" width="26.9416666666667" style="6" customWidth="1"/>
    <col min="2" max="2" width="21.3833333333333" style="6" customWidth="1"/>
    <col min="3" max="3" width="12.2" style="6" customWidth="1"/>
    <col min="4" max="4" width="6.76666666666667" style="6" customWidth="1"/>
    <col min="5" max="5" width="5.575" style="6" customWidth="1"/>
    <col min="6" max="7" width="8.5" style="6" customWidth="1"/>
    <col min="8" max="8" width="12.2" style="6" customWidth="1"/>
    <col min="9" max="9" width="13.8083333333333" style="6" customWidth="1"/>
    <col min="10" max="10" width="17.325" style="6" customWidth="1"/>
    <col min="11" max="11" width="13.15" style="6" customWidth="1"/>
    <col min="12" max="12" width="10.775" style="6" customWidth="1"/>
    <col min="13" max="13" width="16.475" style="6" customWidth="1"/>
    <col min="14" max="14" width="27" style="6" customWidth="1"/>
    <col min="15" max="15" width="11.9416666666667" style="6" customWidth="1"/>
    <col min="16" max="16384" width="8.5" style="6"/>
  </cols>
  <sheetData>
    <row r="1" s="1" customFormat="1" ht="38.25" spans="1:15">
      <c r="A1" s="7" t="s">
        <v>128</v>
      </c>
      <c r="B1" s="7" t="s">
        <v>129</v>
      </c>
      <c r="C1" s="7" t="s">
        <v>130</v>
      </c>
      <c r="D1" s="7" t="s">
        <v>131</v>
      </c>
      <c r="E1" s="7" t="s">
        <v>132</v>
      </c>
      <c r="F1" s="7" t="s">
        <v>133</v>
      </c>
      <c r="G1" s="7" t="s">
        <v>134</v>
      </c>
      <c r="H1" s="7" t="s">
        <v>135</v>
      </c>
      <c r="I1" s="85" t="s">
        <v>136</v>
      </c>
      <c r="J1" s="85" t="s">
        <v>137</v>
      </c>
      <c r="K1" s="85" t="s">
        <v>138</v>
      </c>
      <c r="L1" s="85" t="s">
        <v>139</v>
      </c>
      <c r="M1" s="85"/>
      <c r="N1" s="85"/>
      <c r="O1" s="7" t="s">
        <v>140</v>
      </c>
    </row>
    <row r="2" s="1" customFormat="1" ht="15" customHeight="1" spans="1:15">
      <c r="A2" s="8" t="s">
        <v>141</v>
      </c>
      <c r="B2" s="8"/>
      <c r="C2" s="8"/>
      <c r="D2" s="8"/>
      <c r="E2" s="8"/>
      <c r="F2" s="9"/>
      <c r="G2" s="9"/>
      <c r="H2" s="9"/>
      <c r="I2" s="9">
        <v>45989</v>
      </c>
      <c r="J2" s="9">
        <v>46016</v>
      </c>
      <c r="K2" s="9">
        <v>46031</v>
      </c>
      <c r="L2" s="9">
        <v>46056</v>
      </c>
      <c r="M2" s="9"/>
      <c r="N2" s="9"/>
      <c r="O2" s="9"/>
    </row>
    <row r="3" s="1" customFormat="1" ht="15" customHeight="1" spans="1:15">
      <c r="A3" s="8" t="s">
        <v>142</v>
      </c>
      <c r="B3" s="8"/>
      <c r="C3" s="8"/>
      <c r="D3" s="8"/>
      <c r="E3" s="8"/>
      <c r="F3" s="9"/>
      <c r="G3" s="9"/>
      <c r="H3" s="9"/>
      <c r="I3" s="9">
        <v>46041</v>
      </c>
      <c r="J3" s="9">
        <f>J2+25</f>
        <v>46041</v>
      </c>
      <c r="K3" s="9">
        <f>K2+25</f>
        <v>46056</v>
      </c>
      <c r="L3" s="9">
        <v>46084</v>
      </c>
      <c r="M3" s="9"/>
      <c r="N3" s="9"/>
      <c r="O3" s="9"/>
    </row>
    <row r="4" s="2" customFormat="1" ht="15" customHeight="1" spans="1:15">
      <c r="A4" s="10" t="s">
        <v>143</v>
      </c>
      <c r="B4" s="11"/>
      <c r="C4" s="11"/>
      <c r="D4" s="11"/>
      <c r="E4" s="11"/>
      <c r="F4" s="12"/>
      <c r="G4" s="12"/>
      <c r="H4" s="12"/>
      <c r="I4" s="12"/>
      <c r="J4" s="12"/>
      <c r="K4" s="12"/>
      <c r="L4" s="12"/>
      <c r="M4" s="12"/>
      <c r="N4" s="12"/>
      <c r="O4" s="12"/>
    </row>
    <row r="5" s="2" customFormat="1" ht="15" customHeight="1" spans="1:15">
      <c r="A5" s="10"/>
      <c r="B5" s="11"/>
      <c r="C5" s="11"/>
      <c r="D5" s="11"/>
      <c r="E5" s="11"/>
      <c r="F5" s="12"/>
      <c r="G5" s="12"/>
      <c r="H5" s="12"/>
      <c r="I5" s="18"/>
      <c r="J5" s="18"/>
      <c r="K5" s="18"/>
      <c r="L5" s="18"/>
      <c r="M5" s="18"/>
      <c r="N5" s="18"/>
      <c r="O5" s="12"/>
    </row>
    <row r="6" s="1" customFormat="1" ht="27" customHeight="1" spans="1:15">
      <c r="A6" s="13" t="s">
        <v>144</v>
      </c>
      <c r="B6" s="14" t="s">
        <v>145</v>
      </c>
      <c r="C6" s="15" t="s">
        <v>146</v>
      </c>
      <c r="D6" s="15"/>
      <c r="E6" s="16">
        <v>15</v>
      </c>
      <c r="F6" s="17">
        <v>4000</v>
      </c>
      <c r="G6" s="18">
        <v>0.46</v>
      </c>
      <c r="H6" s="17"/>
      <c r="I6" s="86">
        <v>80000</v>
      </c>
      <c r="J6" s="86"/>
      <c r="K6" s="86">
        <v>64000</v>
      </c>
      <c r="L6" s="86">
        <v>24000</v>
      </c>
      <c r="M6" s="86"/>
      <c r="N6" s="86"/>
      <c r="O6" s="87">
        <f>SUM(I6:N6)</f>
        <v>168000</v>
      </c>
    </row>
    <row r="7" s="1" customFormat="1" ht="37" customHeight="1" spans="1:15">
      <c r="A7" s="13" t="s">
        <v>144</v>
      </c>
      <c r="B7" s="19" t="s">
        <v>147</v>
      </c>
      <c r="C7" s="20" t="s">
        <v>148</v>
      </c>
      <c r="D7" s="15"/>
      <c r="E7" s="16">
        <v>25</v>
      </c>
      <c r="F7" s="17">
        <v>1000</v>
      </c>
      <c r="G7" s="18">
        <v>2.49</v>
      </c>
      <c r="H7" s="17"/>
      <c r="I7" s="86">
        <v>0</v>
      </c>
      <c r="J7" s="86">
        <v>80000</v>
      </c>
      <c r="K7" s="86">
        <v>64000</v>
      </c>
      <c r="L7" s="86">
        <v>24000</v>
      </c>
      <c r="M7" s="86"/>
      <c r="N7" s="86"/>
      <c r="O7" s="87">
        <f>SUM(I7:N7)</f>
        <v>168000</v>
      </c>
    </row>
    <row r="8" s="3" customFormat="1" ht="15" customHeight="1" spans="1:15">
      <c r="A8" s="21"/>
      <c r="B8" s="21" t="s">
        <v>149</v>
      </c>
      <c r="C8" s="21"/>
      <c r="D8" s="21"/>
      <c r="E8" s="21"/>
      <c r="F8" s="21"/>
      <c r="G8" s="21"/>
      <c r="H8" s="21"/>
      <c r="I8" s="88">
        <f t="shared" ref="I8:K8" si="0">SUM(I6:I7)</f>
        <v>80000</v>
      </c>
      <c r="J8" s="88">
        <f t="shared" si="0"/>
        <v>80000</v>
      </c>
      <c r="K8" s="88">
        <f t="shared" si="0"/>
        <v>128000</v>
      </c>
      <c r="L8" s="88"/>
      <c r="M8" s="88"/>
      <c r="N8" s="88"/>
      <c r="O8" s="89">
        <f>SUM(O6:O7)</f>
        <v>336000</v>
      </c>
    </row>
    <row r="9" s="1" customFormat="1" ht="14.25" spans="1:10">
      <c r="A9" s="6"/>
      <c r="B9" s="6"/>
      <c r="C9" s="6"/>
      <c r="D9" s="6"/>
      <c r="E9" s="6"/>
      <c r="F9" s="6"/>
      <c r="G9" s="6"/>
      <c r="H9" s="6"/>
      <c r="I9" s="6"/>
      <c r="J9" s="6"/>
    </row>
    <row r="10" s="1" customFormat="1" ht="14.25" spans="1:10">
      <c r="A10" s="6"/>
      <c r="B10" s="6"/>
      <c r="C10" s="6"/>
      <c r="D10" s="6"/>
      <c r="E10" s="6"/>
      <c r="F10" s="6"/>
      <c r="G10" s="6"/>
      <c r="H10" s="6"/>
      <c r="I10" s="6"/>
      <c r="J10" s="6"/>
    </row>
    <row r="11" s="1" customFormat="1" ht="14.25" spans="1:10">
      <c r="A11" s="6"/>
      <c r="B11" s="6"/>
      <c r="C11" s="6"/>
      <c r="D11" s="6"/>
      <c r="E11" s="6"/>
      <c r="F11" s="6"/>
      <c r="G11" s="6"/>
      <c r="H11" s="22"/>
      <c r="I11" s="6"/>
      <c r="J11" s="6"/>
    </row>
    <row r="12" s="1" customFormat="1" ht="14.25" spans="1:10">
      <c r="A12" s="6"/>
      <c r="B12" s="6"/>
      <c r="C12" s="6"/>
      <c r="D12" s="6"/>
      <c r="E12" s="6"/>
      <c r="F12" s="6"/>
      <c r="G12" s="6"/>
      <c r="H12" s="6"/>
      <c r="I12" s="6"/>
      <c r="J12" s="6"/>
    </row>
    <row r="13" s="1" customFormat="1" ht="15" spans="1:10">
      <c r="A13" s="23"/>
      <c r="B13" s="6"/>
      <c r="C13" s="6"/>
      <c r="D13" s="6"/>
      <c r="E13" s="6"/>
      <c r="F13" s="6"/>
      <c r="G13" s="6"/>
      <c r="H13" s="6"/>
      <c r="I13" s="6"/>
      <c r="J13" s="6"/>
    </row>
    <row r="14" s="1" customFormat="1" ht="14.25" spans="1:10">
      <c r="A14" s="6"/>
      <c r="B14" s="6"/>
      <c r="C14" s="6"/>
      <c r="D14" s="6"/>
      <c r="E14" s="6"/>
      <c r="F14" s="6"/>
      <c r="G14" s="6"/>
      <c r="H14" s="6"/>
      <c r="I14" s="6"/>
      <c r="J14" s="6"/>
    </row>
    <row r="15" s="1" customFormat="1" ht="14.25" spans="1:10">
      <c r="A15" s="6"/>
      <c r="B15" s="6"/>
      <c r="C15" s="6"/>
      <c r="D15" s="6"/>
      <c r="E15" s="6"/>
      <c r="F15" s="6"/>
      <c r="G15" s="6"/>
      <c r="H15" s="6"/>
      <c r="I15" s="6"/>
      <c r="J15" s="6"/>
    </row>
    <row r="20" s="4" customFormat="1" ht="26.45" customHeight="1" spans="1:21">
      <c r="A20" s="24"/>
      <c r="B20" s="24"/>
      <c r="C20" s="24"/>
      <c r="D20" s="24"/>
      <c r="E20" s="25"/>
      <c r="F20" s="25"/>
      <c r="G20" s="25"/>
      <c r="H20" s="25"/>
      <c r="I20" s="25"/>
      <c r="J20" s="25"/>
      <c r="K20" s="25"/>
      <c r="L20" s="90" t="s">
        <v>150</v>
      </c>
      <c r="M20" s="91">
        <v>45961</v>
      </c>
      <c r="N20" s="91">
        <v>46014</v>
      </c>
      <c r="O20" s="91"/>
      <c r="P20" s="92"/>
      <c r="Q20" s="25"/>
      <c r="R20" s="25"/>
      <c r="S20" s="25"/>
      <c r="T20" s="25"/>
      <c r="U20" s="141"/>
    </row>
    <row r="21" s="4" customFormat="1" ht="26.45" customHeight="1" spans="1:21">
      <c r="A21" s="24"/>
      <c r="B21" s="24"/>
      <c r="C21" s="24"/>
      <c r="D21" s="24"/>
      <c r="E21" s="25"/>
      <c r="F21" s="25"/>
      <c r="G21" s="25"/>
      <c r="H21" s="25"/>
      <c r="I21" s="25"/>
      <c r="J21" s="25"/>
      <c r="K21" s="25"/>
      <c r="L21" s="93" t="s">
        <v>151</v>
      </c>
      <c r="M21" s="94">
        <f>M20+35</f>
        <v>45996</v>
      </c>
      <c r="N21" s="94">
        <f>N20+35</f>
        <v>46049</v>
      </c>
      <c r="O21" s="94"/>
      <c r="P21" s="92"/>
      <c r="Q21" s="25"/>
      <c r="R21" s="25"/>
      <c r="S21" s="25"/>
      <c r="T21" s="25"/>
      <c r="U21" s="141"/>
    </row>
    <row r="22" s="4" customFormat="1" ht="26.45" customHeight="1" spans="1:20">
      <c r="A22" s="26"/>
      <c r="B22" s="27"/>
      <c r="C22" s="28"/>
      <c r="D22" s="29"/>
      <c r="E22" s="30"/>
      <c r="F22" s="30"/>
      <c r="G22" s="30"/>
      <c r="H22" s="30"/>
      <c r="I22" s="95" t="s">
        <v>152</v>
      </c>
      <c r="J22" s="96"/>
      <c r="K22" s="97">
        <v>265611</v>
      </c>
      <c r="L22" s="98" t="s">
        <v>153</v>
      </c>
      <c r="M22" s="98" t="s">
        <v>154</v>
      </c>
      <c r="N22" s="98"/>
      <c r="O22" s="98"/>
      <c r="P22" s="92"/>
      <c r="Q22" s="25"/>
      <c r="R22" s="25"/>
      <c r="S22" s="142" t="s">
        <v>155</v>
      </c>
      <c r="T22" s="142">
        <v>39183.6734693877</v>
      </c>
    </row>
    <row r="23" s="4" customFormat="1" ht="67" customHeight="1" spans="1:22">
      <c r="A23" s="31" t="s">
        <v>156</v>
      </c>
      <c r="B23" s="31" t="s">
        <v>157</v>
      </c>
      <c r="C23" s="31" t="s">
        <v>158</v>
      </c>
      <c r="D23" s="32" t="s">
        <v>159</v>
      </c>
      <c r="E23" s="33" t="s">
        <v>160</v>
      </c>
      <c r="F23" s="33" t="s">
        <v>133</v>
      </c>
      <c r="G23" s="33" t="s">
        <v>161</v>
      </c>
      <c r="H23" s="33" t="s">
        <v>162</v>
      </c>
      <c r="I23" s="99" t="s">
        <v>163</v>
      </c>
      <c r="J23" s="31" t="s">
        <v>164</v>
      </c>
      <c r="K23" s="31" t="s">
        <v>165</v>
      </c>
      <c r="L23" s="100" t="s">
        <v>166</v>
      </c>
      <c r="M23" s="100" t="s">
        <v>167</v>
      </c>
      <c r="N23" s="100" t="s">
        <v>167</v>
      </c>
      <c r="O23" s="100" t="s">
        <v>167</v>
      </c>
      <c r="P23" s="101" t="s">
        <v>168</v>
      </c>
      <c r="Q23" s="100" t="s">
        <v>169</v>
      </c>
      <c r="R23" s="143" t="s">
        <v>170</v>
      </c>
      <c r="S23" s="143" t="s">
        <v>171</v>
      </c>
      <c r="T23" s="143" t="s">
        <v>172</v>
      </c>
      <c r="U23" s="144" t="s">
        <v>173</v>
      </c>
      <c r="V23" s="144" t="s">
        <v>174</v>
      </c>
    </row>
    <row r="24" s="5" customFormat="1" ht="50" customHeight="1" spans="1:22">
      <c r="A24" s="34"/>
      <c r="B24" s="35" t="s">
        <v>175</v>
      </c>
      <c r="C24" s="36">
        <v>1</v>
      </c>
      <c r="D24" s="37" t="s">
        <v>176</v>
      </c>
      <c r="E24" s="38" t="s">
        <v>177</v>
      </c>
      <c r="F24" s="39">
        <v>500</v>
      </c>
      <c r="G24" s="40">
        <v>0.0127604166666667</v>
      </c>
      <c r="H24" s="39">
        <f>F24/G24</f>
        <v>39183.6734693877</v>
      </c>
      <c r="I24" s="102">
        <v>22.1</v>
      </c>
      <c r="J24" s="39" t="s">
        <v>178</v>
      </c>
      <c r="K24" s="103">
        <f>F24/G24/C24</f>
        <v>39183.6734693877</v>
      </c>
      <c r="L24" s="104">
        <f>C24*K22*G24</f>
        <v>3389.30703125001</v>
      </c>
      <c r="M24" s="105">
        <v>500</v>
      </c>
      <c r="N24" s="105">
        <v>500</v>
      </c>
      <c r="O24" s="105"/>
      <c r="P24" s="106">
        <f>SUM(M24:O24)*I24</f>
        <v>22100</v>
      </c>
      <c r="Q24" s="145">
        <f>SUM(M24:O24)</f>
        <v>1000</v>
      </c>
      <c r="R24" s="146">
        <f>Q24/G24</f>
        <v>78367.3469387753</v>
      </c>
      <c r="S24" s="147">
        <f>T22*C24</f>
        <v>39183.6734693877</v>
      </c>
      <c r="T24" s="147">
        <f>S24*G24</f>
        <v>500.000000000001</v>
      </c>
      <c r="U24" s="147">
        <f>Q24-T24</f>
        <v>499.999999999999</v>
      </c>
      <c r="V24" s="148">
        <f>U24/G24/C24</f>
        <v>39183.6734693876</v>
      </c>
    </row>
    <row r="25" s="4" customFormat="1" ht="27.6" customHeight="1" spans="1:22">
      <c r="A25" s="28"/>
      <c r="B25" s="28"/>
      <c r="C25" s="28"/>
      <c r="D25" s="41"/>
      <c r="E25" s="41"/>
      <c r="F25" s="41"/>
      <c r="G25" s="41"/>
      <c r="H25" s="41"/>
      <c r="I25" s="41"/>
      <c r="J25" s="41"/>
      <c r="K25" s="41"/>
      <c r="L25" s="41"/>
      <c r="M25" s="41"/>
      <c r="N25" s="41"/>
      <c r="O25" s="41"/>
      <c r="P25" s="41"/>
      <c r="Q25" s="41"/>
      <c r="R25" s="41"/>
      <c r="S25" s="41"/>
      <c r="T25" s="41"/>
      <c r="U25" s="41"/>
      <c r="V25" s="41"/>
    </row>
    <row r="28" ht="18" spans="1:14">
      <c r="A28" s="42"/>
      <c r="B28" s="43"/>
      <c r="C28" s="43"/>
      <c r="D28" s="43"/>
      <c r="E28" s="43"/>
      <c r="F28" s="44"/>
      <c r="G28" s="43"/>
      <c r="H28" s="43"/>
      <c r="I28" s="43"/>
      <c r="J28" s="43"/>
      <c r="K28" s="43"/>
      <c r="L28" s="43"/>
      <c r="M28" s="43"/>
      <c r="N28" s="107"/>
    </row>
    <row r="29" ht="16.5" spans="1:14">
      <c r="A29" s="45"/>
      <c r="B29" s="46" t="s">
        <v>125</v>
      </c>
      <c r="C29" s="47">
        <v>46050</v>
      </c>
      <c r="D29" s="48"/>
      <c r="E29" s="49"/>
      <c r="F29" s="50" t="s">
        <v>179</v>
      </c>
      <c r="G29" s="51" t="s">
        <v>180</v>
      </c>
      <c r="H29" s="52" t="s">
        <v>181</v>
      </c>
      <c r="I29" s="108"/>
      <c r="J29" s="109"/>
      <c r="K29" s="110"/>
      <c r="L29" s="63"/>
      <c r="M29" s="111" t="s">
        <v>182</v>
      </c>
      <c r="N29" s="112">
        <v>46105</v>
      </c>
    </row>
    <row r="30" ht="16.5" spans="1:14">
      <c r="A30" s="45"/>
      <c r="B30" s="53" t="s">
        <v>183</v>
      </c>
      <c r="C30" s="54" t="s">
        <v>184</v>
      </c>
      <c r="D30" s="55"/>
      <c r="E30" s="49"/>
      <c r="F30" s="56"/>
      <c r="G30" s="57"/>
      <c r="H30" s="58"/>
      <c r="I30" s="58"/>
      <c r="J30" s="113"/>
      <c r="K30" s="114"/>
      <c r="L30" s="115"/>
      <c r="M30" s="46" t="s">
        <v>185</v>
      </c>
      <c r="N30" s="116"/>
    </row>
    <row r="31" ht="16.5" spans="1:14">
      <c r="A31" s="45"/>
      <c r="B31" s="53" t="s">
        <v>186</v>
      </c>
      <c r="C31" s="59" t="s">
        <v>187</v>
      </c>
      <c r="D31" s="60"/>
      <c r="E31" s="49"/>
      <c r="F31" s="56"/>
      <c r="G31" s="57"/>
      <c r="H31" s="61"/>
      <c r="I31" s="117"/>
      <c r="J31" s="118"/>
      <c r="K31" s="119"/>
      <c r="L31" s="113"/>
      <c r="M31" s="53"/>
      <c r="N31" s="116"/>
    </row>
    <row r="32" ht="16.5" spans="1:14">
      <c r="A32" s="45"/>
      <c r="B32" s="53" t="s">
        <v>188</v>
      </c>
      <c r="C32" s="59"/>
      <c r="D32" s="60"/>
      <c r="E32" s="49"/>
      <c r="F32" s="56"/>
      <c r="G32" s="57"/>
      <c r="H32" s="61"/>
      <c r="I32" s="120"/>
      <c r="J32" s="121"/>
      <c r="K32" s="122"/>
      <c r="L32" s="113"/>
      <c r="M32" s="46"/>
      <c r="N32" s="116"/>
    </row>
    <row r="33" ht="16.5" spans="1:14">
      <c r="A33" s="45"/>
      <c r="B33" s="53" t="s">
        <v>189</v>
      </c>
      <c r="C33" s="53" t="s">
        <v>190</v>
      </c>
      <c r="D33" s="53"/>
      <c r="E33" s="49"/>
      <c r="F33" s="62"/>
      <c r="G33" s="63"/>
      <c r="H33" s="63"/>
      <c r="I33" s="113"/>
      <c r="J33" s="113"/>
      <c r="K33" s="113"/>
      <c r="L33" s="113"/>
      <c r="M33" s="115"/>
      <c r="N33" s="123"/>
    </row>
    <row r="34" ht="14.25" spans="1:14">
      <c r="A34" s="42"/>
      <c r="B34" s="43"/>
      <c r="C34" s="43"/>
      <c r="D34" s="43"/>
      <c r="E34" s="43"/>
      <c r="F34" s="43"/>
      <c r="G34" s="43"/>
      <c r="H34" s="43"/>
      <c r="I34" s="43"/>
      <c r="J34" s="43"/>
      <c r="K34" s="43"/>
      <c r="L34" s="43"/>
      <c r="M34" s="43"/>
      <c r="N34" s="107"/>
    </row>
    <row r="35" ht="79.5" spans="1:14">
      <c r="A35" s="64" t="s">
        <v>191</v>
      </c>
      <c r="B35" s="64" t="s">
        <v>192</v>
      </c>
      <c r="C35" s="65" t="s">
        <v>193</v>
      </c>
      <c r="D35" s="66"/>
      <c r="E35" s="67" t="s">
        <v>194</v>
      </c>
      <c r="F35" s="68" t="s">
        <v>195</v>
      </c>
      <c r="G35" s="68" t="s">
        <v>196</v>
      </c>
      <c r="H35" s="68" t="s">
        <v>197</v>
      </c>
      <c r="I35" s="124" t="s">
        <v>198</v>
      </c>
      <c r="J35" s="124" t="s">
        <v>199</v>
      </c>
      <c r="K35" s="124" t="s">
        <v>200</v>
      </c>
      <c r="L35" s="65" t="s">
        <v>201</v>
      </c>
      <c r="M35" s="125" t="s">
        <v>202</v>
      </c>
      <c r="N35" s="126"/>
    </row>
    <row r="36" spans="1:14">
      <c r="A36" s="69"/>
      <c r="B36" s="70" t="s">
        <v>175</v>
      </c>
      <c r="C36" s="71" t="s">
        <v>203</v>
      </c>
      <c r="D36" s="72"/>
      <c r="E36" s="71">
        <v>500</v>
      </c>
      <c r="F36" s="73">
        <v>0.0127604166666667</v>
      </c>
      <c r="G36" s="74">
        <f>E36/F36</f>
        <v>39183.6734693877</v>
      </c>
      <c r="H36" s="75">
        <v>22.1</v>
      </c>
      <c r="I36" s="127">
        <f>[1]Summary!O26</f>
        <v>0</v>
      </c>
      <c r="J36" s="128" t="s">
        <v>204</v>
      </c>
      <c r="K36" s="128">
        <f>I36/F36</f>
        <v>0</v>
      </c>
      <c r="L36" s="129">
        <f>I36*H36</f>
        <v>0</v>
      </c>
      <c r="M36" s="130" t="s">
        <v>205</v>
      </c>
      <c r="N36" s="131"/>
    </row>
    <row r="37" spans="1:14">
      <c r="A37" s="76"/>
      <c r="B37" s="77"/>
      <c r="C37" s="78"/>
      <c r="D37" s="79"/>
      <c r="E37" s="78"/>
      <c r="F37" s="80"/>
      <c r="G37" s="81"/>
      <c r="H37" s="82"/>
      <c r="I37" s="132"/>
      <c r="J37" s="133"/>
      <c r="K37" s="133"/>
      <c r="L37" s="134"/>
      <c r="M37" s="135"/>
      <c r="N37" s="136"/>
    </row>
    <row r="38" ht="16.5" spans="1:14">
      <c r="A38" s="83" t="s">
        <v>206</v>
      </c>
      <c r="B38" s="84"/>
      <c r="C38" s="84"/>
      <c r="D38" s="84"/>
      <c r="E38" s="84"/>
      <c r="F38" s="84"/>
      <c r="G38" s="84"/>
      <c r="H38" s="84"/>
      <c r="I38" s="137">
        <f>SUM(I36:I37)</f>
        <v>0</v>
      </c>
      <c r="J38" s="84"/>
      <c r="K38" s="84"/>
      <c r="L38" s="138">
        <f>SUM(L36:L37)</f>
        <v>0</v>
      </c>
      <c r="M38" s="139"/>
      <c r="N38" s="140"/>
    </row>
  </sheetData>
  <mergeCells count="18">
    <mergeCell ref="I22:J22"/>
    <mergeCell ref="C29:D29"/>
    <mergeCell ref="C30:D30"/>
    <mergeCell ref="C31:D31"/>
    <mergeCell ref="C32:D32"/>
    <mergeCell ref="C35:D35"/>
    <mergeCell ref="A36:A37"/>
    <mergeCell ref="B36:B37"/>
    <mergeCell ref="E36:E37"/>
    <mergeCell ref="F36:F37"/>
    <mergeCell ref="G36:G37"/>
    <mergeCell ref="H36:H37"/>
    <mergeCell ref="I36:I37"/>
    <mergeCell ref="J36:J37"/>
    <mergeCell ref="K36:K37"/>
    <mergeCell ref="L36:L37"/>
    <mergeCell ref="C36:D37"/>
    <mergeCell ref="M36:N37"/>
  </mergeCells>
  <conditionalFormatting sqref="E36">
    <cfRule type="duplicateValues" dxfId="2" priority="3"/>
  </conditionalFormatting>
  <conditionalFormatting sqref="F36">
    <cfRule type="duplicateValues" dxfId="2" priority="2"/>
  </conditionalFormatting>
  <conditionalFormatting sqref="H36">
    <cfRule type="duplicateValues" dxfId="2" priority="1"/>
  </conditionalFormatting>
  <conditionalFormatting sqref="D20:D24">
    <cfRule type="duplicateValues" dxfId="2" priority="6"/>
  </conditionalFormatting>
  <conditionalFormatting sqref="D23:D24">
    <cfRule type="duplicateValues" dxfId="2" priority="5"/>
  </conditionalFormatting>
  <conditionalFormatting sqref="C28:C36 C38">
    <cfRule type="duplicateValues" dxfId="2" priority="4"/>
  </conditionalFormatting>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30" sqref="F30"/>
    </sheetView>
  </sheetViews>
  <sheetFormatPr defaultColWidth="9.025" defaultRowHeight="13.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H25" sqref="H25"/>
    </sheetView>
  </sheetViews>
  <sheetFormatPr defaultColWidth="9.025"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77858厨房套装</vt:lpstr>
      <vt:lpstr>生产MA</vt:lpstr>
      <vt:lpstr>布料 IC MA</vt:lpstr>
      <vt:lpstr>包材MA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2025-11-28T06:47:00Z</dcterms:created>
  <dcterms:modified xsi:type="dcterms:W3CDTF">2026-02-26T04:03:33Z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6F1C45F851F4401485052ED468A2319B_12</vt:lpwstr>
  </property>
</Properties>
</file>