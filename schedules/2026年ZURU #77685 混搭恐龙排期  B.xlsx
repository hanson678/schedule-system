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firstSheet="1" activeTab="1"/>
  </bookViews>
  <sheets>
    <sheet name="77685旧排期 " sheetId="5" state="hidden" r:id="rId1"/>
    <sheet name="77685排期" sheetId="1" r:id="rId2"/>
    <sheet name="生产MA" sheetId="2" r:id="rId3"/>
    <sheet name="包材MA" sheetId="3" r:id="rId4"/>
    <sheet name="取消单" sheetId="4" r:id="rId5"/>
  </sheets>
  <definedNames>
    <definedName name="_xlnm._FilterDatabase" localSheetId="0" hidden="1">'77685旧排期 '!$A$2:$CI$310</definedName>
    <definedName name="_xlnm._FilterDatabase" localSheetId="1" hidden="1">'77685排期'!$A$2:$CB$32</definedName>
    <definedName name="_xlnm._FilterDatabase" localSheetId="3" hidden="1">包材MA!$A$2:$AB$100</definedName>
    <definedName name="_xlnm._FilterDatabase" localSheetId="4" hidden="1">取消单!$A$1:$CA$12</definedName>
    <definedName name="_xlnm._FilterDatabase" localSheetId="2" hidden="1">生产MA!#REF!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A8" authorId="0">
      <text>
        <r>
          <rPr>
            <b/>
            <sz val="9"/>
            <rFont val="宋体"/>
            <charset val="134"/>
          </rPr>
          <t>Administrator:</t>
        </r>
        <r>
          <rPr>
            <sz val="9"/>
            <rFont val="宋体"/>
            <charset val="134"/>
          </rPr>
          <t xml:space="preserve">
4/25 收到40pcs-PDQ  A栋楼
</t>
        </r>
      </text>
    </comment>
    <comment ref="AA9" authorId="0">
      <text>
        <r>
          <rPr>
            <b/>
            <sz val="9"/>
            <rFont val="宋体"/>
            <charset val="134"/>
          </rPr>
          <t>Administrator:</t>
        </r>
        <r>
          <rPr>
            <sz val="9"/>
            <rFont val="宋体"/>
            <charset val="134"/>
          </rPr>
          <t xml:space="preserve">
4/25 收到40pcs-PDQ  A栋楼
</t>
        </r>
      </text>
    </comment>
    <comment ref="AA10" authorId="0">
      <text>
        <r>
          <rPr>
            <b/>
            <sz val="9"/>
            <rFont val="宋体"/>
            <charset val="134"/>
          </rPr>
          <t>Administrator:</t>
        </r>
        <r>
          <rPr>
            <sz val="9"/>
            <rFont val="宋体"/>
            <charset val="134"/>
          </rPr>
          <t xml:space="preserve">
0000159 3/5 3101pcs  莫海军B栋4楼A6区
0000142 3/8 75pcs    车间拉走</t>
        </r>
      </text>
    </comment>
    <comment ref="AC10" authorId="0">
      <text>
        <r>
          <rPr>
            <b/>
            <sz val="12"/>
            <rFont val="宋体"/>
            <charset val="134"/>
          </rPr>
          <t>Administrator:</t>
        </r>
        <r>
          <rPr>
            <sz val="12"/>
            <rFont val="宋体"/>
            <charset val="134"/>
          </rPr>
          <t xml:space="preserve">
2/27 上客人通用进口商贴纸 3618pcs</t>
        </r>
      </text>
    </comment>
    <comment ref="AA11" authorId="0">
      <text>
        <r>
          <rPr>
            <b/>
            <sz val="9"/>
            <rFont val="宋体"/>
            <charset val="134"/>
          </rPr>
          <t>Administrator:</t>
        </r>
        <r>
          <rPr>
            <sz val="9"/>
            <rFont val="宋体"/>
            <charset val="134"/>
          </rPr>
          <t xml:space="preserve">
0000899 3/25 492pcs 华兴三B14</t>
        </r>
      </text>
    </comment>
    <comment ref="AC11" authorId="0">
      <text>
        <r>
          <rPr>
            <b/>
            <sz val="12"/>
            <rFont val="宋体"/>
            <charset val="134"/>
          </rPr>
          <t>Administrator:</t>
        </r>
        <r>
          <rPr>
            <sz val="12"/>
            <rFont val="宋体"/>
            <charset val="134"/>
          </rPr>
          <t xml:space="preserve">
2/27 上空白贴纸 984pcs</t>
        </r>
      </text>
    </comment>
    <comment ref="AA12" authorId="0">
      <text>
        <r>
          <rPr>
            <b/>
            <sz val="9"/>
            <rFont val="宋体"/>
            <charset val="134"/>
          </rPr>
          <t>Administrator:</t>
        </r>
        <r>
          <rPr>
            <sz val="9"/>
            <rFont val="宋体"/>
            <charset val="134"/>
          </rPr>
          <t xml:space="preserve">
0000899 3/25 10017pcs 华兴三B16</t>
        </r>
      </text>
    </comment>
    <comment ref="AA13" authorId="0">
      <text>
        <r>
          <rPr>
            <b/>
            <sz val="9"/>
            <rFont val="宋体"/>
            <charset val="134"/>
          </rPr>
          <t>Administrator:</t>
        </r>
        <r>
          <rPr>
            <sz val="9"/>
            <rFont val="宋体"/>
            <charset val="134"/>
          </rPr>
          <t xml:space="preserve">
0000903 3/24 7452pcs  华兴三B12
0000899 3/25 594pcs  已走货</t>
        </r>
      </text>
    </comment>
    <comment ref="AA14" authorId="0">
      <text>
        <r>
          <rPr>
            <b/>
            <sz val="9"/>
            <rFont val="宋体"/>
            <charset val="134"/>
          </rPr>
          <t>Administrator:</t>
        </r>
        <r>
          <rPr>
            <sz val="9"/>
            <rFont val="宋体"/>
            <charset val="134"/>
          </rPr>
          <t xml:space="preserve">
0000899 3/25 2052pcs 华兴三B14</t>
        </r>
      </text>
    </comment>
    <comment ref="AA15" authorId="0">
      <text>
        <r>
          <rPr>
            <b/>
            <sz val="9"/>
            <rFont val="宋体"/>
            <charset val="134"/>
          </rPr>
          <t>Administrator:</t>
        </r>
        <r>
          <rPr>
            <sz val="9"/>
            <rFont val="宋体"/>
            <charset val="134"/>
          </rPr>
          <t xml:space="preserve">
0000899 3/25 18720pcs 华兴三A24</t>
        </r>
      </text>
    </comment>
    <comment ref="AC15" authorId="0">
      <text>
        <r>
          <rPr>
            <b/>
            <sz val="11"/>
            <rFont val="宋体"/>
            <charset val="134"/>
          </rPr>
          <t>Administrator:</t>
        </r>
        <r>
          <rPr>
            <sz val="11"/>
            <rFont val="宋体"/>
            <charset val="134"/>
          </rPr>
          <t xml:space="preserve">
2/27 上客供外箱条码贴纸 1454pcs
3/4 上Event label贴纸 1440pcs</t>
        </r>
      </text>
    </comment>
    <comment ref="AA16" authorId="0">
      <text>
        <r>
          <rPr>
            <b/>
            <sz val="9"/>
            <rFont val="宋体"/>
            <charset val="134"/>
          </rPr>
          <t>Administrator:</t>
        </r>
        <r>
          <rPr>
            <sz val="9"/>
            <rFont val="宋体"/>
            <charset val="134"/>
          </rPr>
          <t xml:space="preserve">
0000801 4/2 2052pcs 已走货</t>
        </r>
      </text>
    </comment>
    <comment ref="AC16" authorId="0">
      <text>
        <r>
          <rPr>
            <b/>
            <sz val="9"/>
            <rFont val="宋体"/>
            <charset val="134"/>
          </rPr>
          <t>Administrator:</t>
        </r>
        <r>
          <rPr>
            <sz val="9"/>
            <rFont val="宋体"/>
            <charset val="134"/>
          </rPr>
          <t xml:space="preserve">
3/13 上进口商贴纸 2052pcs</t>
        </r>
      </text>
    </comment>
    <comment ref="AA17" authorId="0">
      <text>
        <r>
          <rPr>
            <b/>
            <sz val="9"/>
            <rFont val="宋体"/>
            <charset val="134"/>
          </rPr>
          <t>Administrator:</t>
        </r>
        <r>
          <rPr>
            <sz val="9"/>
            <rFont val="宋体"/>
            <charset val="134"/>
          </rPr>
          <t xml:space="preserve">
0000797 4/3 2508pcs 华兴三B16</t>
        </r>
      </text>
    </comment>
    <comment ref="AA18" authorId="0">
      <text>
        <r>
          <rPr>
            <b/>
            <sz val="9"/>
            <rFont val="宋体"/>
            <charset val="134"/>
          </rPr>
          <t>Administrator:</t>
        </r>
        <r>
          <rPr>
            <sz val="9"/>
            <rFont val="宋体"/>
            <charset val="134"/>
          </rPr>
          <t xml:space="preserve">
0000797 4/3 792pcs 华兴三B16</t>
        </r>
      </text>
    </comment>
    <comment ref="AA19" authorId="0">
      <text>
        <r>
          <rPr>
            <b/>
            <sz val="12"/>
            <rFont val="宋体"/>
            <charset val="134"/>
          </rPr>
          <t>Administrator:</t>
        </r>
        <r>
          <rPr>
            <sz val="12"/>
            <rFont val="宋体"/>
            <charset val="134"/>
          </rPr>
          <t xml:space="preserve">
0001856 4/11 492pcs 华兴三B12</t>
        </r>
      </text>
    </comment>
    <comment ref="AC19" authorId="0">
      <text>
        <r>
          <rPr>
            <b/>
            <sz val="12"/>
            <rFont val="宋体"/>
            <charset val="134"/>
          </rPr>
          <t>Administrator:</t>
        </r>
        <r>
          <rPr>
            <sz val="12"/>
            <rFont val="宋体"/>
            <charset val="134"/>
          </rPr>
          <t xml:space="preserve">
3/21 上亚马逊外箱贴纸 41pcs
3/26 上空白贴纸 3456pcs
154869/158578共用</t>
        </r>
      </text>
    </comment>
    <comment ref="AA20" authorId="0">
      <text>
        <r>
          <rPr>
            <b/>
            <sz val="12"/>
            <rFont val="宋体"/>
            <charset val="134"/>
          </rPr>
          <t>Administrator:</t>
        </r>
        <r>
          <rPr>
            <sz val="12"/>
            <rFont val="宋体"/>
            <charset val="134"/>
          </rPr>
          <t xml:space="preserve">
0001856 4/11 744pcs 华兴三B11</t>
        </r>
      </text>
    </comment>
    <comment ref="AC20" authorId="0">
      <text>
        <r>
          <rPr>
            <b/>
            <sz val="12"/>
            <rFont val="宋体"/>
            <charset val="134"/>
          </rPr>
          <t>Administrator:</t>
        </r>
        <r>
          <rPr>
            <sz val="12"/>
            <rFont val="宋体"/>
            <charset val="134"/>
          </rPr>
          <t xml:space="preserve">
3/21 上亚马逊外箱贴纸 62pcs
3/26 上空白贴纸 3456pcs
154869/158578共用
</t>
        </r>
      </text>
    </comment>
    <comment ref="AA21" authorId="0">
      <text>
        <r>
          <rPr>
            <b/>
            <sz val="12"/>
            <rFont val="宋体"/>
            <charset val="134"/>
          </rPr>
          <t>Administrator:</t>
        </r>
        <r>
          <rPr>
            <sz val="12"/>
            <rFont val="宋体"/>
            <charset val="134"/>
          </rPr>
          <t xml:space="preserve">
0001856 4/11 492pcs 华兴三B11</t>
        </r>
      </text>
    </comment>
    <comment ref="AC21" authorId="0">
      <text>
        <r>
          <rPr>
            <b/>
            <sz val="12"/>
            <rFont val="宋体"/>
            <charset val="134"/>
          </rPr>
          <t>Administrator:</t>
        </r>
        <r>
          <rPr>
            <sz val="12"/>
            <rFont val="宋体"/>
            <charset val="134"/>
          </rPr>
          <t xml:space="preserve">
3/21 上亚马逊外箱贴纸 41pcs
3/26 上空白贴纸 3456pcs
154869/158578共用
</t>
        </r>
      </text>
    </comment>
    <comment ref="AA22" authorId="0">
      <text>
        <r>
          <rPr>
            <b/>
            <sz val="9"/>
            <rFont val="宋体"/>
            <charset val="134"/>
          </rPr>
          <t>Administrator:</t>
        </r>
        <r>
          <rPr>
            <sz val="9"/>
            <rFont val="宋体"/>
            <charset val="134"/>
          </rPr>
          <t xml:space="preserve">
0000751 4/14 780pcs 已走货</t>
        </r>
      </text>
    </comment>
    <comment ref="AC22" authorId="0">
      <text>
        <r>
          <rPr>
            <b/>
            <sz val="9"/>
            <rFont val="宋体"/>
            <charset val="134"/>
          </rPr>
          <t>Administrator:</t>
        </r>
        <r>
          <rPr>
            <sz val="9"/>
            <rFont val="宋体"/>
            <charset val="134"/>
          </rPr>
          <t xml:space="preserve">
4/3 上客供警语贴纸贴球底部 806pcs
    上客供警语贴纸贴收藏指南上 780pcs
    上客供警语贴纸贴说明书上 780pcs
    上客供警语贴纸贴口水胶上 806pcs</t>
        </r>
      </text>
    </comment>
    <comment ref="AA23" authorId="0">
      <text>
        <r>
          <rPr>
            <b/>
            <sz val="9"/>
            <rFont val="宋体"/>
            <charset val="134"/>
          </rPr>
          <t>Administrator:</t>
        </r>
        <r>
          <rPr>
            <sz val="9"/>
            <rFont val="宋体"/>
            <charset val="134"/>
          </rPr>
          <t xml:space="preserve">
0000789 4/8 1350pcs 华兴三B15</t>
        </r>
      </text>
    </comment>
    <comment ref="AA24" authorId="0">
      <text>
        <r>
          <rPr>
            <b/>
            <sz val="9"/>
            <rFont val="宋体"/>
            <charset val="134"/>
          </rPr>
          <t>Administrator:</t>
        </r>
        <r>
          <rPr>
            <sz val="9"/>
            <rFont val="宋体"/>
            <charset val="134"/>
          </rPr>
          <t xml:space="preserve">
0000740 4/16 378pcs 华兴三B7</t>
        </r>
      </text>
    </comment>
    <comment ref="AC24" authorId="0">
      <text>
        <r>
          <rPr>
            <b/>
            <sz val="12"/>
            <rFont val="宋体"/>
            <charset val="134"/>
          </rPr>
          <t>Administrator:</t>
        </r>
        <r>
          <rPr>
            <sz val="12"/>
            <rFont val="宋体"/>
            <charset val="134"/>
          </rPr>
          <t xml:space="preserve">
4/1 上UPC贴纸 378pcs</t>
        </r>
      </text>
    </comment>
    <comment ref="AA25" authorId="0">
      <text>
        <r>
          <rPr>
            <b/>
            <sz val="9"/>
            <rFont val="宋体"/>
            <charset val="134"/>
          </rPr>
          <t>Administrator:</t>
        </r>
        <r>
          <rPr>
            <sz val="9"/>
            <rFont val="宋体"/>
            <charset val="134"/>
          </rPr>
          <t xml:space="preserve">
0001538 4/21 513pcs/60套散件 A栋一楼C8区</t>
        </r>
      </text>
    </comment>
    <comment ref="AA26" authorId="0">
      <text>
        <r>
          <rPr>
            <b/>
            <sz val="9"/>
            <rFont val="宋体"/>
            <charset val="134"/>
          </rPr>
          <t>Administrator:</t>
        </r>
        <r>
          <rPr>
            <sz val="9"/>
            <rFont val="宋体"/>
            <charset val="134"/>
          </rPr>
          <t xml:space="preserve">
0001538 4/21 650pcs A栋一楼C8区</t>
        </r>
      </text>
    </comment>
    <comment ref="AA27" authorId="0">
      <text>
        <r>
          <rPr>
            <b/>
            <sz val="9"/>
            <rFont val="宋体"/>
            <charset val="134"/>
          </rPr>
          <t>Administrator:</t>
        </r>
        <r>
          <rPr>
            <sz val="9"/>
            <rFont val="宋体"/>
            <charset val="134"/>
          </rPr>
          <t xml:space="preserve">
0001538 4/21 1350pcs A栋一楼C8区</t>
        </r>
      </text>
    </comment>
    <comment ref="AA28" authorId="0">
      <text>
        <r>
          <rPr>
            <b/>
            <sz val="9"/>
            <rFont val="宋体"/>
            <charset val="134"/>
          </rPr>
          <t>Administrator:</t>
        </r>
        <r>
          <rPr>
            <sz val="9"/>
            <rFont val="宋体"/>
            <charset val="134"/>
          </rPr>
          <t xml:space="preserve">
0000742 4/15 208pcs 华兴三B13</t>
        </r>
      </text>
    </comment>
    <comment ref="AC28" authorId="0">
      <text>
        <r>
          <rPr>
            <b/>
            <sz val="9"/>
            <rFont val="宋体"/>
            <charset val="134"/>
          </rPr>
          <t>Administrator:</t>
        </r>
        <r>
          <rPr>
            <sz val="9"/>
            <rFont val="宋体"/>
            <charset val="134"/>
          </rPr>
          <t xml:space="preserve">
3/27 上进口商贴纸 208pcs</t>
        </r>
      </text>
    </comment>
    <comment ref="AA29" authorId="0">
      <text>
        <r>
          <rPr>
            <b/>
            <sz val="9"/>
            <rFont val="宋体"/>
            <charset val="134"/>
          </rPr>
          <t>Administrator:</t>
        </r>
        <r>
          <rPr>
            <sz val="9"/>
            <rFont val="宋体"/>
            <charset val="134"/>
          </rPr>
          <t xml:space="preserve">
0000725 4/18 780pcs 华兴三B4</t>
        </r>
      </text>
    </comment>
    <comment ref="AC29" authorId="0">
      <text>
        <r>
          <rPr>
            <b/>
            <sz val="9"/>
            <rFont val="宋体"/>
            <charset val="134"/>
          </rPr>
          <t>Administrator:</t>
        </r>
        <r>
          <rPr>
            <sz val="9"/>
            <rFont val="宋体"/>
            <charset val="134"/>
          </rPr>
          <t xml:space="preserve">
4/3 上警语贴纸 780pcs</t>
        </r>
      </text>
    </comment>
    <comment ref="AA30" authorId="0">
      <text>
        <r>
          <rPr>
            <b/>
            <sz val="9"/>
            <rFont val="宋体"/>
            <charset val="134"/>
          </rPr>
          <t>Administrator:</t>
        </r>
        <r>
          <rPr>
            <sz val="9"/>
            <rFont val="宋体"/>
            <charset val="134"/>
          </rPr>
          <t xml:space="preserve">
0000718 4/21 1152pcs  华兴三B4</t>
        </r>
      </text>
    </comment>
    <comment ref="AC30" authorId="0">
      <text>
        <r>
          <rPr>
            <b/>
            <sz val="12"/>
            <rFont val="宋体"/>
            <charset val="134"/>
          </rPr>
          <t>Administrator:</t>
        </r>
        <r>
          <rPr>
            <sz val="12"/>
            <rFont val="宋体"/>
            <charset val="134"/>
          </rPr>
          <t xml:space="preserve">
3/21 上客供RFID贴纸 1152pcs</t>
        </r>
      </text>
    </comment>
    <comment ref="AA31" authorId="0">
      <text>
        <r>
          <rPr>
            <b/>
            <sz val="9"/>
            <rFont val="宋体"/>
            <charset val="134"/>
          </rPr>
          <t>Administrator:</t>
        </r>
        <r>
          <rPr>
            <sz val="9"/>
            <rFont val="宋体"/>
            <charset val="134"/>
          </rPr>
          <t xml:space="preserve">
0000708 4/23 312pcs 华兴三B15</t>
        </r>
      </text>
    </comment>
    <comment ref="AC31" authorId="0">
      <text>
        <r>
          <rPr>
            <b/>
            <sz val="9"/>
            <rFont val="宋体"/>
            <charset val="134"/>
          </rPr>
          <t>Administrator:</t>
        </r>
        <r>
          <rPr>
            <sz val="9"/>
            <rFont val="宋体"/>
            <charset val="134"/>
          </rPr>
          <t xml:space="preserve">
4/3 上进口商贴纸 312pcs</t>
        </r>
      </text>
    </comment>
    <comment ref="AA32" authorId="0">
      <text>
        <r>
          <rPr>
            <b/>
            <sz val="9"/>
            <rFont val="宋体"/>
            <charset val="134"/>
          </rPr>
          <t>Administrator:</t>
        </r>
        <r>
          <rPr>
            <sz val="9"/>
            <rFont val="宋体"/>
            <charset val="134"/>
          </rPr>
          <t xml:space="preserve">
0000693 4/25 4023pcs 华兴三B17</t>
        </r>
      </text>
    </comment>
    <comment ref="AA33" authorId="0">
      <text>
        <r>
          <rPr>
            <b/>
            <sz val="9"/>
            <rFont val="宋体"/>
            <charset val="134"/>
          </rPr>
          <t>Administrator:</t>
        </r>
        <r>
          <rPr>
            <sz val="9"/>
            <rFont val="宋体"/>
            <charset val="134"/>
          </rPr>
          <t xml:space="preserve">
0000713 4/22 108pcs 华兴三B14</t>
        </r>
      </text>
    </comment>
    <comment ref="AC33" authorId="0">
      <text>
        <r>
          <rPr>
            <b/>
            <sz val="9"/>
            <rFont val="宋体"/>
            <charset val="134"/>
          </rPr>
          <t>Administrator:</t>
        </r>
        <r>
          <rPr>
            <sz val="9"/>
            <rFont val="宋体"/>
            <charset val="134"/>
          </rPr>
          <t xml:space="preserve">
4/10 上UPC贴纸 108pcs</t>
        </r>
      </text>
    </comment>
    <comment ref="AA34" authorId="0">
      <text>
        <r>
          <rPr>
            <b/>
            <sz val="9"/>
            <rFont val="宋体"/>
            <charset val="134"/>
          </rPr>
          <t>Administrator:</t>
        </r>
        <r>
          <rPr>
            <sz val="9"/>
            <rFont val="宋体"/>
            <charset val="134"/>
          </rPr>
          <t xml:space="preserve">
0000693 4/25 756pcs 华兴三B14</t>
        </r>
      </text>
    </comment>
    <comment ref="AC34" authorId="0">
      <text>
        <r>
          <rPr>
            <b/>
            <sz val="9"/>
            <rFont val="宋体"/>
            <charset val="134"/>
          </rPr>
          <t>Administrator:</t>
        </r>
        <r>
          <rPr>
            <sz val="9"/>
            <rFont val="宋体"/>
            <charset val="134"/>
          </rPr>
          <t xml:space="preserve">
4/3 上空白贴纸 1512pcs</t>
        </r>
      </text>
    </comment>
    <comment ref="AA35" authorId="0">
      <text>
        <r>
          <rPr>
            <b/>
            <sz val="9"/>
            <rFont val="宋体"/>
            <charset val="134"/>
          </rPr>
          <t>Administrator:</t>
        </r>
        <r>
          <rPr>
            <sz val="9"/>
            <rFont val="宋体"/>
            <charset val="134"/>
          </rPr>
          <t xml:space="preserve">
0000713 4/22 988pcs 华兴三B14</t>
        </r>
      </text>
    </comment>
    <comment ref="AA36" authorId="0">
      <text>
        <r>
          <rPr>
            <b/>
            <sz val="9"/>
            <rFont val="宋体"/>
            <charset val="134"/>
          </rPr>
          <t>Administrator:</t>
        </r>
        <r>
          <rPr>
            <sz val="9"/>
            <rFont val="宋体"/>
            <charset val="134"/>
          </rPr>
          <t xml:space="preserve">
2001127 5/10 2700pcs 已走货</t>
        </r>
      </text>
    </comment>
    <comment ref="AC36" authorId="0">
      <text>
        <r>
          <rPr>
            <b/>
            <sz val="9"/>
            <rFont val="宋体"/>
            <charset val="134"/>
          </rPr>
          <t>Administrator:</t>
        </r>
        <r>
          <rPr>
            <sz val="9"/>
            <rFont val="宋体"/>
            <charset val="134"/>
          </rPr>
          <t xml:space="preserve">
4/21 上进口商贴纸 2700pcs
     上UPC贴纸 2700pcs</t>
        </r>
      </text>
    </comment>
    <comment ref="AA37" authorId="0">
      <text>
        <r>
          <rPr>
            <b/>
            <sz val="9"/>
            <rFont val="宋体"/>
            <charset val="134"/>
          </rPr>
          <t>Administrator:</t>
        </r>
        <r>
          <rPr>
            <sz val="9"/>
            <rFont val="宋体"/>
            <charset val="134"/>
          </rPr>
          <t xml:space="preserve">
0001734 5/3 3315pcs 华兴三A32</t>
        </r>
      </text>
    </comment>
    <comment ref="AC37" authorId="0">
      <text>
        <r>
          <rPr>
            <b/>
            <sz val="9"/>
            <rFont val="宋体"/>
            <charset val="134"/>
          </rPr>
          <t>Administrator:</t>
        </r>
        <r>
          <rPr>
            <sz val="9"/>
            <rFont val="宋体"/>
            <charset val="134"/>
          </rPr>
          <t xml:space="preserve">
4/17 北欧五语通用Slime黑白说明书 3315pcs
5/6 收到多语警告语贴纸 3350pcs-车间加返工</t>
        </r>
      </text>
    </comment>
    <comment ref="AA38" authorId="0">
      <text>
        <r>
          <rPr>
            <b/>
            <sz val="9"/>
            <rFont val="宋体"/>
            <charset val="134"/>
          </rPr>
          <t>Administrator:</t>
        </r>
        <r>
          <rPr>
            <sz val="9"/>
            <rFont val="宋体"/>
            <charset val="134"/>
          </rPr>
          <t xml:space="preserve">
0001725 5/6 1456pcs 华兴三B14</t>
        </r>
      </text>
    </comment>
    <comment ref="AA39" authorId="0">
      <text>
        <r>
          <rPr>
            <b/>
            <sz val="9"/>
            <rFont val="宋体"/>
            <charset val="134"/>
          </rPr>
          <t>Administrator:</t>
        </r>
        <r>
          <rPr>
            <sz val="9"/>
            <rFont val="宋体"/>
            <charset val="134"/>
          </rPr>
          <t xml:space="preserve">
2001083 5/8 1152pcs 莫海军B栋4楼</t>
        </r>
      </text>
    </comment>
    <comment ref="AC39" authorId="0">
      <text>
        <r>
          <rPr>
            <b/>
            <sz val="9"/>
            <rFont val="宋体"/>
            <charset val="134"/>
          </rPr>
          <t>Administrator:</t>
        </r>
        <r>
          <rPr>
            <sz val="9"/>
            <rFont val="宋体"/>
            <charset val="134"/>
          </rPr>
          <t xml:space="preserve">
4/15 上客供RFID贴纸 1152pcs</t>
        </r>
      </text>
    </comment>
    <comment ref="AA40" authorId="0">
      <text>
        <r>
          <rPr>
            <b/>
            <sz val="9"/>
            <rFont val="宋体"/>
            <charset val="134"/>
          </rPr>
          <t>Administrator:</t>
        </r>
        <r>
          <rPr>
            <sz val="9"/>
            <rFont val="宋体"/>
            <charset val="134"/>
          </rPr>
          <t xml:space="preserve">
2001083 5/8 1152pcs 莫海军B栋4楼</t>
        </r>
      </text>
    </comment>
    <comment ref="AC40" authorId="0">
      <text>
        <r>
          <rPr>
            <b/>
            <sz val="9"/>
            <rFont val="宋体"/>
            <charset val="134"/>
          </rPr>
          <t>Administrator:</t>
        </r>
        <r>
          <rPr>
            <sz val="9"/>
            <rFont val="宋体"/>
            <charset val="134"/>
          </rPr>
          <t xml:space="preserve">
4/15 上客供RFID贴纸 1152pcs</t>
        </r>
      </text>
    </comment>
    <comment ref="AA41" authorId="0">
      <text>
        <r>
          <rPr>
            <b/>
            <sz val="9"/>
            <rFont val="宋体"/>
            <charset val="134"/>
          </rPr>
          <t>Administrator:</t>
        </r>
        <r>
          <rPr>
            <sz val="9"/>
            <rFont val="宋体"/>
            <charset val="134"/>
          </rPr>
          <t xml:space="preserve">
2001083 5/8 1152pcs 莫海军B栋4楼</t>
        </r>
      </text>
    </comment>
    <comment ref="AC41" authorId="0">
      <text>
        <r>
          <rPr>
            <b/>
            <sz val="9"/>
            <rFont val="宋体"/>
            <charset val="134"/>
          </rPr>
          <t>Administrator:</t>
        </r>
        <r>
          <rPr>
            <sz val="9"/>
            <rFont val="宋体"/>
            <charset val="134"/>
          </rPr>
          <t xml:space="preserve">
4/15 上客供RFID贴纸 1152pcs</t>
        </r>
      </text>
    </comment>
    <comment ref="AA42" authorId="0">
      <text>
        <r>
          <rPr>
            <b/>
            <sz val="9"/>
            <rFont val="宋体"/>
            <charset val="134"/>
          </rPr>
          <t>Administrator:</t>
        </r>
        <r>
          <rPr>
            <sz val="9"/>
            <rFont val="宋体"/>
            <charset val="134"/>
          </rPr>
          <t xml:space="preserve">
2001089 5/9 5064pcs 华兴三A12</t>
        </r>
      </text>
    </comment>
    <comment ref="AC42" authorId="0">
      <text>
        <r>
          <rPr>
            <b/>
            <sz val="9"/>
            <rFont val="宋体"/>
            <charset val="134"/>
          </rPr>
          <t>Administrator:</t>
        </r>
        <r>
          <rPr>
            <sz val="9"/>
            <rFont val="宋体"/>
            <charset val="134"/>
          </rPr>
          <t xml:space="preserve">
4/14 上粉色艾利贴纸 1464pcs
4/14 上客供RFID贴纸 5064pcs</t>
        </r>
      </text>
    </comment>
    <comment ref="AA43" authorId="0">
      <text>
        <r>
          <rPr>
            <b/>
            <sz val="9"/>
            <rFont val="宋体"/>
            <charset val="134"/>
          </rPr>
          <t>Administrator:</t>
        </r>
        <r>
          <rPr>
            <sz val="9"/>
            <rFont val="宋体"/>
            <charset val="134"/>
          </rPr>
          <t xml:space="preserve">
2001089 5/9 6684pcs 华兴三A12</t>
        </r>
      </text>
    </comment>
    <comment ref="AC43" authorId="0">
      <text>
        <r>
          <rPr>
            <b/>
            <sz val="9"/>
            <rFont val="宋体"/>
            <charset val="134"/>
          </rPr>
          <t>Administrator:</t>
        </r>
        <r>
          <rPr>
            <sz val="9"/>
            <rFont val="宋体"/>
            <charset val="134"/>
          </rPr>
          <t xml:space="preserve">
4/15 上客供RFID贴纸 6684pcs</t>
        </r>
      </text>
    </comment>
    <comment ref="AA44" authorId="0">
      <text>
        <r>
          <rPr>
            <b/>
            <sz val="9"/>
            <rFont val="宋体"/>
            <charset val="134"/>
          </rPr>
          <t>Administrator:</t>
        </r>
        <r>
          <rPr>
            <sz val="9"/>
            <rFont val="宋体"/>
            <charset val="134"/>
          </rPr>
          <t xml:space="preserve">
2001089 5/9 5820pcs 华兴三A12</t>
        </r>
      </text>
    </comment>
    <comment ref="AC44" authorId="0">
      <text>
        <r>
          <rPr>
            <b/>
            <sz val="9"/>
            <rFont val="宋体"/>
            <charset val="134"/>
          </rPr>
          <t>Administrator:</t>
        </r>
        <r>
          <rPr>
            <sz val="9"/>
            <rFont val="宋体"/>
            <charset val="134"/>
          </rPr>
          <t xml:space="preserve">
4/15 上客供RFID贴纸 5820pcs</t>
        </r>
      </text>
    </comment>
    <comment ref="AA45" authorId="0">
      <text>
        <r>
          <rPr>
            <b/>
            <sz val="9"/>
            <rFont val="宋体"/>
            <charset val="134"/>
          </rPr>
          <t>Administrator:</t>
        </r>
        <r>
          <rPr>
            <sz val="9"/>
            <rFont val="宋体"/>
            <charset val="134"/>
          </rPr>
          <t xml:space="preserve">
2001230 5/15 10491pcs 华兴三B7
2000962 5/16   39pcs  华兴三B7</t>
        </r>
      </text>
    </comment>
    <comment ref="AC45" authorId="0">
      <text>
        <r>
          <rPr>
            <b/>
            <sz val="9"/>
            <rFont val="宋体"/>
            <charset val="134"/>
          </rPr>
          <t>Administrator:</t>
        </r>
        <r>
          <rPr>
            <sz val="9"/>
            <rFont val="宋体"/>
            <charset val="134"/>
          </rPr>
          <t xml:space="preserve">
4/16 上客供外箱条码贴纸 818pcs</t>
        </r>
      </text>
    </comment>
    <comment ref="AA46" authorId="0">
      <text>
        <r>
          <rPr>
            <b/>
            <sz val="12"/>
            <rFont val="宋体"/>
            <charset val="134"/>
          </rPr>
          <t>Administrator:</t>
        </r>
        <r>
          <rPr>
            <sz val="12"/>
            <rFont val="宋体"/>
            <charset val="134"/>
          </rPr>
          <t xml:space="preserve">
2000962 5/16 1152pcs 兴信</t>
        </r>
      </text>
    </comment>
    <comment ref="AC46" authorId="0">
      <text>
        <r>
          <rPr>
            <b/>
            <sz val="9"/>
            <rFont val="宋体"/>
            <charset val="134"/>
          </rPr>
          <t>Administrator:</t>
        </r>
        <r>
          <rPr>
            <sz val="9"/>
            <rFont val="宋体"/>
            <charset val="134"/>
          </rPr>
          <t xml:space="preserve">
4/15 上客供RFID贴纸 1152pcs</t>
        </r>
      </text>
    </comment>
    <comment ref="AA47" authorId="0">
      <text>
        <r>
          <rPr>
            <b/>
            <sz val="12"/>
            <rFont val="宋体"/>
            <charset val="134"/>
          </rPr>
          <t>Administrator:</t>
        </r>
        <r>
          <rPr>
            <sz val="12"/>
            <rFont val="宋体"/>
            <charset val="134"/>
          </rPr>
          <t xml:space="preserve">
2001019 5/20 12792pcs 车间混装送外厂
2000882 5/21  48pcs   车间混装送外厂</t>
        </r>
      </text>
    </comment>
    <comment ref="AA48" authorId="0">
      <text>
        <r>
          <rPr>
            <b/>
            <sz val="12"/>
            <rFont val="宋体"/>
            <charset val="134"/>
          </rPr>
          <t>Administrator:</t>
        </r>
        <r>
          <rPr>
            <sz val="12"/>
            <rFont val="宋体"/>
            <charset val="134"/>
          </rPr>
          <t xml:space="preserve">
2001005 5/19 1152pcs 华兴三B5</t>
        </r>
      </text>
    </comment>
    <comment ref="AC48" authorId="0">
      <text>
        <r>
          <rPr>
            <b/>
            <sz val="9"/>
            <rFont val="宋体"/>
            <charset val="134"/>
          </rPr>
          <t>Administrator:</t>
        </r>
        <r>
          <rPr>
            <sz val="9"/>
            <rFont val="宋体"/>
            <charset val="134"/>
          </rPr>
          <t xml:space="preserve">
4/15 上客供RFID贴纸 1152pcs</t>
        </r>
      </text>
    </comment>
    <comment ref="AA49" authorId="0">
      <text>
        <r>
          <rPr>
            <b/>
            <sz val="12"/>
            <rFont val="宋体"/>
            <charset val="134"/>
          </rPr>
          <t>Administrator:</t>
        </r>
        <r>
          <rPr>
            <sz val="12"/>
            <rFont val="宋体"/>
            <charset val="134"/>
          </rPr>
          <t xml:space="preserve">
2001005 5/19 1140pcs 华兴三B5
2000882 5/21   12pcs 华兴三B5</t>
        </r>
      </text>
    </comment>
    <comment ref="AC49" authorId="0">
      <text>
        <r>
          <rPr>
            <b/>
            <sz val="9"/>
            <rFont val="宋体"/>
            <charset val="134"/>
          </rPr>
          <t>Administrator:</t>
        </r>
        <r>
          <rPr>
            <sz val="9"/>
            <rFont val="宋体"/>
            <charset val="134"/>
          </rPr>
          <t xml:space="preserve">
4/15 上客供RFID贴纸 1152pcs</t>
        </r>
      </text>
    </comment>
    <comment ref="AA50" authorId="0">
      <text>
        <r>
          <rPr>
            <b/>
            <sz val="12"/>
            <rFont val="宋体"/>
            <charset val="134"/>
          </rPr>
          <t>Administrator:</t>
        </r>
        <r>
          <rPr>
            <sz val="12"/>
            <rFont val="宋体"/>
            <charset val="134"/>
          </rPr>
          <t xml:space="preserve">
2001005 5/19 1152pcs 华兴三B5</t>
        </r>
      </text>
    </comment>
    <comment ref="AC50" authorId="0">
      <text>
        <r>
          <rPr>
            <b/>
            <sz val="9"/>
            <rFont val="宋体"/>
            <charset val="134"/>
          </rPr>
          <t>Administrator:</t>
        </r>
        <r>
          <rPr>
            <sz val="9"/>
            <rFont val="宋体"/>
            <charset val="134"/>
          </rPr>
          <t xml:space="preserve">
4/15 上客供RFID贴纸 1152pcs</t>
        </r>
      </text>
    </comment>
    <comment ref="AA51" authorId="0">
      <text>
        <r>
          <rPr>
            <b/>
            <sz val="12"/>
            <rFont val="宋体"/>
            <charset val="134"/>
          </rPr>
          <t>Administrator:</t>
        </r>
        <r>
          <rPr>
            <sz val="12"/>
            <rFont val="宋体"/>
            <charset val="134"/>
          </rPr>
          <t xml:space="preserve">
2000875 5/20 1128pcs 华兴三B5
2000882 5/21  24pcs  华兴三B5</t>
        </r>
      </text>
    </comment>
    <comment ref="AC51" authorId="0">
      <text>
        <r>
          <rPr>
            <b/>
            <sz val="9"/>
            <rFont val="宋体"/>
            <charset val="134"/>
          </rPr>
          <t>Administrator:</t>
        </r>
        <r>
          <rPr>
            <sz val="9"/>
            <rFont val="宋体"/>
            <charset val="134"/>
          </rPr>
          <t xml:space="preserve">
4/15 上客供RFID贴纸 1152pcs</t>
        </r>
      </text>
    </comment>
    <comment ref="AA52" authorId="0">
      <text>
        <r>
          <rPr>
            <b/>
            <sz val="12"/>
            <rFont val="宋体"/>
            <charset val="134"/>
          </rPr>
          <t>Administrator:</t>
        </r>
        <r>
          <rPr>
            <sz val="12"/>
            <rFont val="宋体"/>
            <charset val="134"/>
          </rPr>
          <t xml:space="preserve">
2001005 5/19 1152pcs 华兴三B5</t>
        </r>
      </text>
    </comment>
    <comment ref="AC52" authorId="0">
      <text>
        <r>
          <rPr>
            <b/>
            <sz val="9"/>
            <rFont val="宋体"/>
            <charset val="134"/>
          </rPr>
          <t>Administrator:</t>
        </r>
        <r>
          <rPr>
            <sz val="9"/>
            <rFont val="宋体"/>
            <charset val="134"/>
          </rPr>
          <t xml:space="preserve">
4/15 上客供RFID贴纸 1152pcs</t>
        </r>
      </text>
    </comment>
    <comment ref="AA53" authorId="0">
      <text>
        <r>
          <rPr>
            <b/>
            <sz val="12"/>
            <rFont val="宋体"/>
            <charset val="134"/>
          </rPr>
          <t>Administrator:</t>
        </r>
        <r>
          <rPr>
            <sz val="12"/>
            <rFont val="宋体"/>
            <charset val="134"/>
          </rPr>
          <t xml:space="preserve">
2000875 5/20 8928pcs 华兴三A8
2000898 5/22 180pcs  华兴三A8</t>
        </r>
      </text>
    </comment>
    <comment ref="AC53" authorId="0">
      <text>
        <r>
          <rPr>
            <b/>
            <sz val="9"/>
            <rFont val="宋体"/>
            <charset val="134"/>
          </rPr>
          <t>Administrator:</t>
        </r>
        <r>
          <rPr>
            <sz val="9"/>
            <rFont val="宋体"/>
            <charset val="134"/>
          </rPr>
          <t xml:space="preserve">
4/15 上客供RFID贴纸 9108pcs
4/25 上粉色艾利贴纸 2437pcs
162370/162371共用</t>
        </r>
      </text>
    </comment>
    <comment ref="AA54" authorId="0">
      <text>
        <r>
          <rPr>
            <b/>
            <sz val="12"/>
            <rFont val="宋体"/>
            <charset val="134"/>
          </rPr>
          <t>Administrator:</t>
        </r>
        <r>
          <rPr>
            <sz val="12"/>
            <rFont val="宋体"/>
            <charset val="134"/>
          </rPr>
          <t xml:space="preserve">
2000875 5/20 7752pcs 华兴三A9
2000898 5/22 108pcs  华兴三A9</t>
        </r>
      </text>
    </comment>
    <comment ref="AC54" authorId="0">
      <text>
        <r>
          <rPr>
            <b/>
            <sz val="9"/>
            <rFont val="宋体"/>
            <charset val="134"/>
          </rPr>
          <t>Administrator:</t>
        </r>
        <r>
          <rPr>
            <sz val="9"/>
            <rFont val="宋体"/>
            <charset val="134"/>
          </rPr>
          <t xml:space="preserve">
4/15 上客供RFID贴纸 7860pcs
4/25 上粉色艾利贴纸 2437pcs
162370/162371共用
</t>
        </r>
      </text>
    </comment>
    <comment ref="AA55" authorId="0">
      <text>
        <r>
          <rPr>
            <b/>
            <sz val="9"/>
            <rFont val="宋体"/>
            <charset val="134"/>
          </rPr>
          <t>Administrator:</t>
        </r>
        <r>
          <rPr>
            <sz val="9"/>
            <rFont val="宋体"/>
            <charset val="134"/>
          </rPr>
          <t xml:space="preserve">
2001001 5/21 1547pcs 华兴三B13
2000885 5/22 169pcs  华兴三B13</t>
        </r>
      </text>
    </comment>
    <comment ref="AC55" authorId="0">
      <text>
        <r>
          <rPr>
            <b/>
            <sz val="9"/>
            <rFont val="宋体"/>
            <charset val="134"/>
          </rPr>
          <t>Administrator:</t>
        </r>
        <r>
          <rPr>
            <sz val="9"/>
            <rFont val="宋体"/>
            <charset val="134"/>
          </rPr>
          <t xml:space="preserve">
4/30 上UPC贴纸 1716pcs</t>
        </r>
      </text>
    </comment>
    <comment ref="AA56" authorId="0">
      <text>
        <r>
          <rPr>
            <b/>
            <sz val="9"/>
            <rFont val="宋体"/>
            <charset val="134"/>
          </rPr>
          <t>Administrator:</t>
        </r>
        <r>
          <rPr>
            <sz val="9"/>
            <rFont val="宋体"/>
            <charset val="134"/>
          </rPr>
          <t xml:space="preserve">
2000784 5/24 600pcs</t>
        </r>
      </text>
    </comment>
    <comment ref="AC56" authorId="0">
      <text>
        <r>
          <rPr>
            <b/>
            <sz val="9"/>
            <rFont val="宋体"/>
            <charset val="134"/>
          </rPr>
          <t>Administrator:</t>
        </r>
        <r>
          <rPr>
            <sz val="9"/>
            <rFont val="宋体"/>
            <charset val="134"/>
          </rPr>
          <t xml:space="preserve">
5/7 上亚马逊外箱贴纸 50pcs
5/23 上空白贴纸 3696pcs
158581/164250/164939共用</t>
        </r>
      </text>
    </comment>
    <comment ref="AA57" authorId="0">
      <text>
        <r>
          <rPr>
            <b/>
            <sz val="9"/>
            <rFont val="宋体"/>
            <charset val="134"/>
          </rPr>
          <t>Administrator:</t>
        </r>
        <r>
          <rPr>
            <sz val="9"/>
            <rFont val="宋体"/>
            <charset val="134"/>
          </rPr>
          <t xml:space="preserve">
2000651 5/27  108pcs 华兴三B16
2000684 5/27 2052pcs 华兴三B16</t>
        </r>
      </text>
    </comment>
    <comment ref="AA58" authorId="0">
      <text>
        <r>
          <rPr>
            <b/>
            <sz val="9"/>
            <rFont val="宋体"/>
            <charset val="134"/>
          </rPr>
          <t>Administrator:</t>
        </r>
        <r>
          <rPr>
            <sz val="9"/>
            <rFont val="宋体"/>
            <charset val="134"/>
          </rPr>
          <t xml:space="preserve">
2001241 5/28 1040pcs 华兴三B14</t>
        </r>
      </text>
    </comment>
    <comment ref="AC58" authorId="0">
      <text>
        <r>
          <rPr>
            <b/>
            <sz val="9"/>
            <rFont val="宋体"/>
            <charset val="134"/>
          </rPr>
          <t>Administrator:</t>
        </r>
        <r>
          <rPr>
            <sz val="9"/>
            <rFont val="宋体"/>
            <charset val="134"/>
          </rPr>
          <t xml:space="preserve">
5/6 上进口商贴纸 1040pcs</t>
        </r>
      </text>
    </comment>
    <comment ref="AA59" authorId="0">
      <text>
        <r>
          <rPr>
            <b/>
            <sz val="9"/>
            <rFont val="宋体"/>
            <charset val="134"/>
          </rPr>
          <t>Administrator:</t>
        </r>
        <r>
          <rPr>
            <sz val="9"/>
            <rFont val="宋体"/>
            <charset val="134"/>
          </rPr>
          <t xml:space="preserve">
2000680 5/26 21216pcs 华兴一A1</t>
        </r>
      </text>
    </comment>
    <comment ref="AA60" authorId="0">
      <text>
        <r>
          <rPr>
            <b/>
            <sz val="9"/>
            <rFont val="宋体"/>
            <charset val="134"/>
          </rPr>
          <t>Administrator:</t>
        </r>
        <r>
          <rPr>
            <sz val="9"/>
            <rFont val="宋体"/>
            <charset val="134"/>
          </rPr>
          <t xml:space="preserve">
2000651 5/27   33pcs 已走货
2000684 5/27 4917pcs 已走货</t>
        </r>
      </text>
    </comment>
    <comment ref="AA61" authorId="0">
      <text>
        <r>
          <rPr>
            <b/>
            <sz val="9"/>
            <rFont val="宋体"/>
            <charset val="134"/>
          </rPr>
          <t>Administrator:</t>
        </r>
        <r>
          <rPr>
            <sz val="9"/>
            <rFont val="宋体"/>
            <charset val="134"/>
          </rPr>
          <t xml:space="preserve">
2002450 6/2 162pcs 华兴三A27</t>
        </r>
      </text>
    </comment>
    <comment ref="AC61" authorId="0">
      <text>
        <r>
          <rPr>
            <b/>
            <sz val="9"/>
            <rFont val="宋体"/>
            <charset val="134"/>
          </rPr>
          <t>Administrator:</t>
        </r>
        <r>
          <rPr>
            <sz val="9"/>
            <rFont val="宋体"/>
            <charset val="134"/>
          </rPr>
          <t xml:space="preserve">
4/21 上北欧五语通用Slime黑白说明书 162pcs
4/25 上瑞典芬兰警告语贴纸 162pcs</t>
        </r>
      </text>
    </comment>
    <comment ref="AA62" authorId="0">
      <text>
        <r>
          <rPr>
            <b/>
            <sz val="9"/>
            <rFont val="宋体"/>
            <charset val="134"/>
          </rPr>
          <t>Administrator:</t>
        </r>
        <r>
          <rPr>
            <sz val="9"/>
            <rFont val="宋体"/>
            <charset val="134"/>
          </rPr>
          <t xml:space="preserve">
2000678 5/26 1140pcs 莫海军B4楼B9区
2000651 5/27  12pcs  莫海军B4楼B9区</t>
        </r>
      </text>
    </comment>
    <comment ref="AC62" authorId="0">
      <text>
        <r>
          <rPr>
            <b/>
            <sz val="9"/>
            <rFont val="宋体"/>
            <charset val="134"/>
          </rPr>
          <t>Administrator:</t>
        </r>
        <r>
          <rPr>
            <sz val="9"/>
            <rFont val="宋体"/>
            <charset val="134"/>
          </rPr>
          <t xml:space="preserve">
4/15 上客供RFID贴纸 1152pcs</t>
        </r>
      </text>
    </comment>
    <comment ref="AA63" authorId="0">
      <text>
        <r>
          <rPr>
            <b/>
            <sz val="9"/>
            <rFont val="宋体"/>
            <charset val="134"/>
          </rPr>
          <t>Administrator:</t>
        </r>
        <r>
          <rPr>
            <sz val="9"/>
            <rFont val="宋体"/>
            <charset val="134"/>
          </rPr>
          <t xml:space="preserve">
2000678 5/26 6276pcs 莫海军B4楼A3区</t>
        </r>
      </text>
    </comment>
    <comment ref="AC63" authorId="0">
      <text>
        <r>
          <rPr>
            <b/>
            <sz val="9"/>
            <rFont val="宋体"/>
            <charset val="134"/>
          </rPr>
          <t>Administrator:</t>
        </r>
        <r>
          <rPr>
            <sz val="9"/>
            <rFont val="宋体"/>
            <charset val="134"/>
          </rPr>
          <t xml:space="preserve">
4/15 上客供RFID贴纸 6276pcs
4/25 上粉色艾利贴纸 2437pcs
162370/162371共用
</t>
        </r>
      </text>
    </comment>
    <comment ref="AA64" authorId="0">
      <text>
        <r>
          <rPr>
            <b/>
            <sz val="9"/>
            <rFont val="宋体"/>
            <charset val="134"/>
          </rPr>
          <t>Administrator:</t>
        </r>
        <r>
          <rPr>
            <sz val="9"/>
            <rFont val="宋体"/>
            <charset val="134"/>
          </rPr>
          <t xml:space="preserve">
2000678 5/26 5976pcs 莫海军B4楼A3区
2000651 5/27  24pcs  莫海军B4楼A3区</t>
        </r>
      </text>
    </comment>
    <comment ref="AC64" authorId="0">
      <text>
        <r>
          <rPr>
            <b/>
            <sz val="9"/>
            <rFont val="宋体"/>
            <charset val="134"/>
          </rPr>
          <t>Administrator:</t>
        </r>
        <r>
          <rPr>
            <sz val="9"/>
            <rFont val="宋体"/>
            <charset val="134"/>
          </rPr>
          <t xml:space="preserve">
4/15 上客供RFID贴纸 6000pcs
4/25 上粉色艾利贴纸 2437pcs
162370/162371共用
</t>
        </r>
      </text>
    </comment>
    <comment ref="AA65" authorId="0">
      <text>
        <r>
          <rPr>
            <b/>
            <sz val="9"/>
            <rFont val="宋体"/>
            <charset val="134"/>
          </rPr>
          <t>Administrator:</t>
        </r>
        <r>
          <rPr>
            <sz val="9"/>
            <rFont val="宋体"/>
            <charset val="134"/>
          </rPr>
          <t xml:space="preserve">
2000680 5/26 2548pcs 华兴三B15
2000651 5/27  39pcs  华兴三B15
2002388  6/5  13pcs</t>
        </r>
      </text>
    </comment>
    <comment ref="AC65" authorId="0">
      <text>
        <r>
          <rPr>
            <b/>
            <sz val="9"/>
            <rFont val="宋体"/>
            <charset val="134"/>
          </rPr>
          <t>Administrator:</t>
        </r>
        <r>
          <rPr>
            <sz val="9"/>
            <rFont val="宋体"/>
            <charset val="134"/>
          </rPr>
          <t xml:space="preserve">
5/9 上挪威语警语贴纸 2600pcs</t>
        </r>
      </text>
    </comment>
    <comment ref="AA66" authorId="0">
      <text>
        <r>
          <rPr>
            <b/>
            <sz val="9"/>
            <rFont val="宋体"/>
            <charset val="134"/>
          </rPr>
          <t>Administrator:</t>
        </r>
        <r>
          <rPr>
            <sz val="9"/>
            <rFont val="宋体"/>
            <charset val="134"/>
          </rPr>
          <t xml:space="preserve">
2002439 6/2 3510pcs 已走货</t>
        </r>
      </text>
    </comment>
    <comment ref="AC66" authorId="0">
      <text>
        <r>
          <rPr>
            <b/>
            <sz val="9"/>
            <rFont val="宋体"/>
            <charset val="134"/>
          </rPr>
          <t>Administrator:</t>
        </r>
        <r>
          <rPr>
            <sz val="9"/>
            <rFont val="宋体"/>
            <charset val="134"/>
          </rPr>
          <t xml:space="preserve">
4/28 上丹麦瑞典挪威芬兰语警告语贴纸 3510pcs
     上北欧五语通用Slime黑白说明书 3510pcs</t>
        </r>
      </text>
    </comment>
    <comment ref="AA67" authorId="0">
      <text>
        <r>
          <rPr>
            <b/>
            <sz val="9"/>
            <rFont val="宋体"/>
            <charset val="134"/>
          </rPr>
          <t>Administrator:</t>
        </r>
        <r>
          <rPr>
            <sz val="9"/>
            <rFont val="宋体"/>
            <charset val="134"/>
          </rPr>
          <t xml:space="preserve">
2000680 5/26 540pcs 华兴三B10</t>
        </r>
      </text>
    </comment>
    <comment ref="AA68" authorId="0">
      <text>
        <r>
          <rPr>
            <b/>
            <sz val="9"/>
            <rFont val="宋体"/>
            <charset val="134"/>
          </rPr>
          <t>Administrator:</t>
        </r>
        <r>
          <rPr>
            <sz val="9"/>
            <rFont val="宋体"/>
            <charset val="134"/>
          </rPr>
          <t xml:space="preserve">
2000658 5/27 1458pcs 已走货</t>
        </r>
      </text>
    </comment>
    <comment ref="AC68" authorId="0">
      <text>
        <r>
          <rPr>
            <b/>
            <sz val="12"/>
            <rFont val="宋体"/>
            <charset val="134"/>
          </rPr>
          <t>Administrator:</t>
        </r>
        <r>
          <rPr>
            <sz val="12"/>
            <rFont val="宋体"/>
            <charset val="134"/>
          </rPr>
          <t xml:space="preserve">
5/6 上多语警告语贴纸 1460pcs</t>
        </r>
      </text>
    </comment>
    <comment ref="AA69" authorId="0">
      <text>
        <r>
          <rPr>
            <b/>
            <sz val="9"/>
            <rFont val="宋体"/>
            <charset val="134"/>
          </rPr>
          <t>Administrator:</t>
        </r>
        <r>
          <rPr>
            <sz val="9"/>
            <rFont val="宋体"/>
            <charset val="134"/>
          </rPr>
          <t xml:space="preserve">
2002439 6/2 729pcs 华兴三A14</t>
        </r>
      </text>
    </comment>
    <comment ref="AC69" authorId="0">
      <text>
        <r>
          <rPr>
            <b/>
            <sz val="9"/>
            <rFont val="宋体"/>
            <charset val="134"/>
          </rPr>
          <t>Administrator:</t>
        </r>
        <r>
          <rPr>
            <sz val="9"/>
            <rFont val="宋体"/>
            <charset val="134"/>
          </rPr>
          <t xml:space="preserve">
5/16 上警告语/进口商贴纸 462pcs
     上北欧五语通用Slime黑白说明书 1191pcs</t>
        </r>
      </text>
    </comment>
    <comment ref="AA70" authorId="0">
      <text>
        <r>
          <rPr>
            <b/>
            <sz val="9"/>
            <rFont val="宋体"/>
            <charset val="134"/>
          </rPr>
          <t>Administrator:</t>
        </r>
        <r>
          <rPr>
            <sz val="9"/>
            <rFont val="宋体"/>
            <charset val="134"/>
          </rPr>
          <t xml:space="preserve">
2002439 6/2 462pcs 华兴三A16</t>
        </r>
      </text>
    </comment>
    <comment ref="AC70" authorId="0">
      <text>
        <r>
          <rPr>
            <b/>
            <sz val="9"/>
            <rFont val="宋体"/>
            <charset val="134"/>
          </rPr>
          <t>Administrator:</t>
        </r>
        <r>
          <rPr>
            <sz val="9"/>
            <rFont val="宋体"/>
            <charset val="134"/>
          </rPr>
          <t xml:space="preserve">
5/16 上警告语/进口商贴纸 462pcs
     上北欧五语通用Slime黑白说明书 1191pcs</t>
        </r>
      </text>
    </comment>
    <comment ref="AA71" authorId="0">
      <text>
        <r>
          <rPr>
            <b/>
            <sz val="9"/>
            <rFont val="宋体"/>
            <charset val="134"/>
          </rPr>
          <t>Administrator:</t>
        </r>
        <r>
          <rPr>
            <sz val="9"/>
            <rFont val="宋体"/>
            <charset val="134"/>
          </rPr>
          <t xml:space="preserve">
消耗PP订单 6/4
</t>
        </r>
      </text>
    </comment>
    <comment ref="AC71" authorId="0">
      <text>
        <r>
          <rPr>
            <b/>
            <sz val="11"/>
            <rFont val="宋体"/>
            <charset val="134"/>
          </rPr>
          <t>Administrator:</t>
        </r>
        <r>
          <rPr>
            <sz val="11"/>
            <rFont val="宋体"/>
            <charset val="134"/>
          </rPr>
          <t xml:space="preserve">
2/21 收到UPC贴纸 130pcs
5/29 收到UPC贴纸 156pcs</t>
        </r>
      </text>
    </comment>
    <comment ref="AA72" authorId="0">
      <text>
        <r>
          <rPr>
            <b/>
            <sz val="9"/>
            <rFont val="宋体"/>
            <charset val="134"/>
          </rPr>
          <t>Administrator:</t>
        </r>
        <r>
          <rPr>
            <sz val="9"/>
            <rFont val="宋体"/>
            <charset val="134"/>
          </rPr>
          <t xml:space="preserve">
2002361 6/6 744pcs 莫海军B4楼C4区</t>
        </r>
      </text>
    </comment>
    <comment ref="AC72" authorId="0">
      <text>
        <r>
          <rPr>
            <b/>
            <sz val="9"/>
            <rFont val="宋体"/>
            <charset val="134"/>
          </rPr>
          <t>Administrator:</t>
        </r>
        <r>
          <rPr>
            <sz val="9"/>
            <rFont val="宋体"/>
            <charset val="134"/>
          </rPr>
          <t xml:space="preserve">
5/12 上EAN贴纸 744pcs
     上警告语贴纸 744pcs
5/23 上空白贴纸 3696pcs
158581/164250/164939共用
</t>
        </r>
      </text>
    </comment>
    <comment ref="AA73" authorId="0">
      <text>
        <r>
          <rPr>
            <b/>
            <sz val="9"/>
            <rFont val="宋体"/>
            <charset val="134"/>
          </rPr>
          <t>Administrator:</t>
        </r>
        <r>
          <rPr>
            <sz val="9"/>
            <rFont val="宋体"/>
            <charset val="134"/>
          </rPr>
          <t xml:space="preserve">
2002344 6/6 2754pcs 新仓库一A4
</t>
        </r>
      </text>
    </comment>
    <comment ref="AC73" authorId="0">
      <text>
        <r>
          <rPr>
            <b/>
            <sz val="12"/>
            <rFont val="宋体"/>
            <charset val="134"/>
          </rPr>
          <t>Administrator:</t>
        </r>
        <r>
          <rPr>
            <sz val="12"/>
            <rFont val="宋体"/>
            <charset val="134"/>
          </rPr>
          <t xml:space="preserve">
5/8 上警语贴纸 2754pcs
    上PDQ GTIN贴纸 102pcs
    上产品图片贴纸 204pcs</t>
        </r>
      </text>
    </comment>
    <comment ref="AA74" authorId="0">
      <text>
        <r>
          <rPr>
            <b/>
            <sz val="9"/>
            <rFont val="宋体"/>
            <charset val="134"/>
          </rPr>
          <t>Administrator:</t>
        </r>
        <r>
          <rPr>
            <sz val="9"/>
            <rFont val="宋体"/>
            <charset val="134"/>
          </rPr>
          <t xml:space="preserve">
2002374 6/5 2314pcs 新仓库一B10</t>
        </r>
      </text>
    </comment>
    <comment ref="AC74" authorId="0">
      <text>
        <r>
          <rPr>
            <b/>
            <sz val="9"/>
            <rFont val="宋体"/>
            <charset val="134"/>
          </rPr>
          <t>Administrator:</t>
        </r>
        <r>
          <rPr>
            <sz val="9"/>
            <rFont val="宋体"/>
            <charset val="134"/>
          </rPr>
          <t xml:space="preserve">
5/14 上UPC贴纸 2314pcs
     上进口商贴纸 2314pcs</t>
        </r>
      </text>
    </comment>
    <comment ref="AA75" authorId="0">
      <text>
        <r>
          <rPr>
            <b/>
            <sz val="9"/>
            <rFont val="宋体"/>
            <charset val="134"/>
          </rPr>
          <t>Administrator:</t>
        </r>
        <r>
          <rPr>
            <sz val="9"/>
            <rFont val="宋体"/>
            <charset val="134"/>
          </rPr>
          <t xml:space="preserve">
2002374 6/5 135pcs 新仓库一B10</t>
        </r>
      </text>
    </comment>
    <comment ref="AC75" authorId="0">
      <text>
        <r>
          <rPr>
            <b/>
            <sz val="9"/>
            <rFont val="宋体"/>
            <charset val="134"/>
          </rPr>
          <t>Administrator:</t>
        </r>
        <r>
          <rPr>
            <sz val="9"/>
            <rFont val="宋体"/>
            <charset val="134"/>
          </rPr>
          <t xml:space="preserve">
5/19 上进口商贴纸 300pcs</t>
        </r>
      </text>
    </comment>
    <comment ref="AA76" authorId="0">
      <text>
        <r>
          <rPr>
            <b/>
            <sz val="9"/>
            <rFont val="宋体"/>
            <charset val="134"/>
          </rPr>
          <t>Administrator:</t>
        </r>
        <r>
          <rPr>
            <sz val="9"/>
            <rFont val="宋体"/>
            <charset val="134"/>
          </rPr>
          <t xml:space="preserve">
2002374 6/5 165pcs 新仓库一B10</t>
        </r>
      </text>
    </comment>
    <comment ref="AA77" authorId="0">
      <text>
        <r>
          <rPr>
            <b/>
            <sz val="9"/>
            <rFont val="宋体"/>
            <charset val="134"/>
          </rPr>
          <t>Administrator:</t>
        </r>
        <r>
          <rPr>
            <sz val="9"/>
            <rFont val="宋体"/>
            <charset val="134"/>
          </rPr>
          <t xml:space="preserve">
2002281 6/9 4944pcs 华兴一F3</t>
        </r>
      </text>
    </comment>
    <comment ref="AC77" authorId="0">
      <text>
        <r>
          <rPr>
            <b/>
            <sz val="12"/>
            <rFont val="宋体"/>
            <charset val="134"/>
          </rPr>
          <t>Administrator:</t>
        </r>
        <r>
          <rPr>
            <sz val="12"/>
            <rFont val="宋体"/>
            <charset val="134"/>
          </rPr>
          <t xml:space="preserve">
5/19 上进口商贴纸 12112pcs
     上EAN条码贴纸 12112pcs
     上收藏指南空白贴纸 12112pcs</t>
        </r>
      </text>
    </comment>
    <comment ref="AA78" authorId="0">
      <text>
        <r>
          <rPr>
            <b/>
            <sz val="9"/>
            <rFont val="宋体"/>
            <charset val="134"/>
          </rPr>
          <t>Administrator:</t>
        </r>
        <r>
          <rPr>
            <sz val="9"/>
            <rFont val="宋体"/>
            <charset val="134"/>
          </rPr>
          <t xml:space="preserve">
2002281 6/9 7168pcs 华兴一F3</t>
        </r>
      </text>
    </comment>
    <comment ref="AA79" authorId="0">
      <text>
        <r>
          <rPr>
            <b/>
            <sz val="9"/>
            <rFont val="宋体"/>
            <charset val="134"/>
          </rPr>
          <t>Administrator:</t>
        </r>
        <r>
          <rPr>
            <sz val="9"/>
            <rFont val="宋体"/>
            <charset val="134"/>
          </rPr>
          <t xml:space="preserve">
2002265 6/10 1152pcs 华兴三B6</t>
        </r>
      </text>
    </comment>
    <comment ref="AC79" authorId="0">
      <text>
        <r>
          <rPr>
            <b/>
            <sz val="9"/>
            <rFont val="宋体"/>
            <charset val="134"/>
          </rPr>
          <t>Administrator:</t>
        </r>
        <r>
          <rPr>
            <sz val="9"/>
            <rFont val="宋体"/>
            <charset val="134"/>
          </rPr>
          <t xml:space="preserve">
5/12 上客供RFID贴纸 1152pcs</t>
        </r>
      </text>
    </comment>
    <comment ref="AA80" authorId="0">
      <text>
        <r>
          <rPr>
            <b/>
            <sz val="9"/>
            <rFont val="宋体"/>
            <charset val="134"/>
          </rPr>
          <t>Administrator:</t>
        </r>
        <r>
          <rPr>
            <sz val="9"/>
            <rFont val="宋体"/>
            <charset val="134"/>
          </rPr>
          <t xml:space="preserve">
2002265 6/10 1152pcs 华兴三B6</t>
        </r>
      </text>
    </comment>
    <comment ref="AC80" authorId="0">
      <text>
        <r>
          <rPr>
            <b/>
            <sz val="9"/>
            <rFont val="宋体"/>
            <charset val="134"/>
          </rPr>
          <t>Administrator:</t>
        </r>
        <r>
          <rPr>
            <sz val="9"/>
            <rFont val="宋体"/>
            <charset val="134"/>
          </rPr>
          <t xml:space="preserve">
5/12 上客供RFID贴纸 1152pcs</t>
        </r>
      </text>
    </comment>
    <comment ref="AA81" authorId="0">
      <text>
        <r>
          <rPr>
            <b/>
            <sz val="9"/>
            <rFont val="宋体"/>
            <charset val="134"/>
          </rPr>
          <t>Administrator:</t>
        </r>
        <r>
          <rPr>
            <sz val="9"/>
            <rFont val="宋体"/>
            <charset val="134"/>
          </rPr>
          <t xml:space="preserve">
2002239 6/11 5076pcs 华兴三B3
2002226 6/12  54pcs  华兴三B3</t>
        </r>
      </text>
    </comment>
    <comment ref="AA82" authorId="0">
      <text>
        <r>
          <rPr>
            <b/>
            <sz val="9"/>
            <rFont val="宋体"/>
            <charset val="134"/>
          </rPr>
          <t>Administrator:</t>
        </r>
        <r>
          <rPr>
            <sz val="9"/>
            <rFont val="宋体"/>
            <charset val="134"/>
          </rPr>
          <t xml:space="preserve">
2002239 6/11 270pcs 华兴三B3</t>
        </r>
      </text>
    </comment>
    <comment ref="AA83" authorId="0">
      <text>
        <r>
          <rPr>
            <b/>
            <sz val="9"/>
            <rFont val="宋体"/>
            <charset val="134"/>
          </rPr>
          <t>Administrator:</t>
        </r>
        <r>
          <rPr>
            <sz val="9"/>
            <rFont val="宋体"/>
            <charset val="134"/>
          </rPr>
          <t xml:space="preserve">
2002239 6/11 648pcs 华兴三B3</t>
        </r>
      </text>
    </comment>
    <comment ref="AA84" authorId="0">
      <text>
        <r>
          <rPr>
            <b/>
            <sz val="9"/>
            <rFont val="宋体"/>
            <charset val="134"/>
          </rPr>
          <t>Administrator:</t>
        </r>
        <r>
          <rPr>
            <sz val="9"/>
            <rFont val="宋体"/>
            <charset val="134"/>
          </rPr>
          <t xml:space="preserve">
2002244 6/12 1530pcs 已走货</t>
        </r>
      </text>
    </comment>
    <comment ref="AC84" authorId="0">
      <text>
        <r>
          <rPr>
            <b/>
            <sz val="12"/>
            <rFont val="宋体"/>
            <charset val="134"/>
          </rPr>
          <t>Administrator:</t>
        </r>
        <r>
          <rPr>
            <sz val="12"/>
            <rFont val="宋体"/>
            <charset val="134"/>
          </rPr>
          <t xml:space="preserve">
5/27 上丹麦语警告语贴纸 1530pcs
     上北欧五语通用Slime黑白说明书 1530pcs</t>
        </r>
      </text>
    </comment>
    <comment ref="AA85" authorId="0">
      <text>
        <r>
          <rPr>
            <b/>
            <sz val="9"/>
            <rFont val="宋体"/>
            <charset val="134"/>
          </rPr>
          <t>Administrator:</t>
        </r>
        <r>
          <rPr>
            <sz val="9"/>
            <rFont val="宋体"/>
            <charset val="134"/>
          </rPr>
          <t xml:space="preserve">
2002485 6/11 2249pcs 华兴三B11</t>
        </r>
      </text>
    </comment>
    <comment ref="AA86" authorId="0">
      <text>
        <r>
          <rPr>
            <b/>
            <sz val="9"/>
            <rFont val="宋体"/>
            <charset val="134"/>
          </rPr>
          <t>Administrator:</t>
        </r>
        <r>
          <rPr>
            <sz val="9"/>
            <rFont val="宋体"/>
            <charset val="134"/>
          </rPr>
          <t xml:space="preserve">
2002239 6/11 1209pcs 华兴三B15</t>
        </r>
      </text>
    </comment>
    <comment ref="AA87" authorId="0">
      <text>
        <r>
          <rPr>
            <b/>
            <sz val="12"/>
            <rFont val="宋体"/>
            <charset val="134"/>
          </rPr>
          <t>Administrator:</t>
        </r>
        <r>
          <rPr>
            <sz val="12"/>
            <rFont val="宋体"/>
            <charset val="134"/>
          </rPr>
          <t xml:space="preserve">
2002312 6/7 486pcs 华兴三B14</t>
        </r>
      </text>
    </comment>
    <comment ref="AC87" authorId="0">
      <text>
        <r>
          <rPr>
            <b/>
            <sz val="9"/>
            <rFont val="宋体"/>
            <charset val="134"/>
          </rPr>
          <t>Administrator:</t>
        </r>
        <r>
          <rPr>
            <sz val="9"/>
            <rFont val="宋体"/>
            <charset val="134"/>
          </rPr>
          <t xml:space="preserve">
5/23 上价标贴纸 486pcs
5/26 上客供Hu贴纸 9pcs
     上客供ASN贴纸 9pcs</t>
        </r>
      </text>
    </comment>
    <comment ref="AA88" authorId="0">
      <text>
        <r>
          <rPr>
            <b/>
            <sz val="9"/>
            <rFont val="宋体"/>
            <charset val="134"/>
          </rPr>
          <t>Administrator:</t>
        </r>
        <r>
          <rPr>
            <sz val="9"/>
            <rFont val="宋体"/>
            <charset val="134"/>
          </rPr>
          <t xml:space="preserve">
2002239 6/11 2470pcs 华兴三A28
2002226 6/12 130pcs  华兴三A28</t>
        </r>
      </text>
    </comment>
    <comment ref="AA89" authorId="0">
      <text>
        <r>
          <rPr>
            <b/>
            <sz val="9"/>
            <rFont val="宋体"/>
            <charset val="134"/>
          </rPr>
          <t>Administrator:</t>
        </r>
        <r>
          <rPr>
            <sz val="9"/>
            <rFont val="宋体"/>
            <charset val="134"/>
          </rPr>
          <t xml:space="preserve">
2002239 6/11 4667pcs 华兴三A28
2002226 6/12  13pcs  华兴三A28</t>
        </r>
      </text>
    </comment>
    <comment ref="AA90" authorId="0">
      <text>
        <r>
          <rPr>
            <b/>
            <sz val="9"/>
            <rFont val="宋体"/>
            <charset val="134"/>
          </rPr>
          <t>Administrator:</t>
        </r>
        <r>
          <rPr>
            <sz val="9"/>
            <rFont val="宋体"/>
            <charset val="134"/>
          </rPr>
          <t xml:space="preserve">
2002202 6/13 1040pcs 已走货</t>
        </r>
      </text>
    </comment>
    <comment ref="AC90" authorId="0">
      <text>
        <r>
          <rPr>
            <b/>
            <sz val="12"/>
            <rFont val="宋体"/>
            <charset val="134"/>
          </rPr>
          <t>Administrator:</t>
        </r>
        <r>
          <rPr>
            <sz val="12"/>
            <rFont val="宋体"/>
            <charset val="134"/>
          </rPr>
          <t xml:space="preserve">
5/19 上进口商贴纸 1040pcs</t>
        </r>
      </text>
    </comment>
    <comment ref="AA91" authorId="0">
      <text>
        <r>
          <rPr>
            <b/>
            <sz val="9"/>
            <rFont val="宋体"/>
            <charset val="134"/>
          </rPr>
          <t>Administrator:</t>
        </r>
        <r>
          <rPr>
            <sz val="9"/>
            <rFont val="宋体"/>
            <charset val="134"/>
          </rPr>
          <t xml:space="preserve">
2002235 6/12 1092pcs 华兴三B5
2002207 6/14  60pcs  华兴三B5</t>
        </r>
      </text>
    </comment>
    <comment ref="AC91" authorId="0">
      <text>
        <r>
          <rPr>
            <b/>
            <sz val="9"/>
            <rFont val="宋体"/>
            <charset val="134"/>
          </rPr>
          <t>Administrator:</t>
        </r>
        <r>
          <rPr>
            <sz val="9"/>
            <rFont val="宋体"/>
            <charset val="134"/>
          </rPr>
          <t xml:space="preserve">
5/26 上客供RFID贴纸 1152pcs</t>
        </r>
      </text>
    </comment>
    <comment ref="AA92" authorId="0">
      <text>
        <r>
          <rPr>
            <b/>
            <sz val="9"/>
            <rFont val="宋体"/>
            <charset val="134"/>
          </rPr>
          <t>Administrator:</t>
        </r>
        <r>
          <rPr>
            <sz val="9"/>
            <rFont val="宋体"/>
            <charset val="134"/>
          </rPr>
          <t xml:space="preserve">
2002226 6/12 1152pcs 华兴三B4</t>
        </r>
      </text>
    </comment>
    <comment ref="AC92" authorId="0">
      <text>
        <r>
          <rPr>
            <b/>
            <sz val="9"/>
            <rFont val="宋体"/>
            <charset val="134"/>
          </rPr>
          <t>Administrator:</t>
        </r>
        <r>
          <rPr>
            <sz val="9"/>
            <rFont val="宋体"/>
            <charset val="134"/>
          </rPr>
          <t xml:space="preserve">
5/12 上客供RFID贴纸 1152pcs</t>
        </r>
      </text>
    </comment>
    <comment ref="AA93" authorId="0">
      <text>
        <r>
          <rPr>
            <b/>
            <sz val="9"/>
            <rFont val="宋体"/>
            <charset val="134"/>
          </rPr>
          <t>Administrator:</t>
        </r>
        <r>
          <rPr>
            <sz val="9"/>
            <rFont val="宋体"/>
            <charset val="134"/>
          </rPr>
          <t xml:space="preserve">
2002202 6/13 2444pcs 已走货</t>
        </r>
      </text>
    </comment>
    <comment ref="AC93" authorId="0">
      <text>
        <r>
          <rPr>
            <b/>
            <sz val="12"/>
            <rFont val="宋体"/>
            <charset val="134"/>
          </rPr>
          <t>Administrator:</t>
        </r>
        <r>
          <rPr>
            <sz val="12"/>
            <rFont val="宋体"/>
            <charset val="134"/>
          </rPr>
          <t xml:space="preserve">
5/19 上环保标/警语贴纸 2444pcs
     上袋子警语贴纸 2444pcs</t>
        </r>
      </text>
    </comment>
    <comment ref="AA94" authorId="0">
      <text>
        <r>
          <rPr>
            <b/>
            <sz val="9"/>
            <rFont val="宋体"/>
            <charset val="134"/>
          </rPr>
          <t>Administrator:</t>
        </r>
        <r>
          <rPr>
            <sz val="9"/>
            <rFont val="宋体"/>
            <charset val="134"/>
          </rPr>
          <t xml:space="preserve">
2002150 6/16 504pcs 已走货</t>
        </r>
      </text>
    </comment>
    <comment ref="AC94" authorId="0">
      <text>
        <r>
          <rPr>
            <b/>
            <sz val="9"/>
            <rFont val="宋体"/>
            <charset val="134"/>
          </rPr>
          <t>Administrator:</t>
        </r>
        <r>
          <rPr>
            <sz val="9"/>
            <rFont val="宋体"/>
            <charset val="134"/>
          </rPr>
          <t xml:space="preserve">
5/23 上空白贴纸 3696pcs
158581/164250/164939共用
6/17 上空白贴纸 4704pcs
158581/164250/164939共用</t>
        </r>
      </text>
    </comment>
    <comment ref="AA95" authorId="0">
      <text>
        <r>
          <rPr>
            <b/>
            <sz val="9"/>
            <rFont val="宋体"/>
            <charset val="134"/>
          </rPr>
          <t>Administrator:</t>
        </r>
        <r>
          <rPr>
            <sz val="9"/>
            <rFont val="宋体"/>
            <charset val="134"/>
          </rPr>
          <t xml:space="preserve">
2002105 6/17 7236pcs 华兴三A23</t>
        </r>
      </text>
    </comment>
    <comment ref="AC95" authorId="0">
      <text>
        <r>
          <rPr>
            <b/>
            <sz val="9"/>
            <rFont val="宋体"/>
            <charset val="134"/>
          </rPr>
          <t>Administrator:</t>
        </r>
        <r>
          <rPr>
            <sz val="9"/>
            <rFont val="宋体"/>
            <charset val="134"/>
          </rPr>
          <t xml:space="preserve">
5/27 上UPC条码贴纸 7236pcs
     上进口商贴纸 7236pcs</t>
        </r>
      </text>
    </comment>
    <comment ref="AA96" authorId="0">
      <text>
        <r>
          <rPr>
            <b/>
            <sz val="9"/>
            <rFont val="宋体"/>
            <charset val="134"/>
          </rPr>
          <t>Administrator:</t>
        </r>
        <r>
          <rPr>
            <sz val="9"/>
            <rFont val="宋体"/>
            <charset val="134"/>
          </rPr>
          <t xml:space="preserve">
2002105 6/17 540pcs 华兴三A27</t>
        </r>
      </text>
    </comment>
    <comment ref="AC96" authorId="0">
      <text>
        <r>
          <rPr>
            <b/>
            <sz val="9"/>
            <rFont val="宋体"/>
            <charset val="134"/>
          </rPr>
          <t>Administrator:</t>
        </r>
        <r>
          <rPr>
            <sz val="9"/>
            <rFont val="宋体"/>
            <charset val="134"/>
          </rPr>
          <t xml:space="preserve">
5/26 上UPC贴纸 540pcs
     上进口商贴纸 540pcs</t>
        </r>
      </text>
    </comment>
    <comment ref="AA97" authorId="0">
      <text>
        <r>
          <rPr>
            <b/>
            <sz val="9"/>
            <rFont val="宋体"/>
            <charset val="134"/>
          </rPr>
          <t>Administrator:</t>
        </r>
        <r>
          <rPr>
            <sz val="9"/>
            <rFont val="宋体"/>
            <charset val="134"/>
          </rPr>
          <t xml:space="preserve">
2002131 6/18 1152pcs 华兴三B5</t>
        </r>
      </text>
    </comment>
    <comment ref="AC97" authorId="0">
      <text>
        <r>
          <rPr>
            <b/>
            <sz val="9"/>
            <rFont val="宋体"/>
            <charset val="134"/>
          </rPr>
          <t>Administrator:</t>
        </r>
        <r>
          <rPr>
            <sz val="9"/>
            <rFont val="宋体"/>
            <charset val="134"/>
          </rPr>
          <t xml:space="preserve">
5/12 上客供RFID贴纸 1152pcs</t>
        </r>
      </text>
    </comment>
    <comment ref="AA98" authorId="0">
      <text>
        <r>
          <rPr>
            <b/>
            <sz val="9"/>
            <rFont val="宋体"/>
            <charset val="134"/>
          </rPr>
          <t>Administrator:</t>
        </r>
        <r>
          <rPr>
            <sz val="9"/>
            <rFont val="宋体"/>
            <charset val="134"/>
          </rPr>
          <t xml:space="preserve">
2002131 6/18 1116pcs 华兴三B5
2002071 6/20  36pcs  华兴三B5</t>
        </r>
      </text>
    </comment>
    <comment ref="AC98" authorId="0">
      <text>
        <r>
          <rPr>
            <b/>
            <sz val="9"/>
            <rFont val="宋体"/>
            <charset val="134"/>
          </rPr>
          <t>Administrator:</t>
        </r>
        <r>
          <rPr>
            <sz val="9"/>
            <rFont val="宋体"/>
            <charset val="134"/>
          </rPr>
          <t xml:space="preserve">
5/12 上客供RFID贴纸 1152pcs</t>
        </r>
      </text>
    </comment>
    <comment ref="AA99" authorId="0">
      <text>
        <r>
          <rPr>
            <b/>
            <sz val="9"/>
            <rFont val="宋体"/>
            <charset val="134"/>
          </rPr>
          <t>Administrator:</t>
        </r>
        <r>
          <rPr>
            <sz val="9"/>
            <rFont val="宋体"/>
            <charset val="134"/>
          </rPr>
          <t xml:space="preserve">
2002131 6/18 1140pcs 华兴三B5
2002071 6/20   12pcs 华兴三B5</t>
        </r>
      </text>
    </comment>
    <comment ref="AC99" authorId="0">
      <text>
        <r>
          <rPr>
            <b/>
            <sz val="9"/>
            <rFont val="宋体"/>
            <charset val="134"/>
          </rPr>
          <t>Administrator:</t>
        </r>
        <r>
          <rPr>
            <sz val="9"/>
            <rFont val="宋体"/>
            <charset val="134"/>
          </rPr>
          <t xml:space="preserve">
5/12 上客供RFID贴纸 1152pcs</t>
        </r>
      </text>
    </comment>
    <comment ref="AA100" authorId="0">
      <text>
        <r>
          <rPr>
            <b/>
            <sz val="9"/>
            <rFont val="宋体"/>
            <charset val="134"/>
          </rPr>
          <t>Administrator:</t>
        </r>
        <r>
          <rPr>
            <sz val="9"/>
            <rFont val="宋体"/>
            <charset val="134"/>
          </rPr>
          <t xml:space="preserve">
2002131 6/18 624pcs 华兴三B14</t>
        </r>
      </text>
    </comment>
    <comment ref="AC100" authorId="0">
      <text>
        <r>
          <rPr>
            <b/>
            <sz val="12"/>
            <rFont val="宋体"/>
            <charset val="134"/>
          </rPr>
          <t>Administrator:</t>
        </r>
        <r>
          <rPr>
            <sz val="12"/>
            <rFont val="宋体"/>
            <charset val="134"/>
          </rPr>
          <t xml:space="preserve">
5/17 上进口商贴纸 624pcs</t>
        </r>
      </text>
    </comment>
    <comment ref="AA101" authorId="0">
      <text>
        <r>
          <rPr>
            <b/>
            <sz val="9"/>
            <rFont val="宋体"/>
            <charset val="134"/>
          </rPr>
          <t>Administrator:</t>
        </r>
        <r>
          <rPr>
            <sz val="9"/>
            <rFont val="宋体"/>
            <charset val="134"/>
          </rPr>
          <t xml:space="preserve">
2002145 6/19 5980pcs 华兴三A21</t>
        </r>
      </text>
    </comment>
    <comment ref="AA102" authorId="0">
      <text>
        <r>
          <rPr>
            <b/>
            <sz val="9"/>
            <rFont val="宋体"/>
            <charset val="134"/>
          </rPr>
          <t>Administrator:</t>
        </r>
        <r>
          <rPr>
            <sz val="9"/>
            <rFont val="宋体"/>
            <charset val="134"/>
          </rPr>
          <t xml:space="preserve">
2002140 6/19 3744pcs 华兴三A20
2002145 6/19 2444pcs 华兴三A20
2002051 6/21 1768pcs 华兴三A20</t>
        </r>
      </text>
    </comment>
    <comment ref="AA103" authorId="0">
      <text>
        <r>
          <rPr>
            <b/>
            <sz val="9"/>
            <rFont val="宋体"/>
            <charset val="134"/>
          </rPr>
          <t>Administrator:</t>
        </r>
        <r>
          <rPr>
            <sz val="9"/>
            <rFont val="宋体"/>
            <charset val="134"/>
          </rPr>
          <t xml:space="preserve">
2000844 6/20 1440pcs 华兴三A27
</t>
        </r>
      </text>
    </comment>
    <comment ref="AC103" authorId="0">
      <text>
        <r>
          <rPr>
            <b/>
            <sz val="9"/>
            <rFont val="宋体"/>
            <charset val="134"/>
          </rPr>
          <t>Administrator:</t>
        </r>
        <r>
          <rPr>
            <sz val="9"/>
            <rFont val="宋体"/>
            <charset val="134"/>
          </rPr>
          <t xml:space="preserve">
6/3 上价格贴纸 1512pcs
5/29 上德语警告语贴纸 1440pcs</t>
        </r>
      </text>
    </comment>
    <comment ref="AA104" authorId="0">
      <text>
        <r>
          <rPr>
            <b/>
            <sz val="9"/>
            <rFont val="宋体"/>
            <charset val="134"/>
          </rPr>
          <t>Administrator:</t>
        </r>
        <r>
          <rPr>
            <sz val="9"/>
            <rFont val="宋体"/>
            <charset val="134"/>
          </rPr>
          <t xml:space="preserve">
2000844 6/20 1287pcs 华兴三B14</t>
        </r>
      </text>
    </comment>
    <comment ref="AC104" authorId="0">
      <text>
        <r>
          <rPr>
            <b/>
            <sz val="9"/>
            <rFont val="宋体"/>
            <charset val="134"/>
          </rPr>
          <t>Administrator:</t>
        </r>
        <r>
          <rPr>
            <sz val="9"/>
            <rFont val="宋体"/>
            <charset val="134"/>
          </rPr>
          <t xml:space="preserve">
5/30 上UPC贴纸 1287pcs</t>
        </r>
      </text>
    </comment>
    <comment ref="AA105" authorId="0">
      <text>
        <r>
          <rPr>
            <b/>
            <sz val="9"/>
            <rFont val="宋体"/>
            <charset val="134"/>
          </rPr>
          <t>Administrator:</t>
        </r>
        <r>
          <rPr>
            <sz val="9"/>
            <rFont val="宋体"/>
            <charset val="134"/>
          </rPr>
          <t xml:space="preserve">
2002190 6/19 648pcs 华兴三B9</t>
        </r>
      </text>
    </comment>
    <comment ref="AC105" authorId="0">
      <text>
        <r>
          <rPr>
            <b/>
            <sz val="9"/>
            <rFont val="宋体"/>
            <charset val="134"/>
          </rPr>
          <t>Administrator:</t>
        </r>
        <r>
          <rPr>
            <sz val="9"/>
            <rFont val="宋体"/>
            <charset val="134"/>
          </rPr>
          <t xml:space="preserve">
6/10 上进口商贴纸 648pcs
     上UPC贴纸 648pcs
6/17 上进口商贴纸 648pcs
     上UPC贴纸 648pcs 生产返工补数</t>
        </r>
      </text>
    </comment>
    <comment ref="AA106" authorId="0">
      <text>
        <r>
          <rPr>
            <b/>
            <sz val="12"/>
            <rFont val="宋体"/>
            <charset val="134"/>
          </rPr>
          <t>Administrator:</t>
        </r>
        <r>
          <rPr>
            <sz val="12"/>
            <rFont val="宋体"/>
            <charset val="134"/>
          </rPr>
          <t xml:space="preserve">
3001870 6/24 2509pcs 已走货</t>
        </r>
      </text>
    </comment>
    <comment ref="AC106" authorId="0">
      <text>
        <r>
          <rPr>
            <b/>
            <sz val="9"/>
            <rFont val="宋体"/>
            <charset val="134"/>
          </rPr>
          <t>Administrator:</t>
        </r>
        <r>
          <rPr>
            <sz val="9"/>
            <rFont val="宋体"/>
            <charset val="134"/>
          </rPr>
          <t xml:space="preserve">
5/29 上8+贴纸 6539pcs
6/21 上8+贴纸 6539pcs 生产补数</t>
        </r>
      </text>
    </comment>
    <comment ref="AA107" authorId="0">
      <text>
        <r>
          <rPr>
            <b/>
            <sz val="12"/>
            <rFont val="宋体"/>
            <charset val="134"/>
          </rPr>
          <t>Administrator:</t>
        </r>
        <r>
          <rPr>
            <sz val="12"/>
            <rFont val="宋体"/>
            <charset val="134"/>
          </rPr>
          <t xml:space="preserve">
3001870 6/24 130pcs 已走货</t>
        </r>
      </text>
    </comment>
    <comment ref="AC107" authorId="0">
      <text>
        <r>
          <rPr>
            <b/>
            <sz val="9"/>
            <rFont val="宋体"/>
            <charset val="134"/>
          </rPr>
          <t>Administrator:</t>
        </r>
        <r>
          <rPr>
            <sz val="9"/>
            <rFont val="宋体"/>
            <charset val="134"/>
          </rPr>
          <t xml:space="preserve">
5/29 上8+贴纸 6539pcs
6/21 上8+贴纸 6539pcs 生产补数</t>
        </r>
      </text>
    </comment>
    <comment ref="AA108" authorId="0">
      <text>
        <r>
          <rPr>
            <b/>
            <sz val="12"/>
            <rFont val="宋体"/>
            <charset val="134"/>
          </rPr>
          <t>Administrator:</t>
        </r>
        <r>
          <rPr>
            <sz val="12"/>
            <rFont val="宋体"/>
            <charset val="134"/>
          </rPr>
          <t xml:space="preserve">
3001870 6/24 2535pcs 已走货
3001800 6/25   65pcs 已走货</t>
        </r>
      </text>
    </comment>
    <comment ref="AC108" authorId="0">
      <text>
        <r>
          <rPr>
            <b/>
            <sz val="9"/>
            <rFont val="宋体"/>
            <charset val="134"/>
          </rPr>
          <t>Administrator:</t>
        </r>
        <r>
          <rPr>
            <sz val="9"/>
            <rFont val="宋体"/>
            <charset val="134"/>
          </rPr>
          <t xml:space="preserve">
5/29 上8+贴纸 6539pcs
6/21 上8+贴纸 6539pcs 生产补数</t>
        </r>
      </text>
    </comment>
    <comment ref="AA109" authorId="0">
      <text>
        <r>
          <rPr>
            <b/>
            <sz val="12"/>
            <rFont val="宋体"/>
            <charset val="134"/>
          </rPr>
          <t>Administrator:</t>
        </r>
        <r>
          <rPr>
            <sz val="12"/>
            <rFont val="宋体"/>
            <charset val="134"/>
          </rPr>
          <t xml:space="preserve">
3001870 6/24 1300pcs 已走货</t>
        </r>
      </text>
    </comment>
    <comment ref="AC109" authorId="0">
      <text>
        <r>
          <rPr>
            <b/>
            <sz val="9"/>
            <rFont val="宋体"/>
            <charset val="134"/>
          </rPr>
          <t>Administrator:</t>
        </r>
        <r>
          <rPr>
            <sz val="9"/>
            <rFont val="宋体"/>
            <charset val="134"/>
          </rPr>
          <t xml:space="preserve">
5/29 上8+贴纸 6539pcs
6/21 上8+贴纸 6539pcs 生产补数</t>
        </r>
      </text>
    </comment>
    <comment ref="AA110" authorId="0">
      <text>
        <r>
          <rPr>
            <b/>
            <sz val="9"/>
            <rFont val="宋体"/>
            <charset val="134"/>
          </rPr>
          <t>Administrator:</t>
        </r>
        <r>
          <rPr>
            <sz val="9"/>
            <rFont val="宋体"/>
            <charset val="134"/>
          </rPr>
          <t xml:space="preserve">
2001982 6/23 4160pcs 新仓库一B10</t>
        </r>
      </text>
    </comment>
    <comment ref="AA111" authorId="0">
      <text>
        <r>
          <rPr>
            <b/>
            <sz val="9"/>
            <rFont val="宋体"/>
            <charset val="134"/>
          </rPr>
          <t>Administrator:</t>
        </r>
        <r>
          <rPr>
            <sz val="9"/>
            <rFont val="宋体"/>
            <charset val="134"/>
          </rPr>
          <t xml:space="preserve">
2001689 6/23 1040pcs 新仓库一B10</t>
        </r>
      </text>
    </comment>
    <comment ref="AA112" authorId="0">
      <text>
        <r>
          <rPr>
            <b/>
            <sz val="9"/>
            <rFont val="宋体"/>
            <charset val="134"/>
          </rPr>
          <t>Administrator:</t>
        </r>
        <r>
          <rPr>
            <sz val="9"/>
            <rFont val="宋体"/>
            <charset val="134"/>
          </rPr>
          <t xml:space="preserve">
2001684 6/23 611pcs 新仓库一C1</t>
        </r>
      </text>
    </comment>
    <comment ref="AA113" authorId="0">
      <text>
        <r>
          <rPr>
            <b/>
            <sz val="9"/>
            <rFont val="宋体"/>
            <charset val="134"/>
          </rPr>
          <t>Administrator:</t>
        </r>
        <r>
          <rPr>
            <sz val="9"/>
            <rFont val="宋体"/>
            <charset val="134"/>
          </rPr>
          <t xml:space="preserve">
2001666 6/24 403pcs 华兴三B14</t>
        </r>
      </text>
    </comment>
    <comment ref="AA114" authorId="0">
      <text>
        <r>
          <rPr>
            <b/>
            <sz val="9"/>
            <rFont val="宋体"/>
            <charset val="134"/>
          </rPr>
          <t>Administrator:</t>
        </r>
        <r>
          <rPr>
            <sz val="9"/>
            <rFont val="宋体"/>
            <charset val="134"/>
          </rPr>
          <t xml:space="preserve">
2001652 6/25 540pcs 新仓库一B9
</t>
        </r>
      </text>
    </comment>
    <comment ref="AC114" authorId="0">
      <text>
        <r>
          <rPr>
            <b/>
            <sz val="9"/>
            <rFont val="宋体"/>
            <charset val="134"/>
          </rPr>
          <t>Administrator:</t>
        </r>
        <r>
          <rPr>
            <sz val="9"/>
            <rFont val="宋体"/>
            <charset val="134"/>
          </rPr>
          <t xml:space="preserve">
6/13 上UPC贴纸 540pcs</t>
        </r>
      </text>
    </comment>
    <comment ref="AA115" authorId="0">
      <text>
        <r>
          <rPr>
            <b/>
            <sz val="12"/>
            <rFont val="宋体"/>
            <charset val="134"/>
          </rPr>
          <t>Administrator:</t>
        </r>
        <r>
          <rPr>
            <sz val="12"/>
            <rFont val="宋体"/>
            <charset val="134"/>
          </rPr>
          <t xml:space="preserve">
2001642 6/27 1800pcs 华兴三B16</t>
        </r>
      </text>
    </comment>
    <comment ref="AA116" authorId="0">
      <text>
        <r>
          <rPr>
            <b/>
            <sz val="9"/>
            <rFont val="宋体"/>
            <charset val="134"/>
          </rPr>
          <t>Administrator:</t>
        </r>
        <r>
          <rPr>
            <sz val="9"/>
            <rFont val="宋体"/>
            <charset val="134"/>
          </rPr>
          <t xml:space="preserve">
2001682 6/23 10309pcs 莫海军B栋4楼A3区</t>
        </r>
      </text>
    </comment>
    <comment ref="AA117" authorId="0">
      <text>
        <r>
          <rPr>
            <b/>
            <sz val="12"/>
            <rFont val="宋体"/>
            <charset val="134"/>
          </rPr>
          <t>Administrator:</t>
        </r>
        <r>
          <rPr>
            <sz val="12"/>
            <rFont val="宋体"/>
            <charset val="134"/>
          </rPr>
          <t xml:space="preserve">
2001642 6/27 6642pcs 华兴三A21</t>
        </r>
      </text>
    </comment>
    <comment ref="AC117" authorId="0">
      <text>
        <r>
          <rPr>
            <b/>
            <sz val="9"/>
            <rFont val="宋体"/>
            <charset val="134"/>
          </rPr>
          <t>Administrator:</t>
        </r>
        <r>
          <rPr>
            <sz val="9"/>
            <rFont val="宋体"/>
            <charset val="134"/>
          </rPr>
          <t xml:space="preserve">
6/13 上进口商贴纸（含客户条码） 6642pcs
6/25 上进口商贴纸 100pcs-生产损耗补数</t>
        </r>
      </text>
    </comment>
    <comment ref="AA118" authorId="0">
      <text>
        <r>
          <rPr>
            <b/>
            <sz val="9"/>
            <rFont val="宋体"/>
            <charset val="134"/>
          </rPr>
          <t>Administrator:</t>
        </r>
        <r>
          <rPr>
            <sz val="9"/>
            <rFont val="宋体"/>
            <charset val="134"/>
          </rPr>
          <t xml:space="preserve">
2001666 6/24 52pcs 华兴三B14
</t>
        </r>
      </text>
    </comment>
    <comment ref="AA119" authorId="0">
      <text>
        <r>
          <rPr>
            <b/>
            <sz val="9"/>
            <rFont val="宋体"/>
            <charset val="134"/>
          </rPr>
          <t>Administrator:</t>
        </r>
        <r>
          <rPr>
            <sz val="9"/>
            <rFont val="宋体"/>
            <charset val="134"/>
          </rPr>
          <t xml:space="preserve">
2001666 6/24 325pcs 华兴三B14
</t>
        </r>
      </text>
    </comment>
    <comment ref="AA120" authorId="0">
      <text>
        <r>
          <rPr>
            <b/>
            <sz val="9"/>
            <rFont val="宋体"/>
            <charset val="134"/>
          </rPr>
          <t>Administrator:</t>
        </r>
        <r>
          <rPr>
            <sz val="9"/>
            <rFont val="宋体"/>
            <charset val="134"/>
          </rPr>
          <t xml:space="preserve">
2001666 6/24 273pcs 华兴三B14
</t>
        </r>
      </text>
    </comment>
    <comment ref="AA121" authorId="0">
      <text>
        <r>
          <rPr>
            <b/>
            <sz val="9"/>
            <rFont val="宋体"/>
            <charset val="134"/>
          </rPr>
          <t>Administrator:</t>
        </r>
        <r>
          <rPr>
            <sz val="9"/>
            <rFont val="宋体"/>
            <charset val="134"/>
          </rPr>
          <t xml:space="preserve">
2001666 6/24 182pcs 华兴三B14
</t>
        </r>
      </text>
    </comment>
    <comment ref="AA122" authorId="0">
      <text>
        <r>
          <rPr>
            <b/>
            <sz val="9"/>
            <rFont val="宋体"/>
            <charset val="134"/>
          </rPr>
          <t>Administrator:</t>
        </r>
        <r>
          <rPr>
            <sz val="9"/>
            <rFont val="宋体"/>
            <charset val="134"/>
          </rPr>
          <t xml:space="preserve">
2001652 6/25 4023pcs 新仓库一B9</t>
        </r>
      </text>
    </comment>
    <comment ref="AC122" authorId="0">
      <text>
        <r>
          <rPr>
            <b/>
            <sz val="9"/>
            <rFont val="宋体"/>
            <charset val="134"/>
          </rPr>
          <t>Administrator:</t>
        </r>
        <r>
          <rPr>
            <sz val="9"/>
            <rFont val="宋体"/>
            <charset val="134"/>
          </rPr>
          <t xml:space="preserve">
5/30 上slime bag荷兰语警语贴纸 4023pcs
     上德意荷警语贴纸 4023pcs</t>
        </r>
      </text>
    </comment>
    <comment ref="AA123" authorId="0">
      <text>
        <r>
          <rPr>
            <b/>
            <sz val="9"/>
            <rFont val="宋体"/>
            <charset val="134"/>
          </rPr>
          <t>Administrator:</t>
        </r>
        <r>
          <rPr>
            <sz val="9"/>
            <rFont val="宋体"/>
            <charset val="134"/>
          </rPr>
          <t xml:space="preserve">
2001652 6/25 324pcs 新仓库一B9</t>
        </r>
      </text>
    </comment>
    <comment ref="AA124" authorId="0">
      <text>
        <r>
          <rPr>
            <b/>
            <sz val="9"/>
            <rFont val="宋体"/>
            <charset val="134"/>
          </rPr>
          <t>Administrator:</t>
        </r>
        <r>
          <rPr>
            <sz val="9"/>
            <rFont val="宋体"/>
            <charset val="134"/>
          </rPr>
          <t xml:space="preserve">
3001754 6/27 1326pcs 华兴三B8</t>
        </r>
      </text>
    </comment>
    <comment ref="AC124" authorId="0">
      <text>
        <r>
          <rPr>
            <b/>
            <sz val="9"/>
            <rFont val="宋体"/>
            <charset val="134"/>
          </rPr>
          <t>Administrator:</t>
        </r>
        <r>
          <rPr>
            <sz val="9"/>
            <rFont val="宋体"/>
            <charset val="134"/>
          </rPr>
          <t xml:space="preserve">
5/30 上进口商贴纸 1326pcs
6/10 上UPC贴纸 1326pcs</t>
        </r>
      </text>
    </comment>
    <comment ref="AA125" authorId="0">
      <text>
        <r>
          <rPr>
            <b/>
            <sz val="9"/>
            <rFont val="宋体"/>
            <charset val="134"/>
          </rPr>
          <t>Administrator:</t>
        </r>
        <r>
          <rPr>
            <sz val="9"/>
            <rFont val="宋体"/>
            <charset val="134"/>
          </rPr>
          <t xml:space="preserve">
2001657 6/25 520pcs 新仓库一B10
</t>
        </r>
      </text>
    </comment>
    <comment ref="AC125" authorId="0">
      <text>
        <r>
          <rPr>
            <b/>
            <sz val="9"/>
            <rFont val="宋体"/>
            <charset val="134"/>
          </rPr>
          <t>Administrator:</t>
        </r>
        <r>
          <rPr>
            <sz val="9"/>
            <rFont val="宋体"/>
            <charset val="134"/>
          </rPr>
          <t xml:space="preserve">
6/13 上1张SNI label 贴 520pcs</t>
        </r>
      </text>
    </comment>
    <comment ref="AA126" authorId="0">
      <text>
        <r>
          <rPr>
            <b/>
            <sz val="9"/>
            <rFont val="宋体"/>
            <charset val="134"/>
          </rPr>
          <t>Administrator:</t>
        </r>
        <r>
          <rPr>
            <sz val="9"/>
            <rFont val="宋体"/>
            <charset val="134"/>
          </rPr>
          <t xml:space="preserve">
3001370 6/28 2700pcs 华兴三B15</t>
        </r>
      </text>
    </comment>
    <comment ref="AA127" authorId="0">
      <text>
        <r>
          <rPr>
            <b/>
            <sz val="9"/>
            <rFont val="宋体"/>
            <charset val="134"/>
          </rPr>
          <t>Administrator:</t>
        </r>
        <r>
          <rPr>
            <sz val="9"/>
            <rFont val="宋体"/>
            <charset val="134"/>
          </rPr>
          <t xml:space="preserve">
3001747 6/28  9720pcs 已走货
3001370 6/28 11475pcs 已走货</t>
        </r>
      </text>
    </comment>
    <comment ref="AC127" authorId="0">
      <text>
        <r>
          <rPr>
            <b/>
            <sz val="12"/>
            <rFont val="宋体"/>
            <charset val="134"/>
          </rPr>
          <t>Administrator:</t>
        </r>
        <r>
          <rPr>
            <sz val="12"/>
            <rFont val="宋体"/>
            <charset val="134"/>
          </rPr>
          <t xml:space="preserve">
6/13 上进口商贴纸 78840pcs
     上UPC贴纸 39420pcs</t>
        </r>
      </text>
    </comment>
    <comment ref="AA128" authorId="0">
      <text>
        <r>
          <rPr>
            <b/>
            <sz val="9"/>
            <rFont val="宋体"/>
            <charset val="134"/>
          </rPr>
          <t>Administrator:</t>
        </r>
        <r>
          <rPr>
            <sz val="9"/>
            <rFont val="宋体"/>
            <charset val="134"/>
          </rPr>
          <t xml:space="preserve">
3001370 6/28 18225pcs 已走货</t>
        </r>
      </text>
    </comment>
    <comment ref="AA129" authorId="0">
      <text>
        <r>
          <rPr>
            <b/>
            <sz val="9"/>
            <rFont val="宋体"/>
            <charset val="134"/>
          </rPr>
          <t>Administrator:</t>
        </r>
        <r>
          <rPr>
            <sz val="9"/>
            <rFont val="宋体"/>
            <charset val="134"/>
          </rPr>
          <t xml:space="preserve">
3001917 7/3 520pcs 华兴三B8</t>
        </r>
      </text>
    </comment>
    <comment ref="AC129" authorId="0">
      <text>
        <r>
          <rPr>
            <b/>
            <sz val="9"/>
            <rFont val="宋体"/>
            <charset val="134"/>
          </rPr>
          <t>Administrator:</t>
        </r>
        <r>
          <rPr>
            <sz val="9"/>
            <rFont val="宋体"/>
            <charset val="134"/>
          </rPr>
          <t xml:space="preserve">
6/10 上进口商贴纸 1508pcs</t>
        </r>
      </text>
    </comment>
    <comment ref="AA130" authorId="0">
      <text>
        <r>
          <rPr>
            <b/>
            <sz val="9"/>
            <rFont val="宋体"/>
            <charset val="134"/>
          </rPr>
          <t>Administrator:</t>
        </r>
        <r>
          <rPr>
            <sz val="9"/>
            <rFont val="宋体"/>
            <charset val="134"/>
          </rPr>
          <t xml:space="preserve">
3001917 7/3 468pcs 华兴三A14</t>
        </r>
      </text>
    </comment>
    <comment ref="AA131" authorId="0">
      <text>
        <r>
          <rPr>
            <b/>
            <sz val="9"/>
            <rFont val="宋体"/>
            <charset val="134"/>
          </rPr>
          <t>Administrator:</t>
        </r>
        <r>
          <rPr>
            <sz val="9"/>
            <rFont val="宋体"/>
            <charset val="134"/>
          </rPr>
          <t xml:space="preserve">
3001917 7/3 364pcs 华兴三A14</t>
        </r>
      </text>
    </comment>
    <comment ref="AA132" authorId="0">
      <text>
        <r>
          <rPr>
            <b/>
            <sz val="9"/>
            <rFont val="宋体"/>
            <charset val="134"/>
          </rPr>
          <t>Administrator:</t>
        </r>
        <r>
          <rPr>
            <sz val="9"/>
            <rFont val="宋体"/>
            <charset val="134"/>
          </rPr>
          <t xml:space="preserve">
3001917 7/3 156pcs 华兴三A8</t>
        </r>
      </text>
    </comment>
    <comment ref="AA133" authorId="0">
      <text>
        <r>
          <rPr>
            <b/>
            <sz val="12"/>
            <rFont val="宋体"/>
            <charset val="134"/>
          </rPr>
          <t>Administrator:</t>
        </r>
        <r>
          <rPr>
            <sz val="12"/>
            <rFont val="宋体"/>
            <charset val="134"/>
          </rPr>
          <t xml:space="preserve">
3001982 7/2 1152pcs 华兴三B5</t>
        </r>
      </text>
    </comment>
    <comment ref="AC133" authorId="0">
      <text>
        <r>
          <rPr>
            <b/>
            <sz val="9"/>
            <rFont val="宋体"/>
            <charset val="134"/>
          </rPr>
          <t>Administrator:</t>
        </r>
        <r>
          <rPr>
            <sz val="9"/>
            <rFont val="宋体"/>
            <charset val="134"/>
          </rPr>
          <t xml:space="preserve">
5/26 上客供RFID贴纸 1152pcs</t>
        </r>
      </text>
    </comment>
    <comment ref="AA134" authorId="0">
      <text>
        <r>
          <rPr>
            <b/>
            <sz val="12"/>
            <rFont val="宋体"/>
            <charset val="134"/>
          </rPr>
          <t>Administrator:</t>
        </r>
        <r>
          <rPr>
            <sz val="12"/>
            <rFont val="宋体"/>
            <charset val="134"/>
          </rPr>
          <t xml:space="preserve">
3001982 7/2 1152pcs 华兴三B5</t>
        </r>
      </text>
    </comment>
    <comment ref="AC134" authorId="0">
      <text>
        <r>
          <rPr>
            <b/>
            <sz val="9"/>
            <rFont val="宋体"/>
            <charset val="134"/>
          </rPr>
          <t>Administrator:</t>
        </r>
        <r>
          <rPr>
            <sz val="9"/>
            <rFont val="宋体"/>
            <charset val="134"/>
          </rPr>
          <t xml:space="preserve">
5/26 上客供RFID贴纸 1152pcs</t>
        </r>
      </text>
    </comment>
    <comment ref="AA135" authorId="0">
      <text>
        <r>
          <rPr>
            <b/>
            <sz val="12"/>
            <rFont val="宋体"/>
            <charset val="134"/>
          </rPr>
          <t>Administrator:</t>
        </r>
        <r>
          <rPr>
            <sz val="12"/>
            <rFont val="宋体"/>
            <charset val="134"/>
          </rPr>
          <t xml:space="preserve">
3001982 7/2 572pcs 已走货
</t>
        </r>
      </text>
    </comment>
    <comment ref="AA136" authorId="0">
      <text>
        <r>
          <rPr>
            <b/>
            <sz val="9"/>
            <rFont val="宋体"/>
            <charset val="134"/>
          </rPr>
          <t>Administrator:</t>
        </r>
        <r>
          <rPr>
            <sz val="9"/>
            <rFont val="宋体"/>
            <charset val="134"/>
          </rPr>
          <t xml:space="preserve">
3001970 7/1 936pcs 华兴三B13</t>
        </r>
      </text>
    </comment>
    <comment ref="AA137" authorId="0">
      <text>
        <r>
          <rPr>
            <b/>
            <sz val="9"/>
            <rFont val="宋体"/>
            <charset val="134"/>
          </rPr>
          <t>Administrator:</t>
        </r>
        <r>
          <rPr>
            <sz val="9"/>
            <rFont val="宋体"/>
            <charset val="134"/>
          </rPr>
          <t xml:space="preserve">
3001919 7/3 504pcs 华兴三B3</t>
        </r>
      </text>
    </comment>
    <comment ref="AC137" authorId="0">
      <text>
        <r>
          <rPr>
            <b/>
            <sz val="9"/>
            <rFont val="宋体"/>
            <charset val="134"/>
          </rPr>
          <t>Administrator:</t>
        </r>
        <r>
          <rPr>
            <sz val="9"/>
            <rFont val="宋体"/>
            <charset val="134"/>
          </rPr>
          <t xml:space="preserve">
6/10 上亚马逊外箱贴纸 42pcs
6/14 上空白贴纸 3024pcs</t>
        </r>
      </text>
    </comment>
    <comment ref="AA138" authorId="0">
      <text>
        <r>
          <rPr>
            <b/>
            <sz val="9"/>
            <rFont val="宋体"/>
            <charset val="134"/>
          </rPr>
          <t>Administrator:</t>
        </r>
        <r>
          <rPr>
            <sz val="9"/>
            <rFont val="宋体"/>
            <charset val="134"/>
          </rPr>
          <t xml:space="preserve">
3001919 7/3 504pcs 华兴三B3</t>
        </r>
      </text>
    </comment>
    <comment ref="AC138" authorId="0">
      <text>
        <r>
          <rPr>
            <b/>
            <sz val="9"/>
            <rFont val="宋体"/>
            <charset val="134"/>
          </rPr>
          <t>Administrator:</t>
        </r>
        <r>
          <rPr>
            <sz val="9"/>
            <rFont val="宋体"/>
            <charset val="134"/>
          </rPr>
          <t xml:space="preserve">
6/10 上亚马逊外箱贴纸 42pcs
6/14 上空白贴纸 3024pcs</t>
        </r>
      </text>
    </comment>
    <comment ref="AA139" authorId="0">
      <text>
        <r>
          <rPr>
            <b/>
            <sz val="9"/>
            <rFont val="宋体"/>
            <charset val="134"/>
          </rPr>
          <t>Administrator:</t>
        </r>
        <r>
          <rPr>
            <sz val="9"/>
            <rFont val="宋体"/>
            <charset val="134"/>
          </rPr>
          <t xml:space="preserve">
3001919 7/3 504pcs 华兴三B3</t>
        </r>
      </text>
    </comment>
    <comment ref="AC139" authorId="0">
      <text>
        <r>
          <rPr>
            <b/>
            <sz val="9"/>
            <rFont val="宋体"/>
            <charset val="134"/>
          </rPr>
          <t>Administrator:</t>
        </r>
        <r>
          <rPr>
            <sz val="9"/>
            <rFont val="宋体"/>
            <charset val="134"/>
          </rPr>
          <t xml:space="preserve">
6/10 上亚马逊外箱贴纸 42pcs
6/14 上空白贴纸 3024pcs</t>
        </r>
      </text>
    </comment>
    <comment ref="AA140" authorId="0">
      <text>
        <r>
          <rPr>
            <b/>
            <sz val="9"/>
            <rFont val="宋体"/>
            <charset val="134"/>
          </rPr>
          <t>Administrator:</t>
        </r>
        <r>
          <rPr>
            <sz val="9"/>
            <rFont val="宋体"/>
            <charset val="134"/>
          </rPr>
          <t xml:space="preserve">
3001918 7/3 96pcs 华兴三B7</t>
        </r>
      </text>
    </comment>
    <comment ref="AC140" authorId="0">
      <text>
        <r>
          <rPr>
            <b/>
            <sz val="9"/>
            <rFont val="宋体"/>
            <charset val="134"/>
          </rPr>
          <t>Administrator:</t>
        </r>
        <r>
          <rPr>
            <sz val="9"/>
            <rFont val="宋体"/>
            <charset val="134"/>
          </rPr>
          <t xml:space="preserve">
6/18 上客供RFID贴纸 96pcs</t>
        </r>
      </text>
    </comment>
    <comment ref="AA141" authorId="0">
      <text>
        <r>
          <rPr>
            <b/>
            <sz val="9"/>
            <rFont val="宋体"/>
            <charset val="134"/>
          </rPr>
          <t>Administrator:</t>
        </r>
        <r>
          <rPr>
            <sz val="9"/>
            <rFont val="宋体"/>
            <charset val="134"/>
          </rPr>
          <t xml:space="preserve">
3001918 7/3 264pcs 华兴三B7
</t>
        </r>
      </text>
    </comment>
    <comment ref="AC141" authorId="0">
      <text>
        <r>
          <rPr>
            <b/>
            <sz val="9"/>
            <rFont val="宋体"/>
            <charset val="134"/>
          </rPr>
          <t>Administrator:</t>
        </r>
        <r>
          <rPr>
            <sz val="9"/>
            <rFont val="宋体"/>
            <charset val="134"/>
          </rPr>
          <t xml:space="preserve">
6/18 上客供RFID贴纸 264pcs</t>
        </r>
      </text>
    </comment>
    <comment ref="AA142" authorId="0">
      <text>
        <r>
          <rPr>
            <b/>
            <sz val="9"/>
            <rFont val="宋体"/>
            <charset val="134"/>
          </rPr>
          <t>Administrator:</t>
        </r>
        <r>
          <rPr>
            <sz val="9"/>
            <rFont val="宋体"/>
            <charset val="134"/>
          </rPr>
          <t xml:space="preserve">
3001918 7/3 84pcs 华兴三B7
</t>
        </r>
      </text>
    </comment>
    <comment ref="AC142" authorId="0">
      <text>
        <r>
          <rPr>
            <b/>
            <sz val="9"/>
            <rFont val="宋体"/>
            <charset val="134"/>
          </rPr>
          <t>Administrator:</t>
        </r>
        <r>
          <rPr>
            <sz val="9"/>
            <rFont val="宋体"/>
            <charset val="134"/>
          </rPr>
          <t xml:space="preserve">
6/18 上客供RFID贴纸 84pcs</t>
        </r>
      </text>
    </comment>
    <comment ref="AA143" authorId="0">
      <text>
        <r>
          <rPr>
            <b/>
            <sz val="9"/>
            <rFont val="宋体"/>
            <charset val="134"/>
          </rPr>
          <t>Administrator:</t>
        </r>
        <r>
          <rPr>
            <sz val="9"/>
            <rFont val="宋体"/>
            <charset val="134"/>
          </rPr>
          <t xml:space="preserve">
3001918 7/3 180pcs 华兴三B7
</t>
        </r>
      </text>
    </comment>
    <comment ref="AC143" authorId="0">
      <text>
        <r>
          <rPr>
            <b/>
            <sz val="9"/>
            <rFont val="宋体"/>
            <charset val="134"/>
          </rPr>
          <t>Administrator:</t>
        </r>
        <r>
          <rPr>
            <sz val="9"/>
            <rFont val="宋体"/>
            <charset val="134"/>
          </rPr>
          <t xml:space="preserve">
6/18 上客供RFID贴纸 180pcs</t>
        </r>
      </text>
    </comment>
    <comment ref="AA144" authorId="0">
      <text>
        <r>
          <rPr>
            <b/>
            <sz val="9"/>
            <rFont val="宋体"/>
            <charset val="134"/>
          </rPr>
          <t>Administrator:</t>
        </r>
        <r>
          <rPr>
            <sz val="9"/>
            <rFont val="宋体"/>
            <charset val="134"/>
          </rPr>
          <t xml:space="preserve">
3001916 7/3 540pcs 华兴三A15</t>
        </r>
      </text>
    </comment>
    <comment ref="AC144" authorId="0">
      <text>
        <r>
          <rPr>
            <b/>
            <sz val="9"/>
            <rFont val="宋体"/>
            <charset val="134"/>
          </rPr>
          <t>Administrator:</t>
        </r>
        <r>
          <rPr>
            <sz val="9"/>
            <rFont val="宋体"/>
            <charset val="134"/>
          </rPr>
          <t xml:space="preserve">
6/18 上UPC贴纸 540pcs</t>
        </r>
      </text>
    </comment>
    <comment ref="AA145" authorId="0">
      <text>
        <r>
          <rPr>
            <b/>
            <sz val="9"/>
            <rFont val="宋体"/>
            <charset val="134"/>
          </rPr>
          <t>Administrator:</t>
        </r>
        <r>
          <rPr>
            <sz val="9"/>
            <rFont val="宋体"/>
            <charset val="134"/>
          </rPr>
          <t xml:space="preserve">
3001916 7/3 1080pcs 华兴三A15</t>
        </r>
      </text>
    </comment>
    <comment ref="AC145" authorId="0">
      <text>
        <r>
          <rPr>
            <b/>
            <sz val="9"/>
            <rFont val="宋体"/>
            <charset val="134"/>
          </rPr>
          <t>Administrator:</t>
        </r>
        <r>
          <rPr>
            <sz val="9"/>
            <rFont val="宋体"/>
            <charset val="134"/>
          </rPr>
          <t xml:space="preserve">
6/21 上进口商贴纸 1080pcs
     上UPC/价标贴纸 1080pcs</t>
        </r>
      </text>
    </comment>
    <comment ref="AA146" authorId="0">
      <text>
        <r>
          <rPr>
            <b/>
            <sz val="9"/>
            <rFont val="宋体"/>
            <charset val="134"/>
          </rPr>
          <t>Administrator:</t>
        </r>
        <r>
          <rPr>
            <sz val="9"/>
            <rFont val="宋体"/>
            <charset val="134"/>
          </rPr>
          <t xml:space="preserve">
3001916 7/3 1152pcs 华兴三A10</t>
        </r>
      </text>
    </comment>
    <comment ref="AC146" authorId="0">
      <text>
        <r>
          <rPr>
            <b/>
            <sz val="9"/>
            <rFont val="宋体"/>
            <charset val="134"/>
          </rPr>
          <t>Administrator:</t>
        </r>
        <r>
          <rPr>
            <sz val="9"/>
            <rFont val="宋体"/>
            <charset val="134"/>
          </rPr>
          <t xml:space="preserve">
5/26 上客供RFID贴纸 1152pcs</t>
        </r>
      </text>
    </comment>
    <comment ref="AA147" authorId="0">
      <text>
        <r>
          <rPr>
            <b/>
            <sz val="9"/>
            <rFont val="宋体"/>
            <charset val="134"/>
          </rPr>
          <t>Administrator:</t>
        </r>
        <r>
          <rPr>
            <sz val="9"/>
            <rFont val="宋体"/>
            <charset val="134"/>
          </rPr>
          <t xml:space="preserve">
3001916 7/3 1152pcs 华兴三A10</t>
        </r>
      </text>
    </comment>
    <comment ref="AC147" authorId="0">
      <text>
        <r>
          <rPr>
            <b/>
            <sz val="9"/>
            <rFont val="宋体"/>
            <charset val="134"/>
          </rPr>
          <t>Administrator:</t>
        </r>
        <r>
          <rPr>
            <sz val="9"/>
            <rFont val="宋体"/>
            <charset val="134"/>
          </rPr>
          <t xml:space="preserve">
5/26 上客供RFID贴纸 1152pcs</t>
        </r>
      </text>
    </comment>
    <comment ref="AA148" authorId="0">
      <text>
        <r>
          <rPr>
            <b/>
            <sz val="9"/>
            <rFont val="宋体"/>
            <charset val="134"/>
          </rPr>
          <t>Administrator:</t>
        </r>
        <r>
          <rPr>
            <sz val="9"/>
            <rFont val="宋体"/>
            <charset val="134"/>
          </rPr>
          <t xml:space="preserve">
3001906 7/4 1040pcs 华兴三B1</t>
        </r>
      </text>
    </comment>
    <comment ref="AC148" authorId="0">
      <text>
        <r>
          <rPr>
            <b/>
            <sz val="9"/>
            <rFont val="宋体"/>
            <charset val="134"/>
          </rPr>
          <t>Administrator:</t>
        </r>
        <r>
          <rPr>
            <sz val="9"/>
            <rFont val="宋体"/>
            <charset val="134"/>
          </rPr>
          <t xml:space="preserve">
6/13 上进口商贴纸 3016pcs</t>
        </r>
      </text>
    </comment>
    <comment ref="AA149" authorId="0">
      <text>
        <r>
          <rPr>
            <b/>
            <sz val="9"/>
            <rFont val="宋体"/>
            <charset val="134"/>
          </rPr>
          <t>Administrator:</t>
        </r>
        <r>
          <rPr>
            <sz val="9"/>
            <rFont val="宋体"/>
            <charset val="134"/>
          </rPr>
          <t xml:space="preserve">
3001906 7/4 936pcs 华兴三B1
</t>
        </r>
      </text>
    </comment>
    <comment ref="AA150" authorId="0">
      <text>
        <r>
          <rPr>
            <b/>
            <sz val="9"/>
            <rFont val="宋体"/>
            <charset val="134"/>
          </rPr>
          <t>Administrator:</t>
        </r>
        <r>
          <rPr>
            <sz val="9"/>
            <rFont val="宋体"/>
            <charset val="134"/>
          </rPr>
          <t xml:space="preserve">
3001906 7/4 728pcs 华兴三D1
</t>
        </r>
      </text>
    </comment>
    <comment ref="AA151" authorId="0">
      <text>
        <r>
          <rPr>
            <b/>
            <sz val="9"/>
            <rFont val="宋体"/>
            <charset val="134"/>
          </rPr>
          <t>Administrator:</t>
        </r>
        <r>
          <rPr>
            <sz val="9"/>
            <rFont val="宋体"/>
            <charset val="134"/>
          </rPr>
          <t xml:space="preserve">
3001906 7/4 312pcs 已走货</t>
        </r>
      </text>
    </comment>
    <comment ref="AA152" authorId="0">
      <text>
        <r>
          <rPr>
            <b/>
            <sz val="9"/>
            <rFont val="宋体"/>
            <charset val="134"/>
          </rPr>
          <t>Administrator:</t>
        </r>
        <r>
          <rPr>
            <sz val="9"/>
            <rFont val="宋体"/>
            <charset val="134"/>
          </rPr>
          <t xml:space="preserve">
3001640 7/9 442pcs 华兴三B12</t>
        </r>
      </text>
    </comment>
    <comment ref="AC152" authorId="0">
      <text>
        <r>
          <rPr>
            <b/>
            <sz val="9"/>
            <rFont val="宋体"/>
            <charset val="134"/>
          </rPr>
          <t>Administrator:</t>
        </r>
        <r>
          <rPr>
            <sz val="9"/>
            <rFont val="宋体"/>
            <charset val="134"/>
          </rPr>
          <t xml:space="preserve">
6/25 上进口商贴纸 442pcs
     上EAN条码贴纸 442pcs
     上收藏指南贴纸 442pcs
     上PDQ贴纸 34pcs
     上外箱贴纸 68pcs</t>
        </r>
      </text>
    </comment>
    <comment ref="AA153" authorId="0">
      <text>
        <r>
          <rPr>
            <b/>
            <sz val="9"/>
            <rFont val="宋体"/>
            <charset val="134"/>
          </rPr>
          <t>Administrator:</t>
        </r>
        <r>
          <rPr>
            <sz val="9"/>
            <rFont val="宋体"/>
            <charset val="134"/>
          </rPr>
          <t xml:space="preserve">
3001686 7/8 2025pcs 莫海军B4楼B4区</t>
        </r>
      </text>
    </comment>
    <comment ref="AA154" authorId="0">
      <text>
        <r>
          <rPr>
            <b/>
            <sz val="9"/>
            <rFont val="宋体"/>
            <charset val="134"/>
          </rPr>
          <t>Administrator:</t>
        </r>
        <r>
          <rPr>
            <sz val="9"/>
            <rFont val="宋体"/>
            <charset val="134"/>
          </rPr>
          <t xml:space="preserve">
3001678 7/7 540pcs 华兴三B14</t>
        </r>
      </text>
    </comment>
    <comment ref="AA155" authorId="0">
      <text>
        <r>
          <rPr>
            <b/>
            <sz val="9"/>
            <rFont val="宋体"/>
            <charset val="134"/>
          </rPr>
          <t>Administrator:</t>
        </r>
        <r>
          <rPr>
            <sz val="9"/>
            <rFont val="宋体"/>
            <charset val="134"/>
          </rPr>
          <t xml:space="preserve">
3001636 7/11 5512pcs 华兴三B15</t>
        </r>
      </text>
    </comment>
    <comment ref="AA156" authorId="0">
      <text>
        <r>
          <rPr>
            <b/>
            <sz val="9"/>
            <rFont val="宋体"/>
            <charset val="134"/>
          </rPr>
          <t>Administrator:</t>
        </r>
        <r>
          <rPr>
            <sz val="9"/>
            <rFont val="宋体"/>
            <charset val="134"/>
          </rPr>
          <t xml:space="preserve">
3001616 7/10 2600pcs 华兴三A16</t>
        </r>
      </text>
    </comment>
    <comment ref="AA157" authorId="0">
      <text>
        <r>
          <rPr>
            <b/>
            <sz val="9"/>
            <rFont val="宋体"/>
            <charset val="134"/>
          </rPr>
          <t>Administrator:</t>
        </r>
        <r>
          <rPr>
            <sz val="9"/>
            <rFont val="宋体"/>
            <charset val="134"/>
          </rPr>
          <t xml:space="preserve">
3001636 7/11 1040pcs 华兴三A30</t>
        </r>
      </text>
    </comment>
    <comment ref="AA158" authorId="0">
      <text>
        <r>
          <rPr>
            <b/>
            <sz val="9"/>
            <rFont val="宋体"/>
            <charset val="134"/>
          </rPr>
          <t>Administrator:</t>
        </r>
        <r>
          <rPr>
            <sz val="9"/>
            <rFont val="宋体"/>
            <charset val="134"/>
          </rPr>
          <t xml:space="preserve">
3001636 7/11 4023pcs 华兴三B27</t>
        </r>
      </text>
    </comment>
    <comment ref="AC158" authorId="0">
      <text>
        <r>
          <rPr>
            <b/>
            <sz val="9"/>
            <rFont val="宋体"/>
            <charset val="134"/>
          </rPr>
          <t>Administrator:</t>
        </r>
        <r>
          <rPr>
            <sz val="9"/>
            <rFont val="宋体"/>
            <charset val="134"/>
          </rPr>
          <t xml:space="preserve">
6/26 上警语贴纸 4023pcs
     上价钱贴纸 4023pcs</t>
        </r>
      </text>
    </comment>
    <comment ref="AA159" authorId="0">
      <text>
        <r>
          <rPr>
            <b/>
            <sz val="9"/>
            <rFont val="宋体"/>
            <charset val="134"/>
          </rPr>
          <t>Administrator:</t>
        </r>
        <r>
          <rPr>
            <sz val="9"/>
            <rFont val="宋体"/>
            <charset val="134"/>
          </rPr>
          <t xml:space="preserve">
3001619 7/10 1300pcs 华兴三B15</t>
        </r>
      </text>
    </comment>
    <comment ref="AC159" authorId="0">
      <text>
        <r>
          <rPr>
            <b/>
            <sz val="9"/>
            <rFont val="宋体"/>
            <charset val="134"/>
          </rPr>
          <t>Administrator:</t>
        </r>
        <r>
          <rPr>
            <sz val="9"/>
            <rFont val="宋体"/>
            <charset val="134"/>
          </rPr>
          <t xml:space="preserve">
6/26 上UPC贴纸 4225pcs
167181/169209共用</t>
        </r>
      </text>
    </comment>
    <comment ref="AA160" authorId="0">
      <text>
        <r>
          <rPr>
            <b/>
            <sz val="9"/>
            <rFont val="宋体"/>
            <charset val="134"/>
          </rPr>
          <t>Administrator:</t>
        </r>
        <r>
          <rPr>
            <sz val="9"/>
            <rFont val="宋体"/>
            <charset val="134"/>
          </rPr>
          <t xml:space="preserve">
3001636 7/11 2925pcs 华兴三B16</t>
        </r>
      </text>
    </comment>
    <comment ref="AC160" authorId="0">
      <text>
        <r>
          <rPr>
            <b/>
            <sz val="9"/>
            <rFont val="宋体"/>
            <charset val="134"/>
          </rPr>
          <t>Administrator:</t>
        </r>
        <r>
          <rPr>
            <sz val="9"/>
            <rFont val="宋体"/>
            <charset val="134"/>
          </rPr>
          <t xml:space="preserve">
6/26 上UPC贴纸 4225pcs
167181/169209共用</t>
        </r>
      </text>
    </comment>
    <comment ref="AA161" authorId="0">
      <text>
        <r>
          <rPr>
            <b/>
            <sz val="9"/>
            <rFont val="宋体"/>
            <charset val="134"/>
          </rPr>
          <t>Administrator:</t>
        </r>
        <r>
          <rPr>
            <sz val="9"/>
            <rFont val="宋体"/>
            <charset val="134"/>
          </rPr>
          <t xml:space="preserve">
3001445 7/15 1116pcs 华兴三B8
3001424 7/16  36pcs  华兴三A8</t>
        </r>
      </text>
    </comment>
    <comment ref="AC161" authorId="0">
      <text>
        <r>
          <rPr>
            <b/>
            <sz val="9"/>
            <rFont val="宋体"/>
            <charset val="134"/>
          </rPr>
          <t>Administrator:</t>
        </r>
        <r>
          <rPr>
            <sz val="9"/>
            <rFont val="宋体"/>
            <charset val="134"/>
          </rPr>
          <t xml:space="preserve">
5/26 上客供RFID贴纸 1152pcs</t>
        </r>
      </text>
    </comment>
    <comment ref="AA162" authorId="0">
      <text>
        <r>
          <rPr>
            <b/>
            <sz val="9"/>
            <rFont val="宋体"/>
            <charset val="134"/>
          </rPr>
          <t>Administrator:</t>
        </r>
        <r>
          <rPr>
            <sz val="9"/>
            <rFont val="宋体"/>
            <charset val="134"/>
          </rPr>
          <t xml:space="preserve">
3001445 7/15 1140pcs 华兴三B8
3001379 7/17  12pcs  华兴三B8</t>
        </r>
      </text>
    </comment>
    <comment ref="AC162" authorId="0">
      <text>
        <r>
          <rPr>
            <b/>
            <sz val="9"/>
            <rFont val="宋体"/>
            <charset val="134"/>
          </rPr>
          <t>Administrator:</t>
        </r>
        <r>
          <rPr>
            <sz val="9"/>
            <rFont val="宋体"/>
            <charset val="134"/>
          </rPr>
          <t xml:space="preserve">
5/26 上客供RFID贴纸 1152pcs</t>
        </r>
      </text>
    </comment>
    <comment ref="AA163" authorId="0">
      <text>
        <r>
          <rPr>
            <b/>
            <sz val="9"/>
            <rFont val="宋体"/>
            <charset val="134"/>
          </rPr>
          <t>Administrator:</t>
        </r>
        <r>
          <rPr>
            <sz val="9"/>
            <rFont val="宋体"/>
            <charset val="134"/>
          </rPr>
          <t xml:space="preserve">
3002605 7/19 507pcs 莫海军B4楼B4区
3002011 7/31  13pcs 莫海军B4楼B4区</t>
        </r>
      </text>
    </comment>
    <comment ref="AC163" authorId="0">
      <text>
        <r>
          <rPr>
            <b/>
            <sz val="12"/>
            <rFont val="宋体"/>
            <charset val="134"/>
          </rPr>
          <t>Administrator:</t>
        </r>
        <r>
          <rPr>
            <sz val="12"/>
            <rFont val="宋体"/>
            <charset val="134"/>
          </rPr>
          <t xml:space="preserve">
6/23 上UPC贴纸 520pcs
6/26 上进口商贴纸 520pcs</t>
        </r>
      </text>
    </comment>
    <comment ref="AA164" authorId="0">
      <text>
        <r>
          <rPr>
            <b/>
            <sz val="9"/>
            <rFont val="宋体"/>
            <charset val="134"/>
          </rPr>
          <t>Administrator:</t>
        </r>
        <r>
          <rPr>
            <sz val="9"/>
            <rFont val="宋体"/>
            <charset val="134"/>
          </rPr>
          <t xml:space="preserve">
3001407 7/17 26pcs 华兴三B12</t>
        </r>
      </text>
    </comment>
    <comment ref="AA165" authorId="0">
      <text>
        <r>
          <rPr>
            <b/>
            <sz val="9"/>
            <rFont val="宋体"/>
            <charset val="134"/>
          </rPr>
          <t>Administrator:</t>
        </r>
        <r>
          <rPr>
            <sz val="9"/>
            <rFont val="宋体"/>
            <charset val="134"/>
          </rPr>
          <t xml:space="preserve">
3001407 7/17 270pcs 华兴三B13</t>
        </r>
      </text>
    </comment>
    <comment ref="AC165" authorId="0">
      <text>
        <r>
          <rPr>
            <b/>
            <sz val="12"/>
            <rFont val="宋体"/>
            <charset val="134"/>
          </rPr>
          <t>Administrator:</t>
        </r>
        <r>
          <rPr>
            <sz val="12"/>
            <rFont val="宋体"/>
            <charset val="134"/>
          </rPr>
          <t xml:space="preserve">
7/8 上进口商贴纸 270pcs
    上UPC贴纸 270pcs</t>
        </r>
      </text>
    </comment>
    <comment ref="AA166" authorId="0">
      <text>
        <r>
          <rPr>
            <b/>
            <sz val="9"/>
            <rFont val="宋体"/>
            <charset val="134"/>
          </rPr>
          <t>Administrator:</t>
        </r>
        <r>
          <rPr>
            <sz val="9"/>
            <rFont val="宋体"/>
            <charset val="134"/>
          </rPr>
          <t xml:space="preserve">
3002638 7/18 1152pcs 华兴三B2</t>
        </r>
      </text>
    </comment>
    <comment ref="AC166" authorId="0">
      <text>
        <r>
          <rPr>
            <b/>
            <sz val="9"/>
            <rFont val="宋体"/>
            <charset val="134"/>
          </rPr>
          <t>Administrator:</t>
        </r>
        <r>
          <rPr>
            <sz val="9"/>
            <rFont val="宋体"/>
            <charset val="134"/>
          </rPr>
          <t xml:space="preserve">
5/26 上客供RFID贴纸 1152pcs</t>
        </r>
      </text>
    </comment>
    <comment ref="AA167" authorId="0">
      <text>
        <r>
          <rPr>
            <b/>
            <sz val="9"/>
            <rFont val="宋体"/>
            <charset val="134"/>
          </rPr>
          <t>Administrator:</t>
        </r>
        <r>
          <rPr>
            <sz val="9"/>
            <rFont val="宋体"/>
            <charset val="134"/>
          </rPr>
          <t xml:space="preserve">
3002633 7/18 4266pcs 华兴三B16</t>
        </r>
      </text>
    </comment>
    <comment ref="AC167" authorId="0">
      <text>
        <r>
          <rPr>
            <b/>
            <sz val="9"/>
            <rFont val="宋体"/>
            <charset val="134"/>
          </rPr>
          <t>Administrator:</t>
        </r>
        <r>
          <rPr>
            <sz val="9"/>
            <rFont val="宋体"/>
            <charset val="134"/>
          </rPr>
          <t xml:space="preserve">
7/5 上进口商贴纸 4266pcs
    上UPC条码贴纸 4266pcs</t>
        </r>
      </text>
    </comment>
    <comment ref="AA168" authorId="0">
      <text>
        <r>
          <rPr>
            <b/>
            <sz val="9"/>
            <rFont val="宋体"/>
            <charset val="134"/>
          </rPr>
          <t>Administrator:</t>
        </r>
        <r>
          <rPr>
            <sz val="9"/>
            <rFont val="宋体"/>
            <charset val="134"/>
          </rPr>
          <t xml:space="preserve">
3002638 7/18 1152pcs 华兴三B3</t>
        </r>
      </text>
    </comment>
    <comment ref="AC168" authorId="0">
      <text>
        <r>
          <rPr>
            <b/>
            <sz val="9"/>
            <rFont val="宋体"/>
            <charset val="134"/>
          </rPr>
          <t>Administrator:</t>
        </r>
        <r>
          <rPr>
            <sz val="9"/>
            <rFont val="宋体"/>
            <charset val="134"/>
          </rPr>
          <t xml:space="preserve">
5/26 上客供RFID贴纸 1152pcs</t>
        </r>
      </text>
    </comment>
    <comment ref="AA169" authorId="0">
      <text>
        <r>
          <rPr>
            <b/>
            <sz val="9"/>
            <rFont val="宋体"/>
            <charset val="134"/>
          </rPr>
          <t>Administrator:</t>
        </r>
        <r>
          <rPr>
            <sz val="9"/>
            <rFont val="宋体"/>
            <charset val="134"/>
          </rPr>
          <t xml:space="preserve">
3002633 7/18 1152pcs 华兴三B3</t>
        </r>
      </text>
    </comment>
    <comment ref="AC169" authorId="0">
      <text>
        <r>
          <rPr>
            <b/>
            <sz val="9"/>
            <rFont val="宋体"/>
            <charset val="134"/>
          </rPr>
          <t>Administrator:</t>
        </r>
        <r>
          <rPr>
            <sz val="9"/>
            <rFont val="宋体"/>
            <charset val="134"/>
          </rPr>
          <t xml:space="preserve">
5/26 上客供RFID贴纸 1152pcs</t>
        </r>
      </text>
    </comment>
    <comment ref="AA170" authorId="0">
      <text>
        <r>
          <rPr>
            <b/>
            <sz val="9"/>
            <rFont val="宋体"/>
            <charset val="134"/>
          </rPr>
          <t>Administrator:</t>
        </r>
        <r>
          <rPr>
            <sz val="9"/>
            <rFont val="宋体"/>
            <charset val="134"/>
          </rPr>
          <t xml:space="preserve">
3002605 7/19 540pcs 莫海军B4楼B1区</t>
        </r>
      </text>
    </comment>
    <comment ref="AA171" authorId="0">
      <text>
        <r>
          <rPr>
            <b/>
            <sz val="9"/>
            <rFont val="宋体"/>
            <charset val="134"/>
          </rPr>
          <t>Administrator:</t>
        </r>
        <r>
          <rPr>
            <sz val="9"/>
            <rFont val="宋体"/>
            <charset val="134"/>
          </rPr>
          <t xml:space="preserve">
3002613 7/19 1248pcs 华兴三A30
3002605 7/19  39pcs  华兴三A30</t>
        </r>
      </text>
    </comment>
    <comment ref="AC171" authorId="0">
      <text>
        <r>
          <rPr>
            <b/>
            <sz val="9"/>
            <rFont val="宋体"/>
            <charset val="134"/>
          </rPr>
          <t>Administrator:</t>
        </r>
        <r>
          <rPr>
            <sz val="9"/>
            <rFont val="宋体"/>
            <charset val="134"/>
          </rPr>
          <t xml:space="preserve">
7/3 上UPC贴纸 1287pcs</t>
        </r>
      </text>
    </comment>
    <comment ref="AA172" authorId="0">
      <text>
        <r>
          <rPr>
            <b/>
            <sz val="9"/>
            <rFont val="宋体"/>
            <charset val="134"/>
          </rPr>
          <t>Administrator:</t>
        </r>
        <r>
          <rPr>
            <sz val="9"/>
            <rFont val="宋体"/>
            <charset val="134"/>
          </rPr>
          <t xml:space="preserve">
3002605 7/19 486pcs 莫海军B4楼B1区</t>
        </r>
      </text>
    </comment>
    <comment ref="AC172" authorId="0">
      <text>
        <r>
          <rPr>
            <b/>
            <sz val="12"/>
            <rFont val="宋体"/>
            <charset val="134"/>
          </rPr>
          <t>Administrator:</t>
        </r>
        <r>
          <rPr>
            <sz val="12"/>
            <rFont val="宋体"/>
            <charset val="134"/>
          </rPr>
          <t xml:space="preserve">
7/8 上进口商贴纸 486pcs
    上UPC贴纸 486pcs</t>
        </r>
      </text>
    </comment>
    <comment ref="AA173" authorId="0">
      <text>
        <r>
          <rPr>
            <b/>
            <sz val="9"/>
            <rFont val="宋体"/>
            <charset val="134"/>
          </rPr>
          <t>Administrator:</t>
        </r>
        <r>
          <rPr>
            <sz val="9"/>
            <rFont val="宋体"/>
            <charset val="134"/>
          </rPr>
          <t xml:space="preserve">
3002619 7/19 108pcs 华兴三B15</t>
        </r>
      </text>
    </comment>
    <comment ref="AC173" authorId="0">
      <text>
        <r>
          <rPr>
            <b/>
            <sz val="9"/>
            <rFont val="宋体"/>
            <charset val="134"/>
          </rPr>
          <t>Administrator:</t>
        </r>
        <r>
          <rPr>
            <sz val="9"/>
            <rFont val="宋体"/>
            <charset val="134"/>
          </rPr>
          <t xml:space="preserve">
7/2 上空白UPC贴纸 396pcs
168600/169031/168994共用
7/11 上客供亚马逊外箱贴纸 9pcs
7/14 上空白UPC贴纸 432pcs
168600/169031/168994共用
</t>
        </r>
      </text>
    </comment>
    <comment ref="AA174" authorId="0">
      <text>
        <r>
          <rPr>
            <b/>
            <sz val="9"/>
            <rFont val="宋体"/>
            <charset val="134"/>
          </rPr>
          <t>Administrator:</t>
        </r>
        <r>
          <rPr>
            <sz val="9"/>
            <rFont val="宋体"/>
            <charset val="134"/>
          </rPr>
          <t xml:space="preserve">
3002605 7/19 2860pcs 莫海军B4楼B8区</t>
        </r>
      </text>
    </comment>
    <comment ref="AC174" authorId="0">
      <text>
        <r>
          <rPr>
            <b/>
            <sz val="9"/>
            <rFont val="宋体"/>
            <charset val="134"/>
          </rPr>
          <t>Administrator:</t>
        </r>
        <r>
          <rPr>
            <sz val="9"/>
            <rFont val="宋体"/>
            <charset val="134"/>
          </rPr>
          <t xml:space="preserve">
7/5 上德语警语贴纸 2860pcs</t>
        </r>
      </text>
    </comment>
    <comment ref="AA175" authorId="0">
      <text>
        <r>
          <rPr>
            <b/>
            <sz val="9"/>
            <rFont val="宋体"/>
            <charset val="134"/>
          </rPr>
          <t>Administrator:</t>
        </r>
        <r>
          <rPr>
            <sz val="9"/>
            <rFont val="宋体"/>
            <charset val="134"/>
          </rPr>
          <t xml:space="preserve">
3002619 7/19 60pcs 华兴三B15</t>
        </r>
      </text>
    </comment>
    <comment ref="AC175" authorId="0">
      <text>
        <r>
          <rPr>
            <b/>
            <sz val="9"/>
            <rFont val="宋体"/>
            <charset val="134"/>
          </rPr>
          <t>Administrator:</t>
        </r>
        <r>
          <rPr>
            <sz val="9"/>
            <rFont val="宋体"/>
            <charset val="134"/>
          </rPr>
          <t xml:space="preserve">
7/2 上空白UPC贴纸 396pcs
168600/169031/168994共用
7/11 上客供亚马逊外箱贴纸 5pcs
7/14 上空白UPC贴纸 432pcs
168600/169031/168994共用
</t>
        </r>
      </text>
    </comment>
    <comment ref="AA176" authorId="0">
      <text>
        <r>
          <rPr>
            <b/>
            <sz val="9"/>
            <rFont val="宋体"/>
            <charset val="134"/>
          </rPr>
          <t>Administrator:</t>
        </r>
        <r>
          <rPr>
            <sz val="9"/>
            <rFont val="宋体"/>
            <charset val="134"/>
          </rPr>
          <t xml:space="preserve">
3002619 7/19 12pcs 华兴三B15</t>
        </r>
      </text>
    </comment>
    <comment ref="AC176" authorId="0">
      <text>
        <r>
          <rPr>
            <b/>
            <sz val="9"/>
            <rFont val="宋体"/>
            <charset val="134"/>
          </rPr>
          <t>Administrator:</t>
        </r>
        <r>
          <rPr>
            <sz val="9"/>
            <rFont val="宋体"/>
            <charset val="134"/>
          </rPr>
          <t xml:space="preserve">
7/2 上空白UPC贴纸 396pcs
168600/169031/168994共用
7/11 上客供亚马逊外箱贴纸 1pcs
7/14 上空白UPC贴纸 432pcs
168600/169031/168994共用
</t>
        </r>
      </text>
    </comment>
    <comment ref="AA177" authorId="0">
      <text>
        <r>
          <rPr>
            <b/>
            <sz val="9"/>
            <rFont val="宋体"/>
            <charset val="134"/>
          </rPr>
          <t>Administrator:</t>
        </r>
        <r>
          <rPr>
            <sz val="9"/>
            <rFont val="宋体"/>
            <charset val="134"/>
          </rPr>
          <t xml:space="preserve">
3002619 7/19 168pcs 华兴三B15</t>
        </r>
      </text>
    </comment>
    <comment ref="AC177" authorId="0">
      <text>
        <r>
          <rPr>
            <b/>
            <sz val="9"/>
            <rFont val="宋体"/>
            <charset val="134"/>
          </rPr>
          <t>Administrator:</t>
        </r>
        <r>
          <rPr>
            <sz val="9"/>
            <rFont val="宋体"/>
            <charset val="134"/>
          </rPr>
          <t xml:space="preserve">
7/2 上空白UPC贴纸 396pcs
168600/169031/168994共用
7/11 上客供亚马逊外箱贴纸 14pcs
7/14 上空白UPC贴纸 432pcs
168600/169031/168994共用
</t>
        </r>
      </text>
    </comment>
    <comment ref="AA178" authorId="0">
      <text>
        <r>
          <rPr>
            <b/>
            <sz val="9"/>
            <rFont val="宋体"/>
            <charset val="134"/>
          </rPr>
          <t>Administrator:</t>
        </r>
        <r>
          <rPr>
            <sz val="9"/>
            <rFont val="宋体"/>
            <charset val="134"/>
          </rPr>
          <t xml:space="preserve">
3002539 7/22 1968pcs 华兴三B13
3002461 7/26  24pcs  华兴三B13</t>
        </r>
      </text>
    </comment>
    <comment ref="AC178" authorId="0">
      <text>
        <r>
          <rPr>
            <b/>
            <sz val="9"/>
            <rFont val="宋体"/>
            <charset val="134"/>
          </rPr>
          <t>Administrator:</t>
        </r>
        <r>
          <rPr>
            <sz val="9"/>
            <rFont val="宋体"/>
            <charset val="134"/>
          </rPr>
          <t xml:space="preserve">
7/1 上空白贴纸 3984pcs</t>
        </r>
      </text>
    </comment>
    <comment ref="AA179" authorId="0">
      <text>
        <r>
          <rPr>
            <b/>
            <sz val="9"/>
            <rFont val="宋体"/>
            <charset val="134"/>
          </rPr>
          <t>Administrator:</t>
        </r>
        <r>
          <rPr>
            <sz val="9"/>
            <rFont val="宋体"/>
            <charset val="134"/>
          </rPr>
          <t xml:space="preserve">
3002539 7/22 1350pcs 华兴三B12</t>
        </r>
      </text>
    </comment>
    <comment ref="AC179" authorId="0">
      <text>
        <r>
          <rPr>
            <b/>
            <sz val="9"/>
            <rFont val="宋体"/>
            <charset val="134"/>
          </rPr>
          <t>Administrator:</t>
        </r>
        <r>
          <rPr>
            <sz val="9"/>
            <rFont val="宋体"/>
            <charset val="134"/>
          </rPr>
          <t xml:space="preserve">
7/3 上客人通用进口商贴纸 1350pcs</t>
        </r>
      </text>
    </comment>
    <comment ref="AA180" authorId="0">
      <text>
        <r>
          <rPr>
            <b/>
            <sz val="9"/>
            <rFont val="宋体"/>
            <charset val="134"/>
          </rPr>
          <t>Administrator:</t>
        </r>
        <r>
          <rPr>
            <sz val="9"/>
            <rFont val="宋体"/>
            <charset val="134"/>
          </rPr>
          <t xml:space="preserve">
3002458 7/22 1040pcs 华兴三A23</t>
        </r>
      </text>
    </comment>
    <comment ref="AA181" authorId="0">
      <text>
        <r>
          <rPr>
            <b/>
            <sz val="9"/>
            <rFont val="宋体"/>
            <charset val="134"/>
          </rPr>
          <t>Administrator:</t>
        </r>
        <r>
          <rPr>
            <sz val="9"/>
            <rFont val="宋体"/>
            <charset val="134"/>
          </rPr>
          <t xml:space="preserve">
3002183 8/2 650pcs 华兴三B4</t>
        </r>
      </text>
    </comment>
    <comment ref="AC181" authorId="0">
      <text>
        <r>
          <rPr>
            <b/>
            <sz val="9"/>
            <rFont val="宋体"/>
            <charset val="134"/>
          </rPr>
          <t>Administrator:</t>
        </r>
        <r>
          <rPr>
            <sz val="9"/>
            <rFont val="宋体"/>
            <charset val="134"/>
          </rPr>
          <t xml:space="preserve">
7/11 上8+贴纸 650pcs
     上3C贴纸 650pcs</t>
        </r>
      </text>
    </comment>
    <comment ref="AA182" authorId="0">
      <text>
        <r>
          <rPr>
            <b/>
            <sz val="9"/>
            <rFont val="宋体"/>
            <charset val="134"/>
          </rPr>
          <t>Administrator:</t>
        </r>
        <r>
          <rPr>
            <sz val="9"/>
            <rFont val="宋体"/>
            <charset val="134"/>
          </rPr>
          <t xml:space="preserve">
3002092 7/26 492pcs 华兴三B11</t>
        </r>
      </text>
    </comment>
    <comment ref="AC182" authorId="0">
      <text>
        <r>
          <rPr>
            <b/>
            <sz val="9"/>
            <rFont val="宋体"/>
            <charset val="134"/>
          </rPr>
          <t>Administrator:</t>
        </r>
        <r>
          <rPr>
            <sz val="9"/>
            <rFont val="宋体"/>
            <charset val="134"/>
          </rPr>
          <t xml:space="preserve">
7/11 上亚马逊外箱贴纸 41pcs</t>
        </r>
      </text>
    </comment>
    <comment ref="AA183" authorId="0">
      <text>
        <r>
          <rPr>
            <b/>
            <sz val="9"/>
            <rFont val="宋体"/>
            <charset val="134"/>
          </rPr>
          <t>Administrator:</t>
        </r>
        <r>
          <rPr>
            <sz val="9"/>
            <rFont val="宋体"/>
            <charset val="134"/>
          </rPr>
          <t xml:space="preserve">
3002076 7/30 900pcs 华兴三B1</t>
        </r>
      </text>
    </comment>
    <comment ref="AC183" authorId="0">
      <text>
        <r>
          <rPr>
            <b/>
            <sz val="9"/>
            <rFont val="宋体"/>
            <charset val="134"/>
          </rPr>
          <t>Administrator:</t>
        </r>
        <r>
          <rPr>
            <sz val="9"/>
            <rFont val="宋体"/>
            <charset val="134"/>
          </rPr>
          <t xml:space="preserve">
7/16 上客供价格贴纸 990pcs</t>
        </r>
      </text>
    </comment>
    <comment ref="AA184" authorId="0">
      <text>
        <r>
          <rPr>
            <b/>
            <sz val="9"/>
            <rFont val="宋体"/>
            <charset val="134"/>
          </rPr>
          <t>Administrator:</t>
        </r>
        <r>
          <rPr>
            <sz val="9"/>
            <rFont val="宋体"/>
            <charset val="134"/>
          </rPr>
          <t xml:space="preserve">
3002076 7/30 1200pcs 华兴三B3</t>
        </r>
      </text>
    </comment>
    <comment ref="AC184" authorId="0">
      <text>
        <r>
          <rPr>
            <b/>
            <sz val="9"/>
            <rFont val="宋体"/>
            <charset val="134"/>
          </rPr>
          <t>Administrator:</t>
        </r>
        <r>
          <rPr>
            <sz val="9"/>
            <rFont val="宋体"/>
            <charset val="134"/>
          </rPr>
          <t xml:space="preserve">
7/16 上客供价格贴纸 1320pcs</t>
        </r>
      </text>
    </comment>
    <comment ref="AA185" authorId="0">
      <text>
        <r>
          <rPr>
            <b/>
            <sz val="9"/>
            <rFont val="宋体"/>
            <charset val="134"/>
          </rPr>
          <t xml:space="preserve">Administrator:
</t>
        </r>
        <r>
          <rPr>
            <sz val="9"/>
            <rFont val="宋体"/>
            <charset val="134"/>
          </rPr>
          <t xml:space="preserve">3002076 7/30 900pcs 华兴三B2
</t>
        </r>
      </text>
    </comment>
    <comment ref="AC185" authorId="0">
      <text>
        <r>
          <rPr>
            <b/>
            <sz val="9"/>
            <rFont val="宋体"/>
            <charset val="134"/>
          </rPr>
          <t>Administrator:</t>
        </r>
        <r>
          <rPr>
            <sz val="9"/>
            <rFont val="宋体"/>
            <charset val="134"/>
          </rPr>
          <t xml:space="preserve">
7/16 上客供价格贴纸 990pcs</t>
        </r>
      </text>
    </comment>
    <comment ref="AA186" authorId="0">
      <text>
        <r>
          <rPr>
            <b/>
            <sz val="9"/>
            <rFont val="宋体"/>
            <charset val="134"/>
          </rPr>
          <t>Administrator:</t>
        </r>
        <r>
          <rPr>
            <sz val="9"/>
            <rFont val="宋体"/>
            <charset val="134"/>
          </rPr>
          <t xml:space="preserve">
3002076 7/30 600pcs 华兴三B1
</t>
        </r>
      </text>
    </comment>
    <comment ref="AC186" authorId="0">
      <text>
        <r>
          <rPr>
            <b/>
            <sz val="9"/>
            <rFont val="宋体"/>
            <charset val="134"/>
          </rPr>
          <t>Administrator:</t>
        </r>
        <r>
          <rPr>
            <sz val="9"/>
            <rFont val="宋体"/>
            <charset val="134"/>
          </rPr>
          <t xml:space="preserve">
7/16 上客供价格贴纸 660pcs</t>
        </r>
      </text>
    </comment>
    <comment ref="AA187" authorId="0">
      <text>
        <r>
          <rPr>
            <b/>
            <sz val="9"/>
            <rFont val="宋体"/>
            <charset val="134"/>
          </rPr>
          <t>Administrator:</t>
        </r>
        <r>
          <rPr>
            <sz val="9"/>
            <rFont val="宋体"/>
            <charset val="134"/>
          </rPr>
          <t xml:space="preserve">
3002076 7/30 804pcs 华兴三B2
</t>
        </r>
      </text>
    </comment>
    <comment ref="AC187" authorId="0">
      <text>
        <r>
          <rPr>
            <b/>
            <sz val="9"/>
            <rFont val="宋体"/>
            <charset val="134"/>
          </rPr>
          <t>Administrator:</t>
        </r>
        <r>
          <rPr>
            <sz val="9"/>
            <rFont val="宋体"/>
            <charset val="134"/>
          </rPr>
          <t xml:space="preserve">
7/16 上客供价格贴纸 885pcs</t>
        </r>
      </text>
    </comment>
    <comment ref="AA188" authorId="0">
      <text>
        <r>
          <rPr>
            <b/>
            <sz val="9"/>
            <rFont val="宋体"/>
            <charset val="134"/>
          </rPr>
          <t>Administrator:</t>
        </r>
        <r>
          <rPr>
            <sz val="9"/>
            <rFont val="宋体"/>
            <charset val="134"/>
          </rPr>
          <t xml:space="preserve">
3002076 7/30 996pcs 华兴三B2
</t>
        </r>
      </text>
    </comment>
    <comment ref="AC188" authorId="0">
      <text>
        <r>
          <rPr>
            <b/>
            <sz val="9"/>
            <rFont val="宋体"/>
            <charset val="134"/>
          </rPr>
          <t>Administrator:</t>
        </r>
        <r>
          <rPr>
            <sz val="9"/>
            <rFont val="宋体"/>
            <charset val="134"/>
          </rPr>
          <t xml:space="preserve">
7/16 上客供价格贴纸 1096pcs</t>
        </r>
      </text>
    </comment>
    <comment ref="AA189" authorId="0">
      <text>
        <r>
          <rPr>
            <b/>
            <sz val="9"/>
            <rFont val="宋体"/>
            <charset val="134"/>
          </rPr>
          <t>Administrator:</t>
        </r>
        <r>
          <rPr>
            <sz val="9"/>
            <rFont val="宋体"/>
            <charset val="134"/>
          </rPr>
          <t xml:space="preserve">
3002076 7/30 600pcs 华兴三B2
</t>
        </r>
      </text>
    </comment>
    <comment ref="AC189" authorId="0">
      <text>
        <r>
          <rPr>
            <b/>
            <sz val="9"/>
            <rFont val="宋体"/>
            <charset val="134"/>
          </rPr>
          <t>Administrator:</t>
        </r>
        <r>
          <rPr>
            <sz val="9"/>
            <rFont val="宋体"/>
            <charset val="134"/>
          </rPr>
          <t xml:space="preserve">
7/16 上客供价格贴纸 660pcs</t>
        </r>
      </text>
    </comment>
    <comment ref="AA190" authorId="0">
      <text>
        <r>
          <rPr>
            <b/>
            <sz val="9"/>
            <rFont val="宋体"/>
            <charset val="134"/>
          </rPr>
          <t>Administrator:</t>
        </r>
        <r>
          <rPr>
            <sz val="9"/>
            <rFont val="宋体"/>
            <charset val="134"/>
          </rPr>
          <t xml:space="preserve">
3002076 7/30 600pcs 华兴三B2
</t>
        </r>
      </text>
    </comment>
    <comment ref="AC190" authorId="0">
      <text>
        <r>
          <rPr>
            <b/>
            <sz val="9"/>
            <rFont val="宋体"/>
            <charset val="134"/>
          </rPr>
          <t>Administrator:</t>
        </r>
        <r>
          <rPr>
            <sz val="9"/>
            <rFont val="宋体"/>
            <charset val="134"/>
          </rPr>
          <t xml:space="preserve">
7/16 上客供价格贴纸 660pcs</t>
        </r>
      </text>
    </comment>
    <comment ref="AA191" authorId="0">
      <text>
        <r>
          <rPr>
            <b/>
            <sz val="9"/>
            <rFont val="宋体"/>
            <charset val="134"/>
          </rPr>
          <t>Administrator:</t>
        </r>
        <r>
          <rPr>
            <sz val="9"/>
            <rFont val="宋体"/>
            <charset val="134"/>
          </rPr>
          <t xml:space="preserve">
3002076 7/30 900pcs 华兴三B1
</t>
        </r>
      </text>
    </comment>
    <comment ref="AC191" authorId="0">
      <text>
        <r>
          <rPr>
            <b/>
            <sz val="9"/>
            <rFont val="宋体"/>
            <charset val="134"/>
          </rPr>
          <t>Administrator:</t>
        </r>
        <r>
          <rPr>
            <sz val="9"/>
            <rFont val="宋体"/>
            <charset val="134"/>
          </rPr>
          <t xml:space="preserve">
7/16 上客供价格贴纸 990pcs</t>
        </r>
      </text>
    </comment>
    <comment ref="AA192" authorId="0">
      <text>
        <r>
          <rPr>
            <b/>
            <sz val="9"/>
            <rFont val="宋体"/>
            <charset val="134"/>
          </rPr>
          <t>Administrator:</t>
        </r>
        <r>
          <rPr>
            <sz val="9"/>
            <rFont val="宋体"/>
            <charset val="134"/>
          </rPr>
          <t xml:space="preserve">
3002063 7/31 996pcs 华兴一B6</t>
        </r>
      </text>
    </comment>
    <comment ref="AC192" authorId="0">
      <text>
        <r>
          <rPr>
            <b/>
            <sz val="9"/>
            <rFont val="宋体"/>
            <charset val="134"/>
          </rPr>
          <t>Administrator:</t>
        </r>
        <r>
          <rPr>
            <sz val="9"/>
            <rFont val="宋体"/>
            <charset val="134"/>
          </rPr>
          <t xml:space="preserve">
7/16 上客供价格贴纸 1096pcs</t>
        </r>
      </text>
    </comment>
    <comment ref="AA193" authorId="0">
      <text>
        <r>
          <rPr>
            <b/>
            <sz val="12"/>
            <rFont val="宋体"/>
            <charset val="134"/>
          </rPr>
          <t>Administrator:</t>
        </r>
        <r>
          <rPr>
            <sz val="12"/>
            <rFont val="宋体"/>
            <charset val="134"/>
          </rPr>
          <t xml:space="preserve">
3002267 8/4 520pcs 莫海军B4楼A6区</t>
        </r>
      </text>
    </comment>
    <comment ref="AC193" authorId="0">
      <text>
        <r>
          <rPr>
            <b/>
            <sz val="9"/>
            <rFont val="宋体"/>
            <charset val="134"/>
          </rPr>
          <t>Administrator:</t>
        </r>
        <r>
          <rPr>
            <sz val="9"/>
            <rFont val="宋体"/>
            <charset val="134"/>
          </rPr>
          <t xml:space="preserve">
7/5 上进口商贴纸 1508pcs</t>
        </r>
      </text>
    </comment>
    <comment ref="AA194" authorId="0">
      <text>
        <r>
          <rPr>
            <b/>
            <sz val="12"/>
            <rFont val="宋体"/>
            <charset val="134"/>
          </rPr>
          <t>Administrator:</t>
        </r>
        <r>
          <rPr>
            <sz val="12"/>
            <rFont val="宋体"/>
            <charset val="134"/>
          </rPr>
          <t xml:space="preserve">
3002267 8/4 468pcs 莫海军B4楼A6区</t>
        </r>
      </text>
    </comment>
    <comment ref="AA195" authorId="0">
      <text>
        <r>
          <rPr>
            <b/>
            <sz val="12"/>
            <rFont val="宋体"/>
            <charset val="134"/>
          </rPr>
          <t>Administrator:</t>
        </r>
        <r>
          <rPr>
            <sz val="12"/>
            <rFont val="宋体"/>
            <charset val="134"/>
          </rPr>
          <t xml:space="preserve">
3002267 8/4 364pcs 莫海军B4楼A6区
</t>
        </r>
      </text>
    </comment>
    <comment ref="AA196" authorId="0">
      <text>
        <r>
          <rPr>
            <b/>
            <sz val="12"/>
            <rFont val="宋体"/>
            <charset val="134"/>
          </rPr>
          <t>Administrator:</t>
        </r>
        <r>
          <rPr>
            <sz val="12"/>
            <rFont val="宋体"/>
            <charset val="134"/>
          </rPr>
          <t xml:space="preserve">
3002267 8/4 156pcs 莫海军B4楼A6区
</t>
        </r>
      </text>
    </comment>
    <comment ref="AA197" authorId="0">
      <text>
        <r>
          <rPr>
            <b/>
            <sz val="9"/>
            <rFont val="宋体"/>
            <charset val="134"/>
          </rPr>
          <t>Administrator:</t>
        </r>
        <r>
          <rPr>
            <sz val="9"/>
            <rFont val="宋体"/>
            <charset val="134"/>
          </rPr>
          <t xml:space="preserve">
3002183 8/2 2004pcs 华兴三B9
3002290 8/8  12pcs  华兴三B9</t>
        </r>
      </text>
    </comment>
    <comment ref="AC197" authorId="0">
      <text>
        <r>
          <rPr>
            <b/>
            <sz val="9"/>
            <rFont val="宋体"/>
            <charset val="134"/>
          </rPr>
          <t>Administrator:</t>
        </r>
        <r>
          <rPr>
            <sz val="9"/>
            <rFont val="宋体"/>
            <charset val="134"/>
          </rPr>
          <t xml:space="preserve">
7/10 上客供价格贴纸 2019pcs</t>
        </r>
      </text>
    </comment>
    <comment ref="AA198" authorId="0">
      <text>
        <r>
          <rPr>
            <b/>
            <sz val="9"/>
            <rFont val="宋体"/>
            <charset val="134"/>
          </rPr>
          <t>Administrator:</t>
        </r>
        <r>
          <rPr>
            <sz val="9"/>
            <rFont val="宋体"/>
            <charset val="134"/>
          </rPr>
          <t xml:space="preserve">
3002183 8/2 996pcs 华兴三B9</t>
        </r>
      </text>
    </comment>
    <comment ref="AC198" authorId="0">
      <text>
        <r>
          <rPr>
            <b/>
            <sz val="9"/>
            <rFont val="宋体"/>
            <charset val="134"/>
          </rPr>
          <t>Administrator:</t>
        </r>
        <r>
          <rPr>
            <sz val="9"/>
            <rFont val="宋体"/>
            <charset val="134"/>
          </rPr>
          <t xml:space="preserve">
7/10 上客供价格贴纸 1017pcs</t>
        </r>
      </text>
    </comment>
    <comment ref="AA199" authorId="0">
      <text>
        <r>
          <rPr>
            <b/>
            <sz val="9"/>
            <rFont val="宋体"/>
            <charset val="134"/>
          </rPr>
          <t>Administrator:</t>
        </r>
        <r>
          <rPr>
            <sz val="9"/>
            <rFont val="宋体"/>
            <charset val="134"/>
          </rPr>
          <t xml:space="preserve">
3002189 8/2 4992pcs 华兴一F3
3002355 8/6   13pcs 华兴一F3</t>
        </r>
      </text>
    </comment>
    <comment ref="AC199" authorId="0">
      <text>
        <r>
          <rPr>
            <b/>
            <sz val="9"/>
            <rFont val="宋体"/>
            <charset val="134"/>
          </rPr>
          <t>Administrator:</t>
        </r>
        <r>
          <rPr>
            <sz val="9"/>
            <rFont val="宋体"/>
            <charset val="134"/>
          </rPr>
          <t xml:space="preserve">
7/17 上客供外箱条码贴纸 395pcs</t>
        </r>
      </text>
    </comment>
    <comment ref="AA200" authorId="0">
      <text>
        <r>
          <rPr>
            <b/>
            <sz val="9"/>
            <rFont val="宋体"/>
            <charset val="134"/>
          </rPr>
          <t>Administrator:</t>
        </r>
        <r>
          <rPr>
            <sz val="9"/>
            <rFont val="宋体"/>
            <charset val="134"/>
          </rPr>
          <t xml:space="preserve">
3002355 8/6 2916pcs 华兴一F4</t>
        </r>
      </text>
    </comment>
    <comment ref="AC200" authorId="0">
      <text>
        <r>
          <rPr>
            <b/>
            <sz val="12"/>
            <rFont val="宋体"/>
            <charset val="134"/>
          </rPr>
          <t>Administrator:</t>
        </r>
        <r>
          <rPr>
            <sz val="12"/>
            <rFont val="宋体"/>
            <charset val="134"/>
          </rPr>
          <t xml:space="preserve">
7/16 上Slime bag荷兰语警语贴纸 2916pcs
     上德意荷警语贴纸 2916pcs</t>
        </r>
      </text>
    </comment>
    <comment ref="AA201" authorId="0">
      <text>
        <r>
          <rPr>
            <b/>
            <sz val="12"/>
            <rFont val="宋体"/>
            <charset val="134"/>
          </rPr>
          <t>Administrator:</t>
        </r>
        <r>
          <rPr>
            <sz val="12"/>
            <rFont val="宋体"/>
            <charset val="134"/>
          </rPr>
          <t xml:space="preserve">
3002377 8/5 1350pcs 华兴三B10</t>
        </r>
      </text>
    </comment>
    <comment ref="AC201" authorId="0">
      <text>
        <r>
          <rPr>
            <b/>
            <sz val="9"/>
            <rFont val="宋体"/>
            <charset val="134"/>
          </rPr>
          <t>Administrator:</t>
        </r>
        <r>
          <rPr>
            <sz val="9"/>
            <rFont val="宋体"/>
            <charset val="134"/>
          </rPr>
          <t xml:space="preserve">
7/22 上UPC贴纸 1350pcs</t>
        </r>
      </text>
    </comment>
    <comment ref="AA202" authorId="0">
      <text>
        <r>
          <rPr>
            <b/>
            <sz val="9"/>
            <rFont val="宋体"/>
            <charset val="134"/>
          </rPr>
          <t>Administrator:</t>
        </r>
        <r>
          <rPr>
            <sz val="9"/>
            <rFont val="宋体"/>
            <charset val="134"/>
          </rPr>
          <t xml:space="preserve">
4000299 8/9 104pcs 华兴三B14</t>
        </r>
      </text>
    </comment>
    <comment ref="AC202" authorId="0">
      <text>
        <r>
          <rPr>
            <b/>
            <sz val="9"/>
            <rFont val="宋体"/>
            <charset val="134"/>
          </rPr>
          <t>Administrator:</t>
        </r>
        <r>
          <rPr>
            <sz val="9"/>
            <rFont val="宋体"/>
            <charset val="134"/>
          </rPr>
          <t xml:space="preserve">
7/24 上进口商贴纸 104pcs</t>
        </r>
      </text>
    </comment>
    <comment ref="AA203" authorId="0">
      <text>
        <r>
          <rPr>
            <b/>
            <sz val="9"/>
            <rFont val="宋体"/>
            <charset val="134"/>
          </rPr>
          <t>Administrator:</t>
        </r>
        <r>
          <rPr>
            <sz val="9"/>
            <rFont val="宋体"/>
            <charset val="134"/>
          </rPr>
          <t xml:space="preserve">
4000299 8/9 1300pcs 华兴三B14</t>
        </r>
      </text>
    </comment>
    <comment ref="AC203" authorId="0">
      <text>
        <r>
          <rPr>
            <b/>
            <sz val="9"/>
            <rFont val="宋体"/>
            <charset val="134"/>
          </rPr>
          <t>Administrator:</t>
        </r>
        <r>
          <rPr>
            <sz val="9"/>
            <rFont val="宋体"/>
            <charset val="134"/>
          </rPr>
          <t xml:space="preserve">
7/23 上UPC贴纸 1300pcs</t>
        </r>
      </text>
    </comment>
    <comment ref="AA204" authorId="0">
      <text>
        <r>
          <rPr>
            <b/>
            <sz val="9"/>
            <rFont val="宋体"/>
            <charset val="134"/>
          </rPr>
          <t>Administrator:</t>
        </r>
        <r>
          <rPr>
            <sz val="9"/>
            <rFont val="宋体"/>
            <charset val="134"/>
          </rPr>
          <t xml:space="preserve">
4000335 8/12 10309pcs 莫海军B4楼B8区</t>
        </r>
      </text>
    </comment>
    <comment ref="AA205" authorId="0">
      <text>
        <r>
          <rPr>
            <b/>
            <sz val="9"/>
            <rFont val="宋体"/>
            <charset val="134"/>
          </rPr>
          <t>Administrator:</t>
        </r>
        <r>
          <rPr>
            <sz val="9"/>
            <rFont val="宋体"/>
            <charset val="134"/>
          </rPr>
          <t xml:space="preserve">
4000299 8/9 300pcs 华兴三B14</t>
        </r>
      </text>
    </comment>
    <comment ref="AC205" authorId="0">
      <text>
        <r>
          <rPr>
            <b/>
            <sz val="9"/>
            <rFont val="宋体"/>
            <charset val="134"/>
          </rPr>
          <t>Administrator:</t>
        </r>
        <r>
          <rPr>
            <sz val="9"/>
            <rFont val="宋体"/>
            <charset val="134"/>
          </rPr>
          <t xml:space="preserve">
7/26 上客供价格贴纸 315pcs</t>
        </r>
      </text>
    </comment>
    <comment ref="AA206" authorId="0">
      <text>
        <r>
          <rPr>
            <b/>
            <sz val="9"/>
            <rFont val="宋体"/>
            <charset val="134"/>
          </rPr>
          <t>Administrator:</t>
        </r>
        <r>
          <rPr>
            <sz val="9"/>
            <rFont val="宋体"/>
            <charset val="134"/>
          </rPr>
          <t xml:space="preserve">
4000299 8/9 650pcs 华兴三B14</t>
        </r>
      </text>
    </comment>
    <comment ref="AA207" authorId="0">
      <text>
        <r>
          <rPr>
            <b/>
            <sz val="9"/>
            <rFont val="宋体"/>
            <charset val="134"/>
          </rPr>
          <t>Administrator:</t>
        </r>
        <r>
          <rPr>
            <sz val="9"/>
            <rFont val="宋体"/>
            <charset val="134"/>
          </rPr>
          <t xml:space="preserve">
4000335 8/12 6006pcs 莫海军B4楼A5区
</t>
        </r>
      </text>
    </comment>
    <comment ref="AC207" authorId="0">
      <text>
        <r>
          <rPr>
            <b/>
            <sz val="9"/>
            <rFont val="宋体"/>
            <charset val="134"/>
          </rPr>
          <t>Administrator:</t>
        </r>
        <r>
          <rPr>
            <sz val="9"/>
            <rFont val="宋体"/>
            <charset val="134"/>
          </rPr>
          <t xml:space="preserve">
7/23 上客供外箱条码贴纸 467pcs</t>
        </r>
      </text>
    </comment>
    <comment ref="AA208" authorId="0">
      <text>
        <r>
          <rPr>
            <b/>
            <sz val="9"/>
            <rFont val="宋体"/>
            <charset val="134"/>
          </rPr>
          <t>Administrator:</t>
        </r>
        <r>
          <rPr>
            <sz val="9"/>
            <rFont val="宋体"/>
            <charset val="134"/>
          </rPr>
          <t xml:space="preserve">
4000335 8/12 7007pcs 莫海军B4楼B7区
</t>
        </r>
      </text>
    </comment>
    <comment ref="AC208" authorId="0">
      <text>
        <r>
          <rPr>
            <b/>
            <sz val="9"/>
            <rFont val="宋体"/>
            <charset val="134"/>
          </rPr>
          <t>Administrator:</t>
        </r>
        <r>
          <rPr>
            <sz val="9"/>
            <rFont val="宋体"/>
            <charset val="134"/>
          </rPr>
          <t xml:space="preserve">
7/23 上客供外箱条码贴纸 544pcs</t>
        </r>
      </text>
    </comment>
    <comment ref="AA209" authorId="0">
      <text>
        <r>
          <rPr>
            <b/>
            <sz val="9"/>
            <rFont val="宋体"/>
            <charset val="134"/>
          </rPr>
          <t>Administrator:</t>
        </r>
        <r>
          <rPr>
            <sz val="9"/>
            <rFont val="宋体"/>
            <charset val="134"/>
          </rPr>
          <t xml:space="preserve">
4000299 8/9 2052pcs 华兴三B14</t>
        </r>
      </text>
    </comment>
    <comment ref="AC209" authorId="0">
      <text>
        <r>
          <rPr>
            <b/>
            <sz val="9"/>
            <rFont val="宋体"/>
            <charset val="134"/>
          </rPr>
          <t>Administrator:</t>
        </r>
        <r>
          <rPr>
            <sz val="9"/>
            <rFont val="宋体"/>
            <charset val="134"/>
          </rPr>
          <t xml:space="preserve">
8/4 上进口商贴纸 2052pcs
    上UPC贴纸 2052pcs</t>
        </r>
      </text>
    </comment>
    <comment ref="AA210" authorId="0">
      <text>
        <r>
          <rPr>
            <b/>
            <sz val="9"/>
            <rFont val="宋体"/>
            <charset val="134"/>
          </rPr>
          <t>Administrator:</t>
        </r>
        <r>
          <rPr>
            <sz val="9"/>
            <rFont val="宋体"/>
            <charset val="134"/>
          </rPr>
          <t xml:space="preserve">
4000299 8/9 1350pcs 华兴三B14</t>
        </r>
      </text>
    </comment>
    <comment ref="AC210" authorId="0">
      <text>
        <r>
          <rPr>
            <b/>
            <sz val="9"/>
            <rFont val="宋体"/>
            <charset val="134"/>
          </rPr>
          <t>Administrator:</t>
        </r>
        <r>
          <rPr>
            <sz val="9"/>
            <rFont val="宋体"/>
            <charset val="134"/>
          </rPr>
          <t xml:space="preserve">
7/25 上客人通用进口商贴纸 1350pcs</t>
        </r>
      </text>
    </comment>
    <comment ref="AA211" authorId="0">
      <text>
        <r>
          <rPr>
            <b/>
            <sz val="9"/>
            <rFont val="宋体"/>
            <charset val="134"/>
          </rPr>
          <t>Administrator:</t>
        </r>
        <r>
          <rPr>
            <sz val="9"/>
            <rFont val="宋体"/>
            <charset val="134"/>
          </rPr>
          <t xml:space="preserve">
4000299 8/9 300pcs 华兴三B14</t>
        </r>
      </text>
    </comment>
    <comment ref="AC211" authorId="0">
      <text>
        <r>
          <rPr>
            <b/>
            <sz val="9"/>
            <rFont val="宋体"/>
            <charset val="134"/>
          </rPr>
          <t>Administrator:</t>
        </r>
        <r>
          <rPr>
            <sz val="9"/>
            <rFont val="宋体"/>
            <charset val="134"/>
          </rPr>
          <t xml:space="preserve">
8/2 上客供价格贴纸 315pcs</t>
        </r>
      </text>
    </comment>
    <comment ref="AA212" authorId="0">
      <text>
        <r>
          <rPr>
            <b/>
            <sz val="9"/>
            <rFont val="宋体"/>
            <charset val="134"/>
          </rPr>
          <t>Administrator:</t>
        </r>
        <r>
          <rPr>
            <sz val="9"/>
            <rFont val="宋体"/>
            <charset val="134"/>
          </rPr>
          <t xml:space="preserve">
4000085 8/29 260pcs 华兴一F12</t>
        </r>
      </text>
    </comment>
    <comment ref="AC212" authorId="0">
      <text>
        <r>
          <rPr>
            <b/>
            <sz val="9"/>
            <rFont val="宋体"/>
            <charset val="134"/>
          </rPr>
          <t>Administrator:</t>
        </r>
        <r>
          <rPr>
            <sz val="9"/>
            <rFont val="宋体"/>
            <charset val="134"/>
          </rPr>
          <t xml:space="preserve">
7/30 上客户EAN条码贴纸 260pcs</t>
        </r>
      </text>
    </comment>
    <comment ref="AA213" authorId="0">
      <text>
        <r>
          <rPr>
            <b/>
            <sz val="9"/>
            <rFont val="宋体"/>
            <charset val="134"/>
          </rPr>
          <t>Administrator:</t>
        </r>
        <r>
          <rPr>
            <sz val="9"/>
            <rFont val="宋体"/>
            <charset val="134"/>
          </rPr>
          <t xml:space="preserve">
4000085 8/29 1040pcs 华兴一F12</t>
        </r>
      </text>
    </comment>
    <comment ref="AC213" authorId="0">
      <text>
        <r>
          <rPr>
            <b/>
            <sz val="9"/>
            <rFont val="宋体"/>
            <charset val="134"/>
          </rPr>
          <t>Administrator:</t>
        </r>
        <r>
          <rPr>
            <sz val="9"/>
            <rFont val="宋体"/>
            <charset val="134"/>
          </rPr>
          <t xml:space="preserve">
7/26 上客户EAN条码贴纸 8320pcs</t>
        </r>
      </text>
    </comment>
    <comment ref="AA214" authorId="0">
      <text>
        <r>
          <rPr>
            <b/>
            <sz val="9"/>
            <rFont val="宋体"/>
            <charset val="134"/>
          </rPr>
          <t>Administrator:</t>
        </r>
        <r>
          <rPr>
            <sz val="9"/>
            <rFont val="宋体"/>
            <charset val="134"/>
          </rPr>
          <t xml:space="preserve">
4000085 8/29 1040pcs 华兴一F12</t>
        </r>
      </text>
    </comment>
    <comment ref="AA215" authorId="0">
      <text>
        <r>
          <rPr>
            <b/>
            <sz val="9"/>
            <rFont val="宋体"/>
            <charset val="134"/>
          </rPr>
          <t>Administrator:</t>
        </r>
        <r>
          <rPr>
            <sz val="9"/>
            <rFont val="宋体"/>
            <charset val="134"/>
          </rPr>
          <t xml:space="preserve">
4000085 8/29 1040pcs 华兴一F12</t>
        </r>
      </text>
    </comment>
    <comment ref="AA216" authorId="0">
      <text>
        <r>
          <rPr>
            <b/>
            <sz val="9"/>
            <rFont val="宋体"/>
            <charset val="134"/>
          </rPr>
          <t>Administrator:</t>
        </r>
        <r>
          <rPr>
            <sz val="9"/>
            <rFont val="宋体"/>
            <charset val="134"/>
          </rPr>
          <t xml:space="preserve">
4000085 8/29 1040pcs 华兴一F12</t>
        </r>
      </text>
    </comment>
    <comment ref="AA217" authorId="0">
      <text>
        <r>
          <rPr>
            <b/>
            <sz val="9"/>
            <rFont val="宋体"/>
            <charset val="134"/>
          </rPr>
          <t>Administrator:</t>
        </r>
        <r>
          <rPr>
            <sz val="9"/>
            <rFont val="宋体"/>
            <charset val="134"/>
          </rPr>
          <t xml:space="preserve">
4000085 8/29 1040pcs 华兴一F12</t>
        </r>
      </text>
    </comment>
    <comment ref="AA218" authorId="0">
      <text>
        <r>
          <rPr>
            <b/>
            <sz val="9"/>
            <rFont val="宋体"/>
            <charset val="134"/>
          </rPr>
          <t>Administrator:</t>
        </r>
        <r>
          <rPr>
            <sz val="9"/>
            <rFont val="宋体"/>
            <charset val="134"/>
          </rPr>
          <t xml:space="preserve">
4000085 8/29 1040pcs 华兴一F12</t>
        </r>
      </text>
    </comment>
    <comment ref="AA219" authorId="0">
      <text>
        <r>
          <rPr>
            <b/>
            <sz val="9"/>
            <rFont val="宋体"/>
            <charset val="134"/>
          </rPr>
          <t>Administrator:</t>
        </r>
        <r>
          <rPr>
            <sz val="9"/>
            <rFont val="宋体"/>
            <charset val="134"/>
          </rPr>
          <t xml:space="preserve">
4000085 8/29 1040pcs 华兴一F12</t>
        </r>
      </text>
    </comment>
    <comment ref="AA220" authorId="0">
      <text>
        <r>
          <rPr>
            <b/>
            <sz val="9"/>
            <rFont val="宋体"/>
            <charset val="134"/>
          </rPr>
          <t>Administrator:</t>
        </r>
        <r>
          <rPr>
            <sz val="9"/>
            <rFont val="宋体"/>
            <charset val="134"/>
          </rPr>
          <t xml:space="preserve">
4000085 8/29 1040pcs 华兴一F12</t>
        </r>
      </text>
    </comment>
    <comment ref="AA221" authorId="0">
      <text>
        <r>
          <rPr>
            <b/>
            <sz val="9"/>
            <rFont val="宋体"/>
            <charset val="134"/>
          </rPr>
          <t>Administrator:</t>
        </r>
        <r>
          <rPr>
            <sz val="9"/>
            <rFont val="宋体"/>
            <charset val="134"/>
          </rPr>
          <t xml:space="preserve">
4000099 8/30 3690pcs</t>
        </r>
      </text>
    </comment>
    <comment ref="AA222" authorId="0">
      <text>
        <r>
          <rPr>
            <b/>
            <sz val="9"/>
            <rFont val="宋体"/>
            <charset val="134"/>
          </rPr>
          <t>Administrator:</t>
        </r>
        <r>
          <rPr>
            <sz val="9"/>
            <rFont val="宋体"/>
            <charset val="134"/>
          </rPr>
          <t xml:space="preserve">
4000026 9/4 972pcs 华兴三B14
4000486 9/9  54pcs 华兴三B14</t>
        </r>
      </text>
    </comment>
    <comment ref="AA223" authorId="0">
      <text>
        <r>
          <rPr>
            <b/>
            <sz val="9"/>
            <rFont val="宋体"/>
            <charset val="134"/>
          </rPr>
          <t>Administrator:</t>
        </r>
        <r>
          <rPr>
            <sz val="9"/>
            <rFont val="宋体"/>
            <charset val="134"/>
          </rPr>
          <t xml:space="preserve">
3002082 7/29 783pcs 华兴三B16
8/29 退回返工
4000047 9/2 783pcs 华兴三A2</t>
        </r>
      </text>
    </comment>
    <comment ref="AA224" authorId="0">
      <text>
        <r>
          <rPr>
            <b/>
            <sz val="9"/>
            <rFont val="宋体"/>
            <charset val="134"/>
          </rPr>
          <t>Administrator:</t>
        </r>
        <r>
          <rPr>
            <sz val="9"/>
            <rFont val="宋体"/>
            <charset val="134"/>
          </rPr>
          <t xml:space="preserve">
3002082 7/29 1269pcs 华兴三A32
8/29 退回返工
4000047 9/2 1242pcs 华兴三A2
4000380 9/4  27pcs  华兴三A2</t>
        </r>
      </text>
    </comment>
    <comment ref="AA225" authorId="0">
      <text>
        <r>
          <rPr>
            <b/>
            <sz val="9"/>
            <rFont val="宋体"/>
            <charset val="134"/>
          </rPr>
          <t>Administrator:</t>
        </r>
        <r>
          <rPr>
            <sz val="9"/>
            <rFont val="宋体"/>
            <charset val="134"/>
          </rPr>
          <t xml:space="preserve">
3002082 7/29 756pcs 华兴三B15
8/29 退回返工
4000047 9/2 756pcs 华兴三A2</t>
        </r>
      </text>
    </comment>
    <comment ref="AA226" authorId="0">
      <text>
        <r>
          <rPr>
            <b/>
            <sz val="9"/>
            <rFont val="宋体"/>
            <charset val="134"/>
          </rPr>
          <t>Administrator:</t>
        </r>
        <r>
          <rPr>
            <sz val="9"/>
            <rFont val="宋体"/>
            <charset val="134"/>
          </rPr>
          <t xml:space="preserve">
3002082 7/29 1728pcs 华兴三A32
8/29 退回返工
4000047 9/2 1728pcs 华兴三B1</t>
        </r>
      </text>
    </comment>
    <comment ref="AA227" authorId="0">
      <text>
        <r>
          <rPr>
            <b/>
            <sz val="9"/>
            <rFont val="宋体"/>
            <charset val="134"/>
          </rPr>
          <t>Administrator:</t>
        </r>
        <r>
          <rPr>
            <sz val="9"/>
            <rFont val="宋体"/>
            <charset val="134"/>
          </rPr>
          <t xml:space="preserve">
3002082 7/29 2160pcs 华兴三A32
8/29 退回返工
4000047 9/2 2079pcs 华兴三A1
4000380 9/4  81pcs  华兴三B1</t>
        </r>
      </text>
    </comment>
    <comment ref="AA228" authorId="0">
      <text>
        <r>
          <rPr>
            <b/>
            <sz val="12"/>
            <rFont val="宋体"/>
            <charset val="134"/>
          </rPr>
          <t>Administrator:</t>
        </r>
        <r>
          <rPr>
            <sz val="12"/>
            <rFont val="宋体"/>
            <charset val="134"/>
          </rPr>
          <t xml:space="preserve">
3002088 7/29  27pcs 华兴三A21
3002082 7/29 864pcs 华兴三A32
8/29 退回返工
4000047 9/2 918pcs 华兴三A2</t>
        </r>
      </text>
    </comment>
    <comment ref="AA229" authorId="0">
      <text>
        <r>
          <rPr>
            <b/>
            <sz val="9"/>
            <rFont val="宋体"/>
            <charset val="134"/>
          </rPr>
          <t>Administrator:</t>
        </r>
        <r>
          <rPr>
            <sz val="9"/>
            <rFont val="宋体"/>
            <charset val="134"/>
          </rPr>
          <t xml:space="preserve">
3002082 7/29 918pcs 华兴三A32
8/29 退回返工
4000047 9/2 918pcs 华兴三A2</t>
        </r>
      </text>
    </comment>
    <comment ref="AA230" authorId="0">
      <text>
        <r>
          <rPr>
            <b/>
            <sz val="9"/>
            <rFont val="宋体"/>
            <charset val="134"/>
          </rPr>
          <t>Administrator:</t>
        </r>
        <r>
          <rPr>
            <sz val="9"/>
            <rFont val="宋体"/>
            <charset val="134"/>
          </rPr>
          <t xml:space="preserve">
3002082 7/29 1728pcs 华兴三A32
8/29 退回返工
4000047 9/2 1728pcs 华兴三B1 </t>
        </r>
      </text>
    </comment>
    <comment ref="AA231" authorId="0">
      <text>
        <r>
          <rPr>
            <b/>
            <sz val="9"/>
            <rFont val="宋体"/>
            <charset val="134"/>
          </rPr>
          <t>Administrator:</t>
        </r>
        <r>
          <rPr>
            <sz val="9"/>
            <rFont val="宋体"/>
            <charset val="134"/>
          </rPr>
          <t xml:space="preserve">
3002082 7/29 918pcs 华兴三A32
8/29 退回返工
4000047 9/2 837pcs 华兴三A2
4000380 9/4  81pcs 华兴三A2</t>
        </r>
      </text>
    </comment>
    <comment ref="AA232" authorId="0">
      <text>
        <r>
          <rPr>
            <b/>
            <sz val="9"/>
            <rFont val="宋体"/>
            <charset val="134"/>
          </rPr>
          <t>Administrator:</t>
        </r>
        <r>
          <rPr>
            <sz val="9"/>
            <rFont val="宋体"/>
            <charset val="134"/>
          </rPr>
          <t xml:space="preserve">
4000500 9/8 7007pcs 华兴一F5</t>
        </r>
      </text>
    </comment>
    <comment ref="AC232" authorId="0">
      <text>
        <r>
          <rPr>
            <b/>
            <sz val="9"/>
            <rFont val="宋体"/>
            <charset val="134"/>
          </rPr>
          <t>Administrator:</t>
        </r>
        <r>
          <rPr>
            <sz val="9"/>
            <rFont val="宋体"/>
            <charset val="134"/>
          </rPr>
          <t xml:space="preserve">
8/14 上客供外箱条码贴纸 544pcs</t>
        </r>
      </text>
    </comment>
    <comment ref="AA233" authorId="0">
      <text>
        <r>
          <rPr>
            <b/>
            <sz val="9"/>
            <rFont val="宋体"/>
            <charset val="134"/>
          </rPr>
          <t>Administrator:</t>
        </r>
        <r>
          <rPr>
            <sz val="9"/>
            <rFont val="宋体"/>
            <charset val="134"/>
          </rPr>
          <t xml:space="preserve">
4000500 9/8 9009pcs 华兴一F5</t>
        </r>
      </text>
    </comment>
    <comment ref="AC233" authorId="0">
      <text>
        <r>
          <rPr>
            <b/>
            <sz val="9"/>
            <rFont val="宋体"/>
            <charset val="134"/>
          </rPr>
          <t>Administrator:</t>
        </r>
        <r>
          <rPr>
            <sz val="9"/>
            <rFont val="宋体"/>
            <charset val="134"/>
          </rPr>
          <t xml:space="preserve">
8/14 上客供外箱条码贴纸 700pcs</t>
        </r>
      </text>
    </comment>
    <comment ref="AA234" authorId="0">
      <text>
        <r>
          <rPr>
            <b/>
            <sz val="9"/>
            <rFont val="宋体"/>
            <charset val="134"/>
          </rPr>
          <t>Administrator:</t>
        </r>
        <r>
          <rPr>
            <sz val="9"/>
            <rFont val="宋体"/>
            <charset val="134"/>
          </rPr>
          <t xml:space="preserve">
4000394 9/12 5421pcs 莫海军B4楼B3区
</t>
        </r>
      </text>
    </comment>
    <comment ref="AC234" authorId="0">
      <text>
        <r>
          <rPr>
            <b/>
            <sz val="9"/>
            <rFont val="宋体"/>
            <charset val="134"/>
          </rPr>
          <t>Administrator:</t>
        </r>
        <r>
          <rPr>
            <sz val="9"/>
            <rFont val="宋体"/>
            <charset val="134"/>
          </rPr>
          <t xml:space="preserve">
8/21 上客供外箱条码贴纸 421pcs</t>
        </r>
      </text>
    </comment>
    <comment ref="AA235" authorId="0">
      <text>
        <r>
          <rPr>
            <b/>
            <sz val="9"/>
            <rFont val="宋体"/>
            <charset val="134"/>
          </rPr>
          <t>Administrator:</t>
        </r>
        <r>
          <rPr>
            <sz val="9"/>
            <rFont val="宋体"/>
            <charset val="134"/>
          </rPr>
          <t xml:space="preserve">
4000394 9/12 5018pcs 莫海军B4楼A1区
</t>
        </r>
      </text>
    </comment>
    <comment ref="AC235" authorId="0">
      <text>
        <r>
          <rPr>
            <b/>
            <sz val="9"/>
            <rFont val="宋体"/>
            <charset val="134"/>
          </rPr>
          <t>Administrator:</t>
        </r>
        <r>
          <rPr>
            <sz val="9"/>
            <rFont val="宋体"/>
            <charset val="134"/>
          </rPr>
          <t xml:space="preserve">
8/21 上客供外箱条码贴纸 390pcs</t>
        </r>
      </text>
    </comment>
    <comment ref="AA236" authorId="0">
      <text>
        <r>
          <rPr>
            <b/>
            <sz val="9"/>
            <rFont val="宋体"/>
            <charset val="134"/>
          </rPr>
          <t>Administrator:</t>
        </r>
        <r>
          <rPr>
            <sz val="9"/>
            <rFont val="宋体"/>
            <charset val="134"/>
          </rPr>
          <t xml:space="preserve">
4000394 9/12 312pcs 莫海军B4楼B8区
</t>
        </r>
      </text>
    </comment>
    <comment ref="AC236" authorId="0">
      <text>
        <r>
          <rPr>
            <b/>
            <sz val="9"/>
            <rFont val="宋体"/>
            <charset val="134"/>
          </rPr>
          <t>Administrator:</t>
        </r>
        <r>
          <rPr>
            <sz val="9"/>
            <rFont val="宋体"/>
            <charset val="134"/>
          </rPr>
          <t xml:space="preserve">
8/11 上客户通用贴纸 312pcs</t>
        </r>
      </text>
    </comment>
    <comment ref="AA237" authorId="0">
      <text>
        <r>
          <rPr>
            <b/>
            <sz val="9"/>
            <rFont val="宋体"/>
            <charset val="134"/>
          </rPr>
          <t>Administrator:</t>
        </r>
        <r>
          <rPr>
            <sz val="9"/>
            <rFont val="宋体"/>
            <charset val="134"/>
          </rPr>
          <t xml:space="preserve">
4000394 9/12 7890pcs 送永捷</t>
        </r>
      </text>
    </comment>
    <comment ref="AA238" authorId="0">
      <text>
        <r>
          <rPr>
            <b/>
            <sz val="9"/>
            <rFont val="宋体"/>
            <charset val="134"/>
          </rPr>
          <t>Administrator:</t>
        </r>
        <r>
          <rPr>
            <sz val="9"/>
            <rFont val="宋体"/>
            <charset val="134"/>
          </rPr>
          <t xml:space="preserve">
5000095 9/15   54pcs 华兴三B10
4000442 9/15 3564pcs 华兴三B10</t>
        </r>
      </text>
    </comment>
    <comment ref="AA239" authorId="0">
      <text>
        <r>
          <rPr>
            <b/>
            <sz val="9"/>
            <rFont val="宋体"/>
            <charset val="134"/>
          </rPr>
          <t>Administrator:</t>
        </r>
        <r>
          <rPr>
            <sz val="9"/>
            <rFont val="宋体"/>
            <charset val="134"/>
          </rPr>
          <t xml:space="preserve">
5000110 9/17 300pcs 华兴三B17</t>
        </r>
      </text>
    </comment>
    <comment ref="AC239" authorId="0">
      <text>
        <r>
          <rPr>
            <b/>
            <sz val="9"/>
            <rFont val="宋体"/>
            <charset val="134"/>
          </rPr>
          <t>Administrator:</t>
        </r>
        <r>
          <rPr>
            <sz val="9"/>
            <rFont val="宋体"/>
            <charset val="134"/>
          </rPr>
          <t xml:space="preserve">
8/14 上客供价格贴纸 315pcs</t>
        </r>
      </text>
    </comment>
    <comment ref="AA240" authorId="0">
      <text>
        <r>
          <rPr>
            <b/>
            <sz val="12"/>
            <rFont val="宋体"/>
            <charset val="134"/>
          </rPr>
          <t>Administrator:</t>
        </r>
        <r>
          <rPr>
            <sz val="12"/>
            <rFont val="宋体"/>
            <charset val="134"/>
          </rPr>
          <t xml:space="preserve">
5000110 9/17 2496pcs 华兴一F3
5000305 9/19  104pcs 华兴一F3</t>
        </r>
      </text>
    </comment>
    <comment ref="AC240" authorId="0">
      <text>
        <r>
          <rPr>
            <b/>
            <sz val="9"/>
            <rFont val="宋体"/>
            <charset val="134"/>
          </rPr>
          <t>Administrator:</t>
        </r>
        <r>
          <rPr>
            <sz val="9"/>
            <rFont val="宋体"/>
            <charset val="134"/>
          </rPr>
          <t xml:space="preserve">
8/13 上日语贴纸 2600pcs</t>
        </r>
      </text>
    </comment>
    <comment ref="AA241" authorId="0">
      <text>
        <r>
          <rPr>
            <b/>
            <sz val="9"/>
            <rFont val="宋体"/>
            <charset val="134"/>
          </rPr>
          <t>Administrator:</t>
        </r>
        <r>
          <rPr>
            <sz val="9"/>
            <rFont val="宋体"/>
            <charset val="134"/>
          </rPr>
          <t xml:space="preserve">
5000367 9/25 1040pcs 莫海军B4楼B10区</t>
        </r>
      </text>
    </comment>
    <comment ref="AA242" authorId="0">
      <text>
        <r>
          <rPr>
            <b/>
            <sz val="9"/>
            <rFont val="宋体"/>
            <charset val="134"/>
          </rPr>
          <t>Administrator:</t>
        </r>
        <r>
          <rPr>
            <sz val="9"/>
            <rFont val="宋体"/>
            <charset val="134"/>
          </rPr>
          <t xml:space="preserve">
5000392 9/27 13824pcs  B栋四楼A6
5000408 9/27   24pcs   B栋四楼A6</t>
        </r>
      </text>
    </comment>
    <comment ref="AC242" authorId="0">
      <text>
        <r>
          <rPr>
            <b/>
            <sz val="9"/>
            <rFont val="宋体"/>
            <charset val="134"/>
          </rPr>
          <t>Administrator:</t>
        </r>
        <r>
          <rPr>
            <sz val="9"/>
            <rFont val="宋体"/>
            <charset val="134"/>
          </rPr>
          <t xml:space="preserve">
9/9 上客供RFID贴纸 13824pcs</t>
        </r>
      </text>
    </comment>
    <comment ref="AA243" authorId="0">
      <text>
        <r>
          <rPr>
            <b/>
            <sz val="9"/>
            <rFont val="宋体"/>
            <charset val="134"/>
          </rPr>
          <t>Administrator:</t>
        </r>
        <r>
          <rPr>
            <sz val="9"/>
            <rFont val="宋体"/>
            <charset val="134"/>
          </rPr>
          <t xml:space="preserve">
5000386 9/26 10368pcs 莫海军B4楼A6区</t>
        </r>
      </text>
    </comment>
    <comment ref="AC243" authorId="0">
      <text>
        <r>
          <rPr>
            <b/>
            <sz val="9"/>
            <rFont val="宋体"/>
            <charset val="134"/>
          </rPr>
          <t>Administrator:</t>
        </r>
        <r>
          <rPr>
            <sz val="9"/>
            <rFont val="宋体"/>
            <charset val="134"/>
          </rPr>
          <t xml:space="preserve">
9/9 上客供RFID贴纸 10368pcs</t>
        </r>
      </text>
    </comment>
    <comment ref="AA244" authorId="0">
      <text>
        <r>
          <rPr>
            <b/>
            <sz val="9"/>
            <rFont val="宋体"/>
            <charset val="134"/>
          </rPr>
          <t>Administrator:</t>
        </r>
        <r>
          <rPr>
            <sz val="9"/>
            <rFont val="宋体"/>
            <charset val="134"/>
          </rPr>
          <t xml:space="preserve">
5000392 9/27 8640pcs 华兴三B5
5000413 9/27 1728pcs 华兴三B5</t>
        </r>
      </text>
    </comment>
    <comment ref="AC244" authorId="0">
      <text>
        <r>
          <rPr>
            <b/>
            <sz val="9"/>
            <rFont val="宋体"/>
            <charset val="134"/>
          </rPr>
          <t>Administrator:</t>
        </r>
        <r>
          <rPr>
            <sz val="9"/>
            <rFont val="宋体"/>
            <charset val="134"/>
          </rPr>
          <t xml:space="preserve">
9/9 上客供RFID贴纸 10368pcs</t>
        </r>
      </text>
    </comment>
    <comment ref="AA245" authorId="0">
      <text>
        <r>
          <rPr>
            <b/>
            <sz val="9"/>
            <rFont val="宋体"/>
            <charset val="134"/>
          </rPr>
          <t>Administrator:</t>
        </r>
        <r>
          <rPr>
            <sz val="9"/>
            <rFont val="宋体"/>
            <charset val="134"/>
          </rPr>
          <t xml:space="preserve">
5000428 9/29 3312pcs  华兴三A8
5000425 9/29 15120pcs 华兴三A8</t>
        </r>
      </text>
    </comment>
    <comment ref="AC245" authorId="0">
      <text>
        <r>
          <rPr>
            <b/>
            <sz val="9"/>
            <rFont val="宋体"/>
            <charset val="134"/>
          </rPr>
          <t>Administrator:</t>
        </r>
        <r>
          <rPr>
            <sz val="9"/>
            <rFont val="宋体"/>
            <charset val="134"/>
          </rPr>
          <t xml:space="preserve">
9/9 上客供RFID贴纸 18432pcs</t>
        </r>
      </text>
    </comment>
    <comment ref="AA246" authorId="0">
      <text>
        <r>
          <rPr>
            <b/>
            <sz val="9"/>
            <rFont val="宋体"/>
            <charset val="134"/>
          </rPr>
          <t>Administrator:</t>
        </r>
        <r>
          <rPr>
            <sz val="9"/>
            <rFont val="宋体"/>
            <charset val="134"/>
          </rPr>
          <t xml:space="preserve">
5000457 9/30   12pcs  莫海军B4楼B7区
5000433 9/30 12660pcs 莫海军B4楼A5区
</t>
        </r>
      </text>
    </comment>
    <comment ref="AC246" authorId="0">
      <text>
        <r>
          <rPr>
            <b/>
            <sz val="9"/>
            <rFont val="宋体"/>
            <charset val="134"/>
          </rPr>
          <t>Administrator:</t>
        </r>
        <r>
          <rPr>
            <sz val="9"/>
            <rFont val="宋体"/>
            <charset val="134"/>
          </rPr>
          <t xml:space="preserve">
9/9 上客供RFID贴纸 12672pcs</t>
        </r>
      </text>
    </comment>
    <comment ref="AA247" authorId="0">
      <text>
        <r>
          <rPr>
            <b/>
            <sz val="9"/>
            <rFont val="宋体"/>
            <charset val="134"/>
          </rPr>
          <t>Administrator:</t>
        </r>
        <r>
          <rPr>
            <sz val="9"/>
            <rFont val="宋体"/>
            <charset val="134"/>
          </rPr>
          <t xml:space="preserve">
5000433 9/30 9216pcs 莫海军B4楼B8区
</t>
        </r>
      </text>
    </comment>
    <comment ref="AC247" authorId="0">
      <text>
        <r>
          <rPr>
            <b/>
            <sz val="9"/>
            <rFont val="宋体"/>
            <charset val="134"/>
          </rPr>
          <t>Administrator:</t>
        </r>
        <r>
          <rPr>
            <sz val="9"/>
            <rFont val="宋体"/>
            <charset val="134"/>
          </rPr>
          <t xml:space="preserve">
9/9 上客供RFID贴纸 9216pcs</t>
        </r>
      </text>
    </comment>
    <comment ref="AA248" authorId="0">
      <text>
        <r>
          <rPr>
            <b/>
            <sz val="9"/>
            <rFont val="宋体"/>
            <charset val="134"/>
          </rPr>
          <t>Administrator:</t>
        </r>
        <r>
          <rPr>
            <sz val="9"/>
            <rFont val="宋体"/>
            <charset val="134"/>
          </rPr>
          <t xml:space="preserve">
5000457 9/30   12pcs  莫海军B4楼C6区
5000433 9/30 12660pcs 莫海军B4楼A5区
</t>
        </r>
      </text>
    </comment>
    <comment ref="AC248" authorId="0">
      <text>
        <r>
          <rPr>
            <b/>
            <sz val="9"/>
            <rFont val="宋体"/>
            <charset val="134"/>
          </rPr>
          <t>Administrator:</t>
        </r>
        <r>
          <rPr>
            <sz val="9"/>
            <rFont val="宋体"/>
            <charset val="134"/>
          </rPr>
          <t xml:space="preserve">
9/9 上客供RFID贴纸 12672pcs</t>
        </r>
      </text>
    </comment>
    <comment ref="AA249" authorId="0">
      <text>
        <r>
          <rPr>
            <b/>
            <sz val="9"/>
            <rFont val="宋体"/>
            <charset val="134"/>
          </rPr>
          <t>Administrator:</t>
        </r>
        <r>
          <rPr>
            <sz val="9"/>
            <rFont val="宋体"/>
            <charset val="134"/>
          </rPr>
          <t xml:space="preserve">
5000488 10/10 300pcs 华兴三B13</t>
        </r>
      </text>
    </comment>
    <comment ref="AC249" authorId="0">
      <text>
        <r>
          <rPr>
            <b/>
            <sz val="12"/>
            <rFont val="宋体"/>
            <charset val="134"/>
          </rPr>
          <t>Administrator:</t>
        </r>
        <r>
          <rPr>
            <sz val="12"/>
            <rFont val="宋体"/>
            <charset val="134"/>
          </rPr>
          <t xml:space="preserve">
9/12 上客供价格贴纸 315pcs</t>
        </r>
      </text>
    </comment>
    <comment ref="AA250" authorId="0">
      <text>
        <r>
          <rPr>
            <b/>
            <sz val="9"/>
            <rFont val="宋体"/>
            <charset val="134"/>
          </rPr>
          <t>Administrator:</t>
        </r>
        <r>
          <rPr>
            <sz val="9"/>
            <rFont val="宋体"/>
            <charset val="134"/>
          </rPr>
          <t xml:space="preserve">
5000553 10/15 513pcs 华兴三B13
5000598 10/17  27pcs 华兴三B13
</t>
        </r>
      </text>
    </comment>
    <comment ref="AC250" authorId="0">
      <text>
        <r>
          <rPr>
            <b/>
            <sz val="9"/>
            <rFont val="宋体"/>
            <charset val="134"/>
          </rPr>
          <t>Administrator:</t>
        </r>
        <r>
          <rPr>
            <sz val="9"/>
            <rFont val="宋体"/>
            <charset val="134"/>
          </rPr>
          <t xml:space="preserve">
9/13 上警告语/进口商贴纸 540pcs
9/20 上警告语贴纸 540pcs</t>
        </r>
      </text>
    </comment>
    <comment ref="AA251" authorId="0">
      <text>
        <r>
          <rPr>
            <b/>
            <sz val="9"/>
            <rFont val="宋体"/>
            <charset val="134"/>
          </rPr>
          <t>Administrator:</t>
        </r>
        <r>
          <rPr>
            <sz val="9"/>
            <rFont val="宋体"/>
            <charset val="134"/>
          </rPr>
          <t xml:space="preserve">
5000575 10/15 2292pcs 莫海军B4楼B1区
5000598 10/17  12pcs  莫海军B4楼B1区</t>
        </r>
      </text>
    </comment>
    <comment ref="AC251" authorId="0">
      <text>
        <r>
          <rPr>
            <b/>
            <sz val="9"/>
            <rFont val="宋体"/>
            <charset val="134"/>
          </rPr>
          <t>Administrator:</t>
        </r>
        <r>
          <rPr>
            <sz val="9"/>
            <rFont val="宋体"/>
            <charset val="134"/>
          </rPr>
          <t xml:space="preserve">
9/29 上客供RFID贴纸 2304pcs</t>
        </r>
      </text>
    </comment>
    <comment ref="AA252" authorId="0">
      <text>
        <r>
          <rPr>
            <b/>
            <sz val="9"/>
            <rFont val="宋体"/>
            <charset val="134"/>
          </rPr>
          <t>Administrator:</t>
        </r>
        <r>
          <rPr>
            <sz val="9"/>
            <rFont val="宋体"/>
            <charset val="134"/>
          </rPr>
          <t xml:space="preserve">
5000575 10/15 1152pcs 莫海军B4楼A1区</t>
        </r>
      </text>
    </comment>
    <comment ref="AC252" authorId="0">
      <text>
        <r>
          <rPr>
            <b/>
            <sz val="9"/>
            <rFont val="宋体"/>
            <charset val="134"/>
          </rPr>
          <t>Administrator:</t>
        </r>
        <r>
          <rPr>
            <sz val="9"/>
            <rFont val="宋体"/>
            <charset val="134"/>
          </rPr>
          <t xml:space="preserve">
9/29 上客供RFID贴纸 1152pcs</t>
        </r>
      </text>
    </comment>
    <comment ref="AA253" authorId="0">
      <text>
        <r>
          <rPr>
            <b/>
            <sz val="9"/>
            <rFont val="宋体"/>
            <charset val="134"/>
          </rPr>
          <t>Administrator:</t>
        </r>
        <r>
          <rPr>
            <sz val="9"/>
            <rFont val="宋体"/>
            <charset val="134"/>
          </rPr>
          <t xml:space="preserve">
5000575 10/15 486pcs 莫海军B4楼B9区
5000598 10/17  54pcs 莫海军B4楼B9区
</t>
        </r>
      </text>
    </comment>
    <comment ref="AA254" authorId="0">
      <text>
        <r>
          <rPr>
            <b/>
            <sz val="9"/>
            <rFont val="宋体"/>
            <charset val="134"/>
          </rPr>
          <t>Administrator:</t>
        </r>
        <r>
          <rPr>
            <sz val="9"/>
            <rFont val="宋体"/>
            <charset val="134"/>
          </rPr>
          <t xml:space="preserve">
5000598 10/17 650pcs 华兴三A27</t>
        </r>
      </text>
    </comment>
    <comment ref="AC254" authorId="0">
      <text>
        <r>
          <rPr>
            <b/>
            <sz val="9"/>
            <rFont val="宋体"/>
            <charset val="134"/>
          </rPr>
          <t>Administrator:</t>
        </r>
        <r>
          <rPr>
            <sz val="9"/>
            <rFont val="宋体"/>
            <charset val="134"/>
          </rPr>
          <t xml:space="preserve">
9/25 上挪威语警语贴纸 650pcs</t>
        </r>
      </text>
    </comment>
    <comment ref="AA255" authorId="0">
      <text>
        <r>
          <rPr>
            <b/>
            <sz val="9"/>
            <rFont val="宋体"/>
            <charset val="134"/>
          </rPr>
          <t>Administrator:</t>
        </r>
        <r>
          <rPr>
            <sz val="9"/>
            <rFont val="宋体"/>
            <charset val="134"/>
          </rPr>
          <t xml:space="preserve">
5000619 10/18 1248pcs 华兴三A32</t>
        </r>
      </text>
    </comment>
    <comment ref="AA256" authorId="0">
      <text>
        <r>
          <rPr>
            <b/>
            <sz val="9"/>
            <rFont val="宋体"/>
            <charset val="134"/>
          </rPr>
          <t>Administrator:</t>
        </r>
        <r>
          <rPr>
            <sz val="9"/>
            <rFont val="宋体"/>
            <charset val="134"/>
          </rPr>
          <t xml:space="preserve">
5000619 10/18 767pcs 华兴三A32</t>
        </r>
      </text>
    </comment>
    <comment ref="AA257" authorId="0">
      <text>
        <r>
          <rPr>
            <b/>
            <sz val="9"/>
            <rFont val="宋体"/>
            <charset val="134"/>
          </rPr>
          <t>Administrator:</t>
        </r>
        <r>
          <rPr>
            <sz val="9"/>
            <rFont val="宋体"/>
            <charset val="134"/>
          </rPr>
          <t xml:space="preserve">
5000180 10/24 3900pcs 华兴三B14</t>
        </r>
      </text>
    </comment>
    <comment ref="AC257" authorId="0">
      <text>
        <r>
          <rPr>
            <b/>
            <sz val="9"/>
            <rFont val="宋体"/>
            <charset val="134"/>
          </rPr>
          <t>Administrator:</t>
        </r>
        <r>
          <rPr>
            <sz val="9"/>
            <rFont val="宋体"/>
            <charset val="134"/>
          </rPr>
          <t xml:space="preserve">
9/23 上8+贴纸 4550pcs
     上3C贴纸 4500pcs
10/17 上客供防串码贴纸1拖13 5200pcs
10/21 上8+贴纸 4000pcs(湖南损耗补数）</t>
        </r>
      </text>
    </comment>
    <comment ref="AA258" authorId="0">
      <text>
        <r>
          <rPr>
            <b/>
            <sz val="9"/>
            <rFont val="宋体"/>
            <charset val="134"/>
          </rPr>
          <t>Administrator:</t>
        </r>
        <r>
          <rPr>
            <sz val="9"/>
            <rFont val="宋体"/>
            <charset val="134"/>
          </rPr>
          <t xml:space="preserve">
5000180 10/24 650pcs 华兴三A27</t>
        </r>
      </text>
    </comment>
    <comment ref="AA259" authorId="0">
      <text>
        <r>
          <rPr>
            <b/>
            <sz val="9"/>
            <rFont val="宋体"/>
            <charset val="134"/>
          </rPr>
          <t>Administrator:</t>
        </r>
        <r>
          <rPr>
            <sz val="9"/>
            <rFont val="宋体"/>
            <charset val="134"/>
          </rPr>
          <t xml:space="preserve">
5000210 10/28 65pcs 华兴三B14</t>
        </r>
      </text>
    </comment>
    <comment ref="AA260" authorId="0">
      <text>
        <r>
          <rPr>
            <b/>
            <sz val="9"/>
            <rFont val="宋体"/>
            <charset val="134"/>
          </rPr>
          <t>Administrator:</t>
        </r>
        <r>
          <rPr>
            <sz val="9"/>
            <rFont val="宋体"/>
            <charset val="134"/>
          </rPr>
          <t xml:space="preserve">
1200261 10/31 2080pcs 华兴三B14</t>
        </r>
      </text>
    </comment>
    <comment ref="AA261" authorId="0">
      <text>
        <r>
          <rPr>
            <b/>
            <sz val="9"/>
            <rFont val="宋体"/>
            <charset val="134"/>
          </rPr>
          <t>Administrator:</t>
        </r>
        <r>
          <rPr>
            <sz val="9"/>
            <rFont val="宋体"/>
            <charset val="134"/>
          </rPr>
          <t xml:space="preserve">
1200261 10/31 540pcs 华兴三B13</t>
        </r>
      </text>
    </comment>
    <comment ref="AA262" authorId="0">
      <text>
        <r>
          <rPr>
            <b/>
            <sz val="9"/>
            <rFont val="宋体"/>
            <charset val="134"/>
          </rPr>
          <t>Administrator:</t>
        </r>
        <r>
          <rPr>
            <sz val="9"/>
            <rFont val="宋体"/>
            <charset val="134"/>
          </rPr>
          <t xml:space="preserve">
1200310 11/5 611pcs 华兴三B7
1200319 11/6  39pcs 华兴三B7</t>
        </r>
      </text>
    </comment>
    <comment ref="AC262" authorId="0">
      <text>
        <r>
          <rPr>
            <b/>
            <sz val="9"/>
            <rFont val="宋体"/>
            <charset val="134"/>
          </rPr>
          <t>Administrator:</t>
        </r>
        <r>
          <rPr>
            <sz val="9"/>
            <rFont val="宋体"/>
            <charset val="134"/>
          </rPr>
          <t xml:space="preserve">
10/13 上8+贴纸 650pcs
      上3C贴纸 650pcs
10/17 上客供防串码贴纸1拖13 5200pcs
</t>
        </r>
      </text>
    </comment>
    <comment ref="AA263" authorId="0">
      <text>
        <r>
          <rPr>
            <b/>
            <sz val="9"/>
            <rFont val="宋体"/>
            <charset val="134"/>
          </rPr>
          <t>Administrator:</t>
        </r>
        <r>
          <rPr>
            <sz val="9"/>
            <rFont val="宋体"/>
            <charset val="134"/>
          </rPr>
          <t xml:space="preserve">
1200300 11/5 5760pcs 华兴三B9</t>
        </r>
      </text>
    </comment>
    <comment ref="AC263" authorId="0">
      <text>
        <r>
          <rPr>
            <b/>
            <sz val="9"/>
            <rFont val="宋体"/>
            <charset val="134"/>
          </rPr>
          <t>Administrator:</t>
        </r>
        <r>
          <rPr>
            <sz val="9"/>
            <rFont val="宋体"/>
            <charset val="134"/>
          </rPr>
          <t xml:space="preserve">
10/17 上客供价格贴纸 5760pcs
10/21 上德语警告语贴纸 5760pcs</t>
        </r>
      </text>
    </comment>
    <comment ref="AA264" authorId="0">
      <text>
        <r>
          <rPr>
            <b/>
            <sz val="9"/>
            <rFont val="宋体"/>
            <charset val="134"/>
          </rPr>
          <t>Administrator:</t>
        </r>
        <r>
          <rPr>
            <sz val="9"/>
            <rFont val="宋体"/>
            <charset val="134"/>
          </rPr>
          <t xml:space="preserve">
1200278 11/4 2304pcs 华兴三B4</t>
        </r>
      </text>
    </comment>
    <comment ref="AC264" authorId="0">
      <text>
        <r>
          <rPr>
            <b/>
            <sz val="9"/>
            <rFont val="宋体"/>
            <charset val="134"/>
          </rPr>
          <t>Administrator:</t>
        </r>
        <r>
          <rPr>
            <sz val="9"/>
            <rFont val="宋体"/>
            <charset val="134"/>
          </rPr>
          <t xml:space="preserve">
10/17 上客供RFID贴纸 2304pcs</t>
        </r>
      </text>
    </comment>
    <comment ref="AA265" authorId="0">
      <text>
        <r>
          <rPr>
            <b/>
            <sz val="9"/>
            <rFont val="宋体"/>
            <charset val="134"/>
          </rPr>
          <t>Administrator:</t>
        </r>
        <r>
          <rPr>
            <sz val="9"/>
            <rFont val="宋体"/>
            <charset val="134"/>
          </rPr>
          <t xml:space="preserve">
1200278 11/4 2280pcs 华兴三B4
1200300 11/5  24pcs  华兴三B4</t>
        </r>
      </text>
    </comment>
    <comment ref="AC265" authorId="0">
      <text>
        <r>
          <rPr>
            <b/>
            <sz val="9"/>
            <rFont val="宋体"/>
            <charset val="134"/>
          </rPr>
          <t>Administrator:</t>
        </r>
        <r>
          <rPr>
            <sz val="9"/>
            <rFont val="宋体"/>
            <charset val="134"/>
          </rPr>
          <t xml:space="preserve">
10/17 上客供RFID贴纸 2304pcs</t>
        </r>
      </text>
    </comment>
    <comment ref="AA266" authorId="0">
      <text>
        <r>
          <rPr>
            <b/>
            <sz val="9"/>
            <rFont val="宋体"/>
            <charset val="134"/>
          </rPr>
          <t>Administrator:</t>
        </r>
        <r>
          <rPr>
            <sz val="9"/>
            <rFont val="宋体"/>
            <charset val="134"/>
          </rPr>
          <t xml:space="preserve">
1200278 11/4 2304pcs 华兴三B4</t>
        </r>
      </text>
    </comment>
    <comment ref="AC266" authorId="0">
      <text>
        <r>
          <rPr>
            <b/>
            <sz val="9"/>
            <rFont val="宋体"/>
            <charset val="134"/>
          </rPr>
          <t>Administrator:</t>
        </r>
        <r>
          <rPr>
            <sz val="9"/>
            <rFont val="宋体"/>
            <charset val="134"/>
          </rPr>
          <t xml:space="preserve">
10/17 上客供RFID贴纸 2304pcs</t>
        </r>
      </text>
    </comment>
    <comment ref="AA267" authorId="0">
      <text>
        <r>
          <rPr>
            <b/>
            <sz val="9"/>
            <rFont val="宋体"/>
            <charset val="134"/>
          </rPr>
          <t>Administrator:</t>
        </r>
        <r>
          <rPr>
            <sz val="9"/>
            <rFont val="宋体"/>
            <charset val="134"/>
          </rPr>
          <t xml:space="preserve">
1200278 11/4 2280pcs 华兴三B4
1200300 11/5  24pcs  华兴三B4</t>
        </r>
      </text>
    </comment>
    <comment ref="AC267" authorId="0">
      <text>
        <r>
          <rPr>
            <b/>
            <sz val="9"/>
            <rFont val="宋体"/>
            <charset val="134"/>
          </rPr>
          <t>Administrator:</t>
        </r>
        <r>
          <rPr>
            <sz val="9"/>
            <rFont val="宋体"/>
            <charset val="134"/>
          </rPr>
          <t xml:space="preserve">
10/30 上客供RFID贴纸 2304pcs</t>
        </r>
      </text>
    </comment>
    <comment ref="AA268" authorId="0">
      <text>
        <r>
          <rPr>
            <b/>
            <sz val="9"/>
            <rFont val="宋体"/>
            <charset val="134"/>
          </rPr>
          <t>Administrator:</t>
        </r>
        <r>
          <rPr>
            <sz val="9"/>
            <rFont val="宋体"/>
            <charset val="134"/>
          </rPr>
          <t xml:space="preserve">
1200363 11/12 2700pcs 华兴三A27
1200377 11/13 108pcs  华兴三A27</t>
        </r>
      </text>
    </comment>
    <comment ref="AC268" authorId="0">
      <text>
        <r>
          <rPr>
            <b/>
            <sz val="9"/>
            <rFont val="宋体"/>
            <charset val="134"/>
          </rPr>
          <t>Administrator:</t>
        </r>
        <r>
          <rPr>
            <sz val="9"/>
            <rFont val="宋体"/>
            <charset val="134"/>
          </rPr>
          <t xml:space="preserve">
10/23 上DE警语贴纸 2808pcs
      上PDQ条码贴纸 104pcs</t>
        </r>
      </text>
    </comment>
    <comment ref="AA269" authorId="0">
      <text>
        <r>
          <rPr>
            <b/>
            <sz val="9"/>
            <rFont val="宋体"/>
            <charset val="134"/>
          </rPr>
          <t>Administrator:</t>
        </r>
        <r>
          <rPr>
            <sz val="9"/>
            <rFont val="宋体"/>
            <charset val="134"/>
          </rPr>
          <t xml:space="preserve">
1200363 11/12 1027pcs 华兴三B8
1200377 11/13  13pcs  华兴三B8</t>
        </r>
      </text>
    </comment>
    <comment ref="AA270" authorId="0">
      <text>
        <r>
          <rPr>
            <b/>
            <sz val="9"/>
            <rFont val="宋体"/>
            <charset val="134"/>
          </rPr>
          <t>Administrator:</t>
        </r>
        <r>
          <rPr>
            <sz val="9"/>
            <rFont val="宋体"/>
            <charset val="134"/>
          </rPr>
          <t xml:space="preserve">
1200377 11/13 8100pcs 华兴三A31
1200400 11/14   54pcs 华兴三A31</t>
        </r>
      </text>
    </comment>
    <comment ref="AC270" authorId="0">
      <text>
        <r>
          <rPr>
            <b/>
            <sz val="9"/>
            <rFont val="宋体"/>
            <charset val="134"/>
          </rPr>
          <t>Administrator:</t>
        </r>
        <r>
          <rPr>
            <sz val="9"/>
            <rFont val="宋体"/>
            <charset val="134"/>
          </rPr>
          <t xml:space="preserve">
10/21 上进口商贴纸 16308pcs
      上UPC贴纸 8154pcs</t>
        </r>
      </text>
    </comment>
    <comment ref="AA271" authorId="0">
      <text>
        <r>
          <rPr>
            <b/>
            <sz val="9"/>
            <rFont val="宋体"/>
            <charset val="134"/>
          </rPr>
          <t>Administrator:</t>
        </r>
        <r>
          <rPr>
            <sz val="9"/>
            <rFont val="宋体"/>
            <charset val="134"/>
          </rPr>
          <t xml:space="preserve">
1200476 11/20 1157pcs B4楼A9区</t>
        </r>
      </text>
    </comment>
    <comment ref="AC271" authorId="0">
      <text>
        <r>
          <rPr>
            <b/>
            <sz val="9"/>
            <rFont val="宋体"/>
            <charset val="134"/>
          </rPr>
          <t>Administrator:</t>
        </r>
        <r>
          <rPr>
            <sz val="9"/>
            <rFont val="宋体"/>
            <charset val="134"/>
          </rPr>
          <t xml:space="preserve">
11/7 上多语警语可折叠贴纸 1157pcs
11/10 上多语通用化学品警语说明书 1157pcs</t>
        </r>
      </text>
    </comment>
    <comment ref="AA272" authorId="0">
      <text>
        <r>
          <rPr>
            <b/>
            <sz val="9"/>
            <rFont val="宋体"/>
            <charset val="134"/>
          </rPr>
          <t>Administrator:</t>
        </r>
        <r>
          <rPr>
            <sz val="9"/>
            <rFont val="宋体"/>
            <charset val="134"/>
          </rPr>
          <t xml:space="preserve">
1200492 11/25 1534pcs 华兴三B14
1200523 11/26  39pcs  华兴三B14</t>
        </r>
      </text>
    </comment>
    <comment ref="AA273" authorId="0">
      <text>
        <r>
          <rPr>
            <b/>
            <sz val="9"/>
            <rFont val="宋体"/>
            <charset val="134"/>
          </rPr>
          <t>Administrator:</t>
        </r>
        <r>
          <rPr>
            <sz val="9"/>
            <rFont val="宋体"/>
            <charset val="134"/>
          </rPr>
          <t xml:space="preserve">
1200492 11/25 1134pcs 华兴三B14
1200523 11/26  108pcs 华兴三B14</t>
        </r>
      </text>
    </comment>
    <comment ref="AC273" authorId="0">
      <text>
        <r>
          <rPr>
            <b/>
            <sz val="9"/>
            <rFont val="宋体"/>
            <charset val="134"/>
          </rPr>
          <t>Administrator:</t>
        </r>
        <r>
          <rPr>
            <sz val="9"/>
            <rFont val="宋体"/>
            <charset val="134"/>
          </rPr>
          <t xml:space="preserve">
10/22 上PDQ贴纸 621pcs</t>
        </r>
      </text>
    </comment>
    <comment ref="AA274" authorId="0">
      <text>
        <r>
          <rPr>
            <b/>
            <sz val="9"/>
            <rFont val="宋体"/>
            <charset val="134"/>
          </rPr>
          <t>Administrator:</t>
        </r>
        <r>
          <rPr>
            <sz val="9"/>
            <rFont val="宋体"/>
            <charset val="134"/>
          </rPr>
          <t xml:space="preserve">
1200559 11/27 360pcs 华兴三B13</t>
        </r>
      </text>
    </comment>
    <comment ref="AC274" authorId="0">
      <text>
        <r>
          <rPr>
            <b/>
            <sz val="9"/>
            <rFont val="宋体"/>
            <charset val="134"/>
          </rPr>
          <t>Administrator:</t>
        </r>
        <r>
          <rPr>
            <sz val="9"/>
            <rFont val="宋体"/>
            <charset val="134"/>
          </rPr>
          <t xml:space="preserve">
11/14 上进口商贴纸 360pcs
11/19 上QR code贴纸 360pcs</t>
        </r>
      </text>
    </comment>
    <comment ref="AA275" authorId="0">
      <text>
        <r>
          <rPr>
            <b/>
            <sz val="9"/>
            <rFont val="宋体"/>
            <charset val="134"/>
          </rPr>
          <t>Administrator:</t>
        </r>
        <r>
          <rPr>
            <sz val="9"/>
            <rFont val="宋体"/>
            <charset val="134"/>
          </rPr>
          <t xml:space="preserve">
1200546 11/28 130pcs 华兴三B13</t>
        </r>
      </text>
    </comment>
    <comment ref="AA276" authorId="0">
      <text>
        <r>
          <rPr>
            <b/>
            <sz val="9"/>
            <rFont val="宋体"/>
            <charset val="134"/>
          </rPr>
          <t>Administrator:</t>
        </r>
        <r>
          <rPr>
            <sz val="9"/>
            <rFont val="宋体"/>
            <charset val="134"/>
          </rPr>
          <t xml:space="preserve">
1200546 11/28 299pcs 华兴三B14</t>
        </r>
      </text>
    </comment>
    <comment ref="AA277" authorId="0">
      <text>
        <r>
          <rPr>
            <b/>
            <sz val="12"/>
            <rFont val="宋体"/>
            <charset val="134"/>
          </rPr>
          <t>Administrator:</t>
        </r>
        <r>
          <rPr>
            <sz val="12"/>
            <rFont val="宋体"/>
            <charset val="134"/>
          </rPr>
          <t xml:space="preserve">
1200535 11/28 8034pcs 华兴一F12
1200174 11/29  13pcs</t>
        </r>
      </text>
    </comment>
    <comment ref="AA278" authorId="0">
      <text>
        <r>
          <rPr>
            <b/>
            <sz val="9"/>
            <rFont val="宋体"/>
            <charset val="134"/>
          </rPr>
          <t>Administrator:</t>
        </r>
        <r>
          <rPr>
            <sz val="9"/>
            <rFont val="宋体"/>
            <charset val="134"/>
          </rPr>
          <t xml:space="preserve">
1200567 11/29 2340pcs
1200174 11/29 5642pcs</t>
        </r>
      </text>
    </comment>
    <comment ref="AA279" authorId="0">
      <text>
        <r>
          <rPr>
            <b/>
            <sz val="9"/>
            <rFont val="宋体"/>
            <charset val="134"/>
          </rPr>
          <t>Administrator:</t>
        </r>
        <r>
          <rPr>
            <sz val="9"/>
            <rFont val="宋体"/>
            <charset val="134"/>
          </rPr>
          <t xml:space="preserve">
1200567 11/29 52pcs
1200174 11/29 13pcs</t>
        </r>
      </text>
    </comment>
    <comment ref="AA280" authorId="0">
      <text>
        <r>
          <rPr>
            <b/>
            <sz val="9"/>
            <rFont val="宋体"/>
            <charset val="134"/>
          </rPr>
          <t>Administrator:</t>
        </r>
        <r>
          <rPr>
            <sz val="9"/>
            <rFont val="宋体"/>
            <charset val="134"/>
          </rPr>
          <t xml:space="preserve">
1200523 11/26 481pcs 华兴三B14</t>
        </r>
      </text>
    </comment>
    <comment ref="AA281" authorId="0">
      <text>
        <r>
          <rPr>
            <b/>
            <sz val="9"/>
            <rFont val="宋体"/>
            <charset val="134"/>
          </rPr>
          <t>Administrator:</t>
        </r>
        <r>
          <rPr>
            <sz val="9"/>
            <rFont val="宋体"/>
            <charset val="134"/>
          </rPr>
          <t xml:space="preserve">
4001147 12/3 338pcs 华兴三B15
 </t>
        </r>
      </text>
    </comment>
    <comment ref="AA282" authorId="0">
      <text>
        <r>
          <rPr>
            <b/>
            <sz val="9"/>
            <rFont val="宋体"/>
            <charset val="134"/>
          </rPr>
          <t>Administrator:</t>
        </r>
        <r>
          <rPr>
            <sz val="9"/>
            <rFont val="宋体"/>
            <charset val="134"/>
          </rPr>
          <t xml:space="preserve">
4001147 12/3 468pcs 华兴三B15
 </t>
        </r>
      </text>
    </comment>
    <comment ref="AC282" authorId="0">
      <text>
        <r>
          <rPr>
            <b/>
            <sz val="9"/>
            <rFont val="宋体"/>
            <charset val="134"/>
          </rPr>
          <t>Administrator:</t>
        </r>
        <r>
          <rPr>
            <sz val="9"/>
            <rFont val="宋体"/>
            <charset val="134"/>
          </rPr>
          <t xml:space="preserve">
11/21 上客供UCC贴纸 36pcs</t>
        </r>
      </text>
    </comment>
    <comment ref="AA283" authorId="0">
      <text>
        <r>
          <rPr>
            <b/>
            <sz val="9"/>
            <rFont val="宋体"/>
            <charset val="134"/>
          </rPr>
          <t>Administrator:</t>
        </r>
        <r>
          <rPr>
            <sz val="9"/>
            <rFont val="宋体"/>
            <charset val="134"/>
          </rPr>
          <t xml:space="preserve">
4001147 12/3 403pcs 华兴三B15
 </t>
        </r>
      </text>
    </comment>
    <comment ref="AC283" authorId="0">
      <text>
        <r>
          <rPr>
            <b/>
            <sz val="9"/>
            <rFont val="宋体"/>
            <charset val="134"/>
          </rPr>
          <t>Administrator:</t>
        </r>
        <r>
          <rPr>
            <sz val="9"/>
            <rFont val="宋体"/>
            <charset val="134"/>
          </rPr>
          <t xml:space="preserve">
11/21 上客供UCC贴纸 31pcs</t>
        </r>
      </text>
    </comment>
    <comment ref="AA284" authorId="0">
      <text>
        <r>
          <rPr>
            <b/>
            <sz val="9"/>
            <rFont val="宋体"/>
            <charset val="134"/>
          </rPr>
          <t>Administrator:</t>
        </r>
        <r>
          <rPr>
            <sz val="9"/>
            <rFont val="宋体"/>
            <charset val="134"/>
          </rPr>
          <t xml:space="preserve">
4001147 12/3 286pcs 华兴三B15
 </t>
        </r>
      </text>
    </comment>
    <comment ref="AC284" authorId="0">
      <text>
        <r>
          <rPr>
            <b/>
            <sz val="9"/>
            <rFont val="宋体"/>
            <charset val="134"/>
          </rPr>
          <t>Administrator:</t>
        </r>
        <r>
          <rPr>
            <sz val="9"/>
            <rFont val="宋体"/>
            <charset val="134"/>
          </rPr>
          <t xml:space="preserve">
11/21 上客供UCC贴纸 22pcs</t>
        </r>
      </text>
    </comment>
    <comment ref="AA285" authorId="0">
      <text>
        <r>
          <rPr>
            <b/>
            <sz val="9"/>
            <rFont val="宋体"/>
            <charset val="134"/>
          </rPr>
          <t>Administrator:</t>
        </r>
        <r>
          <rPr>
            <sz val="9"/>
            <rFont val="宋体"/>
            <charset val="134"/>
          </rPr>
          <t xml:space="preserve">
4001147 12/3 351pcs 华兴三B15
 </t>
        </r>
      </text>
    </comment>
    <comment ref="AA286" authorId="0">
      <text>
        <r>
          <rPr>
            <b/>
            <sz val="9"/>
            <rFont val="宋体"/>
            <charset val="134"/>
          </rPr>
          <t>Administrator:</t>
        </r>
        <r>
          <rPr>
            <sz val="9"/>
            <rFont val="宋体"/>
            <charset val="134"/>
          </rPr>
          <t xml:space="preserve">
1200188 12/6 312pcs 华兴三B17</t>
        </r>
      </text>
    </comment>
    <comment ref="AC286" authorId="0">
      <text>
        <r>
          <rPr>
            <b/>
            <sz val="9"/>
            <rFont val="宋体"/>
            <charset val="134"/>
          </rPr>
          <t>Administrator:</t>
        </r>
        <r>
          <rPr>
            <sz val="9"/>
            <rFont val="宋体"/>
            <charset val="134"/>
          </rPr>
          <t xml:space="preserve">
11/13 上多语警语可折叠贴纸 906pcs
11/17 上多语通用化学品警语多语说明书 906pcs</t>
        </r>
      </text>
    </comment>
    <comment ref="AA287" authorId="0">
      <text>
        <r>
          <rPr>
            <b/>
            <sz val="9"/>
            <rFont val="宋体"/>
            <charset val="134"/>
          </rPr>
          <t>Administrator:</t>
        </r>
        <r>
          <rPr>
            <sz val="9"/>
            <rFont val="宋体"/>
            <charset val="134"/>
          </rPr>
          <t xml:space="preserve">
1200183 12/5 594pcs 华兴三B8</t>
        </r>
      </text>
    </comment>
    <comment ref="AC287" authorId="0">
      <text>
        <r>
          <rPr>
            <b/>
            <sz val="9"/>
            <rFont val="宋体"/>
            <charset val="134"/>
          </rPr>
          <t>Administrator:</t>
        </r>
        <r>
          <rPr>
            <sz val="9"/>
            <rFont val="宋体"/>
            <charset val="134"/>
          </rPr>
          <t xml:space="preserve">
11/13 上多语警语可折叠贴纸 906pcs
11/17 上多语通用化学品警语多语说明书 906pcs</t>
        </r>
      </text>
    </comment>
    <comment ref="AA288" authorId="0">
      <text>
        <r>
          <rPr>
            <b/>
            <sz val="9"/>
            <rFont val="宋体"/>
            <charset val="134"/>
          </rPr>
          <t>Administrator:</t>
        </r>
        <r>
          <rPr>
            <sz val="9"/>
            <rFont val="宋体"/>
            <charset val="134"/>
          </rPr>
          <t xml:space="preserve">
1200201 12/6 611pcs B4楼B1区</t>
        </r>
      </text>
    </comment>
    <comment ref="AC288" authorId="0">
      <text>
        <r>
          <rPr>
            <b/>
            <sz val="9"/>
            <rFont val="宋体"/>
            <charset val="134"/>
          </rPr>
          <t>Administrator:</t>
        </r>
        <r>
          <rPr>
            <sz val="9"/>
            <rFont val="宋体"/>
            <charset val="134"/>
          </rPr>
          <t xml:space="preserve">
11/24 上德意警告语贴纸 611pcs</t>
        </r>
      </text>
    </comment>
    <comment ref="AA289" authorId="0">
      <text>
        <r>
          <rPr>
            <b/>
            <sz val="9"/>
            <rFont val="宋体"/>
            <charset val="134"/>
          </rPr>
          <t>Administrator:</t>
        </r>
        <r>
          <rPr>
            <sz val="9"/>
            <rFont val="宋体"/>
            <charset val="134"/>
          </rPr>
          <t xml:space="preserve">
1200183 12/5 330pcs 华兴三B8</t>
        </r>
      </text>
    </comment>
    <comment ref="AC289" authorId="0">
      <text>
        <r>
          <rPr>
            <b/>
            <sz val="12"/>
            <rFont val="宋体"/>
            <charset val="134"/>
          </rPr>
          <t>Administrator:</t>
        </r>
        <r>
          <rPr>
            <sz val="12"/>
            <rFont val="宋体"/>
            <charset val="134"/>
          </rPr>
          <t xml:space="preserve">
11/22 上slime袋子警告语贴纸 330pcs
11/24 上可折叠贴纸 330pcs</t>
        </r>
      </text>
    </comment>
    <comment ref="AA290" authorId="0">
      <text>
        <r>
          <rPr>
            <b/>
            <sz val="9"/>
            <rFont val="宋体"/>
            <charset val="134"/>
          </rPr>
          <t>Administrator:</t>
        </r>
        <r>
          <rPr>
            <sz val="9"/>
            <rFont val="宋体"/>
            <charset val="134"/>
          </rPr>
          <t xml:space="preserve">
1200251 12/11 4896pcs 华兴三B17</t>
        </r>
      </text>
    </comment>
    <comment ref="AA291" authorId="0">
      <text>
        <r>
          <rPr>
            <b/>
            <sz val="9"/>
            <rFont val="宋体"/>
            <charset val="134"/>
          </rPr>
          <t>Administrator:</t>
        </r>
        <r>
          <rPr>
            <sz val="9"/>
            <rFont val="宋体"/>
            <charset val="134"/>
          </rPr>
          <t xml:space="preserve">
1200188 12/6 7506pcs 华兴三A15</t>
        </r>
      </text>
    </comment>
    <comment ref="AC291" authorId="0">
      <text>
        <r>
          <rPr>
            <b/>
            <sz val="9"/>
            <rFont val="宋体"/>
            <charset val="134"/>
          </rPr>
          <t>Administrator:</t>
        </r>
        <r>
          <rPr>
            <sz val="9"/>
            <rFont val="宋体"/>
            <charset val="134"/>
          </rPr>
          <t xml:space="preserve">
11/6 上UPC贴纸 7506pcs
     上进口商贴纸 15012pcs</t>
        </r>
      </text>
    </comment>
    <comment ref="AA292" authorId="0">
      <text>
        <r>
          <rPr>
            <b/>
            <sz val="9"/>
            <rFont val="宋体"/>
            <charset val="134"/>
          </rPr>
          <t>Administrator:</t>
        </r>
        <r>
          <rPr>
            <sz val="9"/>
            <rFont val="宋体"/>
            <charset val="134"/>
          </rPr>
          <t xml:space="preserve">
1200766 12/12 2600pcs B4楼A7区
1200787 12/13   26pcs B4楼A7区</t>
        </r>
      </text>
    </comment>
    <comment ref="AA293" authorId="0">
      <text>
        <r>
          <rPr>
            <b/>
            <sz val="12"/>
            <rFont val="宋体"/>
            <charset val="134"/>
          </rPr>
          <t>Administrator:</t>
        </r>
        <r>
          <rPr>
            <sz val="12"/>
            <rFont val="宋体"/>
            <charset val="134"/>
          </rPr>
          <t xml:space="preserve">
1200951 12/16 972pcs B4楼B9区</t>
        </r>
      </text>
    </comment>
    <comment ref="AC293" authorId="0">
      <text>
        <r>
          <rPr>
            <b/>
            <sz val="9"/>
            <rFont val="宋体"/>
            <charset val="134"/>
          </rPr>
          <t>Administrator:</t>
        </r>
        <r>
          <rPr>
            <sz val="9"/>
            <rFont val="宋体"/>
            <charset val="134"/>
          </rPr>
          <t xml:space="preserve">
12/2 上客供价格贴纸 1006pcs</t>
        </r>
      </text>
    </comment>
    <comment ref="AA294" authorId="0">
      <text>
        <r>
          <rPr>
            <b/>
            <sz val="9"/>
            <rFont val="宋体"/>
            <charset val="134"/>
          </rPr>
          <t>Administrator:</t>
        </r>
        <r>
          <rPr>
            <sz val="9"/>
            <rFont val="宋体"/>
            <charset val="134"/>
          </rPr>
          <t xml:space="preserve">
1201008 12/19 2916pcs 华兴三A27</t>
        </r>
      </text>
    </comment>
    <comment ref="AC294" authorId="0">
      <text>
        <r>
          <rPr>
            <b/>
            <sz val="9"/>
            <rFont val="宋体"/>
            <charset val="134"/>
          </rPr>
          <t>Administrator:</t>
        </r>
        <r>
          <rPr>
            <sz val="9"/>
            <rFont val="宋体"/>
            <charset val="134"/>
          </rPr>
          <t xml:space="preserve">
12/6 上进口商贴纸 7614pcs
180717/180735/180758共用</t>
        </r>
      </text>
    </comment>
    <comment ref="AA295" authorId="0">
      <text>
        <r>
          <rPr>
            <b/>
            <sz val="9"/>
            <rFont val="宋体"/>
            <charset val="134"/>
          </rPr>
          <t>Administrator:</t>
        </r>
        <r>
          <rPr>
            <sz val="9"/>
            <rFont val="宋体"/>
            <charset val="134"/>
          </rPr>
          <t xml:space="preserve">
1200988 12/19 1080pcs B4楼B9区</t>
        </r>
      </text>
    </comment>
    <comment ref="AC295" authorId="0">
      <text>
        <r>
          <rPr>
            <b/>
            <sz val="9"/>
            <rFont val="宋体"/>
            <charset val="134"/>
          </rPr>
          <t>Administrator:</t>
        </r>
        <r>
          <rPr>
            <sz val="9"/>
            <rFont val="宋体"/>
            <charset val="134"/>
          </rPr>
          <t xml:space="preserve">
12/6 上进口商贴纸 7614pcs
180717/180735/180758共用</t>
        </r>
      </text>
    </comment>
    <comment ref="AA296" authorId="0">
      <text>
        <r>
          <rPr>
            <b/>
            <sz val="9"/>
            <rFont val="宋体"/>
            <charset val="134"/>
          </rPr>
          <t>Administrator:</t>
        </r>
        <r>
          <rPr>
            <sz val="9"/>
            <rFont val="宋体"/>
            <charset val="134"/>
          </rPr>
          <t xml:space="preserve">
1200988 12/19 1080pcs B4楼B9区</t>
        </r>
      </text>
    </comment>
    <comment ref="AC296" authorId="0">
      <text>
        <r>
          <rPr>
            <b/>
            <sz val="9"/>
            <rFont val="宋体"/>
            <charset val="134"/>
          </rPr>
          <t>Administrator:</t>
        </r>
        <r>
          <rPr>
            <sz val="9"/>
            <rFont val="宋体"/>
            <charset val="134"/>
          </rPr>
          <t xml:space="preserve">
12/6 上进口商贴纸 7614pcs
180717/180735/180758共用</t>
        </r>
      </text>
    </comment>
    <comment ref="AA297" authorId="0">
      <text>
        <r>
          <rPr>
            <b/>
            <sz val="9"/>
            <rFont val="宋体"/>
            <charset val="134"/>
          </rPr>
          <t>Administrator:</t>
        </r>
        <r>
          <rPr>
            <sz val="9"/>
            <rFont val="宋体"/>
            <charset val="134"/>
          </rPr>
          <t xml:space="preserve">
1201008 12/19 2600pcs 华兴三A27</t>
        </r>
      </text>
    </comment>
    <comment ref="AC297" authorId="0">
      <text>
        <r>
          <rPr>
            <b/>
            <sz val="9"/>
            <rFont val="宋体"/>
            <charset val="134"/>
          </rPr>
          <t>Administrator:</t>
        </r>
        <r>
          <rPr>
            <sz val="9"/>
            <rFont val="宋体"/>
            <charset val="134"/>
          </rPr>
          <t xml:space="preserve">
11/24 上8+贴纸 2600pcs
      上年龄贴纸 2600pcs
12/8  上客供防串码贴纸1拖13 2600pcs</t>
        </r>
      </text>
    </comment>
    <comment ref="AC298" authorId="0">
      <text>
        <r>
          <rPr>
            <b/>
            <sz val="9"/>
            <rFont val="宋体"/>
            <charset val="134"/>
          </rPr>
          <t>Administrator:</t>
        </r>
        <r>
          <rPr>
            <sz val="9"/>
            <rFont val="宋体"/>
            <charset val="134"/>
          </rPr>
          <t xml:space="preserve">
12/17 上客供RFID贴纸 9216pcs</t>
        </r>
      </text>
    </comment>
    <comment ref="AA299" authorId="0">
      <text>
        <r>
          <rPr>
            <b/>
            <sz val="9"/>
            <rFont val="宋体"/>
            <charset val="134"/>
          </rPr>
          <t>Administrator:</t>
        </r>
        <r>
          <rPr>
            <sz val="9"/>
            <rFont val="宋体"/>
            <charset val="134"/>
          </rPr>
          <t xml:space="preserve">
1600978 1/4 1782pcs</t>
        </r>
      </text>
    </comment>
    <comment ref="AC299" authorId="0">
      <text>
        <r>
          <rPr>
            <b/>
            <sz val="9"/>
            <rFont val="宋体"/>
            <charset val="134"/>
          </rPr>
          <t>Administrator:</t>
        </r>
        <r>
          <rPr>
            <sz val="9"/>
            <rFont val="宋体"/>
            <charset val="134"/>
          </rPr>
          <t xml:space="preserve">
12/16 上进口商贴纸 1782pcs
      上UPC贴纸 1782pcs</t>
        </r>
      </text>
    </comment>
    <comment ref="AC300" authorId="0">
      <text>
        <r>
          <rPr>
            <b/>
            <sz val="9"/>
            <rFont val="宋体"/>
            <charset val="134"/>
          </rPr>
          <t>Administrator:</t>
        </r>
        <r>
          <rPr>
            <sz val="9"/>
            <rFont val="宋体"/>
            <charset val="134"/>
          </rPr>
          <t xml:space="preserve">
12/22 上进口商贴纸 10000pcs
      上UPC贴纸 10000pcs
185782/187691共用</t>
        </r>
      </text>
    </comment>
    <comment ref="AA301" authorId="0">
      <text>
        <r>
          <rPr>
            <b/>
            <sz val="9"/>
            <rFont val="宋体"/>
            <charset val="134"/>
          </rPr>
          <t>Administrator:</t>
        </r>
        <r>
          <rPr>
            <sz val="9"/>
            <rFont val="宋体"/>
            <charset val="134"/>
          </rPr>
          <t xml:space="preserve">
1600978 1/4 2080pcs</t>
        </r>
      </text>
    </comment>
    <comment ref="AC302" authorId="0">
      <text>
        <r>
          <rPr>
            <b/>
            <sz val="9"/>
            <rFont val="宋体"/>
            <charset val="134"/>
          </rPr>
          <t>Administrator:</t>
        </r>
        <r>
          <rPr>
            <sz val="9"/>
            <rFont val="宋体"/>
            <charset val="134"/>
          </rPr>
          <t xml:space="preserve">
12/22 上进口商贴纸 10000pcs
      上UPC贴纸 10000pcs
185782/187691共用</t>
        </r>
      </text>
    </comment>
    <comment ref="AC306" authorId="0">
      <text>
        <r>
          <rPr>
            <b/>
            <sz val="9"/>
            <rFont val="宋体"/>
            <charset val="134"/>
          </rPr>
          <t>Administrator:</t>
        </r>
        <r>
          <rPr>
            <sz val="9"/>
            <rFont val="宋体"/>
            <charset val="134"/>
          </rPr>
          <t xml:space="preserve">
12/31 上进口商贴纸 2538pcs
      上UPC贴纸 1269pcs</t>
        </r>
      </text>
    </comment>
  </commentList>
</comments>
</file>

<file path=xl/comments2.xml><?xml version="1.0" encoding="utf-8"?>
<comments xmlns="http://schemas.openxmlformats.org/spreadsheetml/2006/main">
  <authors>
    <author>Administrator</author>
  </authors>
  <commentList>
    <comment ref="AA4" authorId="0">
      <text>
        <r>
          <rPr>
            <b/>
            <sz val="12"/>
            <rFont val="宋体"/>
            <charset val="134"/>
          </rPr>
          <t>Administrator:</t>
        </r>
        <r>
          <rPr>
            <sz val="12"/>
            <rFont val="宋体"/>
            <charset val="134"/>
          </rPr>
          <t xml:space="preserve">
1200951 12/16 972pcs B4楼B9区</t>
        </r>
      </text>
    </comment>
    <comment ref="AC4" authorId="0">
      <text>
        <r>
          <rPr>
            <b/>
            <sz val="9"/>
            <rFont val="宋体"/>
            <charset val="134"/>
          </rPr>
          <t>Administrator:</t>
        </r>
        <r>
          <rPr>
            <sz val="9"/>
            <rFont val="宋体"/>
            <charset val="134"/>
          </rPr>
          <t xml:space="preserve">
12/2 上客供价格贴纸 1006pcs</t>
        </r>
      </text>
    </comment>
    <comment ref="AA5" authorId="0">
      <text>
        <r>
          <rPr>
            <b/>
            <sz val="9"/>
            <rFont val="宋体"/>
            <charset val="134"/>
          </rPr>
          <t>Administrator:</t>
        </r>
        <r>
          <rPr>
            <sz val="9"/>
            <rFont val="宋体"/>
            <charset val="134"/>
          </rPr>
          <t xml:space="preserve">
1201008 12/19 2916pcs 华兴三A27</t>
        </r>
      </text>
    </comment>
    <comment ref="AC5" authorId="0">
      <text>
        <r>
          <rPr>
            <b/>
            <sz val="9"/>
            <rFont val="宋体"/>
            <charset val="134"/>
          </rPr>
          <t>Administrator:</t>
        </r>
        <r>
          <rPr>
            <sz val="9"/>
            <rFont val="宋体"/>
            <charset val="134"/>
          </rPr>
          <t xml:space="preserve">
12/6 上进口商贴纸 7614pcs
180717/180735/180758共用</t>
        </r>
      </text>
    </comment>
    <comment ref="AA6" authorId="0">
      <text>
        <r>
          <rPr>
            <b/>
            <sz val="9"/>
            <rFont val="宋体"/>
            <charset val="134"/>
          </rPr>
          <t>Administrator:</t>
        </r>
        <r>
          <rPr>
            <sz val="9"/>
            <rFont val="宋体"/>
            <charset val="134"/>
          </rPr>
          <t xml:space="preserve">
1200988 12/19 1080pcs B4楼B9区</t>
        </r>
      </text>
    </comment>
    <comment ref="AC6" authorId="0">
      <text>
        <r>
          <rPr>
            <b/>
            <sz val="9"/>
            <rFont val="宋体"/>
            <charset val="134"/>
          </rPr>
          <t>Administrator:</t>
        </r>
        <r>
          <rPr>
            <sz val="9"/>
            <rFont val="宋体"/>
            <charset val="134"/>
          </rPr>
          <t xml:space="preserve">
12/6 上进口商贴纸 7614pcs
180717/180735/180758共用</t>
        </r>
      </text>
    </comment>
    <comment ref="AA7" authorId="0">
      <text>
        <r>
          <rPr>
            <b/>
            <sz val="9"/>
            <rFont val="宋体"/>
            <charset val="134"/>
          </rPr>
          <t>Administrator:</t>
        </r>
        <r>
          <rPr>
            <sz val="9"/>
            <rFont val="宋体"/>
            <charset val="134"/>
          </rPr>
          <t xml:space="preserve">
1200988 12/19 1080pcs B4楼B9区</t>
        </r>
      </text>
    </comment>
    <comment ref="AC7" authorId="0">
      <text>
        <r>
          <rPr>
            <b/>
            <sz val="9"/>
            <rFont val="宋体"/>
            <charset val="134"/>
          </rPr>
          <t>Administrator:</t>
        </r>
        <r>
          <rPr>
            <sz val="9"/>
            <rFont val="宋体"/>
            <charset val="134"/>
          </rPr>
          <t xml:space="preserve">
12/6 上进口商贴纸 7614pcs
180717/180735/180758共用</t>
        </r>
      </text>
    </comment>
    <comment ref="AA8" authorId="0">
      <text>
        <r>
          <rPr>
            <b/>
            <sz val="9"/>
            <rFont val="宋体"/>
            <charset val="134"/>
          </rPr>
          <t>Administrator:</t>
        </r>
        <r>
          <rPr>
            <sz val="9"/>
            <rFont val="宋体"/>
            <charset val="134"/>
          </rPr>
          <t xml:space="preserve">
1201008 12/19 2600pcs 华兴三A27</t>
        </r>
      </text>
    </comment>
    <comment ref="AC8" authorId="0">
      <text>
        <r>
          <rPr>
            <b/>
            <sz val="9"/>
            <rFont val="宋体"/>
            <charset val="134"/>
          </rPr>
          <t>Administrator:</t>
        </r>
        <r>
          <rPr>
            <sz val="9"/>
            <rFont val="宋体"/>
            <charset val="134"/>
          </rPr>
          <t xml:space="preserve">
11/24 上8+贴纸 2600pcs
      上年龄贴纸 2600pcs
12/8  上客供防串码贴纸1拖13 2600pcs</t>
        </r>
      </text>
    </comment>
    <comment ref="AA9" authorId="0">
      <text>
        <r>
          <rPr>
            <b/>
            <sz val="9"/>
            <rFont val="宋体"/>
            <charset val="134"/>
          </rPr>
          <t>Administrator:</t>
        </r>
        <r>
          <rPr>
            <sz val="9"/>
            <rFont val="宋体"/>
            <charset val="134"/>
          </rPr>
          <t xml:space="preserve">
1601031 1/6 9180pcs B4楼A3区
1601044 1/8  36pcs  B4楼A3区</t>
        </r>
      </text>
    </comment>
    <comment ref="AC9" authorId="0">
      <text>
        <r>
          <rPr>
            <b/>
            <sz val="9"/>
            <rFont val="宋体"/>
            <charset val="134"/>
          </rPr>
          <t>Administrator:</t>
        </r>
        <r>
          <rPr>
            <sz val="9"/>
            <rFont val="宋体"/>
            <charset val="134"/>
          </rPr>
          <t xml:space="preserve">
12/17 上客供RFID贴纸 9216pcs</t>
        </r>
      </text>
    </comment>
    <comment ref="AA10" authorId="0">
      <text>
        <r>
          <rPr>
            <b/>
            <sz val="9"/>
            <rFont val="宋体"/>
            <charset val="134"/>
          </rPr>
          <t>Administrator:</t>
        </r>
        <r>
          <rPr>
            <sz val="9"/>
            <rFont val="宋体"/>
            <charset val="134"/>
          </rPr>
          <t xml:space="preserve">
1600978 1/4 1782pcs 华兴三B16</t>
        </r>
      </text>
    </comment>
    <comment ref="AC10" authorId="0">
      <text>
        <r>
          <rPr>
            <b/>
            <sz val="9"/>
            <rFont val="宋体"/>
            <charset val="134"/>
          </rPr>
          <t>Administrator:</t>
        </r>
        <r>
          <rPr>
            <sz val="9"/>
            <rFont val="宋体"/>
            <charset val="134"/>
          </rPr>
          <t xml:space="preserve">
12/16 上进口商贴纸 1782pcs
      上UPC贴纸 1782pcs</t>
        </r>
      </text>
    </comment>
    <comment ref="AA11" authorId="0">
      <text>
        <r>
          <rPr>
            <b/>
            <sz val="9"/>
            <rFont val="宋体"/>
            <charset val="134"/>
          </rPr>
          <t>Administrator:</t>
        </r>
        <r>
          <rPr>
            <sz val="9"/>
            <rFont val="宋体"/>
            <charset val="134"/>
          </rPr>
          <t xml:space="preserve">
1601031 1/6 4976pcs B4楼B9区
1601044 1/8   24pcs B4楼B9区</t>
        </r>
      </text>
    </comment>
    <comment ref="AC11" authorId="0">
      <text>
        <r>
          <rPr>
            <b/>
            <sz val="9"/>
            <rFont val="宋体"/>
            <charset val="134"/>
          </rPr>
          <t>Administrator:</t>
        </r>
        <r>
          <rPr>
            <sz val="9"/>
            <rFont val="宋体"/>
            <charset val="134"/>
          </rPr>
          <t xml:space="preserve">
12/22 上进口商贴纸 10000pcs
      上UPC贴纸 10000pcs
185782/187691共用</t>
        </r>
      </text>
    </comment>
    <comment ref="AA12" authorId="0">
      <text>
        <r>
          <rPr>
            <b/>
            <sz val="9"/>
            <rFont val="宋体"/>
            <charset val="134"/>
          </rPr>
          <t>Administrator:</t>
        </r>
        <r>
          <rPr>
            <sz val="9"/>
            <rFont val="宋体"/>
            <charset val="134"/>
          </rPr>
          <t xml:space="preserve">
1600978 1/4 2080pcs 华兴三A27</t>
        </r>
      </text>
    </comment>
    <comment ref="AA13" authorId="0">
      <text>
        <r>
          <rPr>
            <b/>
            <sz val="9"/>
            <rFont val="宋体"/>
            <charset val="134"/>
          </rPr>
          <t>Administrator:</t>
        </r>
        <r>
          <rPr>
            <sz val="9"/>
            <rFont val="宋体"/>
            <charset val="134"/>
          </rPr>
          <t xml:space="preserve">
1601177 1/16 25272pcs 华兴一F12</t>
        </r>
      </text>
    </comment>
    <comment ref="AA14" authorId="0">
      <text>
        <r>
          <rPr>
            <b/>
            <sz val="9"/>
            <rFont val="宋体"/>
            <charset val="134"/>
          </rPr>
          <t>Administrator:</t>
        </r>
        <r>
          <rPr>
            <sz val="9"/>
            <rFont val="宋体"/>
            <charset val="134"/>
          </rPr>
          <t xml:space="preserve">
1601177 1/16 1807pcs 华兴三A16</t>
        </r>
      </text>
    </comment>
    <comment ref="AC14" authorId="0">
      <text>
        <r>
          <rPr>
            <b/>
            <sz val="9"/>
            <rFont val="宋体"/>
            <charset val="134"/>
          </rPr>
          <t>Administrator:</t>
        </r>
        <r>
          <rPr>
            <sz val="9"/>
            <rFont val="宋体"/>
            <charset val="134"/>
          </rPr>
          <t xml:space="preserve">
12/25 上PDQ UPC贴纸 310pcs
188208/187984共用</t>
        </r>
      </text>
    </comment>
    <comment ref="AA15" authorId="0">
      <text>
        <r>
          <rPr>
            <b/>
            <sz val="9"/>
            <rFont val="宋体"/>
            <charset val="134"/>
          </rPr>
          <t>Administrator:</t>
        </r>
        <r>
          <rPr>
            <sz val="9"/>
            <rFont val="宋体"/>
            <charset val="134"/>
          </rPr>
          <t xml:space="preserve">
1601180 1/17 2171pcs 华兴华登仓库
1601210 1/20  27pcs  华兴华登仓库</t>
        </r>
      </text>
    </comment>
    <comment ref="AC15" authorId="0">
      <text>
        <r>
          <rPr>
            <b/>
            <sz val="9"/>
            <rFont val="宋体"/>
            <charset val="134"/>
          </rPr>
          <t>Administrator:</t>
        </r>
        <r>
          <rPr>
            <sz val="9"/>
            <rFont val="宋体"/>
            <charset val="134"/>
          </rPr>
          <t xml:space="preserve">
12/25 上PDQ UPC贴纸 310pcs
188208/187984共用</t>
        </r>
      </text>
    </comment>
    <comment ref="AA16" authorId="0">
      <text>
        <r>
          <rPr>
            <b/>
            <sz val="9"/>
            <rFont val="宋体"/>
            <charset val="134"/>
          </rPr>
          <t>Administrator:</t>
        </r>
        <r>
          <rPr>
            <sz val="9"/>
            <rFont val="宋体"/>
            <charset val="134"/>
          </rPr>
          <t xml:space="preserve">
1601180 1/17 1242pcs 华兴华登仓库
1601210 1/20  52pcs  华兴华登仓库</t>
        </r>
      </text>
    </comment>
    <comment ref="AC16" authorId="0">
      <text>
        <r>
          <rPr>
            <b/>
            <sz val="9"/>
            <rFont val="宋体"/>
            <charset val="134"/>
          </rPr>
          <t>Administrator:</t>
        </r>
        <r>
          <rPr>
            <sz val="9"/>
            <rFont val="宋体"/>
            <charset val="134"/>
          </rPr>
          <t xml:space="preserve">
12/31 上进口商贴纸 2538pcs
      上UPC贴纸 1269pcs</t>
        </r>
      </text>
    </comment>
    <comment ref="AA17" authorId="0">
      <text>
        <r>
          <rPr>
            <b/>
            <sz val="12"/>
            <rFont val="宋体"/>
            <charset val="134"/>
          </rPr>
          <t>Administrator:</t>
        </r>
        <r>
          <rPr>
            <sz val="12"/>
            <rFont val="宋体"/>
            <charset val="134"/>
          </rPr>
          <t xml:space="preserve">
1601226 1/19 486pcs 华兴三B17
1601215 1/20  54pcs 华兴三B17</t>
        </r>
      </text>
    </comment>
    <comment ref="AC17" authorId="0">
      <text>
        <r>
          <rPr>
            <b/>
            <sz val="9"/>
            <rFont val="宋体"/>
            <charset val="134"/>
          </rPr>
          <t>Administrator:</t>
        </r>
        <r>
          <rPr>
            <sz val="9"/>
            <rFont val="宋体"/>
            <charset val="134"/>
          </rPr>
          <t xml:space="preserve">
1/9 上UPC贴纸 1080pcs
188248/189691共用</t>
        </r>
      </text>
    </comment>
    <comment ref="AA18" authorId="0">
      <text>
        <r>
          <rPr>
            <b/>
            <sz val="12"/>
            <rFont val="宋体"/>
            <charset val="134"/>
          </rPr>
          <t>Administrator:</t>
        </r>
        <r>
          <rPr>
            <sz val="12"/>
            <rFont val="宋体"/>
            <charset val="134"/>
          </rPr>
          <t xml:space="preserve">
1601226 1/19 540pcs 华兴三B17</t>
        </r>
      </text>
    </comment>
    <comment ref="AC18" authorId="0">
      <text>
        <r>
          <rPr>
            <b/>
            <sz val="9"/>
            <rFont val="宋体"/>
            <charset val="134"/>
          </rPr>
          <t>Administrator:</t>
        </r>
        <r>
          <rPr>
            <sz val="9"/>
            <rFont val="宋体"/>
            <charset val="134"/>
          </rPr>
          <t xml:space="preserve">
1/9 上UPC贴纸 1080pcs
188248/189691共用</t>
        </r>
      </text>
    </comment>
    <comment ref="AA19" authorId="0">
      <text>
        <r>
          <rPr>
            <b/>
            <sz val="9"/>
            <rFont val="宋体"/>
            <charset val="134"/>
          </rPr>
          <t>Administrator:</t>
        </r>
        <r>
          <rPr>
            <sz val="9"/>
            <rFont val="宋体"/>
            <charset val="134"/>
          </rPr>
          <t xml:space="preserve">
1405559 2/7 12pcs B4楼B1区</t>
        </r>
      </text>
    </comment>
    <comment ref="AC19" authorId="0">
      <text>
        <r>
          <rPr>
            <b/>
            <sz val="9"/>
            <rFont val="宋体"/>
            <charset val="134"/>
          </rPr>
          <t>Administrator:</t>
        </r>
        <r>
          <rPr>
            <sz val="9"/>
            <rFont val="宋体"/>
            <charset val="134"/>
          </rPr>
          <t xml:space="preserve">
1/19 上空白UPC贴纸 24pcs
1/28 上客供亚马逊外箱贴纸 1pcs</t>
        </r>
      </text>
    </comment>
    <comment ref="AA20" authorId="0">
      <text>
        <r>
          <rPr>
            <b/>
            <sz val="9"/>
            <rFont val="宋体"/>
            <charset val="134"/>
          </rPr>
          <t>Administrator:</t>
        </r>
        <r>
          <rPr>
            <sz val="9"/>
            <rFont val="宋体"/>
            <charset val="134"/>
          </rPr>
          <t xml:space="preserve">
1405527 2/7 1188pcs  华兴三B14
1405534 2/9  12pcs   华兴三B13</t>
        </r>
      </text>
    </comment>
    <comment ref="AA21" authorId="0">
      <text>
        <r>
          <rPr>
            <b/>
            <sz val="9"/>
            <rFont val="宋体"/>
            <charset val="134"/>
          </rPr>
          <t>Administrator:</t>
        </r>
        <r>
          <rPr>
            <sz val="9"/>
            <rFont val="宋体"/>
            <charset val="134"/>
          </rPr>
          <t xml:space="preserve">
1405554 2/7 676pcs B4楼A2区</t>
        </r>
      </text>
    </comment>
    <comment ref="AC21" authorId="0">
      <text>
        <r>
          <rPr>
            <b/>
            <sz val="12"/>
            <rFont val="宋体"/>
            <charset val="134"/>
          </rPr>
          <t>Administrator:</t>
        </r>
        <r>
          <rPr>
            <sz val="12"/>
            <rFont val="宋体"/>
            <charset val="134"/>
          </rPr>
          <t xml:space="preserve">
1/19 上进口商贴纸 676pcs
     上EAN条码贴纸 676pcs
     上收藏指南空白贴纸 676pcs
     上PDQ空白贴纸 52pcs
     上外箱贴纸 52pcs
1/26 上QR code贴纸 676pcs
2/9  收到外箱贴纸 52pcs</t>
        </r>
      </text>
    </comment>
    <comment ref="AA22" authorId="0">
      <text>
        <r>
          <rPr>
            <b/>
            <sz val="9"/>
            <rFont val="宋体"/>
            <charset val="134"/>
          </rPr>
          <t>Administrator:</t>
        </r>
        <r>
          <rPr>
            <sz val="9"/>
            <rFont val="宋体"/>
            <charset val="134"/>
          </rPr>
          <t xml:space="preserve">
1601180 1/17 5000pcs 华兴华登仓库</t>
        </r>
      </text>
    </comment>
    <comment ref="AC22" authorId="0">
      <text>
        <r>
          <rPr>
            <b/>
            <sz val="9"/>
            <rFont val="宋体"/>
            <charset val="134"/>
          </rPr>
          <t>Administrator:</t>
        </r>
        <r>
          <rPr>
            <sz val="9"/>
            <rFont val="宋体"/>
            <charset val="134"/>
          </rPr>
          <t xml:space="preserve">
12/22 上进口商贴纸 10000pcs
      上UPC贴纸 10000pcs
185782/187691共用</t>
        </r>
      </text>
    </comment>
  </commentList>
</comments>
</file>

<file path=xl/comments3.xml><?xml version="1.0" encoding="utf-8"?>
<comments xmlns="http://schemas.openxmlformats.org/spreadsheetml/2006/main">
  <authors>
    <author>Administrator</author>
  </authors>
  <commentList>
    <comment ref="AB2" authorId="0">
      <text>
        <r>
          <rPr>
            <b/>
            <sz val="9"/>
            <rFont val="宋体"/>
            <charset val="134"/>
          </rPr>
          <t>Administrator:</t>
        </r>
        <r>
          <rPr>
            <sz val="9"/>
            <rFont val="宋体"/>
            <charset val="134"/>
          </rPr>
          <t xml:space="preserve">
2/13 上进口商贴纸 2028pcs
     上PDQ EAN条码贴纸 156pcs</t>
        </r>
      </text>
    </comment>
    <comment ref="AB4" authorId="0">
      <text>
        <r>
          <rPr>
            <b/>
            <sz val="9"/>
            <rFont val="宋体"/>
            <charset val="134"/>
          </rPr>
          <t>Administrator:</t>
        </r>
        <r>
          <rPr>
            <sz val="9"/>
            <rFont val="宋体"/>
            <charset val="134"/>
          </rPr>
          <t xml:space="preserve">
7/3 上客供RFID贴纸 204pcs</t>
        </r>
      </text>
    </comment>
    <comment ref="AB5" authorId="0">
      <text>
        <r>
          <rPr>
            <b/>
            <sz val="9"/>
            <rFont val="宋体"/>
            <charset val="134"/>
          </rPr>
          <t>Administrator:</t>
        </r>
        <r>
          <rPr>
            <sz val="9"/>
            <rFont val="宋体"/>
            <charset val="134"/>
          </rPr>
          <t xml:space="preserve">
7/3 上客供RFID贴纸 156pcs</t>
        </r>
      </text>
    </comment>
    <comment ref="AB6" authorId="0">
      <text>
        <r>
          <rPr>
            <b/>
            <sz val="9"/>
            <rFont val="宋体"/>
            <charset val="134"/>
          </rPr>
          <t>Administrator:</t>
        </r>
        <r>
          <rPr>
            <sz val="9"/>
            <rFont val="宋体"/>
            <charset val="134"/>
          </rPr>
          <t xml:space="preserve">
7/3 上客供RFID贴纸 180pcs</t>
        </r>
      </text>
    </comment>
    <comment ref="AB7" authorId="0">
      <text>
        <r>
          <rPr>
            <b/>
            <sz val="9"/>
            <rFont val="宋体"/>
            <charset val="134"/>
          </rPr>
          <t>Administrator:</t>
        </r>
        <r>
          <rPr>
            <sz val="9"/>
            <rFont val="宋体"/>
            <charset val="134"/>
          </rPr>
          <t xml:space="preserve">
7/3 上客供RFID贴纸 84pcs</t>
        </r>
      </text>
    </comment>
  </commentList>
</comments>
</file>

<file path=xl/sharedStrings.xml><?xml version="1.0" encoding="utf-8"?>
<sst xmlns="http://schemas.openxmlformats.org/spreadsheetml/2006/main" count="6387" uniqueCount="1880">
  <si>
    <r>
      <rPr>
        <b/>
        <sz val="14"/>
        <rFont val="Arial"/>
        <charset val="0"/>
      </rPr>
      <t xml:space="preserve">ZURU  5 surprise Dino </t>
    </r>
    <r>
      <rPr>
        <b/>
        <sz val="14"/>
        <rFont val="宋体"/>
        <charset val="0"/>
      </rPr>
      <t>（混搭恐龙）生产排期表</t>
    </r>
    <r>
      <rPr>
        <b/>
        <sz val="14"/>
        <rFont val="Arial"/>
        <charset val="0"/>
      </rPr>
      <t xml:space="preserve"> #77685</t>
    </r>
  </si>
  <si>
    <t>3L及共用包材上的logo为英法2L，纸袋底纹为5S通用logo（为应对加拿大魁北克新规，3L及共用包材上的logo增加法语或改为5S logo以减少翻译）。口水胶、纸袋、说明书、收藏指南从1L Logo变更3L Logo，GQ21L/3L各库存2000PCS，后续切换B版本，注意走加拿大魁北克订单不能用A版本.同一个单不能出现两个版本</t>
  </si>
  <si>
    <t>无硼 口水胶</t>
  </si>
  <si>
    <t>收缩膜</t>
  </si>
  <si>
    <t>收藏指南</t>
  </si>
  <si>
    <t>外挂中文收藏指南+中文说明书</t>
  </si>
  <si>
    <t>GQ2</t>
  </si>
  <si>
    <t>GQ1</t>
  </si>
  <si>
    <t>GQ4</t>
  </si>
  <si>
    <t>GQ5</t>
  </si>
  <si>
    <t>GQ7</t>
  </si>
  <si>
    <t>SK展示架</t>
  </si>
  <si>
    <t>SK1展示架</t>
  </si>
  <si>
    <t>2PK</t>
  </si>
  <si>
    <t>腕龙</t>
  </si>
  <si>
    <t>双脊龙</t>
  </si>
  <si>
    <t>镰刀龙</t>
  </si>
  <si>
    <t>甲龙</t>
  </si>
  <si>
    <t>戟龙</t>
  </si>
  <si>
    <t>棘龙</t>
  </si>
  <si>
    <t>沧龙</t>
  </si>
  <si>
    <t>霸王龙</t>
  </si>
  <si>
    <t>特殊款霸王龙</t>
  </si>
  <si>
    <t>香港接单日期</t>
  </si>
  <si>
    <t>第三方客户名称</t>
  </si>
  <si>
    <t>走货国家</t>
  </si>
  <si>
    <r>
      <rPr>
        <b/>
        <sz val="10"/>
        <rFont val="Arial"/>
        <charset val="0"/>
      </rPr>
      <t>PO</t>
    </r>
    <r>
      <rPr>
        <b/>
        <sz val="10"/>
        <rFont val="宋体"/>
        <charset val="0"/>
      </rPr>
      <t>号</t>
    </r>
  </si>
  <si>
    <r>
      <rPr>
        <b/>
        <sz val="10"/>
        <rFont val="宋体"/>
        <charset val="0"/>
      </rPr>
      <t>第三方客户</t>
    </r>
    <r>
      <rPr>
        <b/>
        <sz val="10"/>
        <rFont val="Arial"/>
        <charset val="0"/>
      </rPr>
      <t xml:space="preserve">
 PO NO#</t>
    </r>
  </si>
  <si>
    <t>SKU</t>
  </si>
  <si>
    <t>ITEM#</t>
  </si>
  <si>
    <t>中文名</t>
  </si>
  <si>
    <t>PO数量
(pcs)</t>
  </si>
  <si>
    <r>
      <rPr>
        <b/>
        <sz val="10"/>
        <rFont val="宋体"/>
        <charset val="0"/>
      </rPr>
      <t>内箱装箱数量</t>
    </r>
    <r>
      <rPr>
        <b/>
        <sz val="10"/>
        <rFont val="Arial"/>
        <charset val="0"/>
      </rPr>
      <t>(pcs)</t>
    </r>
  </si>
  <si>
    <t>外箱装箱数量(pcs)</t>
  </si>
  <si>
    <t>总箱数</t>
  </si>
  <si>
    <t>客PO期</t>
  </si>
  <si>
    <t>验货期</t>
  </si>
  <si>
    <t>第三方验货时间</t>
  </si>
  <si>
    <t>验货结果</t>
  </si>
  <si>
    <t>船期</t>
  </si>
  <si>
    <r>
      <rPr>
        <b/>
        <sz val="10"/>
        <rFont val="宋体"/>
        <charset val="0"/>
      </rPr>
      <t>箱唛资料</t>
    </r>
    <r>
      <rPr>
        <b/>
        <sz val="10"/>
        <rFont val="Arial"/>
        <charset val="0"/>
      </rPr>
      <t>(</t>
    </r>
    <r>
      <rPr>
        <b/>
        <sz val="10"/>
        <rFont val="宋体"/>
        <charset val="0"/>
      </rPr>
      <t>收到日期</t>
    </r>
    <r>
      <rPr>
        <b/>
        <sz val="10"/>
        <rFont val="Arial"/>
        <charset val="0"/>
      </rPr>
      <t>)</t>
    </r>
  </si>
  <si>
    <t>外箱贴纸</t>
  </si>
  <si>
    <r>
      <rPr>
        <b/>
        <sz val="10"/>
        <rFont val="宋体"/>
        <charset val="0"/>
      </rPr>
      <t>客供贴纸</t>
    </r>
    <r>
      <rPr>
        <b/>
        <sz val="10"/>
        <rFont val="Arial"/>
        <charset val="0"/>
      </rPr>
      <t>AI(</t>
    </r>
    <r>
      <rPr>
        <b/>
        <sz val="10"/>
        <rFont val="宋体"/>
        <charset val="0"/>
      </rPr>
      <t>收到日期</t>
    </r>
    <r>
      <rPr>
        <b/>
        <sz val="10"/>
        <rFont val="Arial"/>
        <charset val="0"/>
      </rPr>
      <t>)</t>
    </r>
  </si>
  <si>
    <t>样板</t>
  </si>
  <si>
    <t>备注</t>
  </si>
  <si>
    <t>ZURU 跟单</t>
  </si>
  <si>
    <t>单价USD</t>
  </si>
  <si>
    <t>金额USD</t>
  </si>
  <si>
    <t>发票号</t>
  </si>
  <si>
    <t>送回数量</t>
  </si>
  <si>
    <t>欠数</t>
  </si>
  <si>
    <t>贴纸情况</t>
  </si>
  <si>
    <t>下单情况</t>
  </si>
  <si>
    <t>系统货号</t>
  </si>
  <si>
    <t>是否入系统</t>
  </si>
  <si>
    <t>球数</t>
  </si>
  <si>
    <t>MA</t>
  </si>
  <si>
    <r>
      <rPr>
        <b/>
        <sz val="10"/>
        <color rgb="FFFF0000"/>
        <rFont val="宋体"/>
        <charset val="134"/>
        <scheme val="minor"/>
      </rPr>
      <t>B</t>
    </r>
    <r>
      <rPr>
        <b/>
        <sz val="10"/>
        <rFont val="宋体"/>
        <charset val="134"/>
        <scheme val="minor"/>
      </rPr>
      <t xml:space="preserve"> MA</t>
    </r>
  </si>
  <si>
    <t>客版</t>
  </si>
  <si>
    <t>MA 1L</t>
  </si>
  <si>
    <t>MA 3L</t>
  </si>
  <si>
    <t>Smyths客版</t>
  </si>
  <si>
    <t>MA 5L</t>
  </si>
  <si>
    <r>
      <rPr>
        <b/>
        <sz val="10"/>
        <color rgb="FFFF0000"/>
        <rFont val="宋体"/>
        <charset val="134"/>
        <scheme val="minor"/>
      </rPr>
      <t>B</t>
    </r>
    <r>
      <rPr>
        <b/>
        <sz val="10"/>
        <rFont val="宋体"/>
        <charset val="134"/>
        <scheme val="minor"/>
      </rPr>
      <t xml:space="preserve"> MA 5L</t>
    </r>
  </si>
  <si>
    <r>
      <rPr>
        <b/>
        <sz val="10"/>
        <rFont val="宋体"/>
        <charset val="134"/>
        <scheme val="minor"/>
      </rPr>
      <t xml:space="preserve">MA </t>
    </r>
    <r>
      <rPr>
        <b/>
        <sz val="10"/>
        <color rgb="FFFF0000"/>
        <rFont val="宋体"/>
        <charset val="134"/>
        <scheme val="minor"/>
      </rPr>
      <t>B</t>
    </r>
    <r>
      <rPr>
        <b/>
        <sz val="10"/>
        <rFont val="宋体"/>
        <charset val="134"/>
        <scheme val="minor"/>
      </rPr>
      <t>3L</t>
    </r>
  </si>
  <si>
    <t>WM 客版</t>
  </si>
  <si>
    <t>Big 客版</t>
  </si>
  <si>
    <t>WM M客版</t>
  </si>
  <si>
    <t>IMP 3L 客版</t>
  </si>
  <si>
    <t>3L底座</t>
  </si>
  <si>
    <t>底座</t>
  </si>
  <si>
    <t>圆筒</t>
  </si>
  <si>
    <t>logo英法语彩纸/贴纸 条码UPC</t>
  </si>
  <si>
    <t>MA扣数</t>
  </si>
  <si>
    <t>ZURU</t>
  </si>
  <si>
    <t>深圳</t>
  </si>
  <si>
    <t>ZPO2411012</t>
  </si>
  <si>
    <t>PP订单</t>
  </si>
  <si>
    <t>77685GQ2-S001</t>
  </si>
  <si>
    <t>混搭恐龙27pcs/GQ2*2/箱</t>
  </si>
  <si>
    <t>无</t>
  </si>
  <si>
    <t>如何同意以上交货期到ZURU但是最后由于供应商原因无法交货，ZURU保留以下的罚款条款
不按期出货罚款如下：
1-7（含第七天）天内延迟出货罚款为合同总金额的百分之五
7-14（含第十四天）天内延迟出货罚款为合同总金额的百分之七
如果超过14天将扣合同金额的百分之十或者由客人提出预计运费方案
如果因为质量不符合雨禾要求的标准，供应商必须改进产品并达到标准并支付返工费用和出货延迟费用
订单细节会不时进行修改，如果订单做了修改要及时通知供应商，修改和特殊指引在生产过程中要由邮件或者电话确认</t>
  </si>
  <si>
    <t>年存</t>
  </si>
  <si>
    <t>库有</t>
  </si>
  <si>
    <t>ZMPO24875</t>
  </si>
  <si>
    <t>同PP单一起做</t>
  </si>
  <si>
    <t>77685-S001</t>
  </si>
  <si>
    <t>混搭恐龙</t>
  </si>
  <si>
    <t>Remark：跟PP订单一起安排/标准箱装箱/箱唛参照邮件附件                                                                                                                                                                   备注：收到样品订单后尽快安排 ，注意样板品质质量要求要高于大货品质要求 ，送货时必须要附带送货单(没有送货单和QC检验合格报告的仓库一律拒绝收货)，请知悉，谢谢！</t>
  </si>
  <si>
    <t xml:space="preserve">Angus </t>
  </si>
  <si>
    <t>97427-12.31</t>
  </si>
  <si>
    <t>10套散件</t>
  </si>
  <si>
    <t xml:space="preserve">Remark：跟PP订单一起安排/只需要齐全套散件/麻烦用胶袋分装好一套为一袋/箱唛参照邮件附件                                                                                                                                     备注：收到样品订单后尽快安排 ，注意样板品质质量要求要高于大货品质要求 ，送货时必须要附带送货单(没有送货单和QC检验合格报告的仓库一律拒绝收货)，请知悉，谢谢！  </t>
  </si>
  <si>
    <t>#</t>
  </si>
  <si>
    <t>77685GQ1-S001</t>
  </si>
  <si>
    <t>GQ1空PDQ搭配Demo零件</t>
  </si>
  <si>
    <t xml:space="preserve">Remark：跟PP订单一起安排/只需要空PDQ(PDQ可打平包/需配齐PDQ上原有的配件（列如-Demo-吸塑)                                                                                                                               备注：收到样品订单后尽快安排 ，注意样板品质质量要求要高于大货品质要求 ，送货时必须要附带送货单(没有送货单和QC检验合格报告的仓库一律拒绝收货)，请知悉，谢谢！   </t>
  </si>
  <si>
    <t>GQ2空PDQ搭配Demo零件</t>
  </si>
  <si>
    <t xml:space="preserve">Remark：跟PP订单一起安排/只需要空PDQ(PDQ可打平包/需配齐PDQ上原有的配件（列如-Demo-吸塑)                                                                                                                                   备注：收到样品订单后尽快安排 ，注意样板品质质量要求要高于大货品质要求 ，送货时必须要附带送货单(没有送货单和QC检验合格报告的仓库一律拒绝收货)，请知悉，谢谢！  </t>
  </si>
  <si>
    <t>ZMPO250144</t>
  </si>
  <si>
    <t>40个空PDQ</t>
  </si>
  <si>
    <t>Remark:大货最新版本/只需要空PDQ(PDQ可打平包/需配齐PDQ上原有的配件（列如-Demo-吸塑);备注：收到样品订单后尽快安排 ，注意样板品质质量要求要高于大货品质要求 ，送货时必须要附带送货单(没有送货单和QC检验合格报告的仓库一律拒绝收货)，请知悉，谢谢！</t>
  </si>
  <si>
    <t>94917-4.30</t>
  </si>
  <si>
    <t>ALL BRANDS TOYS PTY LTD</t>
  </si>
  <si>
    <t>澳大利亚</t>
  </si>
  <si>
    <t>4500156526-20</t>
  </si>
  <si>
    <t>东莞生产</t>
  </si>
  <si>
    <t>pass</t>
  </si>
  <si>
    <t>3/26 截SI</t>
  </si>
  <si>
    <t>2/20进口商贴纸</t>
  </si>
  <si>
    <t>日期码格式：ZURU INC(BVI) 标准格式 日期：按实际生产日期 
Packaging Info:
 77685GQ2：MA_UPC版本包装（收缩膜和说明书, MA首选1L，如无1L可用多语且含英语的配套多语UPC包装）+ 1张客人通用进口商贴纸
Remark: 1.按实际生产日期;
 2.出澳大利亚，请按照相应标准生产;</t>
  </si>
  <si>
    <t>Lydia Wu</t>
  </si>
  <si>
    <t>94636-3.25</t>
  </si>
  <si>
    <t>OK</t>
  </si>
  <si>
    <t>系统出单</t>
  </si>
  <si>
    <t>已入</t>
  </si>
  <si>
    <t>ZURU LLC</t>
  </si>
  <si>
    <t>美国</t>
  </si>
  <si>
    <t>4500157378-20</t>
  </si>
  <si>
    <t>77723-S001-MTS</t>
  </si>
  <si>
    <t>混搭恐龙2PK圆筒装</t>
  </si>
  <si>
    <t>3/28 交仓</t>
  </si>
  <si>
    <t>2/13外箱最长边不能超过25" （超过了，case pack只能为1）</t>
  </si>
  <si>
    <t>2/21空白贴纸</t>
  </si>
  <si>
    <t>日期码格式：ZURU INC(BVI) 标准格式 日期：按实际生产日期 
Packaging Info: 
 #77723=2PK STD #77685 PVC Tube. #77685 收缩膜MA 1L+空白贴纸覆盖UPC，空白贴纸图稿跟单提供。2PK铜板纸，收藏指南，说明书均为MA 5L标版。（两个球的配
 比不能重复）。
Remark: 1.Amazon domestic 订单。出口美国。外箱最长边不能超过25" （超过了，case pack只能为1），不符合要求的大货，一律不接受。
 2.无第三方验货/测试要求。
 3.日期码使用ZURU标准版本。</t>
  </si>
  <si>
    <t>SD24</t>
  </si>
  <si>
    <t>ZB00056</t>
  </si>
  <si>
    <t>2/17 已放MA 圆筒/彩纸/贴纸</t>
  </si>
  <si>
    <t>Smyths Toys EU HQ UC</t>
  </si>
  <si>
    <t>德国</t>
  </si>
  <si>
    <t>4500156119-10</t>
  </si>
  <si>
    <t>77685GQ2-S002</t>
  </si>
  <si>
    <t>混搭恐龙27pcs/GQ2/箱</t>
  </si>
  <si>
    <t>3/31 截SI</t>
  </si>
  <si>
    <t>日期码格式：ZURU INC(BVI) 标准格式 日期：按实际生产日期
Packaging Info: 客版收缩膜(英法德意荷)翻单#4500155619 +客版5L slime bag 翻单#4500155619+MA 3L PDQ+MA5L(23L Warning)收藏指南+MA23L说明书+MA内袋
 EAN # 4894680042612
Remark: 1. 此单出德国，需要满足Zuru Standard欧洲标准测试要求；
 2. 请准时出货，推期会有罚款；
 3. 出口欧洲，微塑料需符合法规；
 4. 所有电子产品身上需要加字唛，为ZURU FRANCE 地址 (如无电子产品，或者产品布标有此地址，可忽略此信息)
 ZURU France 1/3, Rue d'Argenteuil 95210 SAINT-GRATIEN, FRANCE
 5. 标准配比</t>
  </si>
  <si>
    <t>Shirley Zhou</t>
  </si>
  <si>
    <t>94676-3.31</t>
  </si>
  <si>
    <t>77685GQ2-S002-客</t>
  </si>
  <si>
    <t>Smyths Toys HQ UC UK</t>
  </si>
  <si>
    <t>爱尔兰</t>
  </si>
  <si>
    <t>PO4400458973</t>
  </si>
  <si>
    <t>4500155619-10</t>
  </si>
  <si>
    <t>3/27 截SI</t>
  </si>
  <si>
    <t>日期码格式：ZURU INC(BVI) 标准格式 日期：按实际生产日期 
Packaging Info: 77685GQ2：客版收缩膜(英法德意荷)+客版5L slime bag+MA 3L PDQ+MA5L(23L Warning)收藏指南+MA23L说明书
 客户PO号码请参考remark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需要完全符合欧洲标准(符合微塑料法规)，否则不合法规会有客诉产生</t>
  </si>
  <si>
    <t>Ula Zhao</t>
  </si>
  <si>
    <t>94640-3.26</t>
  </si>
  <si>
    <t>PO4400458974</t>
  </si>
  <si>
    <t>4500155619-20</t>
  </si>
  <si>
    <t>94667-3.29</t>
  </si>
  <si>
    <t>TARGET US</t>
  </si>
  <si>
    <t>10001232830-0581</t>
  </si>
  <si>
    <t xml:space="preserve"> 4500157763-10</t>
  </si>
  <si>
    <t>77685GQ1-S002</t>
  </si>
  <si>
    <t>混搭恐龙13pcs/GQ1/箱</t>
  </si>
  <si>
    <t>6/9 客上柜</t>
  </si>
  <si>
    <t>2/26条码箱贴纸客供+2/17 Event label贴纸</t>
  </si>
  <si>
    <t>已出样板</t>
  </si>
  <si>
    <t>日期码格式：ZURU INC(BVI) 标准格式 日期：按实际生产日期 
Packaging Info: MA 1L 收缩膜+说明书, MA PDQ
Remark: 1.77685GQ1-S002-5 SURPRISE-DINO MIX AND MATCH-SERIES 1-CAPSULE,13PCS/Gravity PDQ, 13PCS/PDQ/CTN。MA 1L 收缩膜+说明书, MA PDQ，产品UPC19305207905
 2. 外箱正唛左上角位置粘贴条码箱贴纸，每箱只贴一张由ZURU订购,来料显示DPCI-087-26-6460, UPC 10193052079050.
 3. 产品和包装上均要印刷tracking code信息，格式为ZURU常规格式。
 4 .外箱正唛右侧空白位置粘贴一张Event label贴纸，由工厂自己订购。
 5. 出货方式：货代自提，兴信出货。</t>
  </si>
  <si>
    <t>Holly Zheng</t>
  </si>
  <si>
    <t>ZB00436-6.9</t>
  </si>
  <si>
    <t>Ramp-s Corporation</t>
  </si>
  <si>
    <t>菲律宾</t>
  </si>
  <si>
    <t>PO-25-0003</t>
  </si>
  <si>
    <t>4500158563-10</t>
  </si>
  <si>
    <t>4/3 截SI</t>
  </si>
  <si>
    <t>3/5 进口商贴纸</t>
  </si>
  <si>
    <t>日期码格式：ZURU INC(BVI) 标准格式 日期：按实际生产日期 
Packaging Info: MA UPC包装+进口商贴纸,贴纸资料待提供
Remark</t>
  </si>
  <si>
    <t>Emma Wu</t>
  </si>
  <si>
    <t>94696-4.3</t>
  </si>
  <si>
    <t>THE WAREHOUSE LIMITED</t>
  </si>
  <si>
    <t>新西兰</t>
  </si>
  <si>
    <t>28854700/1</t>
  </si>
  <si>
    <t>4500159004-10</t>
  </si>
  <si>
    <t>77685SK-S002</t>
  </si>
  <si>
    <t>混搭恐龙展示架带底座</t>
  </si>
  <si>
    <t>PASS</t>
  </si>
  <si>
    <t>4/16 截SI</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</si>
  <si>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t>
  </si>
  <si>
    <t>Abby Liang</t>
  </si>
  <si>
    <t>94964-5.10</t>
  </si>
  <si>
    <t>28854701/1</t>
  </si>
  <si>
    <t>4500159005-10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</si>
  <si>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t>
  </si>
  <si>
    <t>94965-5.10</t>
  </si>
  <si>
    <t>Amazon ES</t>
  </si>
  <si>
    <t>西班牙</t>
  </si>
  <si>
    <t>Amazon ES:
4EASJCSI</t>
  </si>
  <si>
    <t>4500158469-10</t>
  </si>
  <si>
    <t>77723-S001</t>
  </si>
  <si>
    <t>4/21 截SI</t>
  </si>
  <si>
    <t>空白外箱（加印带Zuru字样的最新logo，除了邮包盒直接做外箱的产品）</t>
  </si>
  <si>
    <t>有</t>
  </si>
  <si>
    <t>3/21 SSCC贴纸+空白贴纸</t>
  </si>
  <si>
    <t>日期码格式：ZURU INC(BVI) 标准格式 日期：按实际生产日期 
Packaging Info: Amazon ES(77723)
 1. 77723：2pk 77685 into pvc tube, 12tubes/ctn; MA 3L(3L warning EAN)A收缩膜+MA 1L(23L warning)A说明书+MA 1L A内袋+MA 5L(23L warning)A收藏指南+M
 A 5L A Slime胶袋+客版3L（5L warning UPC)PVC筒彩卡(含英法德意西警告语+UPC#+邮箱地址+FR/ES/IT环保标)
 2. 最迟验货不得晚于2025/4/11;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</si>
  <si>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</si>
  <si>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94786-4.17</t>
  </si>
  <si>
    <t>AMAZON UK</t>
  </si>
  <si>
    <t>Amazon DE:
1WYS31BD</t>
  </si>
  <si>
    <t>4500158578-160</t>
  </si>
  <si>
    <t>4/27 截SI</t>
  </si>
  <si>
    <t>3/18 SSCC贴纸+空白贴纸</t>
  </si>
  <si>
    <t>日期码格式：ZURU INC(BVI) 标准格式 日期：按实际生产日期
Packaging Info: Amazon UK(15726BEK/15728BEG/15762ABDE)/DE(15726EK/15728B/15762A/77723)/FR(77723)
 4. 77723: 2pk 77685 into pvc tube, 12tubes/ctn; MA 3L(3L warning EAN)A收缩膜+MA 1L(23L warning)A说明书+MA 1L A内袋+MA 5L(23L warning)A收藏指南+M
 A 5L A Slime胶袋+客版PVC筒彩卡(含英法德意西5L警告语+UPC#+邮箱地址+FR/ES/IT环保标，参考翻单PO#4500158469)；
 5. 验货时间不迟于2025/4/11.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</si>
  <si>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94813-4.22</t>
  </si>
  <si>
    <t>法国</t>
  </si>
  <si>
    <t>Amazon FR:
1YINQXLS</t>
  </si>
  <si>
    <t>4500158578-180</t>
  </si>
  <si>
    <t>94834-4.24</t>
  </si>
  <si>
    <t>ASIA GOAL LIMITED</t>
  </si>
  <si>
    <t>香港</t>
  </si>
  <si>
    <t>AG240425-HK</t>
  </si>
  <si>
    <t>4500160929-20</t>
  </si>
  <si>
    <t>混搭恐龙13pcs/GQ1*4/箱</t>
  </si>
  <si>
    <t>4/3客供警语贴纸</t>
  </si>
  <si>
    <t>日期码格式：ZURU INC(BVI) 标准格式 日期：按实际生产日期
Packaging Info: 71152：MA 1L PKG， MA 说明书+客供警语贴纸
77685GQ1：MA 1L PKG, MA PDQ, MA 收藏指南+4张客供警语贴纸
(1张贴球底部，1张贴收藏指南，1张贴说明书上，1张贴口水胶袋子上)
Remark: 此单出香港</t>
  </si>
  <si>
    <t>Doris Shou</t>
  </si>
  <si>
    <t>94777-4.16</t>
  </si>
  <si>
    <t>HARVEY WHOLESALE LTD</t>
  </si>
  <si>
    <t>4500159074-10</t>
  </si>
  <si>
    <t>4/17 截SI</t>
  </si>
  <si>
    <t>日期码格式：ZURU INC(BVI) 标准格式 日期：按实际生产日期
Packaging Info:
Remark: MA UPC 英语包装（优先1L英语版本,或者3L/L含英语即可</t>
  </si>
  <si>
    <t>94768-4.15</t>
  </si>
  <si>
    <t>Distruibuciones Universales, SA - D</t>
  </si>
  <si>
    <t>洪都拉斯</t>
  </si>
  <si>
    <t>4500160421-120</t>
  </si>
  <si>
    <t>自检</t>
  </si>
  <si>
    <t>4/22 截SI</t>
  </si>
  <si>
    <t>3/25 UPC贴纸</t>
  </si>
  <si>
    <t xml:space="preserve">日期码格式：ZURU INC(BVI) 标准格式 日期：按实际生产日期
Packaging Info: 
77685GQ2: MA多语EAN包装+UPC贴纸+MA多语收藏指南+MA多语PDQ+箱唛
Remark: </t>
  </si>
  <si>
    <t>Ava Liang</t>
  </si>
  <si>
    <t>94795-4.18</t>
  </si>
  <si>
    <t>77685GQ2-S001-3L</t>
  </si>
  <si>
    <t>ZMPO250285</t>
  </si>
  <si>
    <t>60套散件</t>
  </si>
  <si>
    <t>Remark:大货最新版本/只需要齐全套散件/麻烦用胶袋分装好一套为一袋/箱唛参照邮件附件;备注：收到样品订单后尽快安排 ，注意样板品质质量要求要高于大货品质要求 ，送货时必须要附带送货单(没有送货单和QC检验合格报告的仓库一律拒绝收货)，请知悉，谢谢！</t>
  </si>
  <si>
    <t>Angus</t>
  </si>
  <si>
    <t>94916-4.30</t>
  </si>
  <si>
    <t>50个满PDQ(650PCS)</t>
  </si>
  <si>
    <t>Remark:大货最新版本/产品按大货比例/大货标准箱装箱/箱唛参照邮件附件;备注：收到样品订单后尽快安排 ，注意样板品质质量要求要高于大货品质要求 ，送货时必须要附带送货单(没有送货单和QC检验合格报告的仓库一律拒绝收货)，请知悉，谢谢！</t>
  </si>
  <si>
    <t>50个满PDQ(1350PCS)</t>
  </si>
  <si>
    <t>Babyhouse</t>
  </si>
  <si>
    <t>乌兹别克斯坦</t>
  </si>
  <si>
    <t>4500159866-10</t>
  </si>
  <si>
    <t>4/22 客上柜</t>
  </si>
  <si>
    <t>3/14 进口商贴纸</t>
  </si>
  <si>
    <t>日期码格式：ZURU INC(BVI) 标准格式 日期：按实际生产日期
Packaging Info: 77685: 1L MA 收缩膜 + 进口商贴纸 ; MA 说明书/指南（如有）;
Remark: 标准配比</t>
  </si>
  <si>
    <t>Ann Zhang</t>
  </si>
  <si>
    <t>94879-4.29</t>
  </si>
  <si>
    <t>ASIA GOAL LIMITED TAIWAN BRANCH (H.</t>
  </si>
  <si>
    <t>台湾</t>
  </si>
  <si>
    <t>AG240426-TW</t>
  </si>
  <si>
    <t>4500160940-10</t>
  </si>
  <si>
    <t>4/29  截SI</t>
  </si>
  <si>
    <t>3.28警语贴纸</t>
  </si>
  <si>
    <t>日期码格式：ZURU INC(BVI) 标准格式 日期：按实际生产日期
Packaging Info: MA 1L PKG, MA 1L PDQ +MA 收藏指南说明书+1张警语贴纸（贴球底部）
Remark: 此单出台湾</t>
  </si>
  <si>
    <t>94842-4.25</t>
  </si>
  <si>
    <t>WAL-MART STORES INC. USA</t>
  </si>
  <si>
    <t>0904512381</t>
  </si>
  <si>
    <t>4500159701-10</t>
  </si>
  <si>
    <t>77685SLB-S001</t>
  </si>
  <si>
    <t xml:space="preserve">混搭恐龙卡板装12pcs/GQ4/CTN**96/Slip Sheet </t>
  </si>
  <si>
    <t>4/23 第三方抽办+验货</t>
  </si>
  <si>
    <t>5/15 截SI</t>
  </si>
  <si>
    <t>首单，3/25</t>
  </si>
  <si>
    <t>3/21 RFID+艾利贴纸（不干胶贴纸）和一张普通贴纸（A4纸）</t>
  </si>
  <si>
    <t>日期码格式：ZURU DGYYYYMMDD CHINA(日期避开周末和法定节假日即可） 日期：按实际生产日期
Packaging Info: 77685SLB-S001：
1.包装要求：
MA 1L A版收缩膜+MA A版纸袋+MA 5L A版收藏指南+MA A版slime bag+客版1L PDQ
每pcs产品上要贴1张RFID贴纸，贴纸由ZURU提供，贴纸位置请严格按照我们签回的签板；
Remark: 77685SLB-S001：
1.包装要求：
MA 1L A版收缩膜+MA A版纸袋+MA 5L A版收藏指南+MA A版slime bag+客版1L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此单需要抽板和验货，抽板时间预计4/23，请多备料
7. 此单以slip sheet出货，77685：1152pcs/96CTN/Slip Sheet</t>
  </si>
  <si>
    <t>Maggie Xie</t>
  </si>
  <si>
    <t>ZB00268-5.16</t>
  </si>
  <si>
    <t>MTA Trade</t>
  </si>
  <si>
    <t>哈萨克斯坦</t>
  </si>
  <si>
    <t>4500160671-90</t>
  </si>
  <si>
    <t>4/25 客自提</t>
  </si>
  <si>
    <t>3/28进口商贴纸</t>
  </si>
  <si>
    <t>日期码格式：ZURU INC(BVI) 标准格式 日期：按实际生产日期
Packaging Info:
77685GQ1:MA UPC 收缩膜（优先1L)+进口商贴纸;MA指南;MA PDQ(优先1L)
Remark: 77685GQ1 Rare ratio:1/48
标准配比</t>
  </si>
  <si>
    <t>Cora Zhou</t>
  </si>
  <si>
    <t>94843-4.25</t>
  </si>
  <si>
    <t>SMYTHS TOYS HQ UC</t>
  </si>
  <si>
    <t>4500156863-10</t>
  </si>
  <si>
    <t>5/20 截SI</t>
  </si>
  <si>
    <t>日期码格式：ZURU INC(BVI) 标准格式 日期：按实际生产日期 
Packaging Info: 77685GQ2：客版收缩膜(英法德意荷)+客版5L slime bag+MA 3L PDQ+MA5L(23L Warning)收藏指南+MA23L说明书(客版翻4500155619)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</si>
  <si>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94996-5.16</t>
  </si>
  <si>
    <t>Andrés Dauhajre SA (LA NOVIA DE VIL</t>
  </si>
  <si>
    <t>多米尼加共和国</t>
  </si>
  <si>
    <t>4500160345-90</t>
  </si>
  <si>
    <t>3/31 UPC贴纸</t>
  </si>
  <si>
    <t>日期码格式：ZURU INC(BVI) 标准格式 日期：按实际生产日期
Packaging Info: 
77685GQ2: MA多语EAN包装+UPC贴纸+MA多语收藏指南+MA多语PDQ+箱唛
Remark:</t>
  </si>
  <si>
    <t>94881-4.29</t>
  </si>
  <si>
    <t>B0DS4YBF4S</t>
  </si>
  <si>
    <t>4500160498-60</t>
  </si>
  <si>
    <t>4/30 客上柜</t>
  </si>
  <si>
    <t>3/18 外箱最长边不能超过25" （超过了，case pack只能为1）</t>
  </si>
  <si>
    <t>日期码格式：ZURU INC(BVI) 标准格式 日期：按实际生产日期
Packaging Info: 
#77723：2PK STD 77685 PVC Tube. MA 1L UPC版本+空白UPC贴纸，3L 铜版纸和空白贴纸跟翻单#4500157378。收藏指南，说明书均为MA 5L标版。（两个球的配比不
能重复）。
Remark: 1.Amazon domestic 订单。出口美国。外箱最长边不能超过25" （超过了，case pack只能为1），不符合要求的大货，一律不接受。
2.无第三方验货/测试要求。
3.日期码使用ZURU标准版本。
4.邮包盒要印刷日期码。</t>
  </si>
  <si>
    <t>Kelly Shen/Mia Pan/P</t>
  </si>
  <si>
    <t>ZB00241-5.13</t>
  </si>
  <si>
    <t>MILLS FLEET FARM</t>
  </si>
  <si>
    <t>PO#4647602</t>
  </si>
  <si>
    <t>4500160726-190</t>
  </si>
  <si>
    <t>6/16 截SI</t>
  </si>
  <si>
    <t>3/26外箱贴纸</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</si>
  <si>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</si>
  <si>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</si>
  <si>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ZB00483-6.16</t>
  </si>
  <si>
    <t>CORPORACION FAVORITA C.A.</t>
  </si>
  <si>
    <t>厄多瓜尔</t>
  </si>
  <si>
    <t>25-2101100JEC</t>
  </si>
  <si>
    <t>4500160092-240</t>
  </si>
  <si>
    <t>指定日期码：2025-05 外箱/产品/包装/进口商贴纸 日期码要一致</t>
  </si>
  <si>
    <t>5/12 截SI</t>
  </si>
  <si>
    <t>4/15 UPC贴纸+进口商贴纸</t>
  </si>
  <si>
    <t>日期码格式：2025-05 日期：
Packaging Info: 
 77685GQ2: MA多语EAN包装+UPC贴纸+MA多语收藏指南+MA多语PDQ+进口商贴纸+箱唛
Remark: 1.指定日期码：2025-05（外箱/产品/包装/进口商贴纸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</si>
  <si>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94973-5.12</t>
  </si>
  <si>
    <t>ZURU Denmark ApS</t>
  </si>
  <si>
    <t>丹麦</t>
  </si>
  <si>
    <t>4500162346-10</t>
  </si>
  <si>
    <t>77685GQ1-S002-MTS</t>
  </si>
  <si>
    <t>5/6截SI</t>
  </si>
  <si>
    <t>4/16警告语贴纸</t>
  </si>
  <si>
    <t>日期码格式：ZURU INC(BVI) 标准格式 日期：按实际生产日期
Packaging Info: 77685GQ1: MA 3L A版PDQ + 3L警语 EAN A版收缩膜 +1*多语折叠警告语贴纸+ 1L+23L警语说明书 + 5L+23L警语收藏指南 + 5L Slime袋子 + 北欧五语通用Slime黑
白说明书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</si>
  <si>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</si>
  <si>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94941-5.7</t>
  </si>
  <si>
    <t>77685GQ1-S002-3L</t>
  </si>
  <si>
    <t>Signature Marketing N.Z Limited</t>
  </si>
  <si>
    <t>SMNZZU2503</t>
  </si>
  <si>
    <t>4500161244-10</t>
  </si>
  <si>
    <t>待SO出货</t>
  </si>
  <si>
    <t>日期码格式：ZURU INC(BVI) 标准格式 日期：按实际生产日期
Packaging Info: 77685GQ1:Rare ratio:1/48
Remark: MA UPC 英语包装（优先1L英语版本,或者3L/L含英语即可）</t>
  </si>
  <si>
    <t>94957-5.10</t>
  </si>
  <si>
    <t>WALMART INC.</t>
  </si>
  <si>
    <t>0904512406
STATESBORO</t>
  </si>
  <si>
    <t>4500161693-10</t>
  </si>
  <si>
    <t>5/9 BV</t>
  </si>
  <si>
    <t>5/15 交仓</t>
  </si>
  <si>
    <t>翻单</t>
  </si>
  <si>
    <t>4/14 RFID</t>
  </si>
  <si>
    <t>日期码格式：ZURU DGYYYYMMDD CHINA(日期避开周末和法定节假日即可） 日期：按实际生产日期
Packaging Info: 77685SLB-S001：
1.包装要求：
MA 1L A版收缩膜+MA A版纸袋+MA 5L A版收藏指南+MA A版slime bag+客版1L PDQ,翻单：4500159701
每pcs产品上要贴1张RFID贴纸，贴纸由ZURU提供，贴纸位置请严格按照我们签回的签板；
Remark: 77685SLB-S001：
1.包装要求：
MA 1L A版收缩膜+MA A版纸袋+MA 5L A版收藏指南+MA A版slime bag+客版1L PDQ,翻单：4500159701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</si>
  <si>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ZB00249-5.14</t>
  </si>
  <si>
    <t>0904512349
SUFFOLK</t>
  </si>
  <si>
    <t>4500161693-20</t>
  </si>
  <si>
    <t>5/10 交仓</t>
  </si>
  <si>
    <t>ZB00240-5.13</t>
  </si>
  <si>
    <t>0904512397</t>
  </si>
  <si>
    <t>4500161749-10</t>
  </si>
  <si>
    <t>5/14 BV</t>
  </si>
  <si>
    <t>5/26 截SI</t>
  </si>
  <si>
    <t>0902421363
SAVANNAH</t>
  </si>
  <si>
    <t>4500162369-10</t>
  </si>
  <si>
    <t>77685GQ4-S001</t>
  </si>
  <si>
    <t>混搭恐龙12pcs/GQ4/箱</t>
  </si>
  <si>
    <t>日期码格式：ZURU DGYYYYMMDD CHINA(日期避开周末和法定节假日即可） 日期：按实际生产日期
Packaging Info: 77685GQ4-S001：
1.包装要求：
MA 1L A版收缩膜+MA A版纸袋+MA 5L A版收藏指南+MA A版slime bag+客版1L PDQ, 翻单：4500159701
每pcs产品上要贴1张RFID贴纸，贴纸由ZURU提供，贴纸位置请严格按照我们签回的签板；
Remark: 77685GQ4-S001：
1.包装要求：
MA 1L A版收缩膜+MA A版纸袋+MA 5L A版收藏指南+MA A版slime bag+客版1L PDQ, 翻单：4500159701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carton出货，77685：12pcs/PDQ/CTN</t>
  </si>
  <si>
    <t>0902421367
SUFFOLK</t>
  </si>
  <si>
    <t>4500162369-20</t>
  </si>
  <si>
    <t>0902421371
RIDGEVILLE SC</t>
  </si>
  <si>
    <t>4500162369-30</t>
  </si>
  <si>
    <t>5/16 截SI</t>
  </si>
  <si>
    <t>10001269475-3890</t>
  </si>
  <si>
    <t>4500162016-10</t>
  </si>
  <si>
    <t>4/16条码箱贴纸客供</t>
  </si>
  <si>
    <t>日期码格式：ZURU INC(BVI) 标准格式 日期：按实际生产日期
Packaging Info: MA 1L 收缩膜+ MA 1L PDQ
Remark: 1.77685GQ1-S002-5 SURPRISE-DINO MIX AND MATCH-SERIES 1-CAPSULE,13PCS/Gravity PDQ, 13PCS/PDQ/CTN
2. MA 1L 收缩膜+ MA 1L PDQ，收缩膜上的UPC193052079053.
3. 每个外箱正唛箱唛信息左上方位置粘贴条码箱贴纸，每箱只贴一张,由ZURU订购，来料显示DPCI-087-26-6460, UPC 10193052079050.
4. 产品和包装上印刷 tracking code信息，格式为ZURU常规格式;
5. 出货方式：货代自提</t>
  </si>
  <si>
    <t>4500161750-10</t>
  </si>
  <si>
    <t>混搭恐龙12pcs/GQ4/CTN**96/卡板装</t>
  </si>
  <si>
    <t>5/19 BV</t>
  </si>
  <si>
    <t>5/27 截SI</t>
  </si>
  <si>
    <t>Big Ideas Marketing</t>
  </si>
  <si>
    <t>4500161373-10</t>
  </si>
  <si>
    <t>MGQ15-77685-S001</t>
  </si>
  <si>
    <t>混搭恐龙24pcs/GQ5+外厂#83183GQ5/箱</t>
  </si>
  <si>
    <t>按标准格式，指定日期为2025年5月15日，为了同外厂的球日期一致</t>
  </si>
  <si>
    <t>日期码格式：ZURU INC(BVI) 标准格式 日期：按实际生产日期 Tracking Code:
Packaging Info: 1、包装方式：MA UPC优先1L+客版PDQ（客版AW邮件提供），出口美国
其中#MGQ15为混厂混Brand产品，混的产品为#77685GQ5-兴信与#83183GQ5-高德斯（最终组装工厂为兴信), 高德斯工厂的#83183GQ5会在2025/05/13送到
 #77685GQ5：193052079053
 #83183GQ5：193052069092
Remark: 2、无第三方测试与验货要求。
 3、纸箱4面印ZURU LOGO + 箱唛 任何外箱最长的边不得大于48"
 4、日期码请按ZURU标准版执行即可。
 5、ZURU QC验货。
 6、Ratio: #MGQ15/CTN=1 PDQ#77685GQ5(5 SURPRISE-DINO MIX AND MATCH-SERIES 1-CAPSULE,2Facing24pcs/Gravity PDQ,24pcs/PDQ/CTN)+1 PDQ#83183GQ5(MAX-MA
 X PREMIUM-SERIES 1-GARDEN POT PLANTS-CAPSULE,15PCS/Gravity PDQ,Facing at short side,15PCS/PDQ/CTN)</t>
  </si>
  <si>
    <t>Annie Huang</t>
  </si>
  <si>
    <t>0904512405
EASTVALE</t>
  </si>
  <si>
    <t>4500161751-10</t>
  </si>
  <si>
    <t>5/22 BV</t>
  </si>
  <si>
    <t>5/30 交仓</t>
  </si>
  <si>
    <t>ZB00394-6.3</t>
  </si>
  <si>
    <t>0904512393
ELWOOD</t>
  </si>
  <si>
    <t>4500161751-20</t>
  </si>
  <si>
    <t>ZB00430-6.7</t>
  </si>
  <si>
    <t>0904512355
STATESBORO</t>
  </si>
  <si>
    <t>4500161751-30</t>
  </si>
  <si>
    <t>6/9 截SI</t>
  </si>
  <si>
    <t>0904512380
SUFFOLK</t>
  </si>
  <si>
    <t>4500161751-40</t>
  </si>
  <si>
    <t>0904512390
RIDGEVILLE SC</t>
  </si>
  <si>
    <t>4500161751-50</t>
  </si>
  <si>
    <t>0902421360
HOUSTON</t>
  </si>
  <si>
    <t>4500162370-10</t>
  </si>
  <si>
    <t>日期码格式：ZURU DGYYYYMMDD CHINA(日期避开周末和法定节假日即可） 日期：按实际生产日期
Packaging Info: 77685GQ4-S001：
1.包装要求：
MA 1L A版收缩膜+MA A版纸袋+MA 5L A版收藏指南+MA A版slime bag+客版1L PDQ,翻单：4500159701
每pcs产品上要贴1张RFID贴纸，贴纸由ZURU提供，贴纸位置请严格按照我们签回的签板；
Remark: 77685GQ4-S001：
1.包装要求：
MA 1L A版收缩膜+MA A版纸袋+MA 5L A版收藏指南+MA A版slime bag+客版1L PDQ,翻单：4500159701
每pcs产品上要贴1张RFID贴纸，贴纸由ZURU提供，贴纸位置请严格按照我们签回的签板；
2. 外箱印刷带条码的RFID箱唛：RFID紫色色带+WM Dept.图标+RFID图标+ITF-14条码+粉色艾利贴纸（不干胶打印），四面右下角印刷ZURU logo, ITF条码只印刷在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carton出货，77685：12pcs/PDQ/CTN</t>
  </si>
  <si>
    <t>0902421364
MOBILE</t>
  </si>
  <si>
    <t>4500162370-20</t>
  </si>
  <si>
    <t>TOYS "R" US (CANADA) LTD.</t>
  </si>
  <si>
    <t>加拿大</t>
  </si>
  <si>
    <t>4500163438-20</t>
  </si>
  <si>
    <t>5/27第三方</t>
  </si>
  <si>
    <t>6/6 截SI</t>
  </si>
  <si>
    <t>4/17 UPC 贴纸</t>
  </si>
  <si>
    <t>日期码格式：ZURU INC(BVI) 标准格式 日期：按实际生产日期
Packaging Info: 1. 出口加拿大市场，MA UPC版本包装。
#77685GQ1: MA 3L EAN_A版本 +UPC 贴纸；UPC#193052079053
2. 产品、包装、外箱上面tracking code的时间格式需要一致
Remark: 3. 需要第三方SGS验货，验货时间2025/05/19，每款每色请备1PC完整带包装样品供验货人员参考。用完后若无损坏可以放回大货里。</t>
  </si>
  <si>
    <t>Abby Mai,Lluvia Zeng</t>
  </si>
  <si>
    <t>英国</t>
  </si>
  <si>
    <t>Amazon UK:
19EG6O9K</t>
  </si>
  <si>
    <t>4500158581-10</t>
  </si>
  <si>
    <t>4/27SSCC贴纸+空白贴纸</t>
  </si>
  <si>
    <t>日期码格式：ZURU INC(BVI) 标准格式 日期：按实际生产日期 
Packaging Info: Amazon UK(77723)
 1. 77723:2pk 77685 into pvc tube, 12tubes/ctn; MA 3L(3L warning EAN)A收缩膜+MA 1L(23L warning)A说明书+MA 1L A内袋+MA 5L(23L warning)A收藏指南+M
 A 5L A Slime胶袋+客版PVC筒彩卡(含英法德意西5L警告语+UPC#+邮箱地址+FR/ES/IT环保标，参考翻单PO#4500158469)；
 2. 验货时间不迟于2025/5/23.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</si>
  <si>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UPD, INC.</t>
  </si>
  <si>
    <t>PO# 34499</t>
  </si>
  <si>
    <t>4500164375-10</t>
  </si>
  <si>
    <t>5/28 截SI</t>
  </si>
  <si>
    <t>日期码格式：ZURU INC(BVI) 标准格式 日期：按实际生产日期
Packaging Info: 1. 包装方式：MA UPC 优先1L 最新包装，出口美国
Remark: 2. 外箱箱唛红色和黑色双色印刷
3. 产品和包装上印刷tracking code信息，格式为ZURU常规
4. 需要ZURU QC 验货合格后方可出货
5. 整柜出货。</t>
  </si>
  <si>
    <t>Sia Liu</t>
  </si>
  <si>
    <t>BINGO GLOBAL GROUP FOR TRADING SUPP</t>
  </si>
  <si>
    <t>埃及</t>
  </si>
  <si>
    <t>4500159286-10</t>
  </si>
  <si>
    <t>6/22 截SI</t>
  </si>
  <si>
    <t>4/23进口商贴纸</t>
  </si>
  <si>
    <t>日期码格式：ZURU INC(BVI) 标准格式 日期：按实际生产日期
Packaging Info: 77685GQ1: MA 3L EAN 收缩膜+ 进口商贴纸 +MA收藏指南和说明书；MA PDQ
Remark: 77685GQ1: Rare ratio:1/48</t>
  </si>
  <si>
    <t>Lena Huang</t>
  </si>
  <si>
    <t>77685GQ1-S001-3L</t>
  </si>
  <si>
    <t>THE ENTERTAINER</t>
  </si>
  <si>
    <t>FB12980</t>
  </si>
  <si>
    <t>4500159575-10</t>
  </si>
  <si>
    <t>日期码格式：ZURU INC(BVI) 标准格式 日期：按实际生产日期
Packaging Info: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*条码如下，请核查
77685GQ1-S001 193052079053
* 大货样： 请在5/10 前寄出每款1整套大货样到罗湖办公室7B Sandy Shao 收。
Remark: 77685GQ1-S001 MA-1L 配套包装</t>
  </si>
  <si>
    <t>Sandy Shao</t>
  </si>
  <si>
    <t>SHOPRITE CHECKERS (PTY) LTD</t>
  </si>
  <si>
    <t>南非</t>
  </si>
  <si>
    <t>BRK1177100734</t>
  </si>
  <si>
    <t>4500163743-40</t>
  </si>
  <si>
    <t>77685SK1-S002</t>
  </si>
  <si>
    <t>5/29 截SI</t>
  </si>
  <si>
    <t>日期码格式：ZURU INC(BVI) 标准格式 日期：按实际生产日期
Packaging Info: MA PKG, 优先1L
Remark: 请留意箱唛色带高度为40mm, 色带顶部需留出10mm高空白地方
客户PO#BRK1177100734</t>
  </si>
  <si>
    <t>K􀃤rkk􀃤inen Oy /Centrawla rehouse</t>
  </si>
  <si>
    <t>芬兰</t>
  </si>
  <si>
    <t>4500161573-140</t>
  </si>
  <si>
    <t>6/4 截SI</t>
  </si>
  <si>
    <t>4/28瑞典芬兰警告语贴纸</t>
  </si>
  <si>
    <t>日期码格式：ZURU INC(BVI) 标准格式 日期：按实际生产日期
Packaging Info: 
14. 77685GQ2: MA 3L EAN版收缩膜+瑞典芬兰警告语贴纸+北欧五语通用Slime黑白说明书+MA 5L slime bag+MA B1L(23L warning)说明书+MA 3L PDQ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77685GQ2:4894680042612</t>
  </si>
  <si>
    <t>Sheba</t>
  </si>
  <si>
    <t>77685GQ2-S002-3L</t>
  </si>
  <si>
    <t>0904512463</t>
  </si>
  <si>
    <t>4500161752-10</t>
  </si>
  <si>
    <t>5/30 BV</t>
  </si>
  <si>
    <t>6/3 交仓</t>
  </si>
  <si>
    <t>ZB00404-6.3</t>
  </si>
  <si>
    <t>0902421348
EASTVALE</t>
  </si>
  <si>
    <t>4500162371-10</t>
  </si>
  <si>
    <t>5/27 BV</t>
  </si>
  <si>
    <t>ZB00412-6.5</t>
  </si>
  <si>
    <t>0902421356
ELWOOD</t>
  </si>
  <si>
    <t>4500162371-20</t>
  </si>
  <si>
    <t>ZB00413-6.5</t>
  </si>
  <si>
    <t>COOP NORGE HANDEL AS - DOM</t>
  </si>
  <si>
    <t>挪威</t>
  </si>
  <si>
    <t>4500162231-20</t>
  </si>
  <si>
    <t>5/26-5/27第三方</t>
  </si>
  <si>
    <t>6/3 截SI</t>
  </si>
  <si>
    <t>4/30挪威语警语贴纸</t>
  </si>
  <si>
    <t>日期码格式：ZURU INC(BVI) 标准格式 日期：按实际生产日期
Packaging Info: 
77685GQ1:MA EAN 3L 收缩膜+MA-B COLLECTOR GUIDE+MA 说明书+MA SLIME BAG&lt;(&gt;&lt;&lt;)&gt;(&gt;&lt;(&gt;&amp;&lt;)&gt;&lt;(&gt;&lt;&lt;)&gt;)&gt; INNER BAG++MA 3L 展示盒+挪威语警语贴纸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77685GQ1-7254586-4894680042612-10193052079050
6/配比:
77685GQ1:Rare ratio:1/48</t>
  </si>
  <si>
    <t>Zoe Zhou</t>
  </si>
  <si>
    <t>Coop Danmark A/S</t>
  </si>
  <si>
    <t>4500160515-80</t>
  </si>
  <si>
    <t>4/21北欧四语警告语贴纸</t>
  </si>
  <si>
    <t>日期码格式：ZURU INC(BVI) 标准格式 日期：按实际生产日期
Packaging Info: 
6. 77685GQ1: MA 3L EAN版收缩膜+丹麦瑞典挪威芬兰语警告语贴纸+北欧五语通用Slime黑白说明书+MA 5L slime bag+MA B1L(23L warning)说明书+MA 3L PDQ+MA 5
L-23L warning收藏指南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ITEM-COOP ITEM-EAN-GTIN
77685GQ1-1000492570-4894680042612-10193052079050
9. 验货注意，警告语需要包含丹麦语
10，要求样品，寄出时间5/15前，
77685GQ1 各3pcs球+2套散件
其它产品各2套</t>
  </si>
  <si>
    <t>Luna Lin</t>
  </si>
  <si>
    <t>AB Gee of Ripley Ltd.</t>
  </si>
  <si>
    <t>777 2MAY25</t>
  </si>
  <si>
    <t>4500162622-20</t>
  </si>
  <si>
    <t>77685GQ2-S003</t>
  </si>
  <si>
    <t>混搭恐龙27pcs/GQ2/内箱*2</t>
  </si>
  <si>
    <t>5/30 截SI</t>
  </si>
  <si>
    <t>日期码格式：ZURU INC(BVI) 标准格式 日期：按实际生产日期
Packaging Info: MA 最新UPC包装，各款的条码如下，请先检查条码是否正确再安排做货，如有问题请告知,配比跟MA
77685GQ2：193052079053
Remark: 1.产品及包装需要印UKCA图标，包装需要有ZURU UK LTD/ZURU France地址信息，QC同事请核查，如有问题与跟单确认。
2. 需要符合欧洲标准不能含有闪粉和微塑料，否则不和法规会有客诉产生</t>
  </si>
  <si>
    <t>Yoga Huang</t>
  </si>
  <si>
    <t>ZURU Germany GMBH</t>
  </si>
  <si>
    <t>4500164783-10</t>
  </si>
  <si>
    <t>77685GQ2-S002-MTS</t>
  </si>
  <si>
    <t>日期码格式：ZURU INC(BVI) 标准格式 日期：按实际生产日期
Packaging Info: 1.77685GQ2：MA 3L EAN 最新版收缩膜+1张多语警告语贴纸+MA 说明书+MA 最新版PDQ；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</si>
  <si>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</si>
  <si>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Lekia AB</t>
  </si>
  <si>
    <t>瑞典</t>
  </si>
  <si>
    <t>156653-2</t>
  </si>
  <si>
    <t>4500164226-120</t>
  </si>
  <si>
    <t>北欧五语通用Slime黑白说明书</t>
  </si>
  <si>
    <t>6/3 待SO出货</t>
  </si>
  <si>
    <t>5/9警告语/进口商贴纸</t>
  </si>
  <si>
    <t>日期码格式：ZURU INC(BVI) 标准格式 日期：按实际生产日期
Packaging Info: 
 77685GQ2-S002:MA 3L EAN版收缩膜+北欧五语通用Slime黑白说明书+MA 5L slime bag+MA B1L(23L warning)说明书+MA 3L PDQ+警告语/进口商贴纸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77685GQ2-S002//100-222011469//4894680042612</t>
  </si>
  <si>
    <t>4500164226-210</t>
  </si>
  <si>
    <t>5/9警告语/进口商贴纸+EAN贴纸</t>
  </si>
  <si>
    <t xml:space="preserve">日期码格式：ZURU INC(BVI) 标准格式 日期：按实际生产日期
Packaging Info: 
 77685SK1-S002:MA 3L EAN版收缩膜+北欧五语通用Slime黑白说明书+MA 5L slime bag+MA B1L(23L warning)说明书+MA 3L 展示架+警告语/进口商贴纸+EAN贴纸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77685SK1-S002//100-222011468//4894680054363
</t>
  </si>
  <si>
    <t>77685SK1-S002-3L</t>
  </si>
  <si>
    <t>从PP ZP02411012中扣数</t>
  </si>
  <si>
    <t>4500157534-10</t>
  </si>
  <si>
    <t>6/5 出货</t>
  </si>
  <si>
    <t>5/27 箱唛资料， 箱唛资料会在货期前一天提供，外箱上都要贴一张大黄贴："ZURU Product for NZ test "</t>
  </si>
  <si>
    <t>2/14 UPC贴纸+大黄贴</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</si>
  <si>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77685GQ1: 要加UPC贴纸
 所有外箱上都要贴一张大黄贴："ZURU Product for NZ test "
Remark: 77685GQ1: Rare ratio:1/48</t>
  </si>
  <si>
    <t>消耗PP</t>
  </si>
  <si>
    <t>Bol.com</t>
  </si>
  <si>
    <t>荷兰</t>
  </si>
  <si>
    <t>P2505497</t>
  </si>
  <si>
    <t>4500164939-20</t>
  </si>
  <si>
    <t>6/12截SI</t>
  </si>
  <si>
    <t>5/6EAN+NL警告语+空白贴纸</t>
  </si>
  <si>
    <t>日期码格式：ZURU INC(BVI) 标准格式 日期：按实际生产日期
Packaging Info: BOL NL(9548/77723/92119ABDEH)
2. 77723：2pk 77685 into pvc tube, 12tubes/ctn; MA 3L(3L warning EAN)A收缩膜+MA 1L(23L warning)A说明书+MA 1L A内袋+MA 5L(23L warning)A收藏指南+M
A 5L A Slime胶袋+客版PVC筒彩卡(含英法德意西5L警告语+UPC#+邮箱地址+FR/ES/IT环保标，参考翻单PO#4500158469)+2张贴纸(1张EAN#，1张NL警告语，贴在彩卡)
；
4.最迟验货不得晚于2025/5/30;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</si>
  <si>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4/23 已放MA 圆筒/彩纸/贴纸</t>
  </si>
  <si>
    <t>GLOBUS Logistik GmbH and Co KG</t>
  </si>
  <si>
    <t>4500161168-10</t>
  </si>
  <si>
    <t>6/10 截SI</t>
  </si>
  <si>
    <t>4/28德语警告语贴纸</t>
  </si>
  <si>
    <t>日期码格式：ZURU INC(BVI) 标准格式 日期：按实际生产日期
Packaging Info: "77685GQ2: MA EAN 收缩膜3L-A版本 +德语警告语贴纸+ MA纸袋1L-A版本 +MA贴纸+MA口水胶5L-A版本 + MA收藏指南5+23L-A版本 + MA产品组装说明书23L-A版本+MA
PDQ3L-A版本+PDQ GTIN 贴纸
EAN:4894680042612"
Remark: "1. 此单出德国，需准时出货。无须客户第三方验货但是需要在6-2 提供验货图片(含不良图）。待客人放货后才能安排走货。
2. 外箱正唛需要贴产品图片贴纸，（外箱印4面-2*正唛+2*侧唛）
3. 外箱正唛需要印GTIN, 请保证GTIN条码能扫描。
4. 需要在货期前一个月安排2套样品给客户评估（非测试，包装无要求）"</t>
  </si>
  <si>
    <t>Claire Wang</t>
  </si>
  <si>
    <t>G.T. WHOLESALE LIMITED</t>
  </si>
  <si>
    <t>2924737-00</t>
  </si>
  <si>
    <t>4500165393-10</t>
  </si>
  <si>
    <t>6/5 截SI</t>
  </si>
  <si>
    <t>5/8 UPC贴纸+进口商贴纸</t>
  </si>
  <si>
    <t>已出大货样</t>
  </si>
  <si>
    <t>日期码格式： 标准格式 日期：按实际生产日期
Packaging Info: 77685GQ1 MA 多语EAN版本+UPC贴纸 UPC号码193052079053
Remark: 出口加拿大， 有 进口商贴纸
5/23前寄出大货样2套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</si>
  <si>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Summer Mo</t>
  </si>
  <si>
    <t>NORWEGIAN TOY IMPORT AS - DOM</t>
  </si>
  <si>
    <t>4500163205-160</t>
  </si>
  <si>
    <t>5/12进口商贴纸</t>
  </si>
  <si>
    <t>日期码格式：ZURU INC(BVI) 标准格式 日期：按实际生产日期
Packaging Info: 
77685GQ2：MA-A EAN 3L收缩膜+MA 3L A展示盒+进口商贴纸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</si>
  <si>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4500163205-230</t>
  </si>
  <si>
    <t>日期码格式：ZURU INC(BVI) 标准格式 日期：按实际生产日期
Packaging Info:
77685SK1：MA-A EAN 3L收缩膜+MA 说明书+MA-A 3L展示架+进口商贴纸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</si>
  <si>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JSC «Grand-Trade»</t>
  </si>
  <si>
    <t>俄罗斯联邦</t>
  </si>
  <si>
    <t>MPO03508</t>
  </si>
  <si>
    <t>4500165114-母件PO</t>
  </si>
  <si>
    <t xml:space="preserve">77685-S001-MEC348 </t>
  </si>
  <si>
    <t>混搭恐龙4pcs/胶袋*6/箱-同一胶袋内球不重复</t>
  </si>
  <si>
    <t>按照标准配比，4个球一组入一个胶袋，一组球不能有重复   请留意收缩膜和指南需要覆盖recycled material</t>
  </si>
  <si>
    <t>6/10 送丹尼 组装MEC348</t>
  </si>
  <si>
    <t>周转箱</t>
  </si>
  <si>
    <t>5/13进口商贴纸+EAN条码贴纸+空白贴纸</t>
  </si>
  <si>
    <t>Product Requirement
Remark: 注意： 注 此客户不允许包装 此 /产品产 /PDQ 上显示 上 recycled material 字眼，如有请告知跟单需要加贴纸覆盖； 字
1. 包装要求如下 包 ：
77685 MA UPC 1L收缩膜 收 +进口商贴纸（覆盖内膜上的 进 recycled material）+EAN条码贴纸， 条 MA收藏指南 收 + 加空白贴纸覆盖 加 recycled material ， MA产品组装说明书 产
2. 标准配比
仓库联系人 
丹尼 丹尼玩具（龙川）有限公司 中国广东河源广东省 河源市 龙川县 登云镇 深圳宝安（龙川）产业转移工业园6-2号地块</t>
  </si>
  <si>
    <t>Claire Wang/Cora Zhou/Ann Zhang</t>
  </si>
  <si>
    <t>95833-7.31</t>
  </si>
  <si>
    <t>77685-S001-MEC348</t>
  </si>
  <si>
    <t>0904512394EAS
TVALE</t>
  </si>
  <si>
    <t>4500162784-10</t>
  </si>
  <si>
    <t>6/9 BV</t>
  </si>
  <si>
    <t>6/14 截SI</t>
  </si>
  <si>
    <t>5/12 RFID</t>
  </si>
  <si>
    <t>日期码格式：ZURU DGYYYYMMDD CHINA(日期避开周末和法定节假日即可） 日期：按实际生产日期
Packaging Info: 77685SLB-S001：
1.包装要求：
MA 1L A版收缩膜+MA A版纸袋+MA 5L A版收藏指南+MA A版slime bag+客版1L PDQ,翻单：4500159701
每pcs产品上要贴1张RFID贴纸，贴纸由ZURU提供，贴纸位置请严格按照我们签回的签板
Remark: 77685SLB-S001：
1.包装要求：
MA 1L A版收缩膜+MA A版纸袋+MA 5L A版收藏指南+MA A版slime bag+客版1L PDQ,翻单：4500159701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6.此单以slip sheet出货，77685：1152pcs/96CTN/Slip Sheet</t>
  </si>
  <si>
    <t>ZB00475-6.14</t>
  </si>
  <si>
    <t>0904512384ELW
OOD</t>
  </si>
  <si>
    <t>4500162784-20</t>
  </si>
  <si>
    <t>6/20 截SI</t>
  </si>
  <si>
    <t>ZB00505-6.18</t>
  </si>
  <si>
    <t>UNFI WHOLESALE INC</t>
  </si>
  <si>
    <t>PO# 43359476</t>
  </si>
  <si>
    <t>4500165209-40</t>
  </si>
  <si>
    <t>6/18 交仓</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</si>
  <si>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</si>
  <si>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ZB00564-6.24</t>
  </si>
  <si>
    <t>PO# 91157512</t>
  </si>
  <si>
    <t>4500165209-90</t>
  </si>
  <si>
    <t>PO# 96103059</t>
  </si>
  <si>
    <t>4500165209-140</t>
  </si>
  <si>
    <t>Salling Group A/S</t>
  </si>
  <si>
    <t>MPO03527</t>
  </si>
  <si>
    <t>4500165363-母件PO</t>
  </si>
  <si>
    <t>77685-S001-MEC299</t>
  </si>
  <si>
    <t>混搭恐龙30pcs/周装箱</t>
  </si>
  <si>
    <t>送丹尼组装展示架MEC299</t>
  </si>
  <si>
    <t>丹麦语警告语贴纸翻4500160515+北欧五语通用Slime黑白说明书</t>
  </si>
  <si>
    <t>Remark: 1. ##77685: MA 3L EAN版收缩膜+丹麦语警告语贴纸--贴纸和位置图翻Coop PO#4500160515+北欧五语通用Slime黑白说明书+MA 5L slime bag+MA B1L(23L
warning)说明书+MA 5L-23L warning收藏指南; 产品条码EAN#4894680042612: 请先检查条码是否正确再安排做货，如有问题请告知
2. 包装如含PVC,请改为PET,产品/包装要求无硼无香'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每座展示架包含30个#77685，请工厂务必按照每座展示架数量配好每个assortment的配比，方便组装厂直接组装展示架，配比跟MA标准款，如有不清楚的请找PM和跟
单核查
8. 外箱可以直接用周转箱或者其他，工厂自行安排即可，请在外箱上写好每箱装多少和总箱数方便点数
9. 送货到永茂时请在送货单上备注客供子件给Salling Group PO#4500165363/#MEC299混装展示架用
10. 组装厂会安排最终验货，请准备好备品，验货后需要马上安排补货，届时请务必按时送货到永茂厂</t>
  </si>
  <si>
    <t>Sheba Ye</t>
  </si>
  <si>
    <t>MEIJER DISTRIBUTION, INC.</t>
  </si>
  <si>
    <t>客户PO：21688
8482</t>
  </si>
  <si>
    <t>4500161803-40</t>
  </si>
  <si>
    <t>6/13 截仓</t>
  </si>
  <si>
    <t>日期码格式：ZURU INC(BVI) 标准格式 日期：
Packaging Info: 1. MA 1L 包装
2. 客人指定箱唛排版
Remark: 出货前 Zuru QC 验货</t>
  </si>
  <si>
    <t>Cherie Li</t>
  </si>
  <si>
    <t>ZB00469-6.13</t>
  </si>
  <si>
    <t>4500161694-10</t>
  </si>
  <si>
    <t>ZB00468-6.13</t>
  </si>
  <si>
    <t>SUBURBIA S DE R. L. DE C. V.</t>
  </si>
  <si>
    <t>墨西哥</t>
  </si>
  <si>
    <t>4500162850-60</t>
  </si>
  <si>
    <t>有监柜要求，需要每款多准备一套完整物料</t>
  </si>
  <si>
    <t>6/13 截SI</t>
  </si>
  <si>
    <t>外箱只需四面印Zuru logo</t>
  </si>
  <si>
    <t>5/9进口商贴纸+价标贴纸+说明书贴纸+5/26 HU贴纸和ASN贴纸客供</t>
  </si>
  <si>
    <t>日期码格式：ZURU INC(BVI) 标准格式 日期：按实际生产日期
Packaging Info: 
77685GQ2：MA 3L EAN 包装+MA 多语PDQ+MA多语说明书+进口商贴纸+价标贴纸+说明书贴纸
1. 外箱只需四面印Zuru logo，再加2张贴纸，1张Hu贴纸（条码贴），1张ASN贴纸（尺寸6.5cm*6.3cm,潘通色号2597C），都贴于侧唛，只需贴1面(HU贴纸和ASN贴
纸客供）
2. 一个外箱对应一个HU’S(条形码),不可以混条码包装
3.含有说明书需要增加说明书贴纸
4.价格贴纸覆盖原有包装的条形码
Remark:
此单有监柜要求，需要每款多准备一套完整物料，用于监柜，不可以随大货走</t>
  </si>
  <si>
    <t>Ever Li</t>
  </si>
  <si>
    <t>THE KROGER CO.</t>
  </si>
  <si>
    <t>PO#500-23710</t>
  </si>
  <si>
    <t>4500163428-30</t>
  </si>
  <si>
    <t>7/4 截SI</t>
  </si>
  <si>
    <t>日期码格式：ZURU INC(BVI) 标准格式 日期：按实际生产日期
Packaging Info: 1、包装方式: MA UPC 优先1L最新版，出口美国
Remark: 2、无测试无验货要求
3、纸箱4面印ZURU LOGO + 箱唛
4、日期码请按ZURU标准版执行即可
5、ZURU OQC验货</t>
  </si>
  <si>
    <t>Vicky Wu</t>
  </si>
  <si>
    <t>ZXB00622-7.1</t>
  </si>
  <si>
    <t>PO#600-59500</t>
  </si>
  <si>
    <t>4500163428-60</t>
  </si>
  <si>
    <t>ZB00627-7.2</t>
  </si>
  <si>
    <t xml:space="preserve"> BRICKLAND LLC</t>
  </si>
  <si>
    <t>蒙古</t>
  </si>
  <si>
    <t xml:space="preserve"> Zuru.2025Q2(June.addon)</t>
  </si>
  <si>
    <t>4500165462-20</t>
  </si>
  <si>
    <t>客上柜</t>
  </si>
  <si>
    <t>5/13进口商贴纸</t>
  </si>
  <si>
    <t>日期码格式：ZURU INC(BVI) 标准格式 日期：按实际生产日期
Packaging Info: MA UPC packages(优先1L)+1张进口商贴纸;贴纸aw及位置图待提供
Remark:
 77685GQ1-Rare ratio:1/48</t>
  </si>
  <si>
    <t xml:space="preserve"> Emma Wu</t>
  </si>
  <si>
    <t xml:space="preserve"> WALMART INC.</t>
  </si>
  <si>
    <t>0907594855</t>
  </si>
  <si>
    <t>4500166538-10</t>
  </si>
  <si>
    <t>6/17 BV</t>
  </si>
  <si>
    <t>6/23 截SI</t>
  </si>
  <si>
    <t>5/27 RFID</t>
  </si>
  <si>
    <t>日期码格式：ZURU DGYYYYMMDD CHINA(日期避开周末和法定节假日即可） 日期：按实际生产日期
Packaging Info: 77685SLB-S001：
 1.包装要求：
 MA 1L A版收缩膜+MA A版纸袋+MA 5L B版收藏指南+MA A版slime bag+客版1L PDQ
每pcs产品上要贴1张RFID贴纸，贴纸由ZURU提供，贴纸位置请严格按照我们签回的签板；
Remark: 77685SLB-S001：
 1.包装要求：
 MA 1L A版收缩膜+MA A版纸袋+MA 5L B版收藏指南+MA A版slime bag+客版1L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</si>
  <si>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 xml:space="preserve"> Maggie Xie</t>
  </si>
  <si>
    <t>ZB00535-6.21</t>
  </si>
  <si>
    <t>0904512441HOU
STON</t>
  </si>
  <si>
    <t>4500162798-10</t>
  </si>
  <si>
    <t>6/13 BV</t>
  </si>
  <si>
    <t>ZB00544-6.23</t>
  </si>
  <si>
    <t xml:space="preserve"> COLIMPO LTD</t>
  </si>
  <si>
    <t>比利时</t>
  </si>
  <si>
    <t xml:space="preserve"> F7010986</t>
  </si>
  <si>
    <t>4500165739-10</t>
  </si>
  <si>
    <t>6/13 出货</t>
  </si>
  <si>
    <t>5/9NL 警语贴纸</t>
  </si>
  <si>
    <r>
      <rPr>
        <sz val="10"/>
        <color rgb="FF0000FF"/>
        <rFont val="宋体"/>
        <charset val="134"/>
      </rPr>
      <t xml:space="preserve">日期码格式：ZURU INC(BVI) 标准格式 日期：按实际生产日期
Packaging Info: 77685GQ1:MA 3L A版 EAN收缩膜+DE、NL警语贴纸+法国环保标（做在一起），MA 1L B版内袋，MA 5L+23L B版收藏指南，MA 5L </t>
    </r>
    <r>
      <rPr>
        <sz val="10"/>
        <color rgb="FFFF0000"/>
        <rFont val="宋体"/>
        <charset val="134"/>
      </rPr>
      <t>A版slime</t>
    </r>
    <r>
      <rPr>
        <sz val="10"/>
        <color rgb="FF0000FF"/>
        <rFont val="宋体"/>
        <charset val="134"/>
      </rPr>
      <t xml:space="preserve"> 袋子+NL 警语贴纸，MA 1L
B版说明书，MA A版 PDQ;
L 珠子袋子+NL 警语贴纸;
Remark: 1.此单走LC,货期不可延迟，否则有罚款
2.产品上必须打上日期码，ZURU格式即可，无特殊要求；
3.如MA 产品中有大于10*10cm的塑料袋，必须有德语/法语/荷兰语/英语的警告语，印刷内容请与跟单确认
4.所有塑料袋的厚度不小于0.038mm
5.订单出比利时，产品及包装需要印CE图标，包装需要有ZURU France地址信息，QC同事请核查，如有问题与跟单确认；
6.外箱上有条码要求，排版时请留意，并请确保条码清晰可扫描；
7.出欧洲，微塑料需合规（如item本身不含微塑料，则忽略此要求）
8. STD配比
9.确保产品和包装中SVHC的含量低于0.1%
10. 客人款号
77685GQ1：135636</t>
    </r>
  </si>
  <si>
    <t xml:space="preserve"> Max kong</t>
  </si>
  <si>
    <t>Amazon EU SARL, Ndl Deutschland</t>
  </si>
  <si>
    <t>Amazon
UK:3P5HOGHS</t>
  </si>
  <si>
    <t>4500164250-80</t>
  </si>
  <si>
    <t>6/17 截SI</t>
  </si>
  <si>
    <t>5/14SSCC贴纸+空白贴纸</t>
  </si>
  <si>
    <t>日期码格式：ZURU INC(BVI) 标准格式 日期：按实际生产日期
Packaging Info: Amazon UK(15714K/7150B/77673/77723/92119AH/9279B/9561)/FR(9543D)/DE(71126/77555/77731/92104G/9543E)
4. 77723：2pk 77685 into pvc tube, 12tubes/ctn; MA 3L(3L warning EAN)A收缩膜+MA 1L(23L warning)A说明书+MA 1L A内袋+MA 5L(23L warning)A收藏指南+M
A 5L A Slime胶袋+客版PVC筒彩卡(含英法德意西5L警告语+UPC#+邮箱地址+FR/ES/IT环保标，参考翻单PO#4500158469)；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</si>
  <si>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 xml:space="preserve"> TIENDAS CHEDRAUI, S.A. DE C.V.</t>
  </si>
  <si>
    <t>4500165810-10</t>
  </si>
  <si>
    <t>7/2 截SI</t>
  </si>
  <si>
    <t>5/19 UPC贴纸+进口商贴纸</t>
  </si>
  <si>
    <t xml:space="preserve">日期码格式：ZURU INC(BVI) 标准格式 日期：按实际生产日期
Packaging Info: 1. 77685GQ2：MA 3L EAN包装+UPC条码贴纸+MA 3L PDQ包装+MA 说明书+进口商贴纸+箱唛
Remark: </t>
  </si>
  <si>
    <t xml:space="preserve"> Ever Li</t>
  </si>
  <si>
    <t>95529-7.2</t>
  </si>
  <si>
    <t>SEARS MEXICO</t>
  </si>
  <si>
    <t>4500163238-20</t>
  </si>
  <si>
    <t>6/19 截SI</t>
  </si>
  <si>
    <t>5/15UPC条码贴纸+进口商贴纸</t>
  </si>
  <si>
    <t>日期码格式：ZURU INC(BVI) 标准格式 日期：按实际生产日期
Packaging Info: 
2. 77685GQ2：MA 3L EAN包装+UPC条码贴纸+MA 3L PDQ包装+MA 说明书+进口商贴纸+箱唛
Remark:</t>
  </si>
  <si>
    <t>0907594714RID
GEVILLE SC</t>
  </si>
  <si>
    <t>4500162823-10</t>
  </si>
  <si>
    <t>6/19 BV</t>
  </si>
  <si>
    <t>7/9 截SI</t>
  </si>
  <si>
    <t>ZB00684-7.8</t>
  </si>
  <si>
    <t>0907594769SUF
FOLK</t>
  </si>
  <si>
    <t>4500162823-20</t>
  </si>
  <si>
    <t>6/23 BV</t>
  </si>
  <si>
    <t>6/25 截SI</t>
  </si>
  <si>
    <t>ZB00607-6.30</t>
  </si>
  <si>
    <t>0907594791STA
TESBORO</t>
  </si>
  <si>
    <t>4500162823-30</t>
  </si>
  <si>
    <t>ZB00713-7.10</t>
  </si>
  <si>
    <t>LLC SALUS</t>
  </si>
  <si>
    <t>4500164723-130</t>
  </si>
  <si>
    <t>6/21 客上柜</t>
  </si>
  <si>
    <t>5/7 进口商贴纸</t>
  </si>
  <si>
    <t>日期码格式：ZURU INC(BVI) 标准格式 日期：按实际生产日期
Packaging Info: Fuggler : MA UPC 彩盒 + 进口商贴纸， MA PDQ ；
77685GQ1 ： 1L MA UPC 包装+ 进口商贴纸 ， MA 指南/说明书（如有）
Remark: 标准配比</t>
  </si>
  <si>
    <t>Ann</t>
  </si>
  <si>
    <t xml:space="preserve"> THE ENTERTAINER</t>
  </si>
  <si>
    <t>FB13018</t>
  </si>
  <si>
    <t>4500159668-10</t>
  </si>
  <si>
    <t>6/24截SI</t>
  </si>
  <si>
    <t>日期码格式：ZURU INC(BVI) 标准格式 日期：按实际生产日期
Packaging Info: 77685GQ1-S001：MA-1L 配套包装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请在6/10 前未出货的新品请寄2套大货样到7B Sandy Shao 收，翻单不需要寄</t>
  </si>
  <si>
    <t xml:space="preserve"> Sandy Shao</t>
  </si>
  <si>
    <t>FB13019</t>
  </si>
  <si>
    <t>4500161780-10</t>
  </si>
  <si>
    <t>日期码格式：ZURU INC(BVI) 标准格式 日期：按实际生产日期
Packaging Info:
 77685GQ1-S001：MA-1L 配套包装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请在6/10 前: 未出货的新品请寄2套大货样到7B Sandy Shao 收，翻单不需要寄。</t>
  </si>
  <si>
    <t xml:space="preserve"> ROFU Kinderland Spielwarenhandelsge</t>
  </si>
  <si>
    <t>4500166352-20</t>
  </si>
  <si>
    <t>德语警告语贴纸（翻单：4500161168）</t>
  </si>
  <si>
    <t>日期码格式：ZURU INC(BVI) 标准格式 日期：按实际生产日期
Packaging Info: 
77685: MA EAN 收缩膜3L-A版本+1*客供价格贴纸 +德语警告语贴纸（翻单：4500161168）+ MA纸袋1L-A版本 +MA贴纸+MA口水胶5L-A版本 + MA收藏指南5+23L-A版本
+ MA产品组装说明书23L-A版本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</si>
  <si>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 xml:space="preserve"> Winnie Zhong</t>
  </si>
  <si>
    <t>77685-S001-3L</t>
  </si>
  <si>
    <t xml:space="preserve"> TOYS "R" US (CANADA) LTD.</t>
  </si>
  <si>
    <t>4500166007-20</t>
  </si>
  <si>
    <t>6/26客验</t>
  </si>
  <si>
    <t>7/2 交仓</t>
  </si>
  <si>
    <t>5/16 UPC贴纸</t>
  </si>
  <si>
    <t>日期码格式：ZURU INC(BVI) 标准格式 日期：按实际生产日期
Packaging Info: 1. 出口加拿大市场。
 #77685GQ1：MA 3L EAN_A版本 + UPC贴纸; UPC#193052079053;
 2. 产品、包装、外箱上面tracking code的时间格式需要一致。
Remark: 3. 需要第三方SGS验货，验货时间2025/06/23，每款每色请备1PC完整带包装样品供验货人员参考。用完后若无损坏可以放回大货里。</t>
  </si>
  <si>
    <t xml:space="preserve"> Abby Mai,Lluvia Zeng</t>
  </si>
  <si>
    <t>95575-7.7</t>
  </si>
  <si>
    <t xml:space="preserve">OK </t>
  </si>
  <si>
    <t>SURTIDORA COMERCIAL DEL PACIFICO S.</t>
  </si>
  <si>
    <t>4500165792-60</t>
  </si>
  <si>
    <t>6/26截SI</t>
  </si>
  <si>
    <t>5/30 UPC贴纸+进口商贴纸</t>
  </si>
  <si>
    <t xml:space="preserve">日期码格式：ZURU INC(BVI) 标准格式 日期：按实际生产日期
Packaging Info:
 6. 77685GQ2：MA 多语EAN包装+UPC贴纸+MA B版本说明书+MA PDQ 包装+进口商贴纸+箱唛
Remark: </t>
  </si>
  <si>
    <t xml:space="preserve"> Ava Liang</t>
  </si>
  <si>
    <t xml:space="preserve"> Zhuyu(Shenzhen)Trading Co.,Ltd.</t>
  </si>
  <si>
    <t>中国</t>
  </si>
  <si>
    <t>4500165636-10</t>
  </si>
  <si>
    <t>6/26 客自提</t>
  </si>
  <si>
    <t>5/8 毛重小于5kg 外箱纸质 K=B 爆破:1000Kpa 边压:4400N/M;毛重大于5kg 外箱纸质 K636K 爆破:1400Kpa 边压:6300N/M;</t>
  </si>
  <si>
    <t>年龄贴（8+）</t>
  </si>
  <si>
    <t>日期码格式：ZURU INC(BVI) 标准格式 日期：按实际生产日期
Packaging Info: 1.物料要求
 77685 MA PDQ +外挂中文收藏指南+中文说明书+收缩膜年龄贴（8+）
 此单为首单请各提供6套 大货样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</si>
  <si>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 xml:space="preserve"> Dona Tang</t>
  </si>
  <si>
    <t>77685GQ1-S002-中</t>
  </si>
  <si>
    <t>4500165636-20</t>
  </si>
  <si>
    <t>4500165636-30</t>
  </si>
  <si>
    <t>Zhuyu(Shenzhen)Trading Co.,Ltd.</t>
  </si>
  <si>
    <t>4500165636-60</t>
  </si>
  <si>
    <t>ASDA STORES LTD</t>
  </si>
  <si>
    <t>4500162761-40</t>
  </si>
  <si>
    <t>77685SLB-S002</t>
  </si>
  <si>
    <t>混搭恐龙13pcs/GQ1/CTN**80/卡板装</t>
  </si>
  <si>
    <t>6/24 截SI</t>
  </si>
  <si>
    <t>贴一张slip sheet贴纸自行打印</t>
  </si>
  <si>
    <t>日期码格式：ZURU INC(BVI) 标准格式 日期：按实际生产日期
Packaging Info:
4. 77685SLB-S002
77685GQ1-S002: MA 最新UPC包装，UPC# 193052079053&lt;(&gt;,&lt;)&gt;请先检查条码是否正确再安排做货；
Slip sheet: 13pcs/PDQ/CTN 20*4H=80CTN/SLB=1040pcs/Slip Sheet; 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</si>
  <si>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4500163740-40</t>
  </si>
  <si>
    <t>日期码格式：ZURU INC(BVI) 标准格式 日期：按实际生产日期
Packaging Info:
4. 77685SLB-S002
77685GQ1-S002: MA 最新UPC包装，UPC# 193052079053&lt;(&gt;,&lt;)&gt;请先检查条码是否正确再安排做货；
Slip sheet: 13pcs/PDQ/CTN 20*4H=80CTN/SLB=1040pcs/Slip Sheet; 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</si>
  <si>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 xml:space="preserve"> MEIJER DISTRIBUTION, INC.</t>
  </si>
  <si>
    <t>217181366 217181451</t>
  </si>
  <si>
    <t>4500166237-10</t>
  </si>
  <si>
    <t>日期码格式：ZURU INC(BVI) 标准格式 日期：
Packaging Info:  1.  MA 1L 包装
  2. 客人指定箱唛排版
Remark: 出货前 Zuru QC 验货</t>
  </si>
  <si>
    <t xml:space="preserve"> Cherie Li</t>
  </si>
  <si>
    <t>ZB00582-6.25</t>
  </si>
  <si>
    <t>4500166238-10</t>
  </si>
  <si>
    <t>ZB00619-7.1</t>
  </si>
  <si>
    <t>4500167533-140</t>
  </si>
  <si>
    <t>6/30 截SI</t>
  </si>
  <si>
    <t>5/28 UPC贴纸</t>
  </si>
  <si>
    <t>日期码格式：ZURU INC(BVI) 标准格式 日期：按实际生产日期
Packaging Info:
9. 77685GQ2: MA 多语EAN包装+UPC贴纸+MA多语收藏指南+MA PDQ包装+箱唛
Remark:</t>
  </si>
  <si>
    <t>Gabriel Brothers, Inc.</t>
  </si>
  <si>
    <t>客人PO:
84006554</t>
  </si>
  <si>
    <t>4500167243-50</t>
  </si>
  <si>
    <t>7/28 截SI</t>
  </si>
  <si>
    <t>日期码格式：ZURU INC(BVI) 标准格式 日期：按实际生产日期
Packaging Info: 1. ZURU MA UPC (首选1L / 多语可以接受)包装,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</si>
  <si>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Jessi Xu</t>
  </si>
  <si>
    <t>ZB00954-7.29</t>
  </si>
  <si>
    <t>H-E-B, LP</t>
  </si>
  <si>
    <t>PO#60X686399</t>
  </si>
  <si>
    <t>4500167106-70</t>
  </si>
  <si>
    <t>6/25 第三方抽办+验货</t>
  </si>
  <si>
    <t>7/26 截SI</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</si>
  <si>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77685GQ1 6月10前需寄出3套大货样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*2套（盲盒类的：4pcs成品球+2个空PDQ+2套散件）寄到以下地址：
Li Fung　
深圳市福田区绒花路8号深福保大厦附楼3楼。
收件人： Yoland Dai　电话：+0755 8825 3756
4. 验货+ 抽板 （同一天进行）
预约6月25日第三方（利丰）到工厂做100%大货现场验货和抽板，验货需打印EPM出来跟客户回签样板供第三方验货参考。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除15727，其他items出ZURU 标版配比;
6. ZURU QA 验货时需拍齐每款角色的产品和产品包装上的日期码照片（供实验室review）</t>
  </si>
  <si>
    <t>Elsa Zheng</t>
  </si>
  <si>
    <t>ZB00854-7.24</t>
  </si>
  <si>
    <t xml:space="preserve"> GP TURKEY</t>
  </si>
  <si>
    <t>土耳其</t>
  </si>
  <si>
    <t>084207</t>
  </si>
  <si>
    <t>4500165516-60</t>
  </si>
  <si>
    <t>日期码：ZUR5171，产品/包装/外箱请保持一致。产品蛋壳需要印日期ZUR5171和对应的item号码77685GQ2</t>
  </si>
  <si>
    <t>7/25 截SI</t>
  </si>
  <si>
    <t>5/29进口商贴纸</t>
  </si>
  <si>
    <t>期码格式：ZUR5171 日期：
Packaging Info:
77685GQ2:MA 1L 包装+进口商贴纸（含客户条码）+MA 说明书;MA PDQ
2.客户日期码：ZUR5171，产品/包装/外箱请保持一致。产品蛋壳需要印日期ZUR5171和对应的item号码77515GQ5/77685GQ2
77685GQ2:需要两套完整大货样,需要1套满PDQ+1套完整大货样，还需要一套带PDQ的MA样，寄到客户香港办公室，请多备料，地址如下： Attn: Sylvia Li Company
name: GP Services HK Limited Company address: Suite 1502, 15th Floor, Chinachem Golden Plaza, 77 Mody Road, TST East, Kowloon, Hong Kong Compan
y address (Chinese): 香港九龍尖沙咀東部麼地道77號華懋廣場1502室 Contact Tel: +852 2739 5363
Remark:</t>
  </si>
  <si>
    <t xml:space="preserve"> Lena Huang</t>
  </si>
  <si>
    <t>95766-7.24</t>
  </si>
  <si>
    <t>Mid-States Distributing, LLC</t>
  </si>
  <si>
    <t>Kennewick
Ranch &lt;(&gt;&amp;&lt;)&gt;
Home PO
2501-K01859</t>
  </si>
  <si>
    <t>4500161570-570</t>
  </si>
  <si>
    <t>6/30 交仓</t>
  </si>
  <si>
    <t>日期码格式：ZURU INC(BVI) 标准格式 日期：按实际生产日期
Packaging Info: 1.使用 MA UPC版本包装，优先1L，出口美国。
Remark: 1.产品和包装上印刷tracking code信息，格式为ZURU常规。
2.ZURU QC验货</t>
  </si>
  <si>
    <t>Cara Li</t>
  </si>
  <si>
    <t>ZB00611-6.30</t>
  </si>
  <si>
    <t>Theisen
Supply PO4495956-99</t>
  </si>
  <si>
    <t>4500161570-580</t>
  </si>
  <si>
    <t>ZB00612-6.30</t>
  </si>
  <si>
    <t>D &lt;(&gt;&amp;&lt;)&gt; B
Supply PO
1744605</t>
  </si>
  <si>
    <t>4500161570-590</t>
  </si>
  <si>
    <t>L &lt;(&gt;&amp;&lt;)&gt; M
Fleet Supply
PO P10007409</t>
  </si>
  <si>
    <t>4500161570-600</t>
  </si>
  <si>
    <t xml:space="preserve"> Smyths Toys EU HQ UC</t>
  </si>
  <si>
    <t>4500166480-10</t>
  </si>
  <si>
    <t>7/7 截SI</t>
  </si>
  <si>
    <t>5/20 德语CALL OUT/德意荷警语贴纸</t>
  </si>
  <si>
    <t>日期码格式：ZURU INC(BVI) 标准格式 日期：按实际生产日期
Packaging Info: 77685GQ2:最新MA3L EAN收缩膜+德语CALL OUT/德意荷警语贴纸（含法国sorting logo)+MA5L slime bag+荷兰语警语贴纸+MA 3L PDQ+MA5L(23L Warning)收藏指南+M
 A23L说明书+MA 内袋
 EAN#4894680042612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</si>
  <si>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 xml:space="preserve"> Joan Wang</t>
  </si>
  <si>
    <t>95596-7.9</t>
  </si>
  <si>
    <t>Gullskógar ehf - DOM</t>
  </si>
  <si>
    <t>冰岛</t>
  </si>
  <si>
    <t>4500166269-90</t>
  </si>
  <si>
    <t>7/12 开仓</t>
  </si>
  <si>
    <t>日期码格式：ZURU INC(BVI) 标准格式 日期：按实际生产日期
Packaging Info: 
77685GQ2:MA 收缩膜 EAN 3L A+MA 收藏指南 5L B+SLime 袋子 5L B+MA PDQ 3L B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t>
  </si>
  <si>
    <t>95700-7.19</t>
  </si>
  <si>
    <t xml:space="preserve"> CMS FAMOUS TOYS</t>
  </si>
  <si>
    <t>PO0000914.</t>
  </si>
  <si>
    <t>4500165973-10</t>
  </si>
  <si>
    <t>5/28UPC贴纸+5/19 进口商贴纸</t>
  </si>
  <si>
    <t>日期码格式：ZURU INC(BVI) 标准格式 日期：按实际生产日期
Packaging Info: 77685GQ1 MA多语包装，加UPC贴纸，无硼 UPC：1800097425
Remark: 出加拿大
 每款产品都需要加进口商贴纸
Zuru验货.日期跟踪码：产品外包装及产品本身都必须有日期跟踪码，ZURU标准格式日期码</t>
  </si>
  <si>
    <t xml:space="preserve"> Summer Mo</t>
  </si>
  <si>
    <t>PT. STAKOM TRIJAYA ANDALA</t>
  </si>
  <si>
    <t>印度尼西亚</t>
  </si>
  <si>
    <t>AW25</t>
  </si>
  <si>
    <t>4500167451-10</t>
  </si>
  <si>
    <t>第三方验货</t>
  </si>
  <si>
    <t>6/21 入仓</t>
  </si>
  <si>
    <t>6/5SNI label</t>
  </si>
  <si>
    <t>日期码格式：ZURU INC(BVI) 标准格式 日期：按实际生产日期
Packaging Info: MA UPC(优先1L) package+1张SNI label 贴在产品77685GQ1上,贴纸资料待提供;
可能会需样板做测试, 也有可能有第三方验货,请等我们进一步通知;
此单会跟其他订单一起出整柜, 届时如走20GP会改单价给你们;
Remark: 77685GQ1-Rare ratio:1/48</t>
  </si>
  <si>
    <t>95614-7.11</t>
  </si>
  <si>
    <t xml:space="preserve"> Sirius Sales (PTY) Ltd</t>
  </si>
  <si>
    <t>4500166516-30</t>
  </si>
  <si>
    <t>7/1 入仓</t>
  </si>
  <si>
    <t>日期码格式：ZURU INC(BVI) 标准格式 日期：按实际生产日期
Packaging Info: 1. MA UPC PKG(优先1L)
Remark:</t>
  </si>
  <si>
    <t xml:space="preserve"> Doris Shou</t>
  </si>
  <si>
    <t>95520-7.1</t>
  </si>
  <si>
    <t>COMERCIALIZADORA MEXICO AMERICANA S</t>
  </si>
  <si>
    <t>4500167348-20</t>
  </si>
  <si>
    <t>混搭恐龙27pcs/GQ2/箱 干燥剂</t>
  </si>
  <si>
    <t>有第三方监柜，至少多备一套</t>
  </si>
  <si>
    <t>6/30装柜</t>
  </si>
  <si>
    <t>5/29 进口商贴纸+UPC贴纸</t>
  </si>
  <si>
    <t>日期码格式：LOTDGYYYYMMDD 日期：按实际生产日期
Packaging Info: 77685GQ2 :3L EAN收缩膜+ UPC贴纸+ 3LPDQ+MA多语收藏指南+MA多语说明书+进口商贴纸+箱唛，进口商贴纸分别贴在球和说明书上
Remark:
2. 客版日期码要求：LOT+ZURU标准日期码格式。东莞生产的格式：LOTDGYYYYMMDD, DG是东莞拼音首字母，YYYYMMDD是实际的年月日，例如(LOTDG20240920)
3. 此单有第三方监柜，至少多备一套完整的物料用于监柜，请多备料
4. WM墨西哥防霉的新要求:货物必须在出货主箱和集装箱中按要求放置干燥剂，干燥剂指定品牌干霸
5. 77685GQ2：每箱需放置6小包干燥剂, 每包重2-3g
6. 如走柜货等loading plan 确认后再通知集装箱干燥剂数量
此单工厂将安排1*40HC，每个HC需要放置10包干燥剂，每包干燥剂1KG</t>
  </si>
  <si>
    <t>4500167348-30</t>
  </si>
  <si>
    <t>BIG W</t>
  </si>
  <si>
    <t>47836701 SYD</t>
  </si>
  <si>
    <t>4500167734-10</t>
  </si>
  <si>
    <t>7/5 交仓</t>
  </si>
  <si>
    <t>5/28 进口商贴纸</t>
  </si>
  <si>
    <t>日期码格式：ZURU INC(BVI) 标准格式 日期：按实际生产日期
Packaging Info: 1. 包装：77685GQ1: 英文MA包装 (UPC版本，首选1L，无1L可用多L含英语)+1张进口商贴纸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</si>
  <si>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Yvonne Liu</t>
  </si>
  <si>
    <t>95618-7.12</t>
  </si>
  <si>
    <t>47836702 BNE</t>
  </si>
  <si>
    <t>4500167734-20</t>
  </si>
  <si>
    <t>95592-7.9</t>
  </si>
  <si>
    <t>47836703 MEL</t>
  </si>
  <si>
    <t>4500167734-30</t>
  </si>
  <si>
    <t>95604-7.10</t>
  </si>
  <si>
    <t>47836704 FRE</t>
  </si>
  <si>
    <t>4500167734-40</t>
  </si>
  <si>
    <t>95560-7.5</t>
  </si>
  <si>
    <t>0907594669</t>
  </si>
  <si>
    <t>4500166540-10</t>
  </si>
  <si>
    <t>7/4 BV</t>
  </si>
  <si>
    <t>7/18 交仓</t>
  </si>
  <si>
    <t>ZB00795-7.18</t>
  </si>
  <si>
    <t>0907594732</t>
  </si>
  <si>
    <t>4500166540-20</t>
  </si>
  <si>
    <t>7/10 交仓</t>
  </si>
  <si>
    <t>ZB00752-7.15</t>
  </si>
  <si>
    <t>4500167653-10</t>
  </si>
  <si>
    <t>7/3 截SI</t>
  </si>
  <si>
    <t>ZB00640-7.3</t>
  </si>
  <si>
    <t>4500167651-10</t>
  </si>
  <si>
    <t>ZB00641-7.3</t>
  </si>
  <si>
    <t>Amazon
ES:88UDZQ1E</t>
  </si>
  <si>
    <t>4500167394-40</t>
  </si>
  <si>
    <t>空白外箱（加印带Zuru字样的最新logo，除了邮包盒直接做外箱的产品），MADE IN CHINA 外箱只印一正一侧</t>
  </si>
  <si>
    <t>6/3 SSCC贴纸+空白贴纸</t>
  </si>
  <si>
    <t>日期码格式：ZURU INC(BVI) 标准格式 日期：按实际生产日期
Packaging Info: Amazon ES(15726B/15762E/15763E/77723/77731/92119A)/IT(15728G/15762D/15763D/71152/77723)
4. 77723：2pk 77685 into pvc tube, 12tubes/ctn; MA 3L(3L warning EAN)A收缩膜+MA 1L(23L warning)A说明书+MA 1L A内袋+MA 5L(23L warning)A收藏指南+M
A 5L A Slime胶袋+客版PVC筒彩卡(含英法德意西5L警告语+UPC#+邮箱地址+FR/ES/IT环保标，参考翻单PO#4500158469)；
9. 最迟验货不得晚于2025/6/27;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</si>
  <si>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</si>
  <si>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95587-7.8</t>
  </si>
  <si>
    <t>5/26 已放MA 圆筒/彩纸/贴纸</t>
  </si>
  <si>
    <t>意大利</t>
  </si>
  <si>
    <t>Amazon IT:
5I1RHH8V</t>
  </si>
  <si>
    <t>4500167394-100</t>
  </si>
  <si>
    <t>7/8截SI</t>
  </si>
  <si>
    <t>95621-7.12</t>
  </si>
  <si>
    <t>Amazon UK:
7I41M6FO</t>
  </si>
  <si>
    <t>4500167501-10</t>
  </si>
  <si>
    <t>7/14 截SI</t>
  </si>
  <si>
    <t>6/4 SSCC贴纸+空白贴纸</t>
  </si>
  <si>
    <t>日期码格式：ZURU INC(BVI) 标准格式 日期：按实际生产日期
Packaging Info: Amazon UK(15714D/15728BEG/15762ADE/77673/77723/92119BD)/DE(15710B/15714G)/FR(15710B/15728E/15762B/15763B/77731/9561)
5. 77723: 2pk 77685 into pvc tube, 12tubes/ctn; MA 3L(3L warning EAN)A收缩膜+MA 1L(23L warning)A说明书+MA 1L A内袋+MA 5L(23L warning)A收藏指南+M
A 5L A Slime胶袋+客版PVC筒彩卡(含英法德意西5L警告语+UPC#+邮箱地址+FR/ES/IT环保标，参考翻单PO#4500158469)；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</si>
  <si>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95622-7.12</t>
  </si>
  <si>
    <t>0921438636</t>
  </si>
  <si>
    <t>4500168942-10</t>
  </si>
  <si>
    <t>77685-S002</t>
  </si>
  <si>
    <t>混搭恐龙12pcs/箱</t>
  </si>
  <si>
    <t>7/3 BV</t>
  </si>
  <si>
    <t>7/19 截仓</t>
  </si>
  <si>
    <t>箱唛翻单：4500159701</t>
  </si>
  <si>
    <t>6/18 RFID</t>
  </si>
  <si>
    <t>日期码格式：ZURU DGYYYYMMDD CHINA(日期避开周末和法定节假日即可） 日期：按实际生产日期
Packaging Info: 77685-S002：
1.包装要求：
MA 1L A版收缩膜+MA A版纸袋+MA 5L B版收藏指南+MA A版slime bag
每pcs产品上要贴1张RFID贴纸，贴纸由ZURU提供，贴纸位置请严格按照我们签回的签板；
Remark: 77685-S002：
1.包装要求：
MA 1L A版收缩膜+MA A版纸袋+MA 5L B版收藏指南+MA A版slime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字样,箱唛翻单：4500159701
3. 在产品上和包装上要有日期码、以及要有MADE IN CHINA和ZURU字样；
4. 产品如有扎带口要剪平，不能刮手。
5. 此单需要验货，请多备料
6. 此单以loose carton出货，12pcs/CTN</t>
  </si>
  <si>
    <t>ZB00663-7.5</t>
  </si>
  <si>
    <t>0921438670</t>
  </si>
  <si>
    <t>4500168942-20</t>
  </si>
  <si>
    <t>ZB00794-7.18</t>
  </si>
  <si>
    <t>0921438677</t>
  </si>
  <si>
    <t>4500168943-10</t>
  </si>
  <si>
    <t>7/12 截SI</t>
  </si>
  <si>
    <t>ZB00733-7.12</t>
  </si>
  <si>
    <t>0921438684</t>
  </si>
  <si>
    <t>4500168944-10</t>
  </si>
  <si>
    <t>7/7 BV</t>
  </si>
  <si>
    <t>7/8 截SI</t>
  </si>
  <si>
    <t>ZB00685-7.8</t>
  </si>
  <si>
    <t>NASA Panama</t>
  </si>
  <si>
    <t>巴拿马</t>
  </si>
  <si>
    <t>4500168505-50</t>
  </si>
  <si>
    <t>8/8 截SI</t>
  </si>
  <si>
    <t>6/5UPC贴纸</t>
  </si>
  <si>
    <t>日期码格式：ZURU INC(BVI) 标准格式 日期：按实际生产日期
Packaging Info:77685GQ2:MA多语EAN+UPC贴纸+箱唛
Remark: 请确保包装上的条形码是UPC，如有不一致，请及时提出。谢谢！</t>
  </si>
  <si>
    <t>Aimee Huang</t>
  </si>
  <si>
    <t>Ansaldo Chile</t>
  </si>
  <si>
    <t>智利</t>
  </si>
  <si>
    <t>2025-HKF135-C</t>
  </si>
  <si>
    <t>4500163833-20</t>
  </si>
  <si>
    <t>6/17 进口商贴纸+价标贴纸+UPC贴纸</t>
  </si>
  <si>
    <t>日期码格式：ZURU INC(BVI) 标准格式 日期：按实际生产日期
Packaging Info: 77685GQ2:MA 3L EAN包装+进口商贴纸+箱唛+价标贴纸
Remark:</t>
  </si>
  <si>
    <t>95642-7.14</t>
  </si>
  <si>
    <t>0907594685</t>
  </si>
  <si>
    <t>4500166541-10</t>
  </si>
  <si>
    <t>7/11 BV</t>
  </si>
  <si>
    <t>7/17 截SI</t>
  </si>
  <si>
    <t>ZB00796-7.18</t>
  </si>
  <si>
    <t>0907594771</t>
  </si>
  <si>
    <t>4500166541-20</t>
  </si>
  <si>
    <t>7/9 BV</t>
  </si>
  <si>
    <t>ZB00774-7.17</t>
  </si>
  <si>
    <t>47838036 SYD</t>
  </si>
  <si>
    <t>4500168029-10</t>
  </si>
  <si>
    <t>进口商贴纸翻单4500167734</t>
  </si>
  <si>
    <t>日期码格式：ZURU INC(BVI) 标准格式 日期：按实际生产日期
Packaging Info: 1. 包装：77685GQ1: 英文MA包装 (UPC版本，首选1L，无1L可用多L含英语)+1张进口商贴纸，翻单4500167734
2. 进口商贴纸上已经去掉日期码，产品和包装上的日期码一致，请按要求在包装上打日期码（进口商贴纸不覆盖日期码）
3. 使用ZURU标准日期码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</si>
  <si>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95619-7.12</t>
  </si>
  <si>
    <t>47838037 BNE</t>
  </si>
  <si>
    <t>4500168029-20</t>
  </si>
  <si>
    <t>95591-7.9</t>
  </si>
  <si>
    <t>47838038 MEL</t>
  </si>
  <si>
    <t>4500168029-30</t>
  </si>
  <si>
    <t>95687-7.18</t>
  </si>
  <si>
    <t>47838039 FRE</t>
  </si>
  <si>
    <t>4500168029-40</t>
  </si>
  <si>
    <t>95559-7.5</t>
  </si>
  <si>
    <t>JSC 􀂫Grand-Trade</t>
  </si>
  <si>
    <t>PGT-684628</t>
  </si>
  <si>
    <t>4500166910-20</t>
  </si>
  <si>
    <t>第三方监柜</t>
  </si>
  <si>
    <t>7/15 截SI</t>
  </si>
  <si>
    <t>6/18 进口商贴纸+外箱贴纸</t>
  </si>
  <si>
    <t>日期码格式：ZURU INC(BVI) 标准格式 日期：按实际生产日期
Packaging Info: 注意： 此客户不允许包装/产品/PDQ 上显示recycled material 字眼，如有请告知跟单需要加贴纸覆盖；
77685GQ1 MA UPC收缩膜+进口商贴纸（覆盖recycled material 字眼）+EAN条码贴 , MA收藏指南（加贴1张空白帖覆盖recycled material 字眼,MA PDQ(优先1L，
加贴1张空白帖覆盖recycled material 字眼)
2. 有第三方监柜
3. 外箱侧唛右上角各一张贴纸 （共2张）
Remark: 标准配比</t>
  </si>
  <si>
    <t>95701-7.19</t>
  </si>
  <si>
    <t>Wonderland Toys, Inc.</t>
  </si>
  <si>
    <t>4500167544-140</t>
  </si>
  <si>
    <t>7/18 截SI</t>
  </si>
  <si>
    <t>日期码格式：ZURU INC(BVI) 标准格式 日期：按实际生产日期
Packaging Info: 1. 出口美国，MA UPC 版本包装，优先1L。
Remark: 2. Zuru QC 验货即可</t>
  </si>
  <si>
    <t>ZB00805-7.18</t>
  </si>
  <si>
    <t>777 7MAY25</t>
  </si>
  <si>
    <t>4500167998-20</t>
  </si>
  <si>
    <t>日期码格式：ZURU INC(BVI) 标准格式 日期：按实际生产日期
Packaging Info:
2.77685GQ2-S003:MA 最新UPC包装,UPC#193052079053，请先检查条码是否正确再安排做货
Remark: 1.产品及包装需要印UKCA图标，包装需要有ZURU UK LTD/ZURU France地址信息，QC同事请核查，如有问题与跟单确认。
2. 需要符合欧洲标准不能含有闪粉和微塑料，否则不和法规会有客诉产生</t>
  </si>
  <si>
    <t>95675-7.17</t>
  </si>
  <si>
    <t>FB13022</t>
  </si>
  <si>
    <t>4500159670-30</t>
  </si>
  <si>
    <t>日期码格式：ZURU INC(BVI) 标准格式 日期：按实际生产日期
Packaging Info: 77685GQ1-S001:MA-1L 配套包装, 条码：193052079053。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</si>
  <si>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95645-7.14</t>
  </si>
  <si>
    <t>FB13021</t>
  </si>
  <si>
    <t>4500167693-70</t>
  </si>
  <si>
    <t>日期码格式：ZURU INC(BVI) 标准格式 日期：按实际生产日期
Packaging Info: 
77685GQ1-S001： MA 1L 配套包装，条码请核对：193052079053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</si>
  <si>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</si>
  <si>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4500167858-40</t>
  </si>
  <si>
    <t>7/23 截SI</t>
  </si>
  <si>
    <t>日期码格式：ZURU INC(BVI) 标准格式 日期：按实际生产日期
Packaging Info: 
4. 77685SLB-S002
 77685GQ1-S002: MA 最新UPC包装，UPC# 193052079053,请先检查条码是否正确再安排做货；
 Slip sheet: 13pcs/PDQ/CTN 20*4H=80CTN/SLB=1040pcs/Slip Sheet; 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5.以上产品如果是电子产品带电池出货，请加上WEEE带电池走货欧洲30语通用黑白说明书,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</si>
  <si>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95740-7.23</t>
  </si>
  <si>
    <t>AHLBERG-DOLLARSTORE AB</t>
  </si>
  <si>
    <t>4500168801-50</t>
  </si>
  <si>
    <t>7/29 截SI</t>
  </si>
  <si>
    <t>6/20警语贴纸+价钱贴纸</t>
  </si>
  <si>
    <t>日期码格式：ZURU INC(BVI) 标准格式 日期：按实际生产日期
Packaging Info: 
77685GQ2:MA EAN 3L_A PET 膜+MA 3L PDQ_A+警语贴纸+价钱贴纸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t>
  </si>
  <si>
    <t>95802-7.28</t>
  </si>
  <si>
    <t>RED APPLE STORES INC.</t>
  </si>
  <si>
    <t xml:space="preserve">加拿大 </t>
  </si>
  <si>
    <t>2874711-00</t>
  </si>
  <si>
    <t>4500167181-30</t>
  </si>
  <si>
    <t>UPC贴纸翻单4500165393</t>
  </si>
  <si>
    <t>日期码格式： 标准格式 日期：按实际生产日期
Packaging Info:
77685GQ1 MA 3L A版 (EAN收缩膜+UPC贴纸193052079053贴纸翻单4500165393+PDQ)，MA 1L INNER BAG-B，MA 23L B版收藏指南，MA 5L SLIME BAG-B, MA 1L B版说
明书。
Remark: 出加拿大
日期跟踪码：产品外包装及产品本身都必须有日期跟踪码，并且确保两者的日期跟踪码要一致；ZURU标准格式日期码(请自行调整具体年月日生产期，但不能为周末
）</t>
  </si>
  <si>
    <t>95780-7.25</t>
  </si>
  <si>
    <t>SHIRRA PANWEST</t>
  </si>
  <si>
    <t>MPO 8071</t>
  </si>
  <si>
    <t>4500169209-20</t>
  </si>
  <si>
    <t>用B版本纸袋和口水胶</t>
  </si>
  <si>
    <t>贴纸翻单4500165393</t>
  </si>
  <si>
    <t>日期码格式： 标准格式 日期：按实际生产日期
Packaging Info:
77685GQ1 MA 3L A版 (EAN收缩膜+UPC贴纸193052079053贴纸翻单4500165393+PDQ)，MA 1L INNER BAG-B，MA 23L B版收藏指南，MA 5L SLIME BAG-B, MA 1L B版说
明书。
Remark: 出加拿大
日期跟踪码：产品外包装及产品本身都必须有日期跟踪码，ZURU标准格式日期码.
不晚于7/9 号提供大货图片， 大货图片要包含外箱，箱唛， 产品带包装/不带包装图片， 尺寸测量， 称重等，请注意 客人看了大货图片才会放SO。</t>
  </si>
  <si>
    <t>95741-7.23</t>
  </si>
  <si>
    <t>0907594676</t>
  </si>
  <si>
    <t>4500166543-10</t>
  </si>
  <si>
    <t>7/16 BV</t>
  </si>
  <si>
    <t>ZB00916-7.28</t>
  </si>
  <si>
    <t>0907594731</t>
  </si>
  <si>
    <t>4500166543-20</t>
  </si>
  <si>
    <t>7/18 BV</t>
  </si>
  <si>
    <t>ZB00915-7.28</t>
  </si>
  <si>
    <t>CMS FAMOUS TOYS</t>
  </si>
  <si>
    <t>PO0000974</t>
  </si>
  <si>
    <t>4500169319-30</t>
  </si>
  <si>
    <t>8/1 交仓</t>
  </si>
  <si>
    <t>6/17UPC贴纸+6/19进口商贴纸</t>
  </si>
  <si>
    <t>日期码格式：ZURU INC(BVI) 标准格式 日期：按实际生产日期
Packaging Info:
77685GQ1 MA多语加UPC贴纸 UPC: 193052079053
Remark: 出加拿大
每款产品都需要加进口商贴纸
Zuru验货.日期跟踪码：产品外包装及产品本身都必须有日期跟踪码，ZURU标准格式
日期码</t>
  </si>
  <si>
    <t>Bella Tan</t>
  </si>
  <si>
    <t>95880-8.1</t>
  </si>
  <si>
    <t>IMPERIAL DISTRIBUTOR</t>
  </si>
  <si>
    <t>650286
Fall 25</t>
  </si>
  <si>
    <t>4500170074-50</t>
  </si>
  <si>
    <t>7/22 截仓</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</si>
  <si>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77685GQ1:S002-5 SURPRISE-DINO MIX AND MATCH-SERIES 1-CAPSULE,13PCS/Gravity PDQ, 13PCS/PDQ/CTN. GTIN:10193052079050</t>
  </si>
  <si>
    <t>Yvonne Feng</t>
  </si>
  <si>
    <t>ZB00833-7.22</t>
  </si>
  <si>
    <t>JUGUESAL S.A. DE C.V.</t>
  </si>
  <si>
    <t>厄瓜多尔</t>
  </si>
  <si>
    <t>25-1068242JUS</t>
  </si>
  <si>
    <t>4500159848-260</t>
  </si>
  <si>
    <t>指定日期码：2025-07（外箱/产品/包装/进口商贴纸 日期码要一致。</t>
  </si>
  <si>
    <t>8/7 截SI</t>
  </si>
  <si>
    <t>5/15UPC贴纸+进口商贴纸</t>
  </si>
  <si>
    <t>日期码格式：2025-07 日期：
Packaging Info:77685GQ2: MA多语EAN包装+UPC贴纸+MA多语收藏指南+MA多语PDQ+进口商贴纸+箱唛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</si>
  <si>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96592-6-9.30</t>
  </si>
  <si>
    <t>0907594717</t>
  </si>
  <si>
    <t>4500166545-10</t>
  </si>
  <si>
    <t>7/25 BV</t>
  </si>
  <si>
    <t>ZB01140-8.8</t>
  </si>
  <si>
    <t>SANBORN HERMANOS, S. A. DE C. V.</t>
  </si>
  <si>
    <t>4500167249-70</t>
  </si>
  <si>
    <t>7/24 出货</t>
  </si>
  <si>
    <t>6/27UPC 条码贴纸+进口商贴纸</t>
  </si>
  <si>
    <t>日期码格式：ZURU INC(BVI) 标准格式 日期：按实际生产日期
Packaging Info:
77685GQ2：MA 3L EAN 收缩膜+UPC 条码贴纸+MA 说明书+收藏指南+MA 3L PDQ+1张进口商贴纸+箱唛
Remark: 电池：
配比：</t>
  </si>
  <si>
    <t>95779-7.25</t>
  </si>
  <si>
    <t>0907594725</t>
  </si>
  <si>
    <t>4500166547-10</t>
  </si>
  <si>
    <t>7/31 BV</t>
  </si>
  <si>
    <t>8/4 交仓</t>
  </si>
  <si>
    <t>ZB01099-8.6</t>
  </si>
  <si>
    <t>0907594753</t>
  </si>
  <si>
    <t>4500166547-20</t>
  </si>
  <si>
    <t>8/19截SI</t>
  </si>
  <si>
    <t>ZB01303-8.16</t>
  </si>
  <si>
    <t>AB GEE OF RIPLEY LTD.</t>
  </si>
  <si>
    <t>777 2AUG</t>
  </si>
  <si>
    <t>4500170043-30</t>
  </si>
  <si>
    <t>日期码格式：ZURU INC(BVI) 标准格式 日期：按实际生产日期
Packaging Info:
3. 77685GQ2: MA 最新UPC包装&lt;(&gt;,&lt;)&gt; UPC#193052079053，请先检查条码是否正确再安排做货，如有问题请告知
6. 以上产品如果是电子产品带电池出货，请加上WEEE带电池走货欧洲30语通用黑白说明书&lt;(&gt;,&lt;)&gt; 如果是电子产品不带电池出货，请加上WEEE不带电池走货欧洲30
语通用黑白说明书
Remark: 1.产品及包装需要印UKCA图标，包装需要有ZURU UK LTD/ZURU France地址信息，QC同事请核查，如有问题与跟单确认。
2. 需要符合欧洲标准不能含有闪粉和微塑料，否则不合法规会有客诉产生</t>
  </si>
  <si>
    <t>95786-7.26</t>
  </si>
  <si>
    <t>4500168979-20</t>
  </si>
  <si>
    <t>7/22第三方SGS</t>
  </si>
  <si>
    <t>8/6 截SI</t>
  </si>
  <si>
    <t>6/26 UPC贴纸</t>
  </si>
  <si>
    <t>日期码格式：ZURU INC(BVI) 标准格式 日期：按实际生产日期
Packaging Info: 1. 出口加拿大市场。
#77685GQ1: MA 3L EAN_A版本 + UPC贴纸, UPC#193052079053;
2. 产品、包装、外箱上面tracking code的时间格式需要一致.
Remark: 3. 需要第三方SGS验货，验货时间暂定2025/07/22，每款每色请备1PC完整带包装样品供验货人员参考。用完后若无损坏可以放回大货里。</t>
  </si>
  <si>
    <t>CENTRO CUESTA NACIONAL</t>
  </si>
  <si>
    <t>25-1068241JDO</t>
  </si>
  <si>
    <t>4500164774-240</t>
  </si>
  <si>
    <t>8/4 截SI</t>
  </si>
  <si>
    <t>6/30 +UPC贴纸+进口商贴纸</t>
  </si>
  <si>
    <t>日期码格式：2025-07 日期：
Packaging Info: 
77685GQ2: MA多语EAN包装+UPC贴纸+MA多语收藏指南+MA多语PDQ+进口商贴纸+箱唛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</si>
  <si>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96593-5-9.30</t>
  </si>
  <si>
    <t>AMAZON.COM SERVICES LLC</t>
  </si>
  <si>
    <t>6SPB1M6E</t>
  </si>
  <si>
    <t>4500168600-90</t>
  </si>
  <si>
    <t>7/11 SSCC贴纸+空白贴纸翻单#4500157378</t>
  </si>
  <si>
    <t>7/7 客人已寄出SSCC</t>
  </si>
  <si>
    <t>日期码格式：ZURU INC(BVI) 标准格式 日期：按实际生产日期
Packaging Info:
#77723：2PK STD 77685 PVC Tube. MA 1L UPC版本+空白UPC贴纸，3L 铜版纸和空白贴纸跟翻单#4500157378。收藏指南，说明书均为MA 5L标版。（两个球的配比不
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</si>
  <si>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ZB00925-7.28</t>
  </si>
  <si>
    <t xml:space="preserve"> MÄC GEIZ Handelsges. mbH</t>
  </si>
  <si>
    <t>4500166172-20</t>
  </si>
  <si>
    <t>5/14德语警语贴纸</t>
  </si>
  <si>
    <t>日期码格式：ZURU INC(BVI) 标准格式 日期：按实际生产日期
Packaging Info:
 77685GQ1: 最新MA 3L PDQ+3L EAN包装+德语警语贴纸+1L+23L警语说明书+5L Slime袋子+5L+23L警语收藏指南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所有出往欧洲订单的电子产品需增加一张客版WEEE声明说明书，区分带电池和不带电池版本, 如已做客版说明书可忽略此要求。
 6. 所有出往德国订单，化学品需无堋无香版本。
 7. 标准配比
 8. 大货样品2套，请多备料</t>
  </si>
  <si>
    <t xml:space="preserve"> Shirley Zhou</t>
  </si>
  <si>
    <t>95879-8.1</t>
  </si>
  <si>
    <t>4QBFUAGY</t>
  </si>
  <si>
    <t>4500169031-120</t>
  </si>
  <si>
    <t>7/22 待SO出货</t>
  </si>
  <si>
    <t>ZB01037-8.4</t>
  </si>
  <si>
    <t>3J5S7DDW</t>
  </si>
  <si>
    <t>4500168994-190</t>
  </si>
  <si>
    <t>7/11SSCC贴纸+空白贴纸翻单#4500157378</t>
  </si>
  <si>
    <t>日期码格式：ZURU INC(BVI) 标准格式 日期：按实际生产日期
Packaging Info: 
#77723：2PK STD 77685 PVC Tube. MA 1L UPC版本+空白UPC贴纸，3L 铜版纸和空白贴纸跟翻单#4500157378。收藏指南，说明书均为MA 5L标版。（两个球的配比不
能重复）。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</si>
  <si>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ZB01002-7.31</t>
  </si>
  <si>
    <t>4H2MTQ6B</t>
  </si>
  <si>
    <t>4500168994-300</t>
  </si>
  <si>
    <t>4500169495-10</t>
  </si>
  <si>
    <t>空白贴纸跟翻单#4500157378</t>
  </si>
  <si>
    <t>日期码格式：ZURU INC(BVI) 标准格式 日期：按实际生产日期
Packaging Info: #77723：2PK STD 77685 PVC Tube. MA 1L UPC版本+空白UPC贴纸，3L 铜版纸和空白贴纸跟翻单#4500157378。收藏指南，说明书均为MA 5L标版。（两个球的配比不
能重复）。
Remark: 1.Amazon domestic 订单。出口美国。外箱最长边不能超过25" （超过了，case pack只能为1），不符合要求的大货，一律不接受。
2.无第三方验货/测试要求。
3.日期码使用ZURU标准版本。
4.邮包盒要印刷日期码。</t>
  </si>
  <si>
    <t>ZB01104R1-8.6</t>
  </si>
  <si>
    <t>4500170480-50</t>
  </si>
  <si>
    <t>进口商贴纸翻156526</t>
  </si>
  <si>
    <t>日期码格式：ZURU INC(BVI) 标准格式 日期：按实际生产日期
Packaging Info:
77685GQ2： MA_UPC版本包装（收缩膜和说明书, MA首选1L，如无1L可用多语且含英语的配套多语UPC包装）+ 1张客人通用进口商贴纸（位置图翻单4500156526）
Remark: 1.按实际生产日期;
2.出澳大利亚，请按照相应标准生产;</t>
  </si>
  <si>
    <t>95778-7.25</t>
  </si>
  <si>
    <t>4500170362-30</t>
  </si>
  <si>
    <t>8/5 截SI</t>
  </si>
  <si>
    <t>日期码格式：ZURU INC(BVI) 标准格式 日期：按实际生产日期
Packaging Info:
77685GQ1-S002: MA 最新UPC包装，UPC# 193052079053,请先检查条码是否正确再安排做货；
Slip sheet: 13pcs/PDQ/CTN 20*4H=80CTN/SLB=1040pcs/Slip Sheet; 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4.以上产品如果是电子产品带电池出货，请加上WEEE带电池走货欧洲30语通用黑白说明书,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</si>
  <si>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4500171640-40</t>
  </si>
  <si>
    <t>8/12 装柜</t>
  </si>
  <si>
    <t>翻单165636</t>
  </si>
  <si>
    <t>日期码格式：ZURU INC(BVI) 标准格式 日期：按实际生产日期
Packaging Info: 物料要求 SKU
4 77685 MA PDQ +外挂中文收藏指南+中文说明书+收缩膜年龄贴（8+） 翻单： 4500165636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</si>
  <si>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Dona Tang</t>
  </si>
  <si>
    <t>Amazon FR:
8WJ7EDPL</t>
  </si>
  <si>
    <t>4500170600-400</t>
  </si>
  <si>
    <t>8/18 截SI</t>
  </si>
  <si>
    <t>7/8 SSCC贴纸+空白贴纸</t>
  </si>
  <si>
    <t>日期码格式：ZURU INC(BVI) 标准格式 日期：按实际生产日期
Packaging Info: Amazon UK(15701A/15710AB/15711D/15726ABDEGHJKLM/15728ABG/15762B/71152/77731/92119D/9561)/DE(15710B/15711D/15726ADEGHJKL/15728A/77731/92119A)/FR(
15710A/15714AN/15726D/15728A/77723)
9. 77723: 2pk 77685 into pvc tube, 12tubes/ctn; MA 3L(3L warning EAN)A收缩膜+MA 1L(23L warning)B说明书+MA 5L(23L warning)B收藏指南+其他MA最新配
套包装+客版3L(5L warning UPC#)A PVC筒彩卡(含英法德意西5L警告语+UPC#+邮箱地址+FR/ES/IT环保标，参考翻单PO#4500158469)；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</si>
  <si>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TJX COMPANIES, INC</t>
  </si>
  <si>
    <t>TJ MAXX
PO#767791
SKU#135250
DC#891-240pcs
,
DC#894-180pcs,
DC#896-96pcs,
DC#897-216pcs
,
DC#898-168pcs</t>
  </si>
  <si>
    <t>4500171922-100</t>
  </si>
  <si>
    <t>空白贴纸+7/16客供价格贴纸</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</si>
  <si>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</si>
  <si>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Emily Wu</t>
  </si>
  <si>
    <t>ZB01105R1-8.6</t>
  </si>
  <si>
    <t>TJ MAXX
PO#767798
SKU#135520
DC#891-288pcs
,
DC#894-192pcs
,
DC#896-180pcs
,
DC#897-336pcs
,
DC#898-204pcs</t>
  </si>
  <si>
    <t>4500171921-110</t>
  </si>
  <si>
    <t>8/4 装柜</t>
  </si>
  <si>
    <t>ZB01244R1-8.13  ZB01285R1-8.16</t>
  </si>
  <si>
    <t>TJ MAXX
PO#767793SKU#135967
DC#891-216pcs
,
DC#894-156pcs
,
DC#896-120pcs
,
DC#897-252pcs
,
DC#898-156pcs</t>
  </si>
  <si>
    <t>4500171924-100</t>
  </si>
  <si>
    <t>ZB01139-8.8</t>
  </si>
  <si>
    <t>Marshalls
PO#767788
SKU#855994
DC#881-228pcs
,
DC#884-108pcs
,
DC#887-132pcs
,
DC#888-132pcs</t>
  </si>
  <si>
    <t>4500171907-110</t>
  </si>
  <si>
    <t>8/7 装柜</t>
  </si>
  <si>
    <t>空白贴纸+7/16 客供价格贴纸</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</si>
  <si>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</si>
  <si>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ZB01100-8.6  ZB01158-8.8  ZB01208-8.12</t>
  </si>
  <si>
    <t>Marshalls
PO#767789
SKU#855229
DC#881-156pcs
,
DC#884-132pcs
,
DC#886-168pcs
,
DC#887-180pcs
,
DC#888-168pcs</t>
  </si>
  <si>
    <t>4500171908-110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</si>
  <si>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1. 产品和包装上印刷tracking code信息，格式为ZURU常规格式。
2. 分5个DC出货，每款产品每个DC的箱唛资料不同。具体分DC数量，请参考后面行项目备注。
3. ZURU QC验货。</t>
  </si>
  <si>
    <t>ZB01137-8.8  ZB01154-8.8</t>
  </si>
  <si>
    <t>TJ MAXX
PO#767796
SKU#134997
DC#891-240pcs
,
DC#894-156pcs
,
DC#896-144pcs
,
DC#897-288pcs
,
DC#898-168pcs</t>
  </si>
  <si>
    <t>4500171919-110</t>
  </si>
  <si>
    <t>ZB01138R1-8.8</t>
  </si>
  <si>
    <t>Marshalls
PO#767787
SKU#855483
DC#881-120pcs,
DC#884-96pcs,
DC#886-132pcs
,
DC#887-132pcs
,
DC#888-120pcs</t>
  </si>
  <si>
    <t>4500171916-100</t>
  </si>
  <si>
    <t>ZB01243R1-8.13</t>
  </si>
  <si>
    <t>Marshalls
PO#767785
SKU#855727
DC#881-120pcs
,
DC#884-96pcs,
DC#886-132pcs
,
DC#887-132pcs
,
DC#888-120pcs</t>
  </si>
  <si>
    <t>4500171914-100</t>
  </si>
  <si>
    <t>ZB01222R1-8.12</t>
  </si>
  <si>
    <t>TJ MAXX
PO#767795
SKU#136213
DC#891-228pcs
,
DC#894-108pcs
,
DC#896-144pcs
,
DC#897-264pcs
,
DC#898-156pcs</t>
  </si>
  <si>
    <t>4500171918-110</t>
  </si>
  <si>
    <t>8/8装柜  8/12 装柜</t>
  </si>
  <si>
    <t>ZB01223R1-8.12</t>
  </si>
  <si>
    <t>Marshalls
PO#767790
SKU#856289
DC#881-192pcs
,
DC#884-168pcs
,
DC#886-216pcs
,
DC#887-216pcs
,
DC#888-204pcs</t>
  </si>
  <si>
    <t>4500171912-110</t>
  </si>
  <si>
    <t>日期码格式：ZURU INC(BVI) 标准格式 日期：按实际生产日期
Packaging Info: MA UPC包装+价格贴纸，价格贴纸客供。
2PK/3PK的球用无条码收缩膜或者用空白贴纸覆盖原条码。
#92114 是combo pack, 混装了 9269（华康生产）+9279（兴信生产），在兴信组装 。
Remark: 产品和包装上印刷tracking code信息，格式为ZURU常规格式。
2. 分5个DC出货，每款产品每个DC的箱唛资料不同。具体分DC数量，请参考后面行项目备注。
3. ZURU QC验货。</t>
  </si>
  <si>
    <t>47836713 SYD</t>
  </si>
  <si>
    <t>4500170710-50</t>
  </si>
  <si>
    <t>8/7截SI</t>
  </si>
  <si>
    <t>进口商贴纸及位置翻单4500167734</t>
  </si>
  <si>
    <t>日期码格式：ZURU INC(BVI) 标准格式 日期：按实际生产日期
Packaging Info: 1. 包装:
77685GQ1: 英文MA包装 (UPC版本，首选1L，无1L可用多L含英语)+1张进口商贴纸；贴纸及位置翻单4500167734
2. 进口商贴纸上已经去掉日期码，产品和包装上的日期码一致，请按要求在包装上打日期码（进口商贴纸不覆盖日期码）
3. 原指定日期码DDMMYY可改用ZURU标准日期码
Remark: 1. 共出4港口 (SYD, BNE, MEL, FRE)，不同港口数量信息请见订单行项目，并请参考箱唛资料，港口不同，箱唛资料也不同；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
5. 确保所出货的产品及包装不含PFAS（全氟/多氟烷基化合物）及其盐类和其相关物质，特别留意 PFOA、PFOS、PFHxS 不得检出。</t>
  </si>
  <si>
    <t>Christine Liao</t>
  </si>
  <si>
    <t>已完成</t>
  </si>
  <si>
    <t>47836714 BNE</t>
  </si>
  <si>
    <t>4500170710-60</t>
  </si>
  <si>
    <t>47836715 MEL</t>
  </si>
  <si>
    <t>4500170710-70</t>
  </si>
  <si>
    <t>8/9 截SI</t>
  </si>
  <si>
    <t>47836716 FRE</t>
  </si>
  <si>
    <t>4500170710-80</t>
  </si>
  <si>
    <t>8/11 截SI</t>
  </si>
  <si>
    <t>BEALL'S OUTLET STORES, INC.</t>
  </si>
  <si>
    <t>4500171114-20</t>
  </si>
  <si>
    <t>7/9客供价格贴纸</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</si>
  <si>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</si>
  <si>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</si>
  <si>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t>ZB01210-8.12</t>
  </si>
  <si>
    <t>4500171115-20</t>
  </si>
  <si>
    <t>ZB01179-8.11</t>
  </si>
  <si>
    <t>10001239877-0581</t>
  </si>
  <si>
    <t>4500171577-10</t>
  </si>
  <si>
    <t xml:space="preserve">8/12 客上柜 </t>
  </si>
  <si>
    <t>7/16条码箱贴纸</t>
  </si>
  <si>
    <t>日期码格式：ZURU INC(BVI) 标准格式 日期：按实际生产日期
Packaging Info: MA 1L 收缩膜+ MA 1L PDQ
Remark: 1.77685GQ1-S002-5 SURPRISE-DINO MIX AND MATCH-SERIES 1-CAPSULE,13PCS/Gravity PDQ, 13PCS/PDQ/CTN
2. MA 1L 收缩膜+ MA 1L PDQ，收缩膜上的UPC193052079053
3. 每个外箱正唛箱唛信息左上方位置粘贴条码箱贴纸，每箱只贴一张,由ZURU订购，来料显示DPCI-087-26-6460, UPC 10193052079050.
4. 产品和包装上印刷 tracking code信息，格式为ZURU常规格式;
5. 出货方式：货代自提</t>
  </si>
  <si>
    <t>ZB01216-8.12</t>
  </si>
  <si>
    <t>4400493880</t>
  </si>
  <si>
    <t>4500171129-20</t>
  </si>
  <si>
    <t>德意荷警语贴纸+荷兰语警语贴纸(贴纸都翻4500166480）</t>
  </si>
  <si>
    <t>日期码格式：ZURU INC(BVI) 标准格式 日期：按实际生产日期
Packaging Info: 
77685GQ2:最新MA3L EAN收缩膜+德语CALL OUT/德意荷警语贴纸（含法国sorting logo)+MA5L slime bag+荷兰语警语贴纸(贴纸都翻4500166480）+MA 3L PDQ+MA5L(2
3L Warning)收藏指南+MA23L说明书+MA 内袋
EAN#4894680042612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</si>
  <si>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Joan Wang</t>
  </si>
  <si>
    <t>NASA PANAMA</t>
  </si>
  <si>
    <t>4500172103-170</t>
  </si>
  <si>
    <t>8/14 截SI</t>
  </si>
  <si>
    <t>7/16 UPC贴纸</t>
  </si>
  <si>
    <t>日期码格式：ZURU INC(BVI) 标准格式 日期：按实际生产日期
Packaging Info: 请确保包装上的条形码是UPC，如果是babyUPC，需要用mother UPC覆盖，如有不一致，请及时提出。谢谢!
77685GQ2 MA 多语EAN包装+UPC贴纸+MA B版本说明书+MA PDQ 包装+箱唛
Remark:</t>
  </si>
  <si>
    <t>96595-4-9.30</t>
  </si>
  <si>
    <t>YOYO LLC</t>
  </si>
  <si>
    <t>吉尔吉斯斯坦</t>
  </si>
  <si>
    <t>4500161685-20</t>
  </si>
  <si>
    <t>8/22 客自提</t>
  </si>
  <si>
    <t>5/6进口商贴纸</t>
  </si>
  <si>
    <t>日期码格式：ZURU INC(BVI) 标准格式 日期：按实际生产日期
Packaging Info: 1L MA UPC 包装+ 进口商贴纸 ， MA PDQ /说明书/指南（如有）
Remark: 标准配比</t>
  </si>
  <si>
    <t>THE NORTH WEST COMPANY LP</t>
  </si>
  <si>
    <t>467344 467347</t>
  </si>
  <si>
    <t>4500170899-70</t>
  </si>
  <si>
    <t>日期码格式： 标准格式 日期：按实际生产日期
Packaging Info:
77685GQ1 MA 3L A版 (EAN收缩膜+UPC贴纸193052079053贴纸翻单4500165393+PDQ)，MA 1L INNER BAG-B，MA 23L B版收藏指南，MA 5L SLIME BAG-B, MA 1L B版说明书。
Remark: 出加拿大
Zuru验货.日期跟踪码：产品外包装及产品本身都必须有日期跟踪码，ZURU标准格式日期码</t>
  </si>
  <si>
    <t>po#60X269850</t>
  </si>
  <si>
    <t>4500169184-10</t>
  </si>
  <si>
    <t>8/14 第三方</t>
  </si>
  <si>
    <t>8/30 截SI</t>
  </si>
  <si>
    <t>日期码格式：ZURU INC(BVI) 标准格式 日期：按实际生产日期
Packaging Info: 1. 包材：ZURU MA 1L UPC最新版本，出口美国:
Remark: 2. 日期跟踪码：ZURU标准格式日期码，产品包装及产品本身都必须有ZURU标准格式日期码，并且确保两者信息保持一致(请自行调整具体年月日生产期，但不能为
周末）。
3. 大货样
#77685GQ1-S002/92119-S007/77711GQ1-S002-NA/77673-S004/92104TQ2-S001 /71126-S003&lt;(&gt;,&lt;)&gt;需7月25日前需寄出3套大货样板(含PDQ)，样板须跟大货一模一样
（含日期码）。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一套样板寄到以下地址（一套含PDQ）
深圳雨禾伟业实业有限公司
地址：广东省深圳市罗湖区东门南路1006号文锦渡口岸大厦B栋7楼
收件人：Elsa
电话：0755 6688 1988 Ext3337
*带散件的产品： 2套（4pcs成品球+2个空PDQ+2套散件）；
不带散件： 成品2套；
寄到以下地址：
Li Fung　
深圳市福田区绒花路8号深福保大厦附楼3楼。
收件人： Yoland Dai　电话：+0755 8825 3756
4. 验货+ 抽板 （同一天进行）
预约8月13日第三方（利丰）到工厂做100%大货现场验货和抽板，验货需打印EPM出来跟客户回签样板供第三方验货参考。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t>
  </si>
  <si>
    <t>Amber liang</t>
  </si>
  <si>
    <t>DD'S DISCOUNTS</t>
  </si>
  <si>
    <t>4500171855-10</t>
  </si>
  <si>
    <t>7/25客供价格贴纸+空白贴纸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</si>
  <si>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</si>
  <si>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Taylor Liao</t>
  </si>
  <si>
    <t>PACIFIC OPTICS NZ</t>
  </si>
  <si>
    <t>4500173065-20</t>
  </si>
  <si>
    <t>8/17 截SI</t>
  </si>
  <si>
    <t>日期码格式：ZURU INC(BVI) 标准格式 日期：按实际生产日期
Packaging Info: 1.订单出新西兰
2. MA UPC 英语包装（优先1L英语版本,或者3L/5L含英语即可）
3.CRD日期基于我司 QC完成验货;
4.请确保发货100%的订单数量/ sku;
5. 我司验货日期(请联系Mia Yu Mia.yu@zuru.com提前预定验货日期)，预约验货至少需在完货日期前一周申请;
6, 箱唛: 按照邮件确认的文档
Remark: 77685GQ1:Rare ratio:1/48</t>
  </si>
  <si>
    <t>Jess Huang</t>
  </si>
  <si>
    <t>10001373167-3890</t>
  </si>
  <si>
    <t>4500172802-10</t>
  </si>
  <si>
    <t>7/22条码箱贴纸</t>
  </si>
  <si>
    <t>10001348739-3890</t>
  </si>
  <si>
    <t>4500172800-10</t>
  </si>
  <si>
    <t>8/19 客自提</t>
  </si>
  <si>
    <t>7/22 条码箱贴纸</t>
  </si>
  <si>
    <t>DISTRIBUIDORA COMERCIAL DEL NORTE</t>
  </si>
  <si>
    <t>2025-0893</t>
  </si>
  <si>
    <t>4500170167-100</t>
  </si>
  <si>
    <t>8/24 截SI</t>
  </si>
  <si>
    <t>7/23 UPC 条码贴纸+进口商贴纸</t>
  </si>
  <si>
    <t xml:space="preserve">日期码格式：ZURU INC(BVI) 标准格式 日期：按实际生产日期
Packaging Info: 
77685GQ2；MA 多语EAN包装+UPC贴纸+MA B版本说明书+MA PDQ 包装+进口商贴纸+箱唛
Remark: </t>
  </si>
  <si>
    <t>96147-2-8.25</t>
  </si>
  <si>
    <t>4500172669-40</t>
  </si>
  <si>
    <t>8/22 截SI</t>
  </si>
  <si>
    <t>7/22通用进口商贴纸（位置图翻单4500156526）</t>
  </si>
  <si>
    <t>日期码格式：ZURU INC(BVI) 标准格式 日期：按实际生产日期
Packaging Info: 
77685GQ2： MA_UPC版本包装（收缩膜和说明书, MA首选1L，如无1L可用多语且含英语的配套多语UPC包装）+ 1张客人通用进口商贴纸（位置图翻单4500156526）
Remark: 1.按实际生产日期;
2.出澳大利亚，请按照相应标准生产;</t>
  </si>
  <si>
    <t>4500171859-20</t>
  </si>
  <si>
    <t>8/28 截SI</t>
  </si>
  <si>
    <t>8/2客供价格贴纸+空白贴纸</t>
  </si>
  <si>
    <t>MPO03711</t>
  </si>
  <si>
    <t>母件4500174187</t>
  </si>
  <si>
    <t>8/30 送库有</t>
  </si>
  <si>
    <t>周转箱：备注客供给ENTERTAINER PO#4500174187/#MSLD140混装展示架用</t>
  </si>
  <si>
    <t>7/24 EAN条码贴纸</t>
  </si>
  <si>
    <t>Remark: 1.MA 1L配套包装+客户EAN条码贴纸
2.产品及包装需要印 UKCA图标，包装需要有 ZURU UKLTD/ZURU France 地址信息
QC同事请核查，如有问题与跟单确认
需要符合欧洲标准不能含有闪粉和微塑料，否则不符合法规会有客诉产生
3.请务必按照每座展示架数量配好每个 assortment 的配比，方便组装厂直接组装展示架，配比跟 MA 标准款，如有不清楚的请找客制部和跟单核查
4.外箱可以直接用周转箱或者其他，工厂自行安排即可，请在外箱上写好每箱装多少和总箱数方便点数;
5.送货到库有时请在送货单上备注客供给ENTERTAINER PO#4500174187/#MSLD140混装展示架用
6.组装厂会安排最终验货，请准备好备品，验货后需要马上安排补货，届时请务必按时送货到库有</t>
  </si>
  <si>
    <t>Meyya Liu</t>
  </si>
  <si>
    <t>97095-11.29</t>
  </si>
  <si>
    <t>MPO03663</t>
  </si>
  <si>
    <t>母件4500172824</t>
  </si>
  <si>
    <t>9/6送库有</t>
  </si>
  <si>
    <t>周转箱：备注客供给ENTERTAINER PO#4500172824/#MSLD140混装展示架用</t>
  </si>
  <si>
    <t>7/9 EAN条码贴纸</t>
  </si>
  <si>
    <t>Remark: 1.MA 1L配套包装+客户EAN条码贴纸
条码请核对 77685GQ1：5056296049464
2.产品及包装需要印 UKCA图标，包装需要有 ZURU UKLTD/ZURU France 地址信息QC同事请核查，如有问题与跟单确认
需要符合欧洲标准不能含有闪粉和微塑料，否则不符合法规会有客诉产生
3.请务必按照每座展示架数量配好每个 assortment 的配比，方便组装厂直接组装展示架，配比跟 MA 标准款，如有不清楚的请找客制部和跟单核查
4.外箱可以直接用周转箱或者其他，工厂自行安排即可，请在外箱上写好每箱装多少和总箱数方便点数;
5.送货到库有时请在送货单上备注客供给ENTERTAINER PO#4500172824/#MSLD140混装展示架用
6.组装厂会安排最终验货，请准备好备品，验货后需要马上安排补货，届时请务必按时送货到库有</t>
  </si>
  <si>
    <t>97094-11.29</t>
  </si>
  <si>
    <t>9/7送库有</t>
  </si>
  <si>
    <t>9/8送库有</t>
  </si>
  <si>
    <t>9/9送库有</t>
  </si>
  <si>
    <t>VM INTERNATIONAL</t>
  </si>
  <si>
    <t>MPO03719</t>
  </si>
  <si>
    <t>母件4500174419</t>
  </si>
  <si>
    <t>额外多准备备品10PCS</t>
  </si>
  <si>
    <t>9/1 送 永捷组装MEC299-S001 for VM International PO 4500174419;</t>
  </si>
  <si>
    <t>周转箱：备注客供给永捷 组装MEC299-S001 for VM International PO 4500174419混装展示架用</t>
  </si>
  <si>
    <t>Remark: 1. 订单号：MPO03719
2. Item: 77685- 5 SURPRISE-DINO MIX AND MATCH-SERIES 1-CAPSULE - 30pcs；
3. 包装跟产品印刷Tracking code 信息，格式为Zuru 常规格式。
4. 每座展示架装30pcs。
5. 需要我司QC验货之后才能安排出货，额外多准备备品10PCS 以供在永捷工厂验货/以防万一运输过程有破损可以及时更换。
6. 出货方式，送去永捷组装混装展示架， 在9月1日前完货(123座展示架，共3690pcs)送去永捷，可以用周转箱送货回收周转箱。
7. 优先MA 1L UPC包装，订单无特殊要求，备注可与45单号备注保持一致</t>
  </si>
  <si>
    <t>Angel Lin/Sia Liu</t>
  </si>
  <si>
    <t>ZB01791-9.9</t>
  </si>
  <si>
    <t>77685-S001-MEC299-1</t>
  </si>
  <si>
    <t>WONDERLAND TOYS, INC.</t>
  </si>
  <si>
    <t>4500175531-40</t>
  </si>
  <si>
    <t>9/15 截SI</t>
  </si>
  <si>
    <t>ZB01926-9.15</t>
  </si>
  <si>
    <t>ALBERTSONS LLC</t>
  </si>
  <si>
    <t>PO#093043</t>
  </si>
  <si>
    <t>4500170808-10</t>
  </si>
  <si>
    <t>9/5 第三方 8/1 50%以上抽办</t>
  </si>
  <si>
    <t>9/24 截SI</t>
  </si>
  <si>
    <t>已出测试样+大货样</t>
  </si>
  <si>
    <t>日期码格式：ZURU INC(BVI) 标准格式 日期：按实际生产日期
Packaging Info: 1. MA UPC 包装(优先1L）,出口美国
2. 产品和包装上面要有ZURU格式tracking code
3. ZURU标准日期码格式
Remark: 1. 7/28抽版测试（须50%以上货好入箱）
2. ZURU QC验货OK + 客户QC验货OK + 抽板测试报告OK后方可出货
3. 产品和包装不能含有PFAS物质
4. 产品和包装须符合俄勒冈州HPCCCH测试要求
5.所有产品或材料不得来自新疆维吾尔自治区</t>
  </si>
  <si>
    <t>ZB01820-9.10</t>
  </si>
  <si>
    <t>PO#669729</t>
  </si>
  <si>
    <t>4500170808-20</t>
  </si>
  <si>
    <t>ZB02017-9.20</t>
  </si>
  <si>
    <t>PO#418508</t>
  </si>
  <si>
    <t>4500170808-30</t>
  </si>
  <si>
    <t>ZB01997-9.18</t>
  </si>
  <si>
    <t>PO#924189</t>
  </si>
  <si>
    <t>4500170808-40</t>
  </si>
  <si>
    <t>ZB02018-9.20</t>
  </si>
  <si>
    <t>PO#203533</t>
  </si>
  <si>
    <t>4500170808-50</t>
  </si>
  <si>
    <t>ZB01872-9.12</t>
  </si>
  <si>
    <t>PO#759469</t>
  </si>
  <si>
    <t>4500170808-60</t>
  </si>
  <si>
    <t>ZB02057-9.25</t>
  </si>
  <si>
    <t>PO#955682</t>
  </si>
  <si>
    <t>4500170808-70</t>
  </si>
  <si>
    <t>ZB01938-9.16</t>
  </si>
  <si>
    <t>PO#883501</t>
  </si>
  <si>
    <t>4500170808-80</t>
  </si>
  <si>
    <t>ZB02056-9.25</t>
  </si>
  <si>
    <t>PO#633492</t>
  </si>
  <si>
    <t>4500170808-90</t>
  </si>
  <si>
    <t>ZB01749-9.6</t>
  </si>
  <si>
    <t>10001348762-3890</t>
  </si>
  <si>
    <t>4500175279-10</t>
  </si>
  <si>
    <t>9/13 客自提</t>
  </si>
  <si>
    <t>8/13条码箱贴纸</t>
  </si>
  <si>
    <t>ZB01873-9.13</t>
  </si>
  <si>
    <t>10001373142-3890</t>
  </si>
  <si>
    <t>4500175280-10</t>
  </si>
  <si>
    <t>9/10 客上柜</t>
  </si>
  <si>
    <t>ZB01819-9.10</t>
  </si>
  <si>
    <t>10001373316-3891</t>
  </si>
  <si>
    <t>4500175281-10</t>
  </si>
  <si>
    <t>8/21条码箱贴纸</t>
  </si>
  <si>
    <t>ZB01918-9.15</t>
  </si>
  <si>
    <t>10001348684-3891</t>
  </si>
  <si>
    <t>4500175278-10</t>
  </si>
  <si>
    <t>ZB01917R1-9.15</t>
  </si>
  <si>
    <t>LULU SRL</t>
  </si>
  <si>
    <t>摩尔多瓦</t>
  </si>
  <si>
    <t>4500175435-90</t>
  </si>
  <si>
    <t>9/23 截单</t>
  </si>
  <si>
    <t>8/1 客户通用贴纸</t>
  </si>
  <si>
    <t>日期码格式：ZURU INC(BVI) 标准格式 日期：按实际生产日期
Packaging Info:
77685GQ1：1L MA UPC收缩膜+客户通用贴纸；MA PDQ
Remark:</t>
  </si>
  <si>
    <t>96556-3-9.29</t>
  </si>
  <si>
    <t>MPO03751</t>
  </si>
  <si>
    <t>Remark: 1- 订单号：MPO03751
2- Item: 77685- 5 SURPRISE-DINO MIX AND MATCH-SERIES 1-CAPSULE - 30pcs；
3- 包装跟产品印刷Tracking code 信息，格式为Zuru 常规格式。
4- 每座展示架装30pcs。
5- 需要我司QC验货之后才能安排出货，额外多准备备品10PCS 以供在永捷工厂验货/以防万一运输过程有破损可以及时更换。
6- 出货方式，送去永捷组装混装展示架， 在9月15日前完货(263座展示架，共7890pcs)送去永捷，可以用周转箱送货回收周转箱。
7- 订单无特殊要求，备注可与45单号备注保持一致
8- 关于混装展示架，各工厂交子件到最终母件工厂时，务必要 "带卡板出+围好围膜"。
如果没按要求的，请各工厂自行安排人手卸货。
9- 请贵司确保交货数量准确，与收货方交收清楚，如收货方提出任何异常，请立即安排处理解决。</t>
  </si>
  <si>
    <t>Angel Lin/Iris Yuan</t>
  </si>
  <si>
    <t>ZB02254-9.30</t>
  </si>
  <si>
    <t>PO# 35261</t>
  </si>
  <si>
    <t>4500176521-10</t>
  </si>
  <si>
    <t>9/22  交仓</t>
  </si>
  <si>
    <t>日期码格式：ZURU INC(BVI) 标准格式 日期：按实际生产日期
Packaging Info: 1. 包装方式：MA UPC 优先1L 最新包装，出口美国
Remark: 2. 外箱箱唛红色和黑色双色印刷
3. 产品和包装上印刷tracking code信息，格式为ZURU常规</t>
  </si>
  <si>
    <t>Angel Lin</t>
  </si>
  <si>
    <t>ZB02191-9.27</t>
  </si>
  <si>
    <t>4500174928-10</t>
  </si>
  <si>
    <t>9/20 截SI</t>
  </si>
  <si>
    <t>8/13客供价格贴纸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</si>
  <si>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</si>
  <si>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ZB01996-9.18</t>
  </si>
  <si>
    <t>PAN PACIFIC INTERNATIONAL TRADING</t>
  </si>
  <si>
    <t>日本</t>
  </si>
  <si>
    <t>20250626-012A</t>
  </si>
  <si>
    <t>4500174471-10</t>
  </si>
  <si>
    <t>8/7日语贴纸+条码贴纸</t>
  </si>
  <si>
    <t>日期码格式：ZURU INC(BVI) 标准格式 日期：按实际生产日期
Packaging Info: MA UPC PKG（1L优先）+日语警语贴纸+条码贴纸
Remark: 77685GQ1: Rare ratio 1/48</t>
  </si>
  <si>
    <t>96500-9.22</t>
  </si>
  <si>
    <t>4500177568-10</t>
  </si>
  <si>
    <t>9/27 截SI</t>
  </si>
  <si>
    <t>日期码格式：ZURU INC(BVI) 标准格式 日期：按实际生产日期
Packaging Info: 1.订单出新西兰
2. MA UPC 英语包装（优先1L英语版本,或者3L/5L含英语即可）
3.CRD日期基于我司 QC完成验货;
4.请确保发货100%的订单数量/ sku;
5. 我司验货日期(请联系Mia Yu Mia.yu@zuru.com提前预定验货日期)，预约验货至少需在完货日期前一周申请;
6, 箱唛: 按照邮件确认的文
Remark: Rare ratio:1/48</t>
  </si>
  <si>
    <t>96532-9.26</t>
  </si>
  <si>
    <t>0941292503</t>
  </si>
  <si>
    <t>4500178234-10</t>
  </si>
  <si>
    <t>9/30自检</t>
  </si>
  <si>
    <t>10.16截SI</t>
  </si>
  <si>
    <t>9/9 RFID</t>
  </si>
  <si>
    <t>抵扣手工单MO20250710</t>
  </si>
  <si>
    <t>日期码格式：ZURU DGYYYYMMDD CHINA(日期避开周末和法定节假日即可） 日期：按实际生产日期
Packaging Info: 77685SLB-S001：
1.包装要求：
MA 1L A版收缩膜+MA B版纸袋+MA 5L B版收藏指南+MA B版slime bag+ MA 1L B版说明书+客版1L PDQ
每pcs产品上要贴1张RFID贴纸，贴纸由ZURU提供，贴纸位置请严格按照我们签回的签板；
Remark: 77685SLB-S001：
1.包装要求：
MA 1L A版收缩膜+MA B版纸袋+MA 5L B版收藏指南+MA B版slime bag+ MA 1L B版说明书+客版1L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</si>
  <si>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ZB02414(REV1)-10.14</t>
  </si>
  <si>
    <t>0941292515</t>
  </si>
  <si>
    <t>4500178234-20</t>
  </si>
  <si>
    <t>9/29 BV</t>
  </si>
  <si>
    <t>9/30 截仓</t>
  </si>
  <si>
    <t>ZB02463-10.16  ZB02215-9.29</t>
  </si>
  <si>
    <t>0941292530</t>
  </si>
  <si>
    <t>4500178234-30</t>
  </si>
  <si>
    <t>4500178234-40</t>
  </si>
  <si>
    <t>10.13截SI</t>
  </si>
  <si>
    <t>ZB02381-10.13</t>
  </si>
  <si>
    <t>0941292549</t>
  </si>
  <si>
    <t>4500178234-50</t>
  </si>
  <si>
    <t>10/10 截SI</t>
  </si>
  <si>
    <t>ZB02413-10.14</t>
  </si>
  <si>
    <t>0941292553</t>
  </si>
  <si>
    <t>4500178234-60</t>
  </si>
  <si>
    <t>10/11 开仓</t>
  </si>
  <si>
    <t>ZB02415-10.14</t>
  </si>
  <si>
    <t>0941292563</t>
  </si>
  <si>
    <t>4500178234-70</t>
  </si>
  <si>
    <t>10/9交仓</t>
  </si>
  <si>
    <t>ZB02295-10.9</t>
  </si>
  <si>
    <t>4500176236-10</t>
  </si>
  <si>
    <t>10/25截SI</t>
  </si>
  <si>
    <t>9/12客供价格贴纸</t>
  </si>
  <si>
    <t>ZB02568R1-10.23</t>
  </si>
  <si>
    <t>LEKIA AB</t>
  </si>
  <si>
    <t>4500178665-20</t>
  </si>
  <si>
    <t>10/22 截SI</t>
  </si>
  <si>
    <t>9/12警告语/进口商贴纸(翻单4500164226）</t>
  </si>
  <si>
    <t>日期码格式：ZURU INC(BVI) 标准格式 日期：按实际生产日期
Packaging Info:
77685GQ2-S002:MA 3L EAN A版收缩膜+MA 5L slime bag+MA B1L(23L warning)说明书+MA 3L PDQ+警告语/进口商贴纸(翻单4500164226）+丹麦/瑞典/芬兰/挪威语
警告语贴纸（贴slime袋子）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条码信息
77685GQ2-S002:4894680042612</t>
  </si>
  <si>
    <t>A96700-10.21</t>
  </si>
  <si>
    <t>0944785675</t>
  </si>
  <si>
    <t>4500179415-10</t>
  </si>
  <si>
    <t>10/16 BV</t>
  </si>
  <si>
    <t>10/24 交仓</t>
  </si>
  <si>
    <t>9/29 RFID</t>
  </si>
  <si>
    <t>ZB02604-10.24</t>
  </si>
  <si>
    <t>0944785689</t>
  </si>
  <si>
    <t>4500179415-20</t>
  </si>
  <si>
    <t>10/18 交仓</t>
  </si>
  <si>
    <t>ZB02538-10.21</t>
  </si>
  <si>
    <t>THE HAMLEYS GROUP LTD</t>
  </si>
  <si>
    <t>HLL-PO-000015
760</t>
  </si>
  <si>
    <t>4500178312-10</t>
  </si>
  <si>
    <t>11/3 交仓</t>
  </si>
  <si>
    <t>日期码格式：ZURU INC(BVI) 标准格式 日期：按实际生产日期
Packaging Info: 77685:MA 1L 最新UPC包装，UPC：193052079053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</si>
  <si>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Aaron Xia</t>
  </si>
  <si>
    <t>32686863</t>
  </si>
  <si>
    <t>4500178606-30</t>
  </si>
  <si>
    <t>11/23 截SI</t>
  </si>
  <si>
    <t>挪威语警语贴纸(翻单4500162231)</t>
  </si>
  <si>
    <t>日期码格式：ZURU INC(BVI) 标准格式 日期：按实际生产日期
Packaging Info:
77685GQ1:MA EAN 3L+挪威语警语贴纸(翻单4500162231)
Remark: 1/ 工厂货号-客户货号-彩盒条码-外箱条码
77685GQ1-7254586-4894680042612-10193052079050
2/ 产品和包装要求无硼无香，包装不能含有PVC
3/ 如有微塑料，必须合规欧洲标准，闪粉也是微塑料的一种，目前仅接受三张方式1.去除，2.用可降解材料，和3. 永久封印在固体。
4/ 此订单有第三方验货,77685的签样用于上单4500162231
5.带电池出货的产品所用到的电池需要符合欧洲电池新规(EU)2023-1542；</t>
  </si>
  <si>
    <t>96991-11.21</t>
  </si>
  <si>
    <t>218014158 DC
086</t>
  </si>
  <si>
    <t>4500179184-70</t>
  </si>
  <si>
    <t>11/11 截SI</t>
  </si>
  <si>
    <t>Agnes Zheng</t>
  </si>
  <si>
    <t>ZB02866-11.10</t>
  </si>
  <si>
    <t>218014171 DC
802</t>
  </si>
  <si>
    <t>4500179184-80</t>
  </si>
  <si>
    <t>ZB02885-11.12</t>
  </si>
  <si>
    <t>ZHUYU(SHENZHEN)TRADING CO.,LTD.</t>
  </si>
  <si>
    <t>4500178603-40</t>
  </si>
  <si>
    <t>11/10 截SI</t>
  </si>
  <si>
    <t>翻单： 4500171640</t>
  </si>
  <si>
    <t>年龄贴（8+）+11/16防串码</t>
  </si>
  <si>
    <t>已出样板，需要重签</t>
  </si>
  <si>
    <t>日期码格式：ZURU INC(BVI) 标准格式 日期：按实际生产日期
Packaging Info: 物料要求 SKU
4 77685 MA PDQ +外挂中文收藏指南+中文说明书+收缩膜年龄贴（8+） 翻单： 4500171640
此单启用 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</si>
  <si>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4500178603-60</t>
  </si>
  <si>
    <t>4500179602-20</t>
  </si>
  <si>
    <t>11/20 截SI</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</si>
  <si>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3. 大货配比：产品配比按照MA标准配比执行。
GTIN:
77685GQ1:101-93052-07905-0
Remark:</t>
  </si>
  <si>
    <t>ZB03002-11.20</t>
  </si>
  <si>
    <t>PO#2950867206</t>
  </si>
  <si>
    <t>4500180371-30</t>
  </si>
  <si>
    <t>11/12 截SI</t>
  </si>
  <si>
    <t>日期码格式：ZURU INC(BVI) 标准格式 日期：按实际生产日期
Packaging Info: 
77685SLB-S002, MA最新UPC包装，UPC :193052079053，请先检查条码是否正确再安排做货。
Slip sheet: 77685GQ1-S002 13pcs/PDQ/CTN 20*4H=80CTN/SLB=1040pcs/Slip Sheet; 一共需要2 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</si>
  <si>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777 3JAN26</t>
  </si>
  <si>
    <t>4500180232-20</t>
  </si>
  <si>
    <t>11/24 截SI</t>
  </si>
  <si>
    <t>日期码格式：ZURU INC(BVI) 标准格式 日期：按实际生产日期
Packaging Info: MA 最新UPC包装，各款的条码如下，请先检查条码是否正确再安排做货，如有问题请告知,配比跟MA
2.77685GQ2：193052079053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</si>
  <si>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97006-11.24</t>
  </si>
  <si>
    <t>4500178603-80</t>
  </si>
  <si>
    <t>ROFU KINDERLAND SPIELWARENHANDELSGE</t>
  </si>
  <si>
    <t>4500180040-30</t>
  </si>
  <si>
    <t>11/17客供价格贴纸+德语警告语贴纸（翻单：4500161168）</t>
  </si>
  <si>
    <t>日期码格式：ZURU INC(BVI) 标准格式 日期：按实际生产日期
Packaging Info: 
77685-S001: 最新MA 3L EAN包装+德语警告语贴纸（翻单：4500161168）+客供价格贴纸+5L+23L警语收藏指南+5L Slime 袋+多语说明书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</si>
  <si>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Winnie zhong</t>
  </si>
  <si>
    <t>0948877814</t>
  </si>
  <si>
    <t>4500181107-10</t>
  </si>
  <si>
    <t>11/10 BV</t>
  </si>
  <si>
    <t>11/26 截SI</t>
  </si>
  <si>
    <t>11/16 RFID</t>
  </si>
  <si>
    <t>ZB03016-11.21</t>
  </si>
  <si>
    <t>0948877825</t>
  </si>
  <si>
    <t>4500181107-20</t>
  </si>
  <si>
    <t>ZB03112-11.26</t>
  </si>
  <si>
    <t>0948877838</t>
  </si>
  <si>
    <t>4500181107-30</t>
  </si>
  <si>
    <t>11/21 截SI</t>
  </si>
  <si>
    <t>ZB03157-11.29</t>
  </si>
  <si>
    <t>0950689039</t>
  </si>
  <si>
    <t>4500181314-10</t>
  </si>
  <si>
    <t>12/1 截SI</t>
  </si>
  <si>
    <t>10/29 RFID</t>
  </si>
  <si>
    <t>ZB03156-11.29</t>
  </si>
  <si>
    <t>GLOBUS LOGISTIK GMBH AND CO KG</t>
  </si>
  <si>
    <t>10357170 10357227</t>
  </si>
  <si>
    <t>4500180582-10</t>
  </si>
  <si>
    <t>11/28 截SI</t>
  </si>
  <si>
    <t>10/17GTIN条码贴纸+外箱产品图片贴纸</t>
  </si>
  <si>
    <t>日期码格式：ZURU INC(BVI) 标准格式 日期：按实际生产日期
Packaging Info:
77685GQ2-S001：最新MA A版 3L EAN收缩膜+DE警语贴纸，MA B版5L+23L警语收藏指南，MA B版说明书，MA B版 5slime bag，MA B版配件袋，MA B版PDQ+GTIN条码
贴纸
Remark: 1. 此单出德国，需准时出货，微塑料需符合法规；无须客户第三方验货但是需要在11/14提供验货图片(含不良图）。待客人放货后才能安排走货。
2. 外箱正唛需要贴产品图片贴纸
3. 外箱印4面-2*正唛+2*侧唛
4. 一个外箱里超过一个PDQ- 外箱上无需印GTIN 条码 / 一个外箱里只有一个PDQ- 外箱上印GTIN 条码
5. 需要在货期前一个月安排样品给客户评估（非测试，包装无要求）
6. 所有出往欧洲订单的电子产品需增加一张客版 B版 WEEE声明说明书，区分带电池(WEEE 带电池走货 B版 通用30L 说明书)和不带电池版本(WEEE 不带电池走货
B版 通用30L 说明书)
7.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8. 所有出往GAS市场(德国/奥地利/瑞士)订单，化学品需无硼无香版本。</t>
  </si>
  <si>
    <t>Nicole Ye</t>
  </si>
  <si>
    <t>971025-11.26</t>
  </si>
  <si>
    <t>PO#2950867221</t>
  </si>
  <si>
    <t>4500181035-10</t>
  </si>
  <si>
    <t>11/25 截SI</t>
  </si>
  <si>
    <t>日期码格式：ZURU INC(BVI) 标准格式 日期：按实际生产日期
Packaging Info: 77685SLB-S002, MA最新UPC包装，UPC :193052079053，请先检查条码是否正确再安排做货。
Slip sheet: 77685GQ1-S002 13pcs/PDQ/CTN 20*4H=80CTN/SLB=1040pcs/Slip Sheet;
一共需要1个slip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</si>
  <si>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97012-11.25</t>
  </si>
  <si>
    <t>4500179449-20</t>
  </si>
  <si>
    <t>11/18 客上柜</t>
  </si>
  <si>
    <t>UPC贴纸+进口商贴纸翻单PO4500167348</t>
  </si>
  <si>
    <t xml:space="preserve">日期码格式：LOTDGYYYYMMDD </t>
  </si>
  <si>
    <t>日期码格式：LOTDGYYYYMMDD 日期：按实际生产日期
Packaging Info: 
2. 77685GQ2 :MA 3L EAN收缩膜+ UPC贴纸+ 3LPDQ+MA多语收藏指南+MA多语说明书+进口商贴纸+箱唛，进口商贴纸分别贴在球和说明书上，进口商贴纸和UPC贴纸翻
单PO4500167348
Remark: 1. 客版日期码要求：LOT+ZURU标准日期码格式。东莞生产的格式：LOTDGYYYYMMDD, DG是东莞拼音首字母，
YYYYMMDD是实际的年月日，例如(LOTDG20240920)
4. 此单有第三方监柜，至少多备一套完整的物料用于监柜，请多备料。
5.WM墨西哥防霉的新要求:货物必须在出货主箱和集装箱中按要求放置干燥剂，干燥剂指定品牌干霸
77685GQ2: 需要在每箱放入6小包干燥剂，每包干燥剂重量2-3g
如走柜货等loading plan 确认后再通知集装箱干燥剂数量
此单工厂将安排1*40HC，每个柜子要放置20包干燥剂，每包干燥剂1KG</t>
  </si>
  <si>
    <t>96994-11.22</t>
  </si>
  <si>
    <t>ZURU DENMARK APS</t>
  </si>
  <si>
    <t>4500181278-10</t>
  </si>
  <si>
    <t>10/24 多语警语可折叠贴</t>
  </si>
  <si>
    <t>日期码格式：ZURU INC(BVI) 标准格式 日期：按实际生产日期
Packaging Info: 77685GQ1：最新MA 3L PDQ+最新MA 3L EAN收缩膜+1*多语警语可折叠贴纸+最新MA 1L多语警语说明书+最新MA 5L slime bag+1*多语通用(SLIME, DOUGH, SAND)化学
品警语多语说明书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</si>
  <si>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Niki Chen</t>
  </si>
  <si>
    <t>97063-11.29</t>
  </si>
  <si>
    <t>FREDMEYER INC</t>
  </si>
  <si>
    <t>PO#0000420245
25</t>
  </si>
  <si>
    <t>4500182659-10</t>
  </si>
  <si>
    <t>12/1 交仓</t>
  </si>
  <si>
    <t>日期码格式：ZURU INC(BVI) 标准格式 日期：按实际生产日期
Packaging Info: 1、包装方式: 
其他Items: MA UPC 优先1L最新版，出口美国
Remark: 2、无测试无验货要求
3、纸箱4面印ZURU LOGO + 箱唛
4、日期码请按ZURU标准版执行即可
5、ZURU OQC验货</t>
  </si>
  <si>
    <t>ZB03138-11.28</t>
  </si>
  <si>
    <t>A&amp;A GLOBAL INDUSTRIES</t>
  </si>
  <si>
    <t>PO#0221497</t>
  </si>
  <si>
    <t>4500179796-40</t>
  </si>
  <si>
    <t>12/3 截SI</t>
  </si>
  <si>
    <t>9/26UPC贴纸</t>
  </si>
  <si>
    <t>日期码格式：ZURU INC(BVI) 标准格式 日期：按实际生产日期
Packaging Info: 1. 包材：ZURU MA 最新1L UPC版本；出口美国；
77685GQ2-S001: ZURU MA 最新1L UPC版本 + PDQ 上加贴 upc# 193052079053 贴纸（位于PDQ背面左下角）, 贴纸资料跟单提供，工厂采购
Remark: 2. 日期跟踪码：产品包装及产品本身都必须有日期跟踪码，并且确保两者的日期跟踪码要一致；ZURU标准格式日期码(请自行调整具体年月日生产期，但不能为周
末）。
3. 出货配比: Zuru 标版配比。</t>
  </si>
  <si>
    <t>4500181881-310</t>
  </si>
  <si>
    <t>12/1 出货</t>
  </si>
  <si>
    <t>11/4 进口商贴纸+ 10/24 QR code贴纸</t>
  </si>
  <si>
    <t>日期码格式：ZURU INC(BVI) 标准格式 日期：按实际生产日期
Packaging Info: MA UPC 彩卡 + 进口商贴纸+ QR code贴纸（要求每1PCS 的QR 不一样 ）。MA 说明书/指南/PDQ（如有）
Remark: 注意：
1. QR 贴纸要求： 二维码+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t>
  </si>
  <si>
    <t>97109-3-12.1</t>
  </si>
  <si>
    <t>MID-STATES DISTRIBUTING, LLC</t>
  </si>
  <si>
    <t>L&lt;(&gt;&amp;&lt;)&gt;M
Fleet Supply
P100333394</t>
  </si>
  <si>
    <t>4500182883-20</t>
  </si>
  <si>
    <t>12/2 交仓</t>
  </si>
  <si>
    <t>500-57642</t>
  </si>
  <si>
    <t>4500185340-10</t>
  </si>
  <si>
    <t>12/9 交仓</t>
  </si>
  <si>
    <t>MO250916转实单</t>
  </si>
  <si>
    <t>日期码格式：ZURU INC(BVI) 标准格式 日期：按实际生产日期
Packaging Info: 1、包装方式：#77685GQ1: MA UPC优先1L最新版，出口美国
Remark: 2、无第三方测试&lt;(&gt;&amp;&lt;)&gt;验货要求
3、纸箱4面印ZURU LOGO + 箱唛
4、日期码请按ZURU标准版执行即可
5、ZURU OQC验货</t>
  </si>
  <si>
    <t>700-41349</t>
  </si>
  <si>
    <t>4500185340-30</t>
  </si>
  <si>
    <t>12/11 截SI</t>
  </si>
  <si>
    <t>700-41429</t>
  </si>
  <si>
    <t>4500185340-50</t>
  </si>
  <si>
    <t>910-62649</t>
  </si>
  <si>
    <t>4500185340-80</t>
  </si>
  <si>
    <t>GULLSK􀃓GAR EHF - DOM</t>
  </si>
  <si>
    <t>SS26</t>
  </si>
  <si>
    <t>4500182255-30</t>
  </si>
  <si>
    <t>12/5 截SI</t>
  </si>
  <si>
    <t>日期码格式：ZURU INC(BVI) 标准格式 日期：按实际生产日期
Packaging Info:
77685GQ1: MA EAN 3L
Remark: 1/ 配比：
77685GQ1: Rare ratio:1/48
2/产品和包装要求无硼无香，包装不能含有PVC
3/如有微塑料，必须合规欧洲标准，并增加微塑料合规IFUD声明在说明书上
4/带电池出货的产品，所用到的电池需要符合欧洲电池新规(EU)2023-1542，并增加对应WEEE 说明书</t>
  </si>
  <si>
    <t>ARMY &amp; AIR FORCE EXCHANGE SERVICE</t>
  </si>
  <si>
    <t>0092461721</t>
  </si>
  <si>
    <t>4500183696-10</t>
  </si>
  <si>
    <t>12/15交仓</t>
  </si>
  <si>
    <t>日期码格式：ZURU INC(BVI) 标准格式 日期：按实际生产日期
Packaging Info: 1. MA+UPC版包裝,优先1L，出口美国
Remark: 2. PO# 0092461722, 0092461723, 0092461724, 这3个订单外箱需要贴4x6"UCC 贴纸，只需贴一面（UCC贴纸为客供贴纸）。PO# 0092461721, 0092461725，这2
个订单外箱不需要UCC贴纸。
3. ZURU QC 验货。
4. 产品和包裝上需印刷tracking code信息，格式为ZURU常规。</t>
  </si>
  <si>
    <t>0092461722</t>
  </si>
  <si>
    <t>4500183696-20</t>
  </si>
  <si>
    <t>11/20UCC 贴纸</t>
  </si>
  <si>
    <t>0092461723</t>
  </si>
  <si>
    <t>4500183696-30</t>
  </si>
  <si>
    <t>0092461724</t>
  </si>
  <si>
    <t>4500183696-40</t>
  </si>
  <si>
    <t>0092461725</t>
  </si>
  <si>
    <t>4500183696-50</t>
  </si>
  <si>
    <t>4500183424-10</t>
  </si>
  <si>
    <t>12/9截SI</t>
  </si>
  <si>
    <t>多语警语可折叠贴纸</t>
  </si>
  <si>
    <t>日期码格式：ZURU INC(BVI) 标准格式 日期：按实际生产日期
Packaging Info: 77685GQ1：最新MA 3L PDQ+最新MA 3L EAN收缩膜+1*多语警语可折叠贴纸+最新MA 1L多语警语说明书+最新MA 5L slime bag+1*多语通用(SLIME, DOUGH, SAND)化学
品警语多语说明书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</si>
  <si>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4500183424-20</t>
  </si>
  <si>
    <t>77685SK1-S002-MTS</t>
  </si>
  <si>
    <t>12/12截SI</t>
  </si>
  <si>
    <t>日期码格式：ZURU INC(BVI) 标准格式 日期：按实际生产日期
Packaging Info: 
77685SK1：最新MA 展示架+最新MA 3L EAN收缩膜+1*多语警语可折叠贴纸+最新MA 1L多语警语说明书+最新MA 5L slime bag+1*多语通用(SLIME, DOUGH, SAND)化学
品警语多语说明书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</si>
  <si>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MIGROS-GENOSSENSCHAFTS-BUND</t>
  </si>
  <si>
    <t>瑞士</t>
  </si>
  <si>
    <t>4500185407-110</t>
  </si>
  <si>
    <t>11/18 德意警告语贴纸</t>
  </si>
  <si>
    <t>未出样板</t>
  </si>
  <si>
    <t>日期码格式：ZURU INC(BVI) 标准格式 日期：按实际生产日期
Packaging Info: 
77685-S001: 最新MA 3L EAN包装德意警告语贴纸+5L+23L警语收藏指南+5L Slime 袋+多语说明书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</si>
  <si>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Winnie Zhong</t>
  </si>
  <si>
    <t>4500183825-50</t>
  </si>
  <si>
    <t>12/15 截SI</t>
  </si>
  <si>
    <t>11/14可折叠贴纸+不能吃贴纸+警告语贴纸</t>
  </si>
  <si>
    <t>日期码格式：ZURU INC(BVI) 标准格式 日期：按实际生产日期
Packaging Info: 
77685SK1-S002//3L A版EAN包装4894680042612+可折叠贴纸_小部件+不能吃贴纸+B版收藏指南+B版纸袋+B版说明书+B版Slime袋子+丹麦瑞典芬兰挪威爱沙尼亚语言警
告语贴纸贴在slime袋子上（翻单4500178665）+3L 展示架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</si>
  <si>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Luna</t>
  </si>
  <si>
    <t>WM MORRISON SUPERMARKETS LIMITED</t>
  </si>
  <si>
    <t>4500184671-40</t>
  </si>
  <si>
    <t>77685GQ7-S002</t>
  </si>
  <si>
    <t>混搭恐龙8pcs/GQ1*12/箱</t>
  </si>
  <si>
    <t>日期码格式：ZURU INC(BVI) 标准格式 日期：按实际生产日期
Packaging Info: 
77685GQ7：最新MA-1L包装+ZURU客版PDQ
UPC#193052079053
Remark: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7.外箱有条码要求，排版时请留意并请确保条码清晰可扫描（封箱胶不要黏到条码上), 否则客人会有罚款。
8.做货前请先复核包装条码与订单是否一致再安排，对不上的需与ZURU跟单确认再安排。
9.最大外箱尺寸和重量 : 600mm x 500mm x 745mm (LxWxH) &lt;(&gt;&amp;&lt;)&gt; G.W. 16 KG，超过的需要客人批准才能出货并且外箱需要印2 man lift标志 。
10.做货前务必核对零售条码是否与订单要求一致 ，对不上到客户仓库需要返工 ，工厂需要承担责任。</t>
  </si>
  <si>
    <t>Sherry Lu</t>
  </si>
  <si>
    <t>4500179539-10</t>
  </si>
  <si>
    <t>混搭恐龙27pcs/GQ2/箱-干燥剂</t>
  </si>
  <si>
    <t>UPC贴纸+进口商贴纸 贴纸翻单PO4500167348</t>
  </si>
  <si>
    <t>日期码格式：LOTDGYYYYMMDD 日期：按实际生产日期
Packaging Info: 1. 77685GQ2 :3L EAN收缩膜+ UPC贴纸+ 3LPDQ+MA多语收藏指南+MA多语说明书+进口商贴纸+箱唛，进口商贴纸分别贴在球和说明书上，贴纸翻单PO4500167348
Remark: 1：客版日期码要求：LOT+ZURU标准日期码格式。东莞生产的格式：LOTDGYYYYMMDD, DG是东莞拼音首字母，YYYYMMDD是实际的年月日
2. 
3. 此单有第三方监柜，至少多备一套完整的物料用于监柜，请多备料。
4. WM墨西哥防霉的新要求:货物必须在出货主箱和集装箱中按要求放置干燥剂，干燥剂指定品牌干霸
77685GQ2：每箱需放置6小包干燥剂, 每包重2-3g
5. 如走柜货等loading plan 确认后再通知集装箱干燥剂数量
此单会和其他工厂的产品合并出4*40HC，每个HC需要放置20包干燥剂，每包干燥剂1KG</t>
  </si>
  <si>
    <t>4500184604-10</t>
  </si>
  <si>
    <t>12/24 截SI</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</si>
  <si>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大货配比：产品配比按照MA标准配比执行。
GTIN: 77685GQ1-S002:101-93052-07905-0</t>
  </si>
  <si>
    <t>DISTRIBUIDORA LIVERPOOL S.A DE C.V.</t>
  </si>
  <si>
    <t>62050798</t>
  </si>
  <si>
    <t>4500182578-130</t>
  </si>
  <si>
    <t>11/28 UPC贴纸+进口商贴纸+12/1价标贴纸</t>
  </si>
  <si>
    <t>日期码格式：ZURU INC(BVI) 标准格式 日期：按实际生产日期
Packaging Info:77685GQ2:MA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</si>
  <si>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ESAL TRADING L.L.C.</t>
  </si>
  <si>
    <t>阿拉伯联合酋长国</t>
  </si>
  <si>
    <t>UAE</t>
  </si>
  <si>
    <t>4500180717-210</t>
  </si>
  <si>
    <t>11/28进口商贴纸</t>
  </si>
  <si>
    <t>日期码格式：ZURU INC(BVI) 标准格式 日期：按实际生产日期
Packaging Info:
77685GQ2: MA 收缩膜+进口商贴纸 (含G Mark, QR code, 阿拉伯警语); 贴纸上的QR code需微信可扫，扫描结果另外通知; 收缩膜上UPC条码为193052079053；MA P
DQ+进口商贴纸; 产品年龄3+；
客人箱唛排版，印4面，条码内容193052079053；
Remark:</t>
  </si>
  <si>
    <t>Nora Pan</t>
  </si>
  <si>
    <t>QAT</t>
  </si>
  <si>
    <t>4500180735-190</t>
  </si>
  <si>
    <t>日期码格式：ZURU INC(BVI) 标准格式 日期：按实际生产日期
Packaging Info: 77685GQ2: MA 收缩膜+进口商贴纸 (含G Mark, QR code, 阿拉伯警语); 贴纸上的QR code需微信可扫，扫描结果另外通知; 收缩膜上UPC条码为193052079053；MA P
DQ+进口商贴纸; 产品年龄3+；
客人箱唛排版，印4面，条码内容193052079053；
Remark:</t>
  </si>
  <si>
    <t>KSA</t>
  </si>
  <si>
    <t>4500180758-400</t>
  </si>
  <si>
    <t>4500185221-60</t>
  </si>
  <si>
    <t>12/19  装柜</t>
  </si>
  <si>
    <t>翻单：4500178603</t>
  </si>
  <si>
    <t>年龄贴（8+）+12/9 防串码</t>
  </si>
  <si>
    <t>日期码格式：ZURU INC(BVI) 标准格式 日期：按实际生产日期
Packaging Info: 物料要求 SKU
6 77685 MA PDQ +外挂中文收藏指南+中文说明书+收缩膜年龄贴（8+） 翻单： 4500178603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</si>
  <si>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0963642005</t>
  </si>
  <si>
    <t>4500188055-10</t>
  </si>
  <si>
    <t>1/20 BV</t>
  </si>
  <si>
    <t>12/16 RFID</t>
  </si>
  <si>
    <t>CRG</t>
  </si>
  <si>
    <t>哥斯达黎加</t>
  </si>
  <si>
    <t>ZU02-26</t>
  </si>
  <si>
    <t>4500183616-190</t>
  </si>
  <si>
    <t>1/13截SI</t>
  </si>
  <si>
    <t>12/10 进口商贴纸+UPC贴纸</t>
  </si>
  <si>
    <t xml:space="preserve">日期码格式：ZURU INC(BVI) 标准格式 日期：按实际生产日期
Packaging Info: 
其余item：MA 多语EAN包装+进口商贴纸+UPC贴纸+箱唛
Remark: </t>
  </si>
  <si>
    <t>IMPORTADORA SUDAMERICANA &amp;</t>
  </si>
  <si>
    <t>阿根廷</t>
  </si>
  <si>
    <t>4500185782-30</t>
  </si>
  <si>
    <t>77685GQ7-S001</t>
  </si>
  <si>
    <t>混搭恐龙8pcs/GQ7/箱</t>
  </si>
  <si>
    <t>12/15进口商贴纸+UPC贴纸</t>
  </si>
  <si>
    <t>日期码格式：ZURU INC(BVI) 标准格式 日期：按实际生产日期
Packaging Info: 77685GQ7： MA 3L EAN包装+进口商贴纸+UPC贴纸+箱唛,,
Remark: 请确保包装上的条形码是UPC，如果是babyUPC，需要用mother UPC 覆盖，如有不一致，请及时提出。谢谢!</t>
  </si>
  <si>
    <t>4500187528-60</t>
  </si>
  <si>
    <t>日期码格式：ZURU INC(BVI) 标准格式 日期：按实际生产日期
Packaging Info: 
77685SLB-S002, MA最新UPC包装，UPC :193052079053，请先检查条码是否正确再安排做货。
Slip sheet: 77685GQ1-S002 13pcs/PDQ/CTN 20*4H=80CTN/SLB=1040pcs/Slip Sheet;
一共需要2个slip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7151SLB-S002, MA最新UPC包装+WEEE带电池走货30语通用说明书，UPC :193052033482，请先检查条码是否正确再安排做货。
Slip sheet: 7151-S005 3PCS(CTN SIZE: 30.5*20*13CM), (5*7+7)*4H=168CTN=504PCS/SLIP SHEET；一共需要3个slip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77711SLB-S001-INT, MA最新UPC包装，UPC :193052080127，请先检查条码是否正确再安排做货。
Slip sheet: 77711GQ1-S002-INT 13pcs/PDQ/CTN 15*5H=75CTN/SLB=975pcs/Slip Sheet;；一共需要3个slip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</si>
  <si>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4500187691-30</t>
  </si>
  <si>
    <t>翻单185782</t>
  </si>
  <si>
    <t>日期码格式：ZURU INC(BVI) 标准格式 日期：按实际生产日期
Packaging Info:  77685GQ7： MA 3L EAN包装+进口商贴纸+UPC贴纸+箱唛
Remark: 请确保包装上的条形码是UPC，如果是babyUPC，需要用mother UPC 覆盖，如有不一致，请及时提出。谢谢!</t>
  </si>
  <si>
    <t>T.J.MORRIS LTD</t>
  </si>
  <si>
    <t>4500188811-10</t>
  </si>
  <si>
    <t>日期码格式：ZURU INC(BVI) 标准格式 日期：按实际生产日期
Packaging Info: 1L MA UPC 包装; MA说明书/指南; MA PDQ
Remark: 1.产品及包装需要印UKCA图标，包装需要有ZURU UK LTD/ZURU France地址信息，QC同事请核查，如有问题与跟单确认。
2. 需要符合欧洲标准不能含有闪粉和微塑料，否则不和法规会有客诉产生</t>
  </si>
  <si>
    <t>MINISO DEPOT CA INC.</t>
  </si>
  <si>
    <t>4500188208-10</t>
  </si>
  <si>
    <t>12/18UPC 条码贴纸</t>
  </si>
  <si>
    <t>日期码格式：ZURU INC(BVI) 标准格式 日期：按实际生产日期
Packaging Info: 1. 包装方式：MA UPC优先1L最新包装，出口美国；
2. 产品和包装上印刷tracking code信息，格式为ZURU常规；
3. ZURU QC 验货合格后即可出货.
Remark: 4. 77685GQ1-S002 PDQ上需要贴一张UPC 条码贴纸,UPC显示：193052079053，贴纸AW跟单提供，工厂自行采购；</t>
  </si>
  <si>
    <t>Iris Yuan</t>
  </si>
  <si>
    <t>4500187984-10</t>
  </si>
  <si>
    <t>4500187084-10</t>
  </si>
  <si>
    <t>日期码格式：LOTDGYYYYMMDD 日期：按实际生产日期
Packaging Info: 1. 77685GQ2 :3L EAN收缩膜+ UPC贴纸+ 3LPDQ+MA多语收藏指南+MA多语说明书+进口商贴纸+箱唛，进口商贴纸分别贴在球和说明书上，贴纸翻单PO4500167348
Remark: 1：客版日期码要求：LOT+ZURU标准日期码格式。东莞生产的格式：LOTDGYYYYMMDD, DG是东莞拼音首字母，YYYYMMDD是实际的年月日
3. 此单有第三方监柜，至少多备一套完整的物料用于监柜，请多备料。
4. WM墨西哥防霉的新要求:货物必须在出货主箱和集装箱中按要求放置干燥剂，干燥剂指定品牌干霸
77685GQ2：每箱需放置6小包干燥剂, 每包重2-3g
5. 如走柜货等loading plan 确认后再通知集装箱干燥剂数量</t>
  </si>
  <si>
    <t>4500188248-100</t>
  </si>
  <si>
    <t>1/6UPC贴纸</t>
  </si>
  <si>
    <r>
      <rPr>
        <sz val="10"/>
        <rFont val="宋体"/>
        <charset val="134"/>
      </rPr>
      <t xml:space="preserve">日期码格式：ZURU INC(BVI) 标准格式 日期：按实际生产日期
Packaging Info: 请确保包装上的条形码是UPC，如果是babyUPC，需要用mother UPC覆盖，如有不一致，请及时提出。谢谢!
</t>
    </r>
    <r>
      <rPr>
        <sz val="10"/>
        <color rgb="FFFF0000"/>
        <rFont val="宋体"/>
        <charset val="134"/>
      </rPr>
      <t>77685GQ2,,MA 多语EAN包装+UPC贴纸+MA B版本说明书+MA PDQ 包装+箱唛,,</t>
    </r>
    <r>
      <rPr>
        <sz val="10"/>
        <rFont val="宋体"/>
        <charset val="134"/>
      </rPr>
      <t xml:space="preserve">
Remark：</t>
    </r>
  </si>
  <si>
    <t>4500189691-70</t>
  </si>
  <si>
    <t>日期码格式：ZURU INC(BVI) 标准格式 日期：按实际生产日期
Packaging Info: 请确保包装上的条形码是UPC，如果是babyUPC，需要用mother UPC覆盖，如有不一致，请及时提出。谢谢!
77685GQ2,,MA 多语EAN包装+UPC贴纸+MA B版本说明书+MA PDQ 包装+箱唛,,
Remark:
Common: Equal ratio,,</t>
  </si>
  <si>
    <t>AMAZON CA (VENDOR CENTER)</t>
  </si>
  <si>
    <t>3MIKTQSU</t>
  </si>
  <si>
    <t>4500190061-330</t>
  </si>
  <si>
    <t>12/30空白UPC贴纸</t>
  </si>
  <si>
    <t>日期码格式：ZURU INC(BVI) 标准格式 日期：按实际生产日期
Packaging Info: 出口加拿大，包装需要至少2/3L UPC版，无硼版本。
#77723：2PK STD 77685 PVC Tube. MA 3L EAN版本+空白UPC贴纸，3L 铜版纸跟翻单#4500157378,空白贴纸跟单提供。收藏指南，说明书均为MA 5L标版。（两个球
的配比不能重复）。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</si>
  <si>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t>
  </si>
  <si>
    <t>JSC 􀂫GRAND-TRADE􀂻</t>
  </si>
  <si>
    <t>PGT-720385</t>
  </si>
  <si>
    <t>4500189587-10</t>
  </si>
  <si>
    <t>欠进口商贴纸+QR code贴纸+外箱贴纸</t>
  </si>
  <si>
    <r>
      <rPr>
        <sz val="10"/>
        <rFont val="宋体"/>
        <charset val="134"/>
      </rPr>
      <t>日期码格式：ZURU INC(BVI) 标准格式 日期：按实际生产日期
Packaging Info: 77685GQ1:MA收缩膜+进口商贴纸+QR code贴纸;MA PDQ
外箱侧面右上</t>
    </r>
    <r>
      <rPr>
        <sz val="10"/>
        <color rgb="FFFF0000"/>
        <rFont val="宋体"/>
        <charset val="134"/>
      </rPr>
      <t>角各1张箱唛；</t>
    </r>
    <r>
      <rPr>
        <sz val="10"/>
        <rFont val="宋体"/>
        <charset val="134"/>
      </rPr>
      <t xml:space="preserve">
有监柜验货；
需要打印序号1-5的二维码拍照给客户确认后再批量打印；</t>
    </r>
    <r>
      <rPr>
        <sz val="10"/>
        <color rgb="FFFF0000"/>
        <rFont val="宋体"/>
        <charset val="134"/>
      </rPr>
      <t>做大货时也提供几张二维码贴产品上的照片</t>
    </r>
    <r>
      <rPr>
        <sz val="10"/>
        <rFont val="宋体"/>
        <charset val="134"/>
      </rPr>
      <t xml:space="preserve">
QRcode要求：贴纸上客户PO号及序号一起打印。尺寸（客户建议18*18mm非强制）根据产品调整，最小接受10*10mm,要清晰可扫描，2年不褪色。
Remark:</t>
    </r>
  </si>
  <si>
    <t xml:space="preserve"> </t>
  </si>
  <si>
    <t>合计</t>
  </si>
  <si>
    <t>总金额</t>
  </si>
  <si>
    <t>生产报数</t>
  </si>
  <si>
    <t xml:space="preserve">                                                                                                                                                                                                                                                                                                                                                                                                                                                                                                                                                                                                                                                                                                                                                                                                                                                                                                                                                                                                                                                                                                                                                                                                                                                                                                                                                                                                                                                                                                                                                                                                                                                                                                                                                                                                                                                                                                                                                                                                                                                                    </t>
  </si>
  <si>
    <t>1/15 截SI</t>
  </si>
  <si>
    <t>1/12 截SI</t>
  </si>
  <si>
    <t>2/24 ETD</t>
  </si>
  <si>
    <t>1/26 截SI</t>
  </si>
  <si>
    <t>2/3 截SI</t>
  </si>
  <si>
    <t>1/21 截SI</t>
  </si>
  <si>
    <t>2/2 截SI</t>
  </si>
  <si>
    <t>1/23 截SI</t>
  </si>
  <si>
    <t>2/6 截SI</t>
  </si>
  <si>
    <t>2/5 截SI</t>
  </si>
  <si>
    <t>日期码格式：ZURU INC(BVI) 标准格式 日期：按实际生产日期
Packaging Info: 请确保包装上的条形码是UPC，如果是babyUPC，需要用mother UPC覆盖，如有不一致，请及时提出。谢谢!
77685GQ2,,MA 多语EAN包装+UPC贴纸+MA B版本说明书+MA PDQ 包装+箱唛,,
Remark：</t>
  </si>
  <si>
    <t>3/2 截SI</t>
  </si>
  <si>
    <t>4500191213-70</t>
  </si>
  <si>
    <t>日期码格式：ZURU INC(BVI) 标准格式 日期：按实际生产日期
Packaging Info: 1. ZURU 标准日期码格式，
2. 无第三方测试和验货，ZURU 内部QC验货即可出货
Remark: 3. 优先 MA 1L UPC包装;
4. 纸箱印ZURU LOGO，出口美国；</t>
  </si>
  <si>
    <t>有监柜</t>
  </si>
  <si>
    <t>1/13进口商贴纸+外箱贴纸+EAN条码+1/19 QR code贴纸</t>
  </si>
  <si>
    <t>日期码格式：ZURU INC(BVI) 标准格式 日期：按实际生产日期
Packaging Info: 77685GQ1:MA收缩膜+进口商贴纸+EAN条码+QR code贴纸;MA PDQ+1张空白帖覆盖recycle字样；MA指南+1张空白帖覆盖recycle字样
外箱侧面右上角各1张箱唛；
有监柜验货；
需要打印序号1-5的二维码拍照给客户确认后再批量打印；做大货时也提供几张二维码贴产品上的照片
QRcode要求：贴纸上客户PO号及序号一起打印。尺寸（客户建议18*18mm非强制）根据产品调整，最小接受10*10mm,要清晰可扫描，2年不褪色。
需提供application report追中QR code到箱/柜
Remark:</t>
  </si>
  <si>
    <t>LEGAJO 4610</t>
  </si>
  <si>
    <t>4500193766-80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</si>
  <si>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item#77723: Marshalls PO#272592,SKU#913011 DC#881-216PCS, DC#884-156PCS, DC#886-228PCS, DC#887-192PCS, DC#888-204PCS</t>
  </si>
  <si>
    <t>4500193767-80</t>
  </si>
  <si>
    <t>4500193770-40</t>
  </si>
  <si>
    <t>4500193771-40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</si>
  <si>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item#77723: TJ MAXX PO#272596,SKU#192376 DC#891-252PCS, DC#894-204PCS, DC#896-168PCS, DC#897-336PCS, DC#898-240PCS</t>
  </si>
  <si>
    <t>4500193874-10</t>
  </si>
  <si>
    <t>日期码格式：ZURU INC(BVI) 标准格式 日期：按实际生产日期
Packaging Info: 77685-S001: MA 3L EAN包装+德意警告语贴纸(翻单:4500185407)+MA B版 5L+23L警语收藏指南+MA B版5L Slime 袋+MA B版 多语说明书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</si>
  <si>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B&amp;M FRANCE SAS</t>
  </si>
  <si>
    <t>4500191695-10</t>
  </si>
  <si>
    <t>1/26客户货号贴纸</t>
  </si>
  <si>
    <t>日期码格式：ZURU INC(BVI) 标准格式 日期：按实际生产日期
Packaging Info: MA3L EAN最新版收缩膜+1张客户货号贴纸(含法国回收标)+MA 23L最新版说明书+MA 3L最新版PDQ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</si>
  <si>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4500191728-10</t>
  </si>
  <si>
    <t>日期码格式：ZURU INC(BVI) 标准格式 日期：按实际生产日期
Packaging Info: MA3L EAN最新版收缩膜+1张客户货号贴纸(含法国回收标)+MA 23L最新版说明书+MA 3L最新版PDQ
Remark: 1. 此票无需第三方验货，通过ZURU OQC验货即可；
2. 请多备料一套大货样；
3. 此票出法国，包装需含有法国回收logo，产品符合EU标准；
4. 此票全部用EAN条码
5. 所有出口法国的产品, 法规规定禁止在包装和公众用的印刷品中使用矿物油中含有的物质, 包装印刷油墨中含有的MOAH/MOSH的质量浓度不能超过1%, 否则出货
到法国被抽检出现问题, 供应商需要对此负责</t>
  </si>
  <si>
    <t>25年年存+实际接单</t>
  </si>
  <si>
    <t>25年已删</t>
  </si>
  <si>
    <t>跟进负责人员</t>
  </si>
  <si>
    <t>MA 批次</t>
  </si>
  <si>
    <t>放订时间</t>
  </si>
  <si>
    <t>完成时间</t>
  </si>
  <si>
    <t>产品图片</t>
  </si>
  <si>
    <t>球合计</t>
  </si>
  <si>
    <t>无棚口水胶</t>
  </si>
  <si>
    <r>
      <rPr>
        <sz val="11"/>
        <color theme="1"/>
        <rFont val="宋体"/>
        <charset val="134"/>
        <scheme val="minor"/>
      </rPr>
      <t>无棚口水胶</t>
    </r>
    <r>
      <rPr>
        <sz val="11"/>
        <color rgb="FFFF0000"/>
        <rFont val="宋体"/>
        <charset val="134"/>
        <scheme val="minor"/>
      </rPr>
      <t>B版本</t>
    </r>
  </si>
  <si>
    <t>MA 配比</t>
  </si>
  <si>
    <t>英文名称</t>
  </si>
  <si>
    <t>Brachiosaurus</t>
  </si>
  <si>
    <t>Dilophosaurus</t>
  </si>
  <si>
    <t>Therizinosaurus</t>
  </si>
  <si>
    <t>Ankylosaurus</t>
  </si>
  <si>
    <t>Styracosaurus</t>
  </si>
  <si>
    <t>Spinosaurus</t>
  </si>
  <si>
    <t>Mosasaurus</t>
  </si>
  <si>
    <t>Rex</t>
  </si>
  <si>
    <t>Rex (rare)</t>
  </si>
  <si>
    <t>中文名称</t>
  </si>
  <si>
    <t>Jasmine Hunag</t>
  </si>
  <si>
    <t>MA-RR-1483</t>
  </si>
  <si>
    <t>放订MA数量</t>
  </si>
  <si>
    <t>纸袋/3D贴纸/黑白说明书配套采购</t>
  </si>
  <si>
    <t>MA-RR-1520</t>
  </si>
  <si>
    <t>MA-RR-1653</t>
  </si>
  <si>
    <t>B版本资料全套</t>
  </si>
  <si>
    <t>Joy Wan</t>
  </si>
  <si>
    <t>MA-RR-1835</t>
  </si>
  <si>
    <t>纸袋请配套采购</t>
  </si>
  <si>
    <t>MA-RR-1966</t>
  </si>
  <si>
    <t>MA合计</t>
  </si>
  <si>
    <t>实单扣数</t>
  </si>
  <si>
    <t>MA半成品剩余</t>
  </si>
  <si>
    <t>验算</t>
  </si>
  <si>
    <t>日期</t>
  </si>
  <si>
    <t>MA PO</t>
  </si>
  <si>
    <t>货号</t>
  </si>
  <si>
    <t>包材</t>
  </si>
  <si>
    <t>数量</t>
  </si>
  <si>
    <t>版本</t>
  </si>
  <si>
    <t>收縮膜</t>
  </si>
  <si>
    <r>
      <rPr>
        <b/>
        <sz val="11"/>
        <rFont val="宋体"/>
        <charset val="0"/>
        <scheme val="major"/>
      </rPr>
      <t xml:space="preserve">MA </t>
    </r>
    <r>
      <rPr>
        <b/>
        <sz val="11"/>
        <color rgb="FFFF0000"/>
        <rFont val="宋体"/>
        <charset val="0"/>
        <scheme val="major"/>
      </rPr>
      <t>B</t>
    </r>
    <r>
      <rPr>
        <b/>
        <sz val="11"/>
        <rFont val="宋体"/>
        <charset val="0"/>
        <scheme val="major"/>
      </rPr>
      <t>5L</t>
    </r>
  </si>
  <si>
    <r>
      <rPr>
        <b/>
        <sz val="11"/>
        <rFont val="宋体"/>
        <charset val="0"/>
        <scheme val="major"/>
      </rPr>
      <t xml:space="preserve">MA </t>
    </r>
    <r>
      <rPr>
        <b/>
        <sz val="11"/>
        <color rgb="FFFF0000"/>
        <rFont val="宋体"/>
        <charset val="0"/>
        <scheme val="major"/>
      </rPr>
      <t>B</t>
    </r>
    <r>
      <rPr>
        <b/>
        <sz val="11"/>
        <rFont val="宋体"/>
        <charset val="0"/>
        <scheme val="major"/>
      </rPr>
      <t>3L</t>
    </r>
  </si>
  <si>
    <t>彩纸/贴纸</t>
  </si>
  <si>
    <t>中文说明书</t>
  </si>
  <si>
    <t>1000025608</t>
  </si>
  <si>
    <t>shrink wrap</t>
  </si>
  <si>
    <t>1L</t>
  </si>
  <si>
    <t>Jamine huang</t>
  </si>
  <si>
    <t>1000025609</t>
  </si>
  <si>
    <t>collector guide</t>
  </si>
  <si>
    <t>5L</t>
  </si>
  <si>
    <t>1000025610</t>
  </si>
  <si>
    <t>77685GQ1</t>
  </si>
  <si>
    <t>PDQ</t>
  </si>
  <si>
    <t>1000025611</t>
  </si>
  <si>
    <t>77685GQ2</t>
  </si>
  <si>
    <t>1000025612</t>
  </si>
  <si>
    <t>3L</t>
  </si>
  <si>
    <t>1000025794</t>
  </si>
  <si>
    <t>PVC  Tube(2PK)</t>
  </si>
  <si>
    <t>N/A</t>
  </si>
  <si>
    <t>Violet Chen</t>
  </si>
  <si>
    <t>Peggy用于PO4500157378以及后续未放单的订单</t>
  </si>
  <si>
    <t>1000025795</t>
  </si>
  <si>
    <t>Art Paper（2PK)</t>
  </si>
  <si>
    <t>1000025796</t>
  </si>
  <si>
    <t>Lid sticker(2PK)</t>
  </si>
  <si>
    <t>1000025988</t>
  </si>
  <si>
    <t>1000025989</t>
  </si>
  <si>
    <t>1000026164</t>
  </si>
  <si>
    <t>1000026165</t>
  </si>
  <si>
    <t>77685SK</t>
  </si>
  <si>
    <t>Sidekick</t>
  </si>
  <si>
    <t>1000026166</t>
  </si>
  <si>
    <t>Base</t>
  </si>
  <si>
    <t>1000026222</t>
  </si>
  <si>
    <t>77685GQ4</t>
  </si>
  <si>
    <t>Daisy.Li</t>
  </si>
  <si>
    <t>Maggie 用于订单4500159701</t>
  </si>
  <si>
    <t>1000026652</t>
  </si>
  <si>
    <t>1000026663</t>
  </si>
  <si>
    <t>1000026653</t>
  </si>
  <si>
    <t>1000026720</t>
  </si>
  <si>
    <t>Maggie用于订单4500161751;4500161693;4500161693;4500161750;4500161749;4500161752</t>
  </si>
  <si>
    <t>1000026880</t>
  </si>
  <si>
    <t>Maggie用于订单4500162371 4500162369 4500162370</t>
  </si>
  <si>
    <t>1000026989</t>
  </si>
  <si>
    <t>1000026990</t>
  </si>
  <si>
    <t>1000026991</t>
  </si>
  <si>
    <t>1000026992</t>
  </si>
  <si>
    <t>1000027291</t>
  </si>
  <si>
    <t>Babbit Zhong</t>
  </si>
  <si>
    <t>Mandy用于订单4500164250-504PCS，后续来单消耗</t>
  </si>
  <si>
    <t>1000027292</t>
  </si>
  <si>
    <t>1000027293</t>
  </si>
  <si>
    <t>1000027420</t>
  </si>
  <si>
    <t>A</t>
  </si>
  <si>
    <t>1000027421</t>
  </si>
  <si>
    <t>1000027422</t>
  </si>
  <si>
    <t>B</t>
  </si>
  <si>
    <t>1000027423</t>
  </si>
  <si>
    <t>1000027424</t>
  </si>
  <si>
    <t>1000027425</t>
  </si>
  <si>
    <t>77685SK1</t>
  </si>
  <si>
    <t>1000027426</t>
  </si>
  <si>
    <t>1000027471</t>
  </si>
  <si>
    <t>Fiona Huang</t>
  </si>
  <si>
    <t>Maggie用于订单4500162784 4500162798 4500162823</t>
  </si>
  <si>
    <t>1000027916</t>
  </si>
  <si>
    <t>Collector Guide</t>
  </si>
  <si>
    <t>Ariel Peng</t>
  </si>
  <si>
    <t>Dona用于订单4500165636 ，中文版，3K/款 （共9款）</t>
  </si>
  <si>
    <t>1000027946</t>
  </si>
  <si>
    <t>Maggie用于订单4500166538;4500166540;4500166541;4500166543;4500166545
4500166547</t>
  </si>
  <si>
    <t>1000028291</t>
  </si>
  <si>
    <t>A 1L</t>
  </si>
  <si>
    <t>1000028292</t>
  </si>
  <si>
    <t>A 3L</t>
  </si>
  <si>
    <t>1000028293</t>
  </si>
  <si>
    <t>B 5L</t>
  </si>
  <si>
    <t>1000028294</t>
  </si>
  <si>
    <t>1000028295</t>
  </si>
  <si>
    <t>1000028302</t>
  </si>
  <si>
    <t>B 3L</t>
  </si>
  <si>
    <t>1000028381</t>
  </si>
  <si>
    <t>Crystal用于4500167394-1008PCS、4500167501-504PCS</t>
  </si>
  <si>
    <t>1000028396</t>
  </si>
  <si>
    <t>1000028461</t>
  </si>
  <si>
    <t>1000028462</t>
  </si>
  <si>
    <t>1000028463</t>
  </si>
  <si>
    <t>1000028464</t>
  </si>
  <si>
    <t>1000029175</t>
  </si>
  <si>
    <t>Mandy用于4500170600-492PCS</t>
  </si>
  <si>
    <t>1000029176</t>
  </si>
  <si>
    <t>Mina Pan</t>
  </si>
  <si>
    <t>Emily用于TJX PO#4500171907~4500171924 共10张订单-8496pcs/用于ROSS &amp; DD'SPO#4500171855, 4500171859 +未放订单-1200pcs</t>
  </si>
  <si>
    <t>1000029784</t>
  </si>
  <si>
    <t>1000029785</t>
  </si>
  <si>
    <t>1000029786</t>
  </si>
  <si>
    <t>1000029787</t>
  </si>
  <si>
    <t>1000029788</t>
  </si>
  <si>
    <t>1000029789</t>
  </si>
  <si>
    <t>1000029790</t>
  </si>
  <si>
    <t>1000030817</t>
  </si>
  <si>
    <t>1000030818</t>
  </si>
  <si>
    <t>1000030819</t>
  </si>
  <si>
    <t>1000030941</t>
  </si>
  <si>
    <t>Maggie用于订单MO20250710</t>
  </si>
  <si>
    <t>Maggie用于订单4500178234</t>
  </si>
  <si>
    <t>1000032041</t>
  </si>
  <si>
    <t>Maggie用于订单 4500179415,  (4500181107消耗 212pc)</t>
  </si>
  <si>
    <t>1000032061</t>
  </si>
  <si>
    <t>1000032062</t>
  </si>
  <si>
    <t>1000032302</t>
  </si>
  <si>
    <t>1000032303</t>
  </si>
  <si>
    <t>1000032304</t>
  </si>
  <si>
    <t>1000032305</t>
  </si>
  <si>
    <t>1000032733</t>
  </si>
  <si>
    <t>Maggie用于订单4500181107,(4500181314消耗136PCS）</t>
  </si>
  <si>
    <t>1000032744</t>
  </si>
  <si>
    <t>1000032745</t>
  </si>
  <si>
    <t>1000032746</t>
  </si>
  <si>
    <t>1000032813</t>
  </si>
  <si>
    <t>Maggie用于订单4500181314 ，（4500188055 消耗444PCS)</t>
  </si>
  <si>
    <t>1000032992</t>
  </si>
  <si>
    <t>1000033177</t>
  </si>
  <si>
    <t>1000033178</t>
  </si>
  <si>
    <t>1000033257</t>
  </si>
  <si>
    <t>1000033851</t>
  </si>
  <si>
    <t>1000033879</t>
  </si>
  <si>
    <t>1000034731</t>
  </si>
  <si>
    <t>Maggie用于订单4500188055, 剩176 PCS 待后续订单消耗</t>
  </si>
  <si>
    <t>1000034970</t>
  </si>
  <si>
    <t>1000034972</t>
  </si>
  <si>
    <t>1000034973</t>
  </si>
  <si>
    <t>1000034665</t>
  </si>
  <si>
    <t>1000036417</t>
  </si>
  <si>
    <t>1000036418</t>
  </si>
  <si>
    <t>#77685 5S-Dino Mix &amp;Match（恐龙系列）MA包裝扣数表</t>
  </si>
  <si>
    <t>合计MA数量</t>
  </si>
  <si>
    <t>接单数量</t>
  </si>
  <si>
    <t>MA剩余数</t>
  </si>
  <si>
    <t>ZURU PO NO#</t>
  </si>
  <si>
    <r>
      <rPr>
        <b/>
        <sz val="10"/>
        <rFont val="宋体"/>
        <charset val="134"/>
        <scheme val="minor"/>
      </rPr>
      <t xml:space="preserve">MA </t>
    </r>
    <r>
      <rPr>
        <b/>
        <sz val="10"/>
        <color rgb="FFFF0000"/>
        <rFont val="宋体"/>
        <charset val="134"/>
        <scheme val="minor"/>
      </rPr>
      <t>B</t>
    </r>
    <r>
      <rPr>
        <b/>
        <sz val="10"/>
        <rFont val="宋体"/>
        <charset val="134"/>
        <scheme val="minor"/>
      </rPr>
      <t>1L</t>
    </r>
  </si>
  <si>
    <t>Inventive Toys</t>
  </si>
  <si>
    <t>俄罗斯</t>
  </si>
  <si>
    <t>4500153901-10</t>
  </si>
  <si>
    <t>4/14 客人取消</t>
  </si>
  <si>
    <t>贴纸产生费用，无其他物料产生</t>
  </si>
  <si>
    <t>1/14进口商贴纸+EAN条码贴纸</t>
  </si>
  <si>
    <t>日期码格式：外包装/外箱不要打ZURU标准日期码 日期： 
Packaging Info: 注意:外包装 (指: 收缩膜/彩卡/铝箔袋/挂卡/PDQ)/外箱不要打ZURU标准日期码!胶件可以打日期码。
 外包装(包括收缩膜/彩卡/PDQ)都不能含Instagram and facebook logo等社交logo ;
 77685GQ1 : 1L MA 收缩膜 + 进口商贴纸 ， MA PDQ + EAN条码贴纸， MA 说明书/指南（如有）；
Remark: 标准配比：</t>
  </si>
  <si>
    <t>4500156089-30</t>
  </si>
  <si>
    <t>4/15取消</t>
  </si>
  <si>
    <t>欠</t>
  </si>
  <si>
    <t>欠条码贴纸 + 进口商贴纸</t>
  </si>
  <si>
    <t>日期码格式：外包装/外箱不要打ZURU标准日期码 日期： 
Packaging Info: 注意:外包装 (指: 收缩膜/彩卡/铝箔袋/挂卡/PDQ)/外箱不要打ZURU标准日期码!胶件可以打日期码。
 外包装(包括收缩膜/彩卡/PDQ)都不能含Instagram and facebook logo等社交logo ;
 77685GQ1 : 1L MA 收缩膜 + 进口商贴纸 ，1L MA PDQ + 条码贴纸 （EAN）， MA 说明书/指南（如有）；
Remark: 标准配比</t>
  </si>
  <si>
    <t>0923292897</t>
  </si>
  <si>
    <t>4500170460-10</t>
  </si>
  <si>
    <t>7/2 取消</t>
  </si>
  <si>
    <t>8/15 BV</t>
  </si>
  <si>
    <t>77685箱唛翻单：4500159701</t>
  </si>
  <si>
    <t>7/2 RFID</t>
  </si>
  <si>
    <t>日期码格式：ZURU DGYYYYMMDD CHINA(日期避开周末和法定节假日即可） 日期：按实际生产日期
Packaging Info: 77685
77685-S002：MA 1L A版收缩膜+MA A版纸袋+MA 5L B版收藏指南+MA A版slime bag
每pcs产品上要贴1张RFID贴纸，贴纸由ZURU提供，贴纸位置请严格按照我们签回的签板；
Remark: 77685
77685-S002：MA 1L A版收缩膜+MA A版纸袋+MA 5L B版收藏指南+MA A版slime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77711箱唛翻单：4500159672；77673箱唛翻单：4500159641；77685箱唛翻单：4500159701
3. 在产品上和包装上要有日期码、以及要有MADE IN CHINA和ZURU字样；
4. 产品如有扎带口要剪平，不能刮手。
5. 此单需要验货，请多备料
6. 此单以loose carton出货，
77685：12 pcs/CTN</t>
  </si>
  <si>
    <t>0923292910</t>
  </si>
  <si>
    <t>4500170460-20</t>
  </si>
  <si>
    <t>0923292916</t>
  </si>
  <si>
    <t>4500170460-30</t>
  </si>
  <si>
    <t>0923292927</t>
  </si>
  <si>
    <t>4500170460-40</t>
  </si>
  <si>
    <t>10001348683-3890</t>
  </si>
  <si>
    <t>4500176125-10</t>
  </si>
  <si>
    <t>8/13 暂停</t>
  </si>
  <si>
    <t>欠条码箱贴纸</t>
  </si>
  <si>
    <t>10001373315-3890</t>
  </si>
  <si>
    <t>4500176127-10</t>
  </si>
  <si>
    <t>Wal-mart US</t>
  </si>
  <si>
    <t>MO20250710</t>
  </si>
  <si>
    <t>TBA</t>
  </si>
  <si>
    <t>手工单</t>
  </si>
  <si>
    <t>77685SLB-S001：
1.包装要求：
MA 1L A版收缩膜+MA A版纸袋+MA 5L B版收藏指南+MA A版slime bag+客版1L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此单以slip sheet出货，77685：1152pcs/96CTN/Slip Sheet</t>
  </si>
  <si>
    <t>PO#60X454086</t>
  </si>
  <si>
    <t>4500180967-30</t>
  </si>
  <si>
    <t>11/4客人确认取消，呆滞物料 纸箱</t>
  </si>
  <si>
    <t>日期码格式：ZURU INC(BVI) 标准格式 日期：按实际生产日期
Packaging Info: 1. 包材：ZURU MA UPC 1L 版本；出口美国；
Remark: 2. 日期跟踪码：ZURU标准格式日期码，产品包装及产品本身都必须有ZURU标准格式日期码，并且确保两者信息保持一致(请自行调整具体年月日生产期，但不能为
周末）。
PS: 毛绒公仔由于布标日期码问题，可以接受布标日期码跟产品包装日期码不一致，但工厂需要提前给到日期码照片给跟单去审批出货。
3. 大货样
#77711GQ1, #77685GQ1; #15727;#71126 签样同旧单4500169184，但如果包材有更新需重新寄更新的包材重新签样。
注意:#15727 签样需包含15727L 但不含15727G
#92119 签样同旧单4500167106，但如果包材有更新需重新寄更新的包材重新签样。
92129TQ2;#77773GQ1;#92125 需10月29日前需寄出以下数量的样板(含PDQ)，样板须跟大货一模一样（含日期码）。
一套样板将寄到美国HEB，两套寄到以下深圳利丰地址，到时利丰会回签一套用于第三方100%大货验货。
回签的样板工厂需要保存好，只要产品物料没更新，签样一年内有效，一年内将不再走客户签样流程。
* #92129TQ2; #93125: 3pcs 成品+1个空PDQ样板
*#77773GQ1: 4pcs成品球+1个空PDQ 样板
寄到以下地址
深圳雨禾伟业实业有限公司
地址：广东省深圳市罗湖区东门南路1006号文锦渡口岸大厦B栋7楼
收件人：Elsa
电话：0755 6688 1988 Ext3337
* #92129TQ2; #93125: 每款每色2pcs成品+2个空PDQ+ 2套散件（如果产品涉及散件的话）
#77773GQ1 4pcs成品球+2个空PDQ+2套散件
寄到以下地址：
Li Fung　
深圳市福田区绒花路8号深福保大厦附楼3楼。
收件人： Yoland Dai　电话：+0755 8825 3756
4. 验货+ 抽板 （同一天进行）
预约11月13日第三方（利丰）到工厂做100%大货现场验货和抽板，验货需打印EPM出来跟客户回签样板供第三方验货参考。
PS:EPM是跟单提供。
抽板：
因这款产品的ZURU测试报告上被客户指定实验室发现产品和产品包装上的日期码不一致，所以这款寄样给实验室的是按照利丰验货员现场针对指定款随机抽板6PCS（
须带包装）。
工厂需把抽板寄到以下MTS 地址做测试，测试通过后才能出货；如产品有油漆的工厂需额外准备5G/色的油漆涂在同材质胶件上(面积类似A4纸大小)一并寄出；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6. ZURU QA 验货时需拍齐每款角色的产品和产品包装上的日期码照片（供实验室review）
7. 外箱胶带必须按照工字型封箱</t>
  </si>
  <si>
    <t>MO250916</t>
  </si>
  <si>
    <t>TBD</t>
  </si>
  <si>
    <t>转4500185340实单</t>
  </si>
  <si>
    <t xml:space="preserve"> 1、包装方式: MA UPC 优先1L最新版，出口美国
 2、无测试无验货要求
 3、纸箱4面印ZURU LOGO + 箱唛
 4、日期码请按ZURU标准版执行即可
 5、ZURU OQC验货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</si>
</sst>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d&quot;周&quot;aaa"/>
    <numFmt numFmtId="178" formatCode="m/d;@"/>
    <numFmt numFmtId="179" formatCode="0_ "/>
    <numFmt numFmtId="180" formatCode="0_);[Red]\(0\)"/>
    <numFmt numFmtId="181" formatCode="0.00_);[Red]\(0.00\)"/>
    <numFmt numFmtId="182" formatCode="0_ ;[Red]\-0\ "/>
    <numFmt numFmtId="183" formatCode="#,##0_);[Red]\(#,##0\)"/>
    <numFmt numFmtId="184" formatCode="#,##0_ "/>
  </numFmts>
  <fonts count="92">
    <font>
      <sz val="11"/>
      <color theme="1"/>
      <name val="宋体"/>
      <charset val="134"/>
      <scheme val="minor"/>
    </font>
    <font>
      <sz val="11"/>
      <color rgb="FFFF0000"/>
      <name val="宋体"/>
      <charset val="134"/>
      <scheme val="minor"/>
    </font>
    <font>
      <sz val="11"/>
      <name val="宋体"/>
      <charset val="134"/>
      <scheme val="minor"/>
    </font>
    <font>
      <b/>
      <sz val="10"/>
      <name val="宋体"/>
      <charset val="0"/>
    </font>
    <font>
      <b/>
      <sz val="10"/>
      <name val="Arial"/>
      <charset val="0"/>
    </font>
    <font>
      <sz val="10"/>
      <color rgb="FFFF0000"/>
      <name val="宋体"/>
      <charset val="134"/>
    </font>
    <font>
      <sz val="10"/>
      <color rgb="FFFF0000"/>
      <name val="宋体"/>
      <charset val="0"/>
    </font>
    <font>
      <sz val="10"/>
      <name val="宋体"/>
      <charset val="134"/>
    </font>
    <font>
      <sz val="10"/>
      <name val="宋体"/>
      <charset val="0"/>
    </font>
    <font>
      <b/>
      <sz val="10"/>
      <name val="宋体"/>
      <charset val="134"/>
    </font>
    <font>
      <b/>
      <sz val="10"/>
      <name val="宋体"/>
      <charset val="134"/>
      <scheme val="minor"/>
    </font>
    <font>
      <sz val="11"/>
      <color rgb="FFFF0000"/>
      <name val="宋体"/>
      <charset val="134"/>
    </font>
    <font>
      <b/>
      <sz val="10"/>
      <color rgb="FF7030A0"/>
      <name val="宋体"/>
      <charset val="0"/>
    </font>
    <font>
      <b/>
      <sz val="10"/>
      <color rgb="FFFF0000"/>
      <name val="宋体"/>
      <charset val="134"/>
      <scheme val="minor"/>
    </font>
    <font>
      <sz val="11"/>
      <color rgb="FF1506E0"/>
      <name val="宋体"/>
      <charset val="134"/>
      <scheme val="minor"/>
    </font>
    <font>
      <b/>
      <sz val="10"/>
      <name val="宋体"/>
      <charset val="134"/>
      <scheme val="major"/>
    </font>
    <font>
      <b/>
      <sz val="10"/>
      <name val="宋体"/>
      <charset val="0"/>
      <scheme val="major"/>
    </font>
    <font>
      <b/>
      <sz val="11"/>
      <name val="宋体"/>
      <charset val="134"/>
      <scheme val="major"/>
    </font>
    <font>
      <b/>
      <sz val="11"/>
      <name val="宋体"/>
      <charset val="0"/>
      <scheme val="major"/>
    </font>
    <font>
      <b/>
      <sz val="10"/>
      <color rgb="FFFF0000"/>
      <name val="宋体"/>
      <charset val="0"/>
      <scheme val="major"/>
    </font>
    <font>
      <b/>
      <sz val="10"/>
      <color rgb="FFFF0000"/>
      <name val="宋体"/>
      <charset val="134"/>
    </font>
    <font>
      <b/>
      <sz val="10"/>
      <color rgb="FFFF0000"/>
      <name val="Times New Roman"/>
      <charset val="134"/>
    </font>
    <font>
      <sz val="10"/>
      <name val="Times New Roman"/>
      <charset val="134"/>
    </font>
    <font>
      <b/>
      <sz val="10"/>
      <name val="Times New Roman"/>
      <charset val="134"/>
    </font>
    <font>
      <b/>
      <sz val="11"/>
      <color theme="1"/>
      <name val="宋体"/>
      <charset val="134"/>
      <scheme val="minor"/>
    </font>
    <font>
      <sz val="11"/>
      <color rgb="FF1C05ED"/>
      <name val="宋体"/>
      <charset val="134"/>
      <scheme val="minor"/>
    </font>
    <font>
      <b/>
      <sz val="14"/>
      <name val="Arial"/>
      <charset val="0"/>
    </font>
    <font>
      <b/>
      <sz val="12"/>
      <color indexed="10"/>
      <name val="宋体"/>
      <charset val="134"/>
    </font>
    <font>
      <b/>
      <sz val="11"/>
      <name val="Arial"/>
      <charset val="0"/>
    </font>
    <font>
      <b/>
      <sz val="12"/>
      <name val="宋体"/>
      <charset val="134"/>
    </font>
    <font>
      <sz val="10"/>
      <color theme="1"/>
      <name val="宋体"/>
      <charset val="0"/>
    </font>
    <font>
      <sz val="10"/>
      <color theme="1"/>
      <name val="宋体"/>
      <charset val="134"/>
    </font>
    <font>
      <sz val="10"/>
      <color rgb="FF1C05ED"/>
      <name val="宋体"/>
      <charset val="134"/>
    </font>
    <font>
      <sz val="10"/>
      <color rgb="FF1C05ED"/>
      <name val="宋体"/>
      <charset val="0"/>
    </font>
    <font>
      <sz val="10"/>
      <name val="等线"/>
      <charset val="134"/>
    </font>
    <font>
      <sz val="10"/>
      <name val="宋体"/>
      <charset val="134"/>
      <scheme val="minor"/>
    </font>
    <font>
      <sz val="10"/>
      <color rgb="FF1C05ED"/>
      <name val="宋体"/>
      <charset val="134"/>
      <scheme val="minor"/>
    </font>
    <font>
      <b/>
      <sz val="16"/>
      <name val="Arial"/>
      <charset val="0"/>
    </font>
    <font>
      <sz val="11"/>
      <color rgb="FF1C05ED"/>
      <name val="宋体"/>
      <charset val="134"/>
    </font>
    <font>
      <sz val="8"/>
      <color rgb="FF1C05ED"/>
      <name val="宋体"/>
      <charset val="134"/>
    </font>
    <font>
      <sz val="11"/>
      <name val="宋体"/>
      <charset val="134"/>
    </font>
    <font>
      <sz val="10"/>
      <color rgb="FF0000FF"/>
      <name val="宋体"/>
      <charset val="134"/>
    </font>
    <font>
      <b/>
      <sz val="10"/>
      <color theme="1"/>
      <name val="宋体"/>
      <charset val="134"/>
      <scheme val="minor"/>
    </font>
    <font>
      <sz val="11"/>
      <color rgb="FF0000FF"/>
      <name val="宋体"/>
      <charset val="134"/>
      <scheme val="minor"/>
    </font>
    <font>
      <sz val="10"/>
      <color rgb="FF0000FF"/>
      <name val="宋体"/>
      <charset val="0"/>
    </font>
    <font>
      <sz val="10"/>
      <color rgb="FF1506E0"/>
      <name val="宋体"/>
      <charset val="134"/>
    </font>
    <font>
      <sz val="10"/>
      <color rgb="FF1506E0"/>
      <name val="宋体"/>
      <charset val="0"/>
    </font>
    <font>
      <b/>
      <sz val="10"/>
      <color rgb="FF0000FF"/>
      <name val="宋体"/>
      <charset val="134"/>
    </font>
    <font>
      <sz val="11"/>
      <color rgb="FF0000FF"/>
      <name val="新宋体"/>
      <charset val="134"/>
    </font>
    <font>
      <sz val="10"/>
      <color rgb="FF1506E0"/>
      <name val="宋体"/>
      <charset val="134"/>
      <scheme val="minor"/>
    </font>
    <font>
      <sz val="11"/>
      <color rgb="FF1506E0"/>
      <name val="宋体"/>
      <charset val="134"/>
    </font>
    <font>
      <sz val="11"/>
      <color rgb="FF0000FF"/>
      <name val="宋体"/>
      <charset val="134"/>
    </font>
    <font>
      <sz val="10"/>
      <color rgb="FF0000FF"/>
      <name val="宋体"/>
      <charset val="134"/>
      <scheme val="minor"/>
    </font>
    <font>
      <sz val="12"/>
      <color rgb="FF0000FF"/>
      <name val="宋体"/>
      <charset val="134"/>
      <scheme val="minor"/>
    </font>
    <font>
      <sz val="11"/>
      <color rgb="FF0000FF"/>
      <name val="宋体"/>
      <charset val="0"/>
    </font>
    <font>
      <sz val="6"/>
      <color rgb="FF0000FF"/>
      <name val="宋体"/>
      <charset val="134"/>
    </font>
    <font>
      <sz val="14"/>
      <color rgb="FF1506E0"/>
      <name val="宋体"/>
      <charset val="0"/>
      <scheme val="minor"/>
    </font>
    <font>
      <sz val="9"/>
      <color rgb="FF0000FF"/>
      <name val="宋体"/>
      <charset val="134"/>
    </font>
    <font>
      <sz val="11"/>
      <color rgb="FF2727F0"/>
      <name val="宋体"/>
      <charset val="134"/>
      <scheme val="minor"/>
    </font>
    <font>
      <sz val="10"/>
      <color rgb="FF7030A0"/>
      <name val="宋体"/>
      <charset val="134"/>
    </font>
    <font>
      <sz val="8"/>
      <color rgb="FF0000FF"/>
      <name val="宋体"/>
      <charset val="134"/>
    </font>
    <font>
      <sz val="8"/>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2"/>
      <name val="宋体"/>
      <charset val="134"/>
    </font>
    <font>
      <sz val="10"/>
      <name val="Arial"/>
      <charset val="134"/>
    </font>
    <font>
      <b/>
      <sz val="11"/>
      <color rgb="FFFF0000"/>
      <name val="宋体"/>
      <charset val="0"/>
      <scheme val="major"/>
    </font>
    <font>
      <b/>
      <sz val="14"/>
      <name val="宋体"/>
      <charset val="0"/>
    </font>
    <font>
      <b/>
      <sz val="9"/>
      <name val="宋体"/>
      <charset val="134"/>
    </font>
    <font>
      <b/>
      <sz val="11"/>
      <name val="宋体"/>
      <charset val="134"/>
    </font>
    <font>
      <sz val="9"/>
      <name val="宋体"/>
      <charset val="134"/>
    </font>
    <font>
      <sz val="12"/>
      <name val="宋体"/>
      <charset val="134"/>
    </font>
    <font>
      <b/>
      <sz val="12"/>
      <name val="宋体"/>
      <charset val="134"/>
    </font>
    <font>
      <sz val="11"/>
      <name val="宋体"/>
      <charset val="134"/>
    </font>
  </fonts>
  <fills count="39">
    <fill>
      <patternFill patternType="none"/>
    </fill>
    <fill>
      <patternFill patternType="gray125"/>
    </fill>
    <fill>
      <patternFill patternType="solid">
        <fgColor rgb="FFFFFF00"/>
        <bgColor indexed="64"/>
      </patternFill>
    </fill>
    <fill>
      <patternFill patternType="solid">
        <fgColor theme="6" tint="0.6"/>
        <bgColor indexed="64"/>
      </patternFill>
    </fill>
    <fill>
      <patternFill patternType="solid">
        <fgColor theme="6" tint="0.8"/>
        <bgColor indexed="64"/>
      </patternFill>
    </fill>
    <fill>
      <patternFill patternType="solid">
        <fgColor theme="0"/>
        <bgColor indexed="64"/>
      </patternFill>
    </fill>
    <fill>
      <patternFill patternType="solid">
        <fgColor rgb="FF00B0F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0" fillId="8" borderId="16" applyNumberFormat="0" applyFont="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17" applyNumberFormat="0" applyFill="0" applyAlignment="0" applyProtection="0">
      <alignment vertical="center"/>
    </xf>
    <xf numFmtId="0" fontId="68" fillId="0" borderId="17" applyNumberFormat="0" applyFill="0" applyAlignment="0" applyProtection="0">
      <alignment vertical="center"/>
    </xf>
    <xf numFmtId="0" fontId="69" fillId="0" borderId="18" applyNumberFormat="0" applyFill="0" applyAlignment="0" applyProtection="0">
      <alignment vertical="center"/>
    </xf>
    <xf numFmtId="0" fontId="69" fillId="0" borderId="0" applyNumberFormat="0" applyFill="0" applyBorder="0" applyAlignment="0" applyProtection="0">
      <alignment vertical="center"/>
    </xf>
    <xf numFmtId="0" fontId="70" fillId="9" borderId="19" applyNumberFormat="0" applyAlignment="0" applyProtection="0">
      <alignment vertical="center"/>
    </xf>
    <xf numFmtId="0" fontId="71" fillId="10" borderId="20" applyNumberFormat="0" applyAlignment="0" applyProtection="0">
      <alignment vertical="center"/>
    </xf>
    <xf numFmtId="0" fontId="72" fillId="10" borderId="19" applyNumberFormat="0" applyAlignment="0" applyProtection="0">
      <alignment vertical="center"/>
    </xf>
    <xf numFmtId="0" fontId="73" fillId="11" borderId="21" applyNumberFormat="0" applyAlignment="0" applyProtection="0">
      <alignment vertical="center"/>
    </xf>
    <xf numFmtId="0" fontId="74" fillId="0" borderId="22" applyNumberFormat="0" applyFill="0" applyAlignment="0" applyProtection="0">
      <alignment vertical="center"/>
    </xf>
    <xf numFmtId="0" fontId="75" fillId="0" borderId="23" applyNumberFormat="0" applyFill="0" applyAlignment="0" applyProtection="0">
      <alignment vertical="center"/>
    </xf>
    <xf numFmtId="0" fontId="76" fillId="12" borderId="0" applyNumberFormat="0" applyBorder="0" applyAlignment="0" applyProtection="0">
      <alignment vertical="center"/>
    </xf>
    <xf numFmtId="0" fontId="77" fillId="13" borderId="0" applyNumberFormat="0" applyBorder="0" applyAlignment="0" applyProtection="0">
      <alignment vertical="center"/>
    </xf>
    <xf numFmtId="0" fontId="78" fillId="14" borderId="0" applyNumberFormat="0" applyBorder="0" applyAlignment="0" applyProtection="0">
      <alignment vertical="center"/>
    </xf>
    <xf numFmtId="0" fontId="79" fillId="15" borderId="0" applyNumberFormat="0" applyBorder="0" applyAlignment="0" applyProtection="0">
      <alignment vertical="center"/>
    </xf>
    <xf numFmtId="0" fontId="80" fillId="16" borderId="0" applyNumberFormat="0" applyBorder="0" applyAlignment="0" applyProtection="0">
      <alignment vertical="center"/>
    </xf>
    <xf numFmtId="0" fontId="80" fillId="17" borderId="0" applyNumberFormat="0" applyBorder="0" applyAlignment="0" applyProtection="0">
      <alignment vertical="center"/>
    </xf>
    <xf numFmtId="0" fontId="79" fillId="18" borderId="0" applyNumberFormat="0" applyBorder="0" applyAlignment="0" applyProtection="0">
      <alignment vertical="center"/>
    </xf>
    <xf numFmtId="0" fontId="79" fillId="19" borderId="0" applyNumberFormat="0" applyBorder="0" applyAlignment="0" applyProtection="0">
      <alignment vertical="center"/>
    </xf>
    <xf numFmtId="0" fontId="80" fillId="20" borderId="0" applyNumberFormat="0" applyBorder="0" applyAlignment="0" applyProtection="0">
      <alignment vertical="center"/>
    </xf>
    <xf numFmtId="0" fontId="80" fillId="21" borderId="0" applyNumberFormat="0" applyBorder="0" applyAlignment="0" applyProtection="0">
      <alignment vertical="center"/>
    </xf>
    <xf numFmtId="0" fontId="79" fillId="22" borderId="0" applyNumberFormat="0" applyBorder="0" applyAlignment="0" applyProtection="0">
      <alignment vertical="center"/>
    </xf>
    <xf numFmtId="0" fontId="79" fillId="23" borderId="0" applyNumberFormat="0" applyBorder="0" applyAlignment="0" applyProtection="0">
      <alignment vertical="center"/>
    </xf>
    <xf numFmtId="0" fontId="80" fillId="24" borderId="0" applyNumberFormat="0" applyBorder="0" applyAlignment="0" applyProtection="0">
      <alignment vertical="center"/>
    </xf>
    <xf numFmtId="0" fontId="80" fillId="25" borderId="0" applyNumberFormat="0" applyBorder="0" applyAlignment="0" applyProtection="0">
      <alignment vertical="center"/>
    </xf>
    <xf numFmtId="0" fontId="79" fillId="26" borderId="0" applyNumberFormat="0" applyBorder="0" applyAlignment="0" applyProtection="0">
      <alignment vertical="center"/>
    </xf>
    <xf numFmtId="0" fontId="79" fillId="27" borderId="0" applyNumberFormat="0" applyBorder="0" applyAlignment="0" applyProtection="0">
      <alignment vertical="center"/>
    </xf>
    <xf numFmtId="0" fontId="80" fillId="28" borderId="0" applyNumberFormat="0" applyBorder="0" applyAlignment="0" applyProtection="0">
      <alignment vertical="center"/>
    </xf>
    <xf numFmtId="0" fontId="80" fillId="29" borderId="0" applyNumberFormat="0" applyBorder="0" applyAlignment="0" applyProtection="0">
      <alignment vertical="center"/>
    </xf>
    <xf numFmtId="0" fontId="79" fillId="30" borderId="0" applyNumberFormat="0" applyBorder="0" applyAlignment="0" applyProtection="0">
      <alignment vertical="center"/>
    </xf>
    <xf numFmtId="0" fontId="79" fillId="31" borderId="0" applyNumberFormat="0" applyBorder="0" applyAlignment="0" applyProtection="0">
      <alignment vertical="center"/>
    </xf>
    <xf numFmtId="0" fontId="80" fillId="32" borderId="0" applyNumberFormat="0" applyBorder="0" applyAlignment="0" applyProtection="0">
      <alignment vertical="center"/>
    </xf>
    <xf numFmtId="0" fontId="80"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80" fillId="36" borderId="0" applyNumberFormat="0" applyBorder="0" applyAlignment="0" applyProtection="0">
      <alignment vertical="center"/>
    </xf>
    <xf numFmtId="0" fontId="80" fillId="37" borderId="0" applyNumberFormat="0" applyBorder="0" applyAlignment="0" applyProtection="0">
      <alignment vertical="center"/>
    </xf>
    <xf numFmtId="0" fontId="79" fillId="38"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81" fillId="0" borderId="0">
      <alignment vertical="center"/>
    </xf>
    <xf numFmtId="0" fontId="82" fillId="0" borderId="0"/>
    <xf numFmtId="0" fontId="81" fillId="0" borderId="0">
      <alignment vertical="top"/>
    </xf>
    <xf numFmtId="0" fontId="83" fillId="0" borderId="0"/>
  </cellStyleXfs>
  <cellXfs count="303">
    <xf numFmtId="0" fontId="0" fillId="0" borderId="0" xfId="0">
      <alignment vertical="center"/>
    </xf>
    <xf numFmtId="0" fontId="0" fillId="0" borderId="0" xfId="0" applyFill="1">
      <alignment vertical="center"/>
    </xf>
    <xf numFmtId="0" fontId="1" fillId="0" borderId="0" xfId="0" applyFont="1" applyFill="1" applyAlignment="1">
      <alignment horizontal="center" vertical="center"/>
    </xf>
    <xf numFmtId="0" fontId="1" fillId="0" borderId="0" xfId="0" applyFont="1" applyFill="1" applyAlignment="1" applyProtection="1">
      <alignment horizontal="center" vertical="center"/>
      <protection locked="0"/>
    </xf>
    <xf numFmtId="0" fontId="2" fillId="0" borderId="0" xfId="0" applyFont="1" applyFill="1" applyAlignment="1" applyProtection="1">
      <alignment horizontal="center" vertical="center"/>
      <protection locked="0"/>
    </xf>
    <xf numFmtId="176" fontId="3" fillId="0" borderId="1" xfId="0" applyNumberFormat="1" applyFont="1" applyFill="1" applyBorder="1" applyAlignment="1">
      <alignment horizontal="center" vertical="top" wrapText="1" shrinkToFit="1"/>
    </xf>
    <xf numFmtId="0" fontId="3" fillId="0" borderId="1" xfId="0" applyFont="1" applyFill="1" applyBorder="1" applyAlignment="1">
      <alignment horizontal="center" vertical="top" wrapText="1" shrinkToFit="1"/>
    </xf>
    <xf numFmtId="0" fontId="4" fillId="0" borderId="1" xfId="0" applyFont="1" applyFill="1" applyBorder="1" applyAlignment="1">
      <alignment horizontal="center" vertical="top" wrapText="1" shrinkToFit="1"/>
    </xf>
    <xf numFmtId="176" fontId="5" fillId="0" borderId="1" xfId="0" applyNumberFormat="1" applyFont="1" applyFill="1" applyBorder="1" applyAlignment="1">
      <alignment horizontal="center" vertical="center" wrapText="1" shrinkToFi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wrapText="1" shrinkToFit="1"/>
    </xf>
    <xf numFmtId="0" fontId="5" fillId="0" borderId="1" xfId="0" applyFont="1" applyFill="1" applyBorder="1" applyAlignment="1">
      <alignment horizontal="center" vertical="center"/>
    </xf>
    <xf numFmtId="49" fontId="6" fillId="0" borderId="1" xfId="0" applyNumberFormat="1" applyFont="1" applyFill="1" applyBorder="1" applyAlignment="1">
      <alignment horizontal="center" vertical="center" wrapText="1"/>
    </xf>
    <xf numFmtId="176" fontId="5" fillId="0" borderId="1" xfId="0" applyNumberFormat="1" applyFont="1" applyFill="1" applyBorder="1" applyAlignment="1" applyProtection="1">
      <alignment horizontal="center" vertical="center" wrapText="1" shrinkToFit="1"/>
    </xf>
    <xf numFmtId="0" fontId="5" fillId="0" borderId="1" xfId="0" applyFont="1" applyFill="1" applyBorder="1" applyAlignment="1" applyProtection="1">
      <alignment horizontal="center" vertical="center" wrapText="1" shrinkToFit="1"/>
      <protection locked="0"/>
    </xf>
    <xf numFmtId="0" fontId="5" fillId="0" borderId="1" xfId="0"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wrapText="1"/>
      <protection locked="0"/>
    </xf>
    <xf numFmtId="49" fontId="6" fillId="0" borderId="1" xfId="0" applyNumberFormat="1" applyFont="1" applyFill="1" applyBorder="1" applyAlignment="1" applyProtection="1">
      <alignment horizontal="center" vertical="center" wrapText="1"/>
      <protection locked="0"/>
    </xf>
    <xf numFmtId="176" fontId="7" fillId="0" borderId="1" xfId="0" applyNumberFormat="1" applyFont="1" applyFill="1" applyBorder="1" applyAlignment="1" applyProtection="1">
      <alignment horizontal="center" vertical="center" wrapText="1" shrinkToFit="1"/>
    </xf>
    <xf numFmtId="0" fontId="7"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wrapText="1" shrinkToFit="1"/>
      <protection locked="0"/>
    </xf>
    <xf numFmtId="0" fontId="7" fillId="0" borderId="1" xfId="0" applyFont="1" applyFill="1" applyBorder="1" applyAlignment="1" applyProtection="1">
      <alignment horizontal="center" vertical="center"/>
      <protection locked="0"/>
    </xf>
    <xf numFmtId="49" fontId="8" fillId="0" borderId="1" xfId="0" applyNumberFormat="1" applyFont="1" applyFill="1" applyBorder="1" applyAlignment="1" applyProtection="1">
      <alignment horizontal="center" vertical="center" wrapText="1"/>
      <protection locked="0"/>
    </xf>
    <xf numFmtId="0" fontId="9" fillId="0" borderId="1" xfId="0" applyFont="1" applyFill="1" applyBorder="1" applyAlignment="1">
      <alignment horizontal="center" vertical="top" wrapText="1"/>
    </xf>
    <xf numFmtId="177" fontId="10" fillId="0" borderId="1" xfId="0" applyNumberFormat="1" applyFont="1" applyFill="1" applyBorder="1" applyAlignment="1">
      <alignment horizontal="center" vertical="top" wrapText="1" shrinkToFit="1"/>
    </xf>
    <xf numFmtId="178" fontId="3" fillId="0" borderId="1" xfId="0" applyNumberFormat="1" applyFont="1" applyFill="1" applyBorder="1" applyAlignment="1">
      <alignment horizontal="center" vertical="top" wrapText="1" shrinkToFit="1"/>
    </xf>
    <xf numFmtId="179" fontId="6"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wrapText="1" shrinkToFit="1"/>
    </xf>
    <xf numFmtId="177" fontId="11" fillId="2" borderId="1" xfId="0" applyNumberFormat="1" applyFont="1" applyFill="1" applyBorder="1" applyAlignment="1">
      <alignment horizontal="center" vertical="center" wrapText="1" shrinkToFit="1"/>
    </xf>
    <xf numFmtId="178" fontId="5" fillId="0" borderId="1" xfId="0" applyNumberFormat="1" applyFont="1" applyFill="1" applyBorder="1" applyAlignment="1">
      <alignment horizontal="center" vertical="center" wrapText="1"/>
    </xf>
    <xf numFmtId="178" fontId="5" fillId="2" borderId="1" xfId="0" applyNumberFormat="1" applyFont="1" applyFill="1" applyBorder="1" applyAlignment="1">
      <alignment horizontal="center" vertical="center" wrapText="1"/>
    </xf>
    <xf numFmtId="179" fontId="6" fillId="0" borderId="1" xfId="0" applyNumberFormat="1" applyFont="1" applyFill="1" applyBorder="1" applyAlignment="1" applyProtection="1">
      <alignment horizontal="center" vertical="center"/>
      <protection locked="0"/>
    </xf>
    <xf numFmtId="177" fontId="5" fillId="2" borderId="1" xfId="0" applyNumberFormat="1" applyFont="1" applyFill="1" applyBorder="1" applyAlignment="1" applyProtection="1">
      <alignment horizontal="center" vertical="center" wrapText="1" shrinkToFit="1"/>
      <protection locked="0"/>
    </xf>
    <xf numFmtId="178" fontId="5" fillId="0" borderId="1" xfId="0" applyNumberFormat="1" applyFont="1" applyFill="1" applyBorder="1" applyAlignment="1" applyProtection="1">
      <alignment horizontal="center" vertical="center" wrapText="1"/>
      <protection locked="0"/>
    </xf>
    <xf numFmtId="179" fontId="8" fillId="0" borderId="1" xfId="0" applyNumberFormat="1" applyFont="1" applyFill="1" applyBorder="1" applyAlignment="1" applyProtection="1">
      <alignment horizontal="center" vertical="center"/>
      <protection locked="0"/>
    </xf>
    <xf numFmtId="177" fontId="7" fillId="0" borderId="1" xfId="0" applyNumberFormat="1" applyFont="1" applyFill="1" applyBorder="1" applyAlignment="1" applyProtection="1">
      <alignment horizontal="center" vertical="center" wrapText="1" shrinkToFit="1"/>
      <protection locked="0"/>
    </xf>
    <xf numFmtId="177" fontId="5" fillId="0" borderId="1" xfId="0" applyNumberFormat="1" applyFont="1" applyFill="1" applyBorder="1" applyAlignment="1" applyProtection="1">
      <alignment horizontal="center" vertical="center" wrapText="1" shrinkToFit="1"/>
      <protection locked="0"/>
    </xf>
    <xf numFmtId="178" fontId="7" fillId="0" borderId="1" xfId="0" applyNumberFormat="1" applyFont="1" applyFill="1" applyBorder="1" applyAlignment="1" applyProtection="1">
      <alignment horizontal="center" vertical="center" wrapText="1"/>
      <protection locked="0"/>
    </xf>
    <xf numFmtId="0" fontId="9" fillId="0" borderId="1" xfId="0" applyNumberFormat="1" applyFont="1" applyFill="1" applyBorder="1" applyAlignment="1">
      <alignment horizontal="center" vertical="top" wrapText="1" shrinkToFit="1"/>
    </xf>
    <xf numFmtId="0" fontId="5" fillId="0" borderId="1" xfId="0" applyNumberFormat="1" applyFont="1" applyFill="1" applyBorder="1" applyAlignment="1">
      <alignment horizontal="center" vertical="center" wrapText="1"/>
    </xf>
    <xf numFmtId="180" fontId="1" fillId="0" borderId="1" xfId="0" applyNumberFormat="1" applyFont="1" applyFill="1" applyBorder="1" applyAlignment="1">
      <alignment horizontal="center" vertical="center" wrapText="1" shrinkToFit="1"/>
    </xf>
    <xf numFmtId="178" fontId="1" fillId="0" borderId="1" xfId="0" applyNumberFormat="1" applyFont="1" applyFill="1" applyBorder="1" applyAlignment="1">
      <alignment horizontal="center" vertical="center" wrapText="1" shrinkToFit="1"/>
    </xf>
    <xf numFmtId="181" fontId="1" fillId="0" borderId="1" xfId="0" applyNumberFormat="1" applyFont="1" applyFill="1" applyBorder="1" applyAlignment="1">
      <alignment horizontal="center" vertical="center" wrapText="1" shrinkToFit="1"/>
    </xf>
    <xf numFmtId="0" fontId="5" fillId="0" borderId="1" xfId="0" applyNumberFormat="1" applyFont="1" applyFill="1" applyBorder="1" applyAlignment="1" applyProtection="1">
      <alignment horizontal="center" vertical="center" wrapText="1"/>
      <protection locked="0"/>
    </xf>
    <xf numFmtId="181" fontId="1" fillId="0" borderId="1" xfId="0" applyNumberFormat="1" applyFont="1" applyFill="1" applyBorder="1" applyAlignment="1" applyProtection="1">
      <alignment horizontal="center" vertical="center" wrapText="1" shrinkToFit="1"/>
      <protection locked="0"/>
    </xf>
    <xf numFmtId="0" fontId="7" fillId="0" borderId="1" xfId="0" applyNumberFormat="1" applyFont="1" applyFill="1" applyBorder="1" applyAlignment="1" applyProtection="1">
      <alignment horizontal="center" vertical="center" wrapText="1"/>
      <protection locked="0"/>
    </xf>
    <xf numFmtId="181" fontId="2" fillId="0" borderId="1" xfId="0" applyNumberFormat="1" applyFont="1" applyFill="1" applyBorder="1" applyAlignment="1" applyProtection="1">
      <alignment horizontal="center" vertical="center" wrapText="1" shrinkToFit="1"/>
      <protection locked="0"/>
    </xf>
    <xf numFmtId="178" fontId="11" fillId="0" borderId="2" xfId="0" applyNumberFormat="1" applyFont="1" applyFill="1" applyBorder="1" applyAlignment="1" applyProtection="1">
      <alignment horizontal="center" vertical="center" wrapText="1"/>
      <protection locked="0"/>
    </xf>
    <xf numFmtId="0" fontId="12" fillId="0" borderId="1" xfId="0" applyFont="1" applyFill="1" applyBorder="1" applyAlignment="1">
      <alignment horizontal="center" vertical="center" wrapText="1" shrinkToFit="1"/>
    </xf>
    <xf numFmtId="0" fontId="1" fillId="0" borderId="1" xfId="0" applyFont="1" applyFill="1" applyBorder="1" applyAlignment="1">
      <alignment horizontal="center" vertical="center"/>
    </xf>
    <xf numFmtId="177" fontId="13" fillId="0" borderId="1" xfId="0" applyNumberFormat="1" applyFont="1" applyFill="1" applyBorder="1" applyAlignment="1">
      <alignment horizontal="center" vertical="top" wrapText="1" shrinkToFit="1"/>
    </xf>
    <xf numFmtId="0" fontId="1" fillId="0" borderId="1" xfId="0" applyFont="1" applyFill="1" applyBorder="1" applyAlignment="1" applyProtection="1">
      <alignment horizontal="center" vertical="center"/>
      <protection locked="0"/>
    </xf>
    <xf numFmtId="0" fontId="2" fillId="0" borderId="1" xfId="0" applyFont="1" applyFill="1" applyBorder="1" applyAlignment="1" applyProtection="1">
      <alignment horizontal="center" vertical="center"/>
      <protection locked="0"/>
    </xf>
    <xf numFmtId="0" fontId="0" fillId="0" borderId="1" xfId="0" applyFill="1" applyBorder="1" applyAlignment="1">
      <alignment horizontal="center" vertical="center"/>
    </xf>
    <xf numFmtId="10" fontId="0" fillId="0" borderId="1" xfId="3" applyNumberFormat="1" applyFill="1" applyBorder="1" applyAlignment="1">
      <alignment horizontal="center" vertical="center"/>
    </xf>
    <xf numFmtId="180" fontId="1" fillId="2" borderId="1" xfId="0" applyNumberFormat="1" applyFont="1" applyFill="1" applyBorder="1" applyAlignment="1">
      <alignment horizontal="center" vertical="center"/>
    </xf>
    <xf numFmtId="180" fontId="1" fillId="0" borderId="1" xfId="0" applyNumberFormat="1" applyFont="1" applyFill="1" applyBorder="1" applyAlignment="1">
      <alignment horizontal="center" vertical="center"/>
    </xf>
    <xf numFmtId="180" fontId="1" fillId="0" borderId="1" xfId="0" applyNumberFormat="1" applyFont="1" applyFill="1" applyBorder="1" applyAlignment="1" applyProtection="1">
      <alignment horizontal="center" vertical="center"/>
      <protection locked="0"/>
    </xf>
    <xf numFmtId="180" fontId="2" fillId="0" borderId="1" xfId="0" applyNumberFormat="1" applyFont="1" applyFill="1" applyBorder="1" applyAlignment="1" applyProtection="1">
      <alignment horizontal="center" vertical="center"/>
      <protection locked="0"/>
    </xf>
    <xf numFmtId="180" fontId="2" fillId="0" borderId="1" xfId="0" applyNumberFormat="1" applyFont="1" applyFill="1" applyBorder="1" applyAlignment="1">
      <alignment horizontal="center" vertical="center"/>
    </xf>
    <xf numFmtId="180" fontId="14" fillId="0" borderId="1" xfId="0" applyNumberFormat="1" applyFont="1" applyFill="1" applyBorder="1" applyAlignment="1" applyProtection="1">
      <alignment horizontal="center" vertical="center"/>
      <protection locked="0"/>
    </xf>
    <xf numFmtId="0" fontId="1" fillId="0" borderId="0" xfId="0" applyFont="1">
      <alignment vertical="center"/>
    </xf>
    <xf numFmtId="176" fontId="15" fillId="3" borderId="1" xfId="51" applyNumberFormat="1" applyFont="1" applyFill="1" applyBorder="1" applyAlignment="1">
      <alignment horizontal="center" vertical="center"/>
    </xf>
    <xf numFmtId="180" fontId="15" fillId="3" borderId="1" xfId="51" applyNumberFormat="1" applyFont="1" applyFill="1" applyBorder="1" applyAlignment="1">
      <alignment horizontal="center" vertical="center"/>
    </xf>
    <xf numFmtId="176" fontId="16" fillId="3" borderId="1" xfId="51" applyNumberFormat="1" applyFont="1" applyFill="1" applyBorder="1" applyAlignment="1">
      <alignment horizontal="center" vertical="center"/>
    </xf>
    <xf numFmtId="176" fontId="16" fillId="3" borderId="1" xfId="51" applyNumberFormat="1" applyFont="1" applyFill="1" applyBorder="1" applyAlignment="1">
      <alignment horizontal="center" vertical="center" wrapText="1"/>
    </xf>
    <xf numFmtId="0" fontId="15" fillId="3" borderId="1" xfId="51" applyFont="1" applyFill="1" applyBorder="1" applyAlignment="1">
      <alignment horizontal="center" vertical="center" wrapText="1"/>
    </xf>
    <xf numFmtId="0" fontId="17" fillId="3" borderId="1" xfId="0" applyFont="1" applyFill="1" applyBorder="1" applyAlignment="1">
      <alignment horizontal="center" vertical="center" wrapText="1"/>
    </xf>
    <xf numFmtId="180" fontId="16" fillId="3" borderId="1" xfId="51" applyNumberFormat="1" applyFont="1" applyFill="1" applyBorder="1" applyAlignment="1">
      <alignment horizontal="center" vertical="center"/>
    </xf>
    <xf numFmtId="0" fontId="18" fillId="3" borderId="1" xfId="0" applyFont="1" applyFill="1" applyBorder="1" applyAlignment="1">
      <alignment horizontal="center" vertical="center" wrapText="1" shrinkToFit="1"/>
    </xf>
    <xf numFmtId="176" fontId="0" fillId="0" borderId="1" xfId="0" applyNumberFormat="1" applyBorder="1" applyAlignment="1">
      <alignment horizontal="left" vertical="center"/>
    </xf>
    <xf numFmtId="0" fontId="0" fillId="0" borderId="1" xfId="0" applyBorder="1" applyAlignment="1">
      <alignment horizontal="left" vertical="center"/>
    </xf>
    <xf numFmtId="0" fontId="0" fillId="0" borderId="1" xfId="0" applyBorder="1">
      <alignment vertical="center"/>
    </xf>
    <xf numFmtId="176"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lignment vertical="center"/>
    </xf>
    <xf numFmtId="176" fontId="0" fillId="0" borderId="1" xfId="0" applyNumberFormat="1" applyFill="1" applyBorder="1" applyAlignment="1">
      <alignment horizontal="left" vertical="center"/>
    </xf>
    <xf numFmtId="0" fontId="0" fillId="0" borderId="1" xfId="0" applyFill="1" applyBorder="1" applyAlignment="1">
      <alignment horizontal="left" vertical="center"/>
    </xf>
    <xf numFmtId="49" fontId="0" fillId="0" borderId="1" xfId="0" applyNumberFormat="1" applyFill="1" applyBorder="1" applyAlignment="1">
      <alignment horizontal="left" vertical="center"/>
    </xf>
    <xf numFmtId="0" fontId="17" fillId="3" borderId="3"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6" fillId="3" borderId="1" xfId="0" applyFont="1" applyFill="1" applyBorder="1" applyAlignment="1">
      <alignment horizontal="center" vertical="center" wrapText="1" shrinkToFit="1"/>
    </xf>
    <xf numFmtId="0" fontId="19" fillId="3" borderId="1" xfId="52" applyFont="1" applyFill="1" applyBorder="1" applyAlignment="1">
      <alignment horizontal="center" vertical="center" wrapText="1"/>
    </xf>
    <xf numFmtId="0" fontId="16" fillId="3" borderId="1" xfId="0" applyFont="1" applyFill="1" applyBorder="1" applyAlignment="1">
      <alignment horizontal="center" vertical="center"/>
    </xf>
    <xf numFmtId="0" fontId="16" fillId="3" borderId="1" xfId="52" applyFont="1" applyFill="1" applyBorder="1" applyAlignment="1">
      <alignment horizontal="center" vertical="center" wrapText="1"/>
    </xf>
    <xf numFmtId="0" fontId="15"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horizontal="left" vertical="center" wrapText="1"/>
    </xf>
    <xf numFmtId="0" fontId="0" fillId="2" borderId="1" xfId="0" applyFill="1" applyBorder="1" applyAlignment="1">
      <alignment horizontal="left" vertical="center"/>
    </xf>
    <xf numFmtId="0" fontId="0" fillId="0" borderId="1" xfId="0" applyFill="1" applyBorder="1">
      <alignment vertical="center"/>
    </xf>
    <xf numFmtId="176" fontId="0" fillId="2" borderId="1" xfId="0" applyNumberFormat="1" applyFill="1" applyBorder="1" applyAlignment="1">
      <alignment horizontal="left" vertical="center"/>
    </xf>
    <xf numFmtId="0" fontId="0" fillId="2" borderId="1" xfId="0" applyFill="1" applyBorder="1" applyAlignment="1">
      <alignment horizontal="left" vertical="center" wrapText="1"/>
    </xf>
    <xf numFmtId="176" fontId="0" fillId="0" borderId="1" xfId="0" applyNumberFormat="1" applyBorder="1">
      <alignment vertical="center"/>
    </xf>
    <xf numFmtId="0" fontId="16" fillId="3" borderId="6" xfId="51" applyFont="1" applyFill="1" applyBorder="1" applyAlignment="1">
      <alignment horizontal="center" vertical="center" wrapText="1"/>
    </xf>
    <xf numFmtId="0" fontId="16" fillId="3" borderId="7" xfId="51" applyFont="1" applyFill="1" applyBorder="1" applyAlignment="1">
      <alignment horizontal="center" vertical="center" wrapText="1"/>
    </xf>
    <xf numFmtId="0" fontId="16" fillId="3" borderId="8" xfId="51" applyFont="1" applyFill="1" applyBorder="1" applyAlignment="1">
      <alignment horizontal="center" vertical="center" wrapText="1"/>
    </xf>
    <xf numFmtId="0" fontId="15" fillId="3" borderId="1" xfId="52" applyFont="1" applyFill="1" applyBorder="1" applyAlignment="1">
      <alignment horizontal="center" vertical="center" wrapText="1" shrinkToFit="1"/>
    </xf>
    <xf numFmtId="0" fontId="16" fillId="3" borderId="1" xfId="52" applyFont="1" applyFill="1" applyBorder="1" applyAlignment="1">
      <alignment horizontal="center" vertical="center" wrapText="1" shrinkToFit="1"/>
    </xf>
    <xf numFmtId="0" fontId="16" fillId="3" borderId="9" xfId="51" applyFont="1" applyFill="1" applyBorder="1" applyAlignment="1">
      <alignment horizontal="center" vertical="center" wrapText="1"/>
    </xf>
    <xf numFmtId="0" fontId="16" fillId="3" borderId="0" xfId="51" applyFont="1" applyFill="1" applyAlignment="1">
      <alignment horizontal="center" vertical="center" wrapText="1"/>
    </xf>
    <xf numFmtId="0" fontId="16" fillId="3" borderId="10" xfId="51" applyFont="1" applyFill="1" applyBorder="1" applyAlignment="1">
      <alignment horizontal="center" vertical="center" wrapText="1"/>
    </xf>
    <xf numFmtId="0" fontId="16" fillId="3" borderId="11" xfId="51" applyFont="1" applyFill="1" applyBorder="1" applyAlignment="1">
      <alignment horizontal="center" vertical="center" wrapText="1"/>
    </xf>
    <xf numFmtId="0" fontId="16" fillId="3" borderId="12" xfId="51" applyFont="1" applyFill="1" applyBorder="1" applyAlignment="1">
      <alignment horizontal="center" vertical="center" wrapText="1"/>
    </xf>
    <xf numFmtId="0" fontId="16" fillId="3" borderId="13" xfId="51" applyFont="1" applyFill="1" applyBorder="1" applyAlignment="1">
      <alignment horizontal="center" vertical="center" wrapText="1"/>
    </xf>
    <xf numFmtId="182" fontId="16" fillId="3" borderId="1" xfId="52" applyNumberFormat="1" applyFont="1" applyFill="1" applyBorder="1" applyAlignment="1">
      <alignment horizontal="center" vertical="center" wrapText="1" shrinkToFit="1"/>
    </xf>
    <xf numFmtId="0" fontId="0" fillId="2" borderId="1" xfId="0" applyFill="1" applyBorder="1">
      <alignment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0" fillId="4" borderId="2" xfId="49" applyFont="1" applyFill="1" applyBorder="1" applyAlignment="1">
      <alignment horizontal="center" vertical="center" wrapText="1"/>
    </xf>
    <xf numFmtId="0" fontId="0" fillId="4" borderId="1" xfId="0" applyFill="1" applyBorder="1" applyAlignment="1">
      <alignment horizontal="center" vertical="center"/>
    </xf>
    <xf numFmtId="0" fontId="21" fillId="4" borderId="14" xfId="49" applyFont="1" applyFill="1" applyBorder="1" applyAlignment="1">
      <alignment horizontal="center" vertical="center" wrapText="1"/>
    </xf>
    <xf numFmtId="10" fontId="22" fillId="4" borderId="1" xfId="49" applyNumberFormat="1" applyFont="1" applyFill="1" applyBorder="1" applyAlignment="1">
      <alignment horizontal="center" vertical="center"/>
    </xf>
    <xf numFmtId="49" fontId="22" fillId="4" borderId="1" xfId="49" applyNumberFormat="1" applyFont="1" applyFill="1" applyBorder="1" applyAlignment="1">
      <alignment horizontal="center" vertical="center"/>
    </xf>
    <xf numFmtId="0" fontId="21" fillId="4" borderId="15" xfId="49" applyFont="1" applyFill="1" applyBorder="1" applyAlignment="1">
      <alignment horizontal="center" vertical="center" wrapText="1"/>
    </xf>
    <xf numFmtId="0" fontId="0" fillId="4" borderId="0" xfId="0" applyFill="1" applyAlignment="1">
      <alignment horizontal="center" vertical="center"/>
    </xf>
    <xf numFmtId="183" fontId="23" fillId="0" borderId="1" xfId="49" applyNumberFormat="1" applyFont="1" applyFill="1" applyBorder="1" applyAlignment="1">
      <alignment horizontal="center" vertical="top" wrapText="1"/>
    </xf>
    <xf numFmtId="14" fontId="23" fillId="0" borderId="1" xfId="49" applyNumberFormat="1" applyFont="1" applyFill="1" applyBorder="1" applyAlignment="1">
      <alignment horizontal="center" vertical="center" wrapText="1"/>
    </xf>
    <xf numFmtId="14" fontId="23" fillId="0" borderId="3" xfId="49" applyNumberFormat="1" applyFont="1" applyFill="1" applyBorder="1" applyAlignment="1">
      <alignment horizontal="center" vertical="center" wrapText="1"/>
    </xf>
    <xf numFmtId="0" fontId="24" fillId="0" borderId="1" xfId="0" applyFont="1" applyBorder="1" applyAlignment="1">
      <alignment horizontal="left" vertical="center"/>
    </xf>
    <xf numFmtId="38" fontId="21" fillId="0" borderId="1" xfId="50" applyNumberFormat="1" applyFont="1" applyFill="1" applyBorder="1" applyAlignment="1">
      <alignment horizontal="center" vertical="center"/>
    </xf>
    <xf numFmtId="184" fontId="22" fillId="5" borderId="1" xfId="49" applyNumberFormat="1" applyFont="1" applyFill="1" applyBorder="1" applyAlignment="1">
      <alignment horizontal="center" vertical="center"/>
    </xf>
    <xf numFmtId="183" fontId="23" fillId="2" borderId="1" xfId="49" applyNumberFormat="1" applyFont="1" applyFill="1" applyBorder="1" applyAlignment="1">
      <alignment horizontal="center" vertical="top" wrapText="1"/>
    </xf>
    <xf numFmtId="14" fontId="23" fillId="2" borderId="1" xfId="49" applyNumberFormat="1" applyFont="1" applyFill="1" applyBorder="1" applyAlignment="1">
      <alignment horizontal="center" vertical="center" wrapText="1"/>
    </xf>
    <xf numFmtId="14" fontId="23" fillId="2" borderId="3" xfId="49" applyNumberFormat="1" applyFont="1" applyFill="1" applyBorder="1" applyAlignment="1">
      <alignment horizontal="center" vertical="center" wrapText="1"/>
    </xf>
    <xf numFmtId="0" fontId="24" fillId="2" borderId="1" xfId="0" applyFont="1" applyFill="1" applyBorder="1" applyAlignment="1">
      <alignment horizontal="left" vertical="center"/>
    </xf>
    <xf numFmtId="38" fontId="21" fillId="2" borderId="1" xfId="50" applyNumberFormat="1" applyFont="1" applyFill="1" applyBorder="1" applyAlignment="1">
      <alignment horizontal="center" vertical="center"/>
    </xf>
    <xf numFmtId="184" fontId="22" fillId="2" borderId="1" xfId="49" applyNumberFormat="1" applyFont="1" applyFill="1" applyBorder="1" applyAlignment="1">
      <alignment horizontal="center" vertical="center"/>
    </xf>
    <xf numFmtId="0" fontId="24" fillId="0" borderId="1" xfId="0" applyFont="1" applyBorder="1" applyAlignment="1">
      <alignment horizontal="center" vertical="center"/>
    </xf>
    <xf numFmtId="0" fontId="0" fillId="4" borderId="1" xfId="0" applyFill="1" applyBorder="1">
      <alignment vertical="center"/>
    </xf>
    <xf numFmtId="184" fontId="22" fillId="4" borderId="1" xfId="49" applyNumberFormat="1" applyFont="1" applyFill="1" applyBorder="1" applyAlignment="1">
      <alignment horizontal="center" vertical="center"/>
    </xf>
    <xf numFmtId="0" fontId="0" fillId="4" borderId="1" xfId="0" applyFill="1" applyBorder="1" applyAlignment="1">
      <alignment horizontal="center" vertical="center" wrapText="1"/>
    </xf>
    <xf numFmtId="0" fontId="0" fillId="0" borderId="0" xfId="0" applyAlignment="1">
      <alignment horizontal="center" vertical="center"/>
    </xf>
    <xf numFmtId="0" fontId="0" fillId="4" borderId="1" xfId="0" applyFont="1" applyFill="1" applyBorder="1" applyAlignment="1">
      <alignment horizontal="center" vertical="center" wrapText="1"/>
    </xf>
    <xf numFmtId="184" fontId="7" fillId="5" borderId="1" xfId="49" applyNumberFormat="1" applyFont="1" applyFill="1" applyBorder="1" applyAlignment="1">
      <alignment horizontal="center" vertical="center"/>
    </xf>
    <xf numFmtId="184" fontId="22" fillId="0" borderId="1" xfId="49" applyNumberFormat="1" applyFont="1" applyFill="1" applyBorder="1" applyAlignment="1">
      <alignment horizontal="center" vertical="center"/>
    </xf>
    <xf numFmtId="0" fontId="0" fillId="0" borderId="0" xfId="0" applyFill="1" applyProtection="1">
      <alignment vertical="center"/>
      <protection locked="0"/>
    </xf>
    <xf numFmtId="0" fontId="0" fillId="0" borderId="0" xfId="0" applyFill="1" applyAlignment="1" applyProtection="1">
      <alignment horizontal="center" vertical="center"/>
      <protection locked="0"/>
    </xf>
    <xf numFmtId="0" fontId="25" fillId="0" borderId="0" xfId="0" applyFont="1" applyFill="1" applyAlignment="1" applyProtection="1">
      <alignment horizontal="center" vertical="center"/>
      <protection locked="0"/>
    </xf>
    <xf numFmtId="0" fontId="2" fillId="6" borderId="0" xfId="0" applyFont="1" applyFill="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0" fillId="0" borderId="0" xfId="0" applyFill="1" applyProtection="1">
      <alignment vertical="center"/>
    </xf>
    <xf numFmtId="176" fontId="26" fillId="0" borderId="0" xfId="0" applyNumberFormat="1" applyFont="1" applyFill="1" applyAlignment="1" applyProtection="1">
      <alignment vertical="center"/>
    </xf>
    <xf numFmtId="176" fontId="27" fillId="0" borderId="0" xfId="0" applyNumberFormat="1" applyFont="1" applyFill="1" applyAlignment="1" applyProtection="1">
      <alignment vertical="center"/>
      <protection locked="0"/>
    </xf>
    <xf numFmtId="0" fontId="28" fillId="0" borderId="0" xfId="0" applyFont="1" applyFill="1" applyAlignment="1" applyProtection="1">
      <alignment vertical="center" wrapText="1"/>
      <protection locked="0"/>
    </xf>
    <xf numFmtId="176" fontId="27" fillId="0" borderId="0" xfId="0" applyNumberFormat="1" applyFont="1" applyFill="1" applyBorder="1" applyAlignment="1" applyProtection="1">
      <alignment vertical="center"/>
      <protection locked="0"/>
    </xf>
    <xf numFmtId="176" fontId="27" fillId="0" borderId="0" xfId="0" applyNumberFormat="1" applyFont="1" applyFill="1" applyAlignment="1" applyProtection="1">
      <alignment vertical="center" wrapText="1"/>
      <protection locked="0"/>
    </xf>
    <xf numFmtId="0" fontId="29" fillId="0" borderId="0" xfId="0" applyFont="1" applyFill="1" applyAlignment="1" applyProtection="1">
      <alignment vertical="center" wrapText="1"/>
      <protection locked="0"/>
    </xf>
    <xf numFmtId="0" fontId="1" fillId="0" borderId="0" xfId="0" applyFont="1" applyFill="1" applyAlignment="1" applyProtection="1">
      <alignment horizontal="left" vertical="top"/>
      <protection locked="0"/>
    </xf>
    <xf numFmtId="176" fontId="3" fillId="0" borderId="1" xfId="0" applyNumberFormat="1" applyFont="1" applyFill="1" applyBorder="1" applyAlignment="1" applyProtection="1">
      <alignment horizontal="center" vertical="top" wrapText="1" shrinkToFit="1"/>
    </xf>
    <xf numFmtId="0" fontId="3" fillId="0" borderId="1" xfId="0" applyFont="1" applyFill="1" applyBorder="1" applyAlignment="1" applyProtection="1">
      <alignment horizontal="center" vertical="top" wrapText="1" shrinkToFit="1"/>
      <protection locked="0"/>
    </xf>
    <xf numFmtId="0" fontId="4" fillId="0" borderId="1" xfId="0" applyFont="1" applyFill="1" applyBorder="1" applyAlignment="1" applyProtection="1">
      <alignment horizontal="center" vertical="top" wrapText="1" shrinkToFit="1"/>
      <protection locked="0"/>
    </xf>
    <xf numFmtId="49" fontId="30" fillId="0" borderId="1" xfId="0" applyNumberFormat="1" applyFont="1" applyFill="1" applyBorder="1" applyAlignment="1" applyProtection="1">
      <alignment horizontal="center" vertical="center" wrapText="1"/>
      <protection locked="0"/>
    </xf>
    <xf numFmtId="0" fontId="31" fillId="0" borderId="1" xfId="0" applyFont="1" applyFill="1" applyBorder="1" applyAlignment="1" applyProtection="1">
      <alignment horizontal="center" vertical="center" wrapText="1"/>
      <protection locked="0"/>
    </xf>
    <xf numFmtId="176" fontId="32" fillId="0" borderId="1" xfId="0" applyNumberFormat="1" applyFont="1" applyFill="1" applyBorder="1" applyAlignment="1" applyProtection="1">
      <alignment horizontal="center" vertical="center" wrapText="1" shrinkToFit="1"/>
    </xf>
    <xf numFmtId="0" fontId="32" fillId="0" borderId="1" xfId="0" applyFont="1" applyFill="1" applyBorder="1" applyAlignment="1" applyProtection="1">
      <alignment horizontal="center" vertical="center" wrapText="1"/>
      <protection locked="0"/>
    </xf>
    <xf numFmtId="0" fontId="32" fillId="0" borderId="1" xfId="0" applyFont="1" applyFill="1" applyBorder="1" applyAlignment="1" applyProtection="1">
      <alignment horizontal="center" vertical="center" wrapText="1" shrinkToFit="1"/>
      <protection locked="0"/>
    </xf>
    <xf numFmtId="0" fontId="32" fillId="0" borderId="1" xfId="0" applyFont="1" applyFill="1" applyBorder="1" applyAlignment="1" applyProtection="1">
      <alignment horizontal="center" vertical="center"/>
      <protection locked="0"/>
    </xf>
    <xf numFmtId="49" fontId="33" fillId="0" borderId="1" xfId="0" applyNumberFormat="1" applyFont="1" applyFill="1" applyBorder="1" applyAlignment="1" applyProtection="1">
      <alignment horizontal="center" vertical="center" wrapText="1"/>
      <protection locked="0"/>
    </xf>
    <xf numFmtId="0" fontId="32" fillId="6" borderId="1" xfId="0" applyFont="1" applyFill="1" applyBorder="1" applyAlignment="1" applyProtection="1">
      <alignment horizontal="center" vertical="center" wrapText="1" shrinkToFit="1"/>
      <protection locked="0"/>
    </xf>
    <xf numFmtId="176" fontId="7" fillId="6" borderId="1" xfId="0" applyNumberFormat="1" applyFont="1" applyFill="1" applyBorder="1" applyAlignment="1" applyProtection="1">
      <alignment horizontal="center" vertical="center" wrapText="1" shrinkToFit="1"/>
    </xf>
    <xf numFmtId="0" fontId="7" fillId="6" borderId="1" xfId="0" applyFont="1" applyFill="1" applyBorder="1" applyAlignment="1" applyProtection="1">
      <alignment horizontal="center" vertical="center" wrapText="1"/>
      <protection locked="0"/>
    </xf>
    <xf numFmtId="0" fontId="7" fillId="6" borderId="1" xfId="0" applyFont="1" applyFill="1" applyBorder="1" applyAlignment="1" applyProtection="1">
      <alignment horizontal="center" vertical="center" wrapText="1" shrinkToFit="1"/>
      <protection locked="0"/>
    </xf>
    <xf numFmtId="0" fontId="7" fillId="6" borderId="1" xfId="0" applyFont="1" applyFill="1" applyBorder="1" applyAlignment="1" applyProtection="1">
      <alignment horizontal="center" vertical="center"/>
      <protection locked="0"/>
    </xf>
    <xf numFmtId="49" fontId="8" fillId="6" borderId="1" xfId="0" applyNumberFormat="1"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177" fontId="34" fillId="6" borderId="1" xfId="0" applyNumberFormat="1" applyFont="1" applyFill="1" applyBorder="1" applyAlignment="1" applyProtection="1">
      <alignment horizontal="center" vertical="center" wrapText="1" shrinkToFit="1"/>
    </xf>
    <xf numFmtId="0" fontId="35" fillId="6" borderId="1" xfId="0" applyFont="1" applyFill="1" applyBorder="1" applyAlignment="1" applyProtection="1">
      <alignment horizontal="center" vertical="center" wrapText="1"/>
      <protection locked="0"/>
    </xf>
    <xf numFmtId="0" fontId="35" fillId="7" borderId="1" xfId="0" applyFont="1" applyFill="1" applyBorder="1" applyAlignment="1" applyProtection="1">
      <alignment horizontal="center" vertical="center" wrapText="1"/>
      <protection locked="0"/>
    </xf>
    <xf numFmtId="0" fontId="0" fillId="0" borderId="1" xfId="0" applyFill="1" applyBorder="1" applyAlignment="1" applyProtection="1">
      <alignment horizontal="center" vertical="center"/>
    </xf>
    <xf numFmtId="0" fontId="0" fillId="0" borderId="1" xfId="0" applyFill="1" applyBorder="1" applyAlignment="1" applyProtection="1">
      <alignment horizontal="center" vertical="center"/>
      <protection locked="0"/>
    </xf>
    <xf numFmtId="0" fontId="1" fillId="0" borderId="0" xfId="0" applyFont="1" applyFill="1" applyAlignment="1" applyProtection="1">
      <alignment vertical="center"/>
      <protection locked="0"/>
    </xf>
    <xf numFmtId="0" fontId="28" fillId="0" borderId="0" xfId="0" applyFont="1" applyFill="1" applyAlignment="1" applyProtection="1">
      <alignment vertical="center"/>
      <protection locked="0"/>
    </xf>
    <xf numFmtId="178" fontId="28" fillId="0" borderId="0" xfId="0" applyNumberFormat="1" applyFont="1" applyFill="1" applyAlignment="1" applyProtection="1">
      <alignment vertical="center" wrapText="1"/>
      <protection locked="0"/>
    </xf>
    <xf numFmtId="0" fontId="9" fillId="0" borderId="1" xfId="0" applyFont="1" applyFill="1" applyBorder="1" applyAlignment="1" applyProtection="1">
      <alignment horizontal="center" vertical="top" wrapText="1"/>
      <protection locked="0"/>
    </xf>
    <xf numFmtId="177" fontId="10" fillId="0" borderId="1" xfId="0" applyNumberFormat="1" applyFont="1" applyFill="1" applyBorder="1" applyAlignment="1" applyProtection="1">
      <alignment horizontal="center" vertical="top" wrapText="1" shrinkToFit="1"/>
      <protection locked="0"/>
    </xf>
    <xf numFmtId="178" fontId="3" fillId="0" borderId="1" xfId="0" applyNumberFormat="1" applyFont="1" applyFill="1" applyBorder="1" applyAlignment="1" applyProtection="1">
      <alignment horizontal="center" vertical="top" wrapText="1" shrinkToFit="1"/>
      <protection locked="0"/>
    </xf>
    <xf numFmtId="179" fontId="30" fillId="0" borderId="1" xfId="0" applyNumberFormat="1" applyFont="1" applyFill="1" applyBorder="1" applyAlignment="1" applyProtection="1">
      <alignment horizontal="center" vertical="center"/>
      <protection locked="0"/>
    </xf>
    <xf numFmtId="177" fontId="31" fillId="0" borderId="1" xfId="0" applyNumberFormat="1" applyFont="1" applyFill="1" applyBorder="1" applyAlignment="1" applyProtection="1">
      <alignment horizontal="center" vertical="center" wrapText="1" shrinkToFit="1"/>
      <protection locked="0"/>
    </xf>
    <xf numFmtId="178" fontId="31" fillId="0" borderId="1" xfId="0" applyNumberFormat="1" applyFont="1" applyFill="1" applyBorder="1" applyAlignment="1" applyProtection="1">
      <alignment horizontal="center" vertical="center" wrapText="1"/>
      <protection locked="0"/>
    </xf>
    <xf numFmtId="179" fontId="33" fillId="0" borderId="1" xfId="0" applyNumberFormat="1" applyFont="1" applyFill="1" applyBorder="1" applyAlignment="1" applyProtection="1">
      <alignment horizontal="center" vertical="center"/>
      <protection locked="0"/>
    </xf>
    <xf numFmtId="177" fontId="32" fillId="0" borderId="1" xfId="0" applyNumberFormat="1" applyFont="1" applyFill="1" applyBorder="1" applyAlignment="1" applyProtection="1">
      <alignment horizontal="center" vertical="center" wrapText="1" shrinkToFit="1"/>
      <protection locked="0"/>
    </xf>
    <xf numFmtId="178" fontId="32" fillId="0" borderId="1" xfId="0" applyNumberFormat="1" applyFont="1" applyFill="1" applyBorder="1" applyAlignment="1" applyProtection="1">
      <alignment horizontal="center" vertical="center" wrapText="1"/>
      <protection locked="0"/>
    </xf>
    <xf numFmtId="177" fontId="36" fillId="6" borderId="1" xfId="0" applyNumberFormat="1" applyFont="1" applyFill="1" applyBorder="1" applyAlignment="1" applyProtection="1">
      <alignment horizontal="center" vertical="center" wrapText="1" shrinkToFit="1"/>
      <protection locked="0"/>
    </xf>
    <xf numFmtId="177" fontId="36" fillId="6" borderId="1" xfId="0" applyNumberFormat="1" applyFont="1" applyFill="1" applyBorder="1" applyAlignment="1" applyProtection="1">
      <alignment horizontal="center" vertical="center" wrapText="1" shrinkToFit="1"/>
    </xf>
    <xf numFmtId="179" fontId="8" fillId="7" borderId="1" xfId="0" applyNumberFormat="1" applyFont="1" applyFill="1" applyBorder="1" applyAlignment="1" applyProtection="1">
      <alignment horizontal="center" vertical="center"/>
      <protection locked="0"/>
    </xf>
    <xf numFmtId="177" fontId="7" fillId="6" borderId="1" xfId="0" applyNumberFormat="1" applyFont="1" applyFill="1" applyBorder="1" applyAlignment="1" applyProtection="1">
      <alignment horizontal="center" vertical="center" wrapText="1" shrinkToFit="1"/>
      <protection locked="0"/>
    </xf>
    <xf numFmtId="178" fontId="7" fillId="6" borderId="1" xfId="0" applyNumberFormat="1" applyFont="1" applyFill="1" applyBorder="1" applyAlignment="1" applyProtection="1">
      <alignment horizontal="center" vertical="center" wrapText="1"/>
      <protection locked="0"/>
    </xf>
    <xf numFmtId="0" fontId="37" fillId="0" borderId="0" xfId="0" applyNumberFormat="1" applyFont="1" applyFill="1" applyAlignment="1" applyProtection="1">
      <alignment vertical="center" wrapText="1"/>
      <protection locked="0"/>
    </xf>
    <xf numFmtId="0" fontId="9" fillId="0" borderId="1" xfId="0" applyNumberFormat="1" applyFont="1" applyFill="1" applyBorder="1" applyAlignment="1" applyProtection="1">
      <alignment horizontal="center" vertical="top" wrapText="1" shrinkToFit="1"/>
      <protection locked="0"/>
    </xf>
    <xf numFmtId="0" fontId="31" fillId="0" borderId="1" xfId="0" applyNumberFormat="1" applyFont="1" applyFill="1" applyBorder="1" applyAlignment="1" applyProtection="1">
      <alignment horizontal="center" vertical="center" wrapText="1"/>
      <protection locked="0"/>
    </xf>
    <xf numFmtId="178" fontId="38" fillId="0" borderId="2" xfId="0" applyNumberFormat="1" applyFont="1" applyFill="1" applyBorder="1" applyAlignment="1" applyProtection="1">
      <alignment horizontal="center" vertical="center" wrapText="1"/>
      <protection locked="0"/>
    </xf>
    <xf numFmtId="178" fontId="38" fillId="0" borderId="1" xfId="0" applyNumberFormat="1" applyFont="1" applyFill="1" applyBorder="1" applyAlignment="1" applyProtection="1">
      <alignment horizontal="center" vertical="center" wrapText="1"/>
      <protection locked="0"/>
    </xf>
    <xf numFmtId="0" fontId="32" fillId="0" borderId="1" xfId="0" applyNumberFormat="1" applyFont="1" applyFill="1" applyBorder="1" applyAlignment="1" applyProtection="1">
      <alignment horizontal="center" vertical="center" wrapText="1"/>
      <protection locked="0"/>
    </xf>
    <xf numFmtId="181" fontId="25" fillId="0" borderId="1" xfId="0" applyNumberFormat="1" applyFont="1" applyFill="1" applyBorder="1" applyAlignment="1" applyProtection="1">
      <alignment horizontal="center" vertical="center" wrapText="1" shrinkToFit="1"/>
      <protection locked="0"/>
    </xf>
    <xf numFmtId="178" fontId="25" fillId="0" borderId="1" xfId="0" applyNumberFormat="1" applyFont="1" applyFill="1" applyBorder="1" applyAlignment="1" applyProtection="1">
      <alignment horizontal="center" vertical="center" wrapText="1" shrinkToFit="1"/>
      <protection locked="0"/>
    </xf>
    <xf numFmtId="178" fontId="25" fillId="0" borderId="2" xfId="0" applyNumberFormat="1" applyFont="1" applyFill="1" applyBorder="1" applyAlignment="1" applyProtection="1">
      <alignment horizontal="center" vertical="center" wrapText="1" shrinkToFit="1"/>
      <protection locked="0"/>
    </xf>
    <xf numFmtId="178" fontId="32" fillId="0" borderId="3" xfId="0" applyNumberFormat="1" applyFont="1" applyFill="1" applyBorder="1" applyAlignment="1" applyProtection="1">
      <alignment horizontal="center" vertical="center" wrapText="1"/>
      <protection locked="0"/>
    </xf>
    <xf numFmtId="178" fontId="36" fillId="0" borderId="1" xfId="0" applyNumberFormat="1" applyFont="1" applyFill="1" applyBorder="1" applyAlignment="1" applyProtection="1">
      <alignment horizontal="center" vertical="center" wrapText="1"/>
      <protection locked="0"/>
    </xf>
    <xf numFmtId="178" fontId="39" fillId="0" borderId="1" xfId="0" applyNumberFormat="1" applyFont="1" applyFill="1" applyBorder="1" applyAlignment="1" applyProtection="1">
      <alignment horizontal="center" vertical="center" wrapText="1"/>
      <protection locked="0"/>
    </xf>
    <xf numFmtId="0" fontId="32" fillId="2" borderId="1" xfId="0" applyNumberFormat="1" applyFont="1" applyFill="1" applyBorder="1" applyAlignment="1" applyProtection="1">
      <alignment horizontal="center" vertical="center" wrapText="1"/>
      <protection locked="0"/>
    </xf>
    <xf numFmtId="178" fontId="2" fillId="6" borderId="2" xfId="0" applyNumberFormat="1" applyFont="1" applyFill="1" applyBorder="1" applyAlignment="1" applyProtection="1">
      <alignment horizontal="center" vertical="center" wrapText="1" shrinkToFit="1"/>
      <protection locked="0"/>
    </xf>
    <xf numFmtId="178" fontId="35" fillId="6" borderId="1" xfId="0" applyNumberFormat="1" applyFont="1" applyFill="1" applyBorder="1" applyAlignment="1" applyProtection="1">
      <alignment horizontal="center" vertical="center" wrapText="1"/>
      <protection locked="0"/>
    </xf>
    <xf numFmtId="0" fontId="7" fillId="6" borderId="1" xfId="0" applyNumberFormat="1" applyFont="1" applyFill="1" applyBorder="1" applyAlignment="1" applyProtection="1">
      <alignment horizontal="center" vertical="center" wrapText="1"/>
      <protection locked="0"/>
    </xf>
    <xf numFmtId="181" fontId="2" fillId="7" borderId="1" xfId="0" applyNumberFormat="1" applyFont="1" applyFill="1" applyBorder="1" applyAlignment="1" applyProtection="1">
      <alignment horizontal="center" vertical="center" wrapText="1" shrinkToFit="1"/>
      <protection locked="0"/>
    </xf>
    <xf numFmtId="178" fontId="2" fillId="0" borderId="2" xfId="0" applyNumberFormat="1" applyFont="1" applyFill="1" applyBorder="1" applyAlignment="1" applyProtection="1">
      <alignment horizontal="center" vertical="center" wrapText="1" shrinkToFit="1"/>
      <protection locked="0"/>
    </xf>
    <xf numFmtId="178" fontId="35" fillId="0" borderId="1" xfId="0" applyNumberFormat="1" applyFont="1" applyFill="1" applyBorder="1" applyAlignment="1" applyProtection="1">
      <alignment horizontal="center" vertical="center" wrapText="1"/>
      <protection locked="0"/>
    </xf>
    <xf numFmtId="178" fontId="40" fillId="0" borderId="2" xfId="0" applyNumberFormat="1" applyFont="1" applyFill="1" applyBorder="1" applyAlignment="1" applyProtection="1">
      <alignment horizontal="center" vertical="center" wrapText="1"/>
      <protection locked="0"/>
    </xf>
    <xf numFmtId="178" fontId="40" fillId="0" borderId="1" xfId="0" applyNumberFormat="1" applyFont="1"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shrinkToFit="1"/>
      <protection locked="0"/>
    </xf>
    <xf numFmtId="178" fontId="41" fillId="0" borderId="1" xfId="0" applyNumberFormat="1" applyFont="1" applyFill="1" applyBorder="1" applyAlignment="1" applyProtection="1">
      <alignment horizontal="center" vertical="center" wrapText="1"/>
      <protection locked="0"/>
    </xf>
    <xf numFmtId="0" fontId="24" fillId="0" borderId="3" xfId="0" applyFont="1" applyFill="1" applyBorder="1" applyAlignment="1" applyProtection="1">
      <alignment horizontal="center" vertical="center"/>
      <protection locked="0"/>
    </xf>
    <xf numFmtId="0" fontId="24" fillId="0" borderId="5" xfId="0" applyFont="1" applyFill="1" applyBorder="1" applyAlignment="1" applyProtection="1">
      <alignment horizontal="center" vertical="center"/>
      <protection locked="0"/>
    </xf>
    <xf numFmtId="0" fontId="24" fillId="0" borderId="4" xfId="0" applyFont="1" applyFill="1" applyBorder="1" applyAlignment="1" applyProtection="1">
      <alignment horizontal="center" vertical="center"/>
      <protection locked="0"/>
    </xf>
    <xf numFmtId="177" fontId="13" fillId="0" borderId="1" xfId="0" applyNumberFormat="1" applyFont="1" applyFill="1" applyBorder="1" applyAlignment="1" applyProtection="1">
      <alignment horizontal="center" vertical="top" wrapText="1" shrinkToFit="1"/>
      <protection locked="0"/>
    </xf>
    <xf numFmtId="0" fontId="25" fillId="0" borderId="1" xfId="0" applyFont="1" applyFill="1" applyBorder="1" applyAlignment="1" applyProtection="1">
      <alignment horizontal="center" vertical="center"/>
      <protection locked="0"/>
    </xf>
    <xf numFmtId="0" fontId="2" fillId="7" borderId="1" xfId="0" applyFont="1" applyFill="1" applyBorder="1" applyAlignment="1" applyProtection="1">
      <alignment horizontal="center" vertical="center"/>
      <protection locked="0"/>
    </xf>
    <xf numFmtId="0" fontId="2" fillId="6" borderId="1" xfId="0" applyFont="1" applyFill="1" applyBorder="1" applyAlignment="1" applyProtection="1">
      <alignment horizontal="center" vertical="center"/>
      <protection locked="0"/>
    </xf>
    <xf numFmtId="0" fontId="42" fillId="0" borderId="5"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24" fillId="0" borderId="0" xfId="0" applyFont="1" applyFill="1" applyAlignment="1" applyProtection="1">
      <alignment horizontal="center" vertical="center"/>
      <protection locked="0"/>
    </xf>
    <xf numFmtId="49" fontId="7" fillId="0" borderId="2" xfId="0" applyNumberFormat="1" applyFont="1" applyFill="1" applyBorder="1" applyAlignment="1" applyProtection="1">
      <alignment horizontal="center" vertical="center"/>
      <protection locked="0"/>
    </xf>
    <xf numFmtId="10" fontId="0" fillId="0" borderId="1" xfId="3" applyNumberFormat="1" applyFill="1" applyBorder="1" applyAlignment="1" applyProtection="1">
      <alignment horizontal="center" vertical="center"/>
      <protection locked="0"/>
    </xf>
    <xf numFmtId="180" fontId="0" fillId="0" borderId="1" xfId="0" applyNumberFormat="1" applyFill="1" applyBorder="1" applyAlignment="1" applyProtection="1">
      <alignment horizontal="center" vertical="center"/>
      <protection locked="0"/>
    </xf>
    <xf numFmtId="180" fontId="25" fillId="2" borderId="1" xfId="0" applyNumberFormat="1" applyFont="1" applyFill="1" applyBorder="1" applyAlignment="1" applyProtection="1">
      <alignment horizontal="center" vertical="center"/>
      <protection locked="0"/>
    </xf>
    <xf numFmtId="180" fontId="25" fillId="0" borderId="1" xfId="0" applyNumberFormat="1" applyFont="1" applyFill="1" applyBorder="1" applyAlignment="1" applyProtection="1">
      <alignment horizontal="center" vertical="center"/>
      <protection locked="0"/>
    </xf>
    <xf numFmtId="180" fontId="2" fillId="6" borderId="1" xfId="0" applyNumberFormat="1"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protection locked="0"/>
    </xf>
    <xf numFmtId="180" fontId="2" fillId="2" borderId="1" xfId="0" applyNumberFormat="1" applyFont="1" applyFill="1" applyBorder="1" applyAlignment="1" applyProtection="1">
      <alignment horizontal="center" vertical="center"/>
      <protection locked="0"/>
    </xf>
    <xf numFmtId="179" fontId="0" fillId="0" borderId="1" xfId="0" applyNumberFormat="1" applyFill="1" applyBorder="1" applyAlignment="1" applyProtection="1">
      <alignment horizontal="center" vertical="center"/>
      <protection locked="0"/>
    </xf>
    <xf numFmtId="179" fontId="0" fillId="0" borderId="0" xfId="0" applyNumberFormat="1" applyFill="1" applyAlignment="1" applyProtection="1">
      <alignment horizontal="center" vertical="center"/>
      <protection locked="0"/>
    </xf>
    <xf numFmtId="180" fontId="0" fillId="0" borderId="1" xfId="0" applyNumberFormat="1" applyFont="1" applyFill="1" applyBorder="1" applyAlignment="1" applyProtection="1">
      <alignment horizontal="center" vertical="center"/>
      <protection locked="0"/>
    </xf>
    <xf numFmtId="0" fontId="43" fillId="0" borderId="0" xfId="0" applyFont="1" applyFill="1" applyAlignment="1" applyProtection="1">
      <alignment horizontal="center" vertical="center"/>
      <protection locked="0"/>
    </xf>
    <xf numFmtId="0" fontId="14" fillId="0" borderId="0" xfId="0" applyFont="1" applyFill="1" applyAlignment="1" applyProtection="1">
      <alignment horizontal="center" vertical="center"/>
      <protection locked="0"/>
    </xf>
    <xf numFmtId="176" fontId="41" fillId="0" borderId="1" xfId="0" applyNumberFormat="1" applyFont="1" applyFill="1" applyBorder="1" applyAlignment="1" applyProtection="1">
      <alignment horizontal="center" vertical="center" wrapText="1" shrinkToFit="1"/>
    </xf>
    <xf numFmtId="0" fontId="41" fillId="0" borderId="1" xfId="0" applyFont="1" applyFill="1" applyBorder="1" applyAlignment="1" applyProtection="1">
      <alignment horizontal="center" vertical="center" wrapText="1"/>
      <protection locked="0"/>
    </xf>
    <xf numFmtId="0" fontId="41" fillId="0" borderId="1" xfId="0" applyFont="1" applyFill="1" applyBorder="1" applyAlignment="1" applyProtection="1">
      <alignment horizontal="center" vertical="center" wrapText="1" shrinkToFit="1"/>
      <protection locked="0"/>
    </xf>
    <xf numFmtId="0" fontId="41" fillId="0" borderId="1" xfId="0" applyFont="1" applyFill="1" applyBorder="1" applyAlignment="1" applyProtection="1">
      <alignment horizontal="center" vertical="center"/>
      <protection locked="0"/>
    </xf>
    <xf numFmtId="49" fontId="44" fillId="0" borderId="1" xfId="0" applyNumberFormat="1" applyFont="1" applyFill="1" applyBorder="1" applyAlignment="1" applyProtection="1">
      <alignment horizontal="center" vertical="center" wrapText="1"/>
      <protection locked="0"/>
    </xf>
    <xf numFmtId="176" fontId="45" fillId="0" borderId="1" xfId="0" applyNumberFormat="1" applyFont="1" applyFill="1" applyBorder="1" applyAlignment="1" applyProtection="1">
      <alignment horizontal="center" vertical="center" wrapText="1" shrinkToFit="1"/>
    </xf>
    <xf numFmtId="0" fontId="45" fillId="0" borderId="1" xfId="0" applyFont="1" applyFill="1" applyBorder="1" applyAlignment="1" applyProtection="1">
      <alignment horizontal="center" vertical="center" wrapText="1"/>
      <protection locked="0"/>
    </xf>
    <xf numFmtId="0" fontId="45" fillId="0" borderId="1" xfId="0" applyFont="1" applyFill="1" applyBorder="1" applyAlignment="1" applyProtection="1">
      <alignment horizontal="center" vertical="center" wrapText="1" shrinkToFit="1"/>
      <protection locked="0"/>
    </xf>
    <xf numFmtId="0" fontId="45" fillId="0" borderId="1" xfId="0" applyFont="1" applyFill="1" applyBorder="1" applyAlignment="1" applyProtection="1">
      <alignment horizontal="center" vertical="center"/>
      <protection locked="0"/>
    </xf>
    <xf numFmtId="49" fontId="46" fillId="0" borderId="1" xfId="0" applyNumberFormat="1" applyFont="1" applyFill="1" applyBorder="1" applyAlignment="1" applyProtection="1">
      <alignment horizontal="center" vertical="center" wrapText="1"/>
      <protection locked="0"/>
    </xf>
    <xf numFmtId="0" fontId="41" fillId="0" borderId="1" xfId="0" applyNumberFormat="1" applyFont="1" applyFill="1" applyBorder="1" applyAlignment="1" applyProtection="1">
      <alignment horizontal="center" vertical="center" wrapText="1" shrinkToFit="1"/>
      <protection locked="0"/>
    </xf>
    <xf numFmtId="179" fontId="44" fillId="0" borderId="1" xfId="0" applyNumberFormat="1" applyFont="1" applyFill="1" applyBorder="1" applyAlignment="1" applyProtection="1">
      <alignment horizontal="center" vertical="center"/>
      <protection locked="0"/>
    </xf>
    <xf numFmtId="177" fontId="41" fillId="0" borderId="1" xfId="0" applyNumberFormat="1" applyFont="1" applyFill="1" applyBorder="1" applyAlignment="1" applyProtection="1">
      <alignment horizontal="center" vertical="center" wrapText="1" shrinkToFit="1"/>
      <protection locked="0"/>
    </xf>
    <xf numFmtId="178" fontId="47" fillId="0" borderId="1" xfId="0" applyNumberFormat="1" applyFont="1" applyFill="1" applyBorder="1" applyAlignment="1" applyProtection="1">
      <alignment horizontal="center" vertical="center" wrapText="1"/>
      <protection locked="0"/>
    </xf>
    <xf numFmtId="179" fontId="46" fillId="0" borderId="1" xfId="0" applyNumberFormat="1" applyFont="1" applyFill="1" applyBorder="1" applyAlignment="1" applyProtection="1">
      <alignment horizontal="center" vertical="center"/>
      <protection locked="0"/>
    </xf>
    <xf numFmtId="177" fontId="45" fillId="0" borderId="1" xfId="0" applyNumberFormat="1" applyFont="1" applyFill="1" applyBorder="1" applyAlignment="1" applyProtection="1">
      <alignment horizontal="center" vertical="center" wrapText="1" shrinkToFit="1"/>
      <protection locked="0"/>
    </xf>
    <xf numFmtId="178" fontId="45" fillId="0" borderId="1" xfId="0" applyNumberFormat="1" applyFont="1" applyFill="1" applyBorder="1" applyAlignment="1" applyProtection="1">
      <alignment horizontal="center" vertical="center" wrapText="1"/>
      <protection locked="0"/>
    </xf>
    <xf numFmtId="178" fontId="45" fillId="0" borderId="15" xfId="0" applyNumberFormat="1" applyFont="1" applyFill="1" applyBorder="1" applyAlignment="1" applyProtection="1">
      <alignment horizontal="center" vertical="center" wrapText="1"/>
      <protection locked="0"/>
    </xf>
    <xf numFmtId="178" fontId="41" fillId="0" borderId="15" xfId="0" applyNumberFormat="1" applyFont="1" applyFill="1" applyBorder="1" applyAlignment="1" applyProtection="1">
      <alignment horizontal="center" vertical="center" wrapText="1"/>
      <protection locked="0"/>
    </xf>
    <xf numFmtId="178" fontId="7" fillId="0" borderId="15" xfId="0" applyNumberFormat="1" applyFont="1" applyFill="1" applyBorder="1" applyAlignment="1" applyProtection="1">
      <alignment horizontal="center" vertical="center" wrapText="1"/>
      <protection locked="0"/>
    </xf>
    <xf numFmtId="177" fontId="45" fillId="2" borderId="1" xfId="0" applyNumberFormat="1" applyFont="1" applyFill="1" applyBorder="1" applyAlignment="1" applyProtection="1">
      <alignment horizontal="center" vertical="center" wrapText="1" shrinkToFit="1"/>
      <protection locked="0"/>
    </xf>
    <xf numFmtId="178" fontId="48" fillId="0" borderId="1" xfId="0" applyNumberFormat="1" applyFont="1" applyFill="1" applyBorder="1" applyAlignment="1" applyProtection="1">
      <alignment horizontal="center" vertical="center" wrapText="1"/>
      <protection locked="0"/>
    </xf>
    <xf numFmtId="180" fontId="2" fillId="0" borderId="1" xfId="0" applyNumberFormat="1" applyFont="1" applyFill="1" applyBorder="1" applyAlignment="1" applyProtection="1">
      <alignment horizontal="center" vertical="center" wrapText="1" shrinkToFit="1"/>
      <protection locked="0"/>
    </xf>
    <xf numFmtId="0" fontId="41" fillId="0" borderId="1" xfId="0" applyNumberFormat="1" applyFont="1" applyFill="1" applyBorder="1" applyAlignment="1" applyProtection="1">
      <alignment horizontal="center" vertical="center" wrapText="1"/>
      <protection locked="0"/>
    </xf>
    <xf numFmtId="181" fontId="43" fillId="0" borderId="1" xfId="0" applyNumberFormat="1" applyFont="1" applyFill="1" applyBorder="1" applyAlignment="1" applyProtection="1">
      <alignment horizontal="center" vertical="center" wrapText="1" shrinkToFit="1"/>
      <protection locked="0"/>
    </xf>
    <xf numFmtId="0" fontId="45" fillId="0" borderId="1" xfId="0" applyNumberFormat="1" applyFont="1" applyFill="1" applyBorder="1" applyAlignment="1" applyProtection="1">
      <alignment horizontal="center" vertical="center" wrapText="1"/>
      <protection locked="0"/>
    </xf>
    <xf numFmtId="178" fontId="49" fillId="0" borderId="1" xfId="0" applyNumberFormat="1" applyFont="1" applyFill="1" applyBorder="1" applyAlignment="1" applyProtection="1">
      <alignment horizontal="center" vertical="center" wrapText="1"/>
      <protection locked="0"/>
    </xf>
    <xf numFmtId="178" fontId="50" fillId="0" borderId="1" xfId="0" applyNumberFormat="1" applyFont="1" applyFill="1" applyBorder="1" applyAlignment="1" applyProtection="1">
      <alignment horizontal="center" vertical="center" wrapText="1"/>
      <protection locked="0"/>
    </xf>
    <xf numFmtId="178" fontId="49" fillId="0" borderId="3" xfId="0" applyNumberFormat="1" applyFont="1" applyFill="1" applyBorder="1" applyAlignment="1" applyProtection="1">
      <alignment horizontal="center" vertical="center" wrapText="1"/>
      <protection locked="0"/>
    </xf>
    <xf numFmtId="180" fontId="43" fillId="0" borderId="1" xfId="0" applyNumberFormat="1" applyFont="1" applyFill="1" applyBorder="1" applyAlignment="1" applyProtection="1">
      <alignment horizontal="center" vertical="center" wrapText="1" shrinkToFit="1"/>
      <protection locked="0"/>
    </xf>
    <xf numFmtId="180" fontId="14" fillId="0" borderId="1" xfId="0" applyNumberFormat="1" applyFont="1" applyFill="1" applyBorder="1" applyAlignment="1" applyProtection="1">
      <alignment horizontal="center" vertical="center" wrapText="1" shrinkToFit="1"/>
      <protection locked="0"/>
    </xf>
    <xf numFmtId="0" fontId="43" fillId="0" borderId="1" xfId="0"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protection locked="0"/>
    </xf>
    <xf numFmtId="180" fontId="43" fillId="0" borderId="1" xfId="0" applyNumberFormat="1" applyFont="1" applyFill="1" applyBorder="1" applyAlignment="1" applyProtection="1">
      <alignment horizontal="center" vertical="center"/>
      <protection locked="0"/>
    </xf>
    <xf numFmtId="180" fontId="14" fillId="0" borderId="0" xfId="0" applyNumberFormat="1" applyFont="1" applyFill="1" applyAlignment="1" applyProtection="1">
      <alignment horizontal="center" vertical="center"/>
      <protection locked="0"/>
    </xf>
    <xf numFmtId="0" fontId="43" fillId="0" borderId="0" xfId="0" applyFont="1" applyFill="1" applyAlignment="1" applyProtection="1">
      <alignment horizontal="center" vertical="center" wrapText="1"/>
      <protection locked="0"/>
    </xf>
    <xf numFmtId="177" fontId="51" fillId="0" borderId="1" xfId="0" applyNumberFormat="1" applyFont="1" applyFill="1" applyBorder="1" applyAlignment="1" applyProtection="1">
      <alignment horizontal="center" vertical="center" wrapText="1" shrinkToFit="1"/>
      <protection locked="0"/>
    </xf>
    <xf numFmtId="178" fontId="51" fillId="0" borderId="1" xfId="0" applyNumberFormat="1" applyFont="1" applyFill="1" applyBorder="1" applyAlignment="1" applyProtection="1">
      <alignment horizontal="center" vertical="center" wrapText="1"/>
      <protection locked="0"/>
    </xf>
    <xf numFmtId="178" fontId="43" fillId="0" borderId="1" xfId="0" applyNumberFormat="1" applyFont="1" applyFill="1" applyBorder="1" applyAlignment="1" applyProtection="1">
      <alignment horizontal="center" vertical="center" wrapText="1" shrinkToFit="1"/>
      <protection locked="0"/>
    </xf>
    <xf numFmtId="178" fontId="52" fillId="0" borderId="1" xfId="0" applyNumberFormat="1" applyFont="1" applyFill="1" applyBorder="1" applyAlignment="1" applyProtection="1">
      <alignment horizontal="center" vertical="center" wrapText="1"/>
      <protection locked="0"/>
    </xf>
    <xf numFmtId="178" fontId="52" fillId="0" borderId="3" xfId="0" applyNumberFormat="1"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wrapText="1"/>
      <protection locked="0"/>
    </xf>
    <xf numFmtId="178" fontId="51" fillId="0" borderId="15" xfId="0" applyNumberFormat="1" applyFont="1" applyFill="1" applyBorder="1" applyAlignment="1" applyProtection="1">
      <alignment horizontal="center" vertical="center" wrapText="1"/>
      <protection locked="0"/>
    </xf>
    <xf numFmtId="178" fontId="45" fillId="0" borderId="2" xfId="0" applyNumberFormat="1" applyFont="1" applyFill="1" applyBorder="1" applyAlignment="1" applyProtection="1">
      <alignment horizontal="center" vertical="center" wrapText="1"/>
      <protection locked="0"/>
    </xf>
    <xf numFmtId="178" fontId="41" fillId="0" borderId="2"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shrinkToFit="1"/>
      <protection locked="0"/>
    </xf>
    <xf numFmtId="0" fontId="14" fillId="0" borderId="0" xfId="0" applyFont="1" applyFill="1" applyAlignment="1" applyProtection="1">
      <alignment horizontal="center" vertical="center" wrapText="1"/>
      <protection locked="0"/>
    </xf>
    <xf numFmtId="0" fontId="51" fillId="0" borderId="3" xfId="0" applyFont="1" applyFill="1" applyBorder="1" applyAlignment="1" applyProtection="1">
      <alignment horizontal="center" vertical="center" wrapText="1"/>
      <protection locked="0"/>
    </xf>
    <xf numFmtId="178" fontId="54" fillId="0" borderId="2" xfId="0" applyNumberFormat="1" applyFont="1" applyFill="1" applyBorder="1" applyAlignment="1" applyProtection="1">
      <alignment horizontal="center" vertical="center" wrapText="1"/>
      <protection locked="0"/>
    </xf>
    <xf numFmtId="178" fontId="41" fillId="0" borderId="14" xfId="0" applyNumberFormat="1" applyFont="1" applyFill="1" applyBorder="1" applyAlignment="1" applyProtection="1">
      <alignment horizontal="center" vertical="center" wrapText="1"/>
      <protection locked="0"/>
    </xf>
    <xf numFmtId="177" fontId="55" fillId="0" borderId="1" xfId="0" applyNumberFormat="1" applyFont="1" applyFill="1" applyBorder="1" applyAlignment="1" applyProtection="1">
      <alignment horizontal="center" vertical="center" wrapText="1" shrinkToFit="1"/>
      <protection locked="0"/>
    </xf>
    <xf numFmtId="178" fontId="56" fillId="0" borderId="1" xfId="0" applyNumberFormat="1" applyFont="1" applyFill="1" applyBorder="1" applyAlignment="1" applyProtection="1">
      <alignment horizontal="center" vertical="center" wrapText="1"/>
      <protection locked="0"/>
    </xf>
    <xf numFmtId="177" fontId="57" fillId="0" borderId="1" xfId="0" applyNumberFormat="1" applyFont="1" applyFill="1" applyBorder="1" applyAlignment="1" applyProtection="1">
      <alignment horizontal="center" vertical="center" wrapText="1" shrinkToFit="1"/>
      <protection locked="0"/>
    </xf>
    <xf numFmtId="178" fontId="51" fillId="0" borderId="2" xfId="0" applyNumberFormat="1" applyFont="1" applyFill="1" applyBorder="1" applyAlignment="1" applyProtection="1">
      <alignment horizontal="center" vertical="center" wrapText="1"/>
      <protection locked="0"/>
    </xf>
    <xf numFmtId="0" fontId="58" fillId="0" borderId="1" xfId="0" applyFont="1" applyFill="1" applyBorder="1" applyAlignment="1" applyProtection="1">
      <alignment horizontal="center" vertical="center" wrapText="1" shrinkToFit="1"/>
      <protection locked="0"/>
    </xf>
    <xf numFmtId="0" fontId="59" fillId="0" borderId="1" xfId="0" applyNumberFormat="1" applyFont="1" applyFill="1" applyBorder="1" applyAlignment="1" applyProtection="1">
      <alignment horizontal="center" vertical="center" wrapText="1"/>
      <protection locked="0"/>
    </xf>
    <xf numFmtId="177" fontId="7" fillId="2" borderId="1" xfId="0" applyNumberFormat="1" applyFont="1" applyFill="1" applyBorder="1" applyAlignment="1" applyProtection="1">
      <alignment horizontal="center" vertical="center" wrapText="1" shrinkToFit="1"/>
      <protection locked="0"/>
    </xf>
    <xf numFmtId="178" fontId="38" fillId="0" borderId="3" xfId="0" applyNumberFormat="1" applyFont="1" applyFill="1" applyBorder="1" applyAlignment="1" applyProtection="1">
      <alignment horizontal="center" vertical="center" wrapText="1"/>
      <protection locked="0"/>
    </xf>
    <xf numFmtId="178" fontId="41" fillId="0" borderId="3" xfId="0" applyNumberFormat="1" applyFont="1" applyFill="1" applyBorder="1" applyAlignment="1" applyProtection="1">
      <alignment horizontal="center" vertical="center" wrapText="1"/>
      <protection locked="0"/>
    </xf>
    <xf numFmtId="178" fontId="60" fillId="0" borderId="1" xfId="0" applyNumberFormat="1"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wrapText="1"/>
      <protection locked="0"/>
    </xf>
    <xf numFmtId="178" fontId="38" fillId="0" borderId="1" xfId="0" applyNumberFormat="1" applyFont="1" applyFill="1" applyBorder="1" applyAlignment="1">
      <alignment horizontal="center" vertical="center" wrapText="1"/>
    </xf>
    <xf numFmtId="178" fontId="2" fillId="0" borderId="1" xfId="0" applyNumberFormat="1" applyFont="1" applyFill="1" applyBorder="1" applyAlignment="1" applyProtection="1">
      <alignment horizontal="center" vertical="center" wrapText="1" shrinkToFit="1"/>
      <protection locked="0"/>
    </xf>
    <xf numFmtId="178" fontId="7" fillId="0" borderId="3" xfId="0" applyNumberFormat="1" applyFont="1" applyFill="1" applyBorder="1" applyAlignment="1" applyProtection="1">
      <alignment horizontal="center" vertical="center" wrapText="1"/>
      <protection locked="0"/>
    </xf>
    <xf numFmtId="178" fontId="61" fillId="0" borderId="1" xfId="0" applyNumberFormat="1" applyFont="1" applyFill="1" applyBorder="1" applyAlignment="1" applyProtection="1">
      <alignment horizontal="center" vertical="center" wrapText="1"/>
      <protection locked="0"/>
    </xf>
    <xf numFmtId="178" fontId="32" fillId="0" borderId="2" xfId="0" applyNumberFormat="1" applyFont="1" applyFill="1" applyBorder="1" applyAlignment="1" applyProtection="1">
      <alignment horizontal="center" vertical="center" wrapText="1"/>
      <protection locked="0"/>
    </xf>
    <xf numFmtId="178" fontId="32" fillId="0" borderId="15" xfId="0" applyNumberFormat="1" applyFont="1" applyFill="1" applyBorder="1" applyAlignment="1" applyProtection="1">
      <alignment horizontal="center" vertical="center" wrapText="1"/>
      <protection locked="0"/>
    </xf>
    <xf numFmtId="0" fontId="45" fillId="0" borderId="1" xfId="0" applyFont="1" applyFill="1" applyBorder="1" applyAlignment="1" applyProtection="1" quotePrefix="1">
      <alignment horizontal="center" vertical="center" wrapText="1" shrinkToFit="1"/>
      <protection locked="0"/>
    </xf>
    <xf numFmtId="0" fontId="41" fillId="0" borderId="1" xfId="0" applyFont="1" applyFill="1" applyBorder="1" applyAlignment="1" applyProtection="1" quotePrefix="1">
      <alignment horizontal="center" vertical="center" wrapText="1" shrinkToFit="1"/>
      <protection locked="0"/>
    </xf>
    <xf numFmtId="0" fontId="32" fillId="0" borderId="1" xfId="0" applyFont="1" applyFill="1" applyBorder="1" applyAlignment="1" applyProtection="1" quotePrefix="1">
      <alignment horizontal="center" vertical="center" wrapText="1" shrinkToFit="1"/>
      <protection locked="0"/>
    </xf>
    <xf numFmtId="0" fontId="41" fillId="0" borderId="1" xfId="0" applyFont="1" applyFill="1" applyBorder="1" applyAlignment="1" applyProtection="1" quotePrefix="1">
      <alignment horizontal="center" vertical="center" wrapText="1"/>
      <protection locked="0"/>
    </xf>
    <xf numFmtId="0" fontId="7" fillId="6" borderId="1" xfId="0" applyFont="1" applyFill="1" applyBorder="1" applyAlignment="1" applyProtection="1" quotePrefix="1">
      <alignment horizontal="center" vertical="center" wrapText="1"/>
      <protection locked="0"/>
    </xf>
    <xf numFmtId="0" fontId="5" fillId="0" borderId="1" xfId="0" applyFont="1" applyFill="1" applyBorder="1" applyAlignment="1" quotePrefix="1">
      <alignment horizontal="center" vertical="center" wrapText="1" shrinkToFi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 xfId="49"/>
    <cellStyle name="千位分隔 5" xfId="50"/>
    <cellStyle name="常规_MA Inventory list" xfId="51"/>
    <cellStyle name="常规 5 6" xfId="52"/>
    <cellStyle name="常规_87000-0001 MSU 5'' Talking Figure-Mike 电子报价BOM_15-11-2011" xfId="53"/>
    <cellStyle name="常规 2" xfId="54"/>
  </cellStyles>
  <dxfs count="3">
    <dxf>
      <font>
        <color rgb="FF9C0006"/>
      </font>
      <fill>
        <patternFill patternType="solid">
          <bgColor rgb="FFFFC7CE"/>
        </patternFill>
      </fill>
    </dxf>
    <dxf>
      <font>
        <color rgb="FF9C0006"/>
      </font>
      <fill>
        <patternFill patternType="solid">
          <bgColor rgb="FFFFC7CE"/>
        </patternFill>
      </fill>
    </dxf>
    <dxf>
      <fill>
        <patternFill patternType="solid">
          <bgColor rgb="FFFFC7CE"/>
        </patternFill>
      </fill>
    </dxf>
  </dxfs>
  <tableStyles count="0" defaultTableStyle="TableStyleMedium2" defaultPivotStyle="PivotStyleLight16"/>
  <colors>
    <mruColors>
      <color rgb="001506E0"/>
      <color rgb="00F7241F"/>
      <color rgb="000000FF"/>
      <color rgb="00F323E7"/>
      <color rgb="00FF0000"/>
      <color rgb="000FB7FD"/>
      <color rgb="00FFFF00"/>
      <color rgb="001C05ED"/>
      <color rgb="000000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90805</xdr:colOff>
      <xdr:row>0</xdr:row>
      <xdr:rowOff>635</xdr:rowOff>
    </xdr:from>
    <xdr:to>
      <xdr:col>13</xdr:col>
      <xdr:colOff>533400</xdr:colOff>
      <xdr:row>0</xdr:row>
      <xdr:rowOff>279400</xdr:rowOff>
    </xdr:to>
    <xdr:pic>
      <xdr:nvPicPr>
        <xdr:cNvPr id="2" name="图片 1"/>
        <xdr:cNvPicPr>
          <a:picLocks noChangeAspect="1"/>
        </xdr:cNvPicPr>
      </xdr:nvPicPr>
      <xdr:blipFill>
        <a:blip r:embed="rId1"/>
        <a:stretch>
          <a:fillRect/>
        </a:stretch>
      </xdr:blipFill>
      <xdr:spPr>
        <a:xfrm>
          <a:off x="12030710" y="635"/>
          <a:ext cx="442595" cy="278765"/>
        </a:xfrm>
        <a:prstGeom prst="rect">
          <a:avLst/>
        </a:prstGeom>
      </xdr:spPr>
    </xdr:pic>
    <xdr:clientData/>
  </xdr:twoCellAnchor>
  <xdr:twoCellAnchor editAs="oneCell">
    <xdr:from>
      <xdr:col>14</xdr:col>
      <xdr:colOff>109220</xdr:colOff>
      <xdr:row>0</xdr:row>
      <xdr:rowOff>635</xdr:rowOff>
    </xdr:from>
    <xdr:to>
      <xdr:col>14</xdr:col>
      <xdr:colOff>549910</xdr:colOff>
      <xdr:row>0</xdr:row>
      <xdr:rowOff>259715</xdr:rowOff>
    </xdr:to>
    <xdr:pic>
      <xdr:nvPicPr>
        <xdr:cNvPr id="3" name="图片 2"/>
        <xdr:cNvPicPr>
          <a:picLocks noChangeAspect="1"/>
        </xdr:cNvPicPr>
      </xdr:nvPicPr>
      <xdr:blipFill>
        <a:blip r:embed="rId2"/>
        <a:stretch>
          <a:fillRect/>
        </a:stretch>
      </xdr:blipFill>
      <xdr:spPr>
        <a:xfrm>
          <a:off x="13026390" y="635"/>
          <a:ext cx="440690" cy="259080"/>
        </a:xfrm>
        <a:prstGeom prst="rect">
          <a:avLst/>
        </a:prstGeom>
      </xdr:spPr>
    </xdr:pic>
    <xdr:clientData/>
  </xdr:twoCellAnchor>
  <xdr:twoCellAnchor editAs="oneCell">
    <xdr:from>
      <xdr:col>12</xdr:col>
      <xdr:colOff>154940</xdr:colOff>
      <xdr:row>0</xdr:row>
      <xdr:rowOff>635</xdr:rowOff>
    </xdr:from>
    <xdr:to>
      <xdr:col>12</xdr:col>
      <xdr:colOff>555625</xdr:colOff>
      <xdr:row>0</xdr:row>
      <xdr:rowOff>298450</xdr:rowOff>
    </xdr:to>
    <xdr:pic>
      <xdr:nvPicPr>
        <xdr:cNvPr id="4" name="图片 3"/>
        <xdr:cNvPicPr>
          <a:picLocks noChangeAspect="1"/>
        </xdr:cNvPicPr>
      </xdr:nvPicPr>
      <xdr:blipFill>
        <a:blip r:embed="rId3"/>
        <a:stretch>
          <a:fillRect/>
        </a:stretch>
      </xdr:blipFill>
      <xdr:spPr>
        <a:xfrm>
          <a:off x="11117580" y="635"/>
          <a:ext cx="400685" cy="297815"/>
        </a:xfrm>
        <a:prstGeom prst="rect">
          <a:avLst/>
        </a:prstGeom>
      </xdr:spPr>
    </xdr:pic>
    <xdr:clientData/>
  </xdr:twoCellAnchor>
  <xdr:twoCellAnchor editAs="oneCell">
    <xdr:from>
      <xdr:col>11</xdr:col>
      <xdr:colOff>192405</xdr:colOff>
      <xdr:row>0</xdr:row>
      <xdr:rowOff>635</xdr:rowOff>
    </xdr:from>
    <xdr:to>
      <xdr:col>11</xdr:col>
      <xdr:colOff>593725</xdr:colOff>
      <xdr:row>0</xdr:row>
      <xdr:rowOff>302895</xdr:rowOff>
    </xdr:to>
    <xdr:pic>
      <xdr:nvPicPr>
        <xdr:cNvPr id="5" name="图片 4"/>
        <xdr:cNvPicPr>
          <a:picLocks noChangeAspect="1"/>
        </xdr:cNvPicPr>
      </xdr:nvPicPr>
      <xdr:blipFill>
        <a:blip r:embed="rId4"/>
        <a:stretch>
          <a:fillRect/>
        </a:stretch>
      </xdr:blipFill>
      <xdr:spPr>
        <a:xfrm>
          <a:off x="10177780" y="635"/>
          <a:ext cx="401320" cy="302260"/>
        </a:xfrm>
        <a:prstGeom prst="rect">
          <a:avLst/>
        </a:prstGeom>
      </xdr:spPr>
    </xdr:pic>
    <xdr:clientData/>
  </xdr:twoCellAnchor>
  <xdr:twoCellAnchor editAs="oneCell">
    <xdr:from>
      <xdr:col>10</xdr:col>
      <xdr:colOff>104140</xdr:colOff>
      <xdr:row>0</xdr:row>
      <xdr:rowOff>635</xdr:rowOff>
    </xdr:from>
    <xdr:to>
      <xdr:col>10</xdr:col>
      <xdr:colOff>439420</xdr:colOff>
      <xdr:row>0</xdr:row>
      <xdr:rowOff>272415</xdr:rowOff>
    </xdr:to>
    <xdr:pic>
      <xdr:nvPicPr>
        <xdr:cNvPr id="6" name="图片 5"/>
        <xdr:cNvPicPr>
          <a:picLocks noChangeAspect="1"/>
        </xdr:cNvPicPr>
      </xdr:nvPicPr>
      <xdr:blipFill>
        <a:blip r:embed="rId5"/>
        <a:stretch>
          <a:fillRect/>
        </a:stretch>
      </xdr:blipFill>
      <xdr:spPr>
        <a:xfrm>
          <a:off x="9112250" y="635"/>
          <a:ext cx="335280" cy="271780"/>
        </a:xfrm>
        <a:prstGeom prst="rect">
          <a:avLst/>
        </a:prstGeom>
      </xdr:spPr>
    </xdr:pic>
    <xdr:clientData/>
  </xdr:twoCellAnchor>
  <xdr:twoCellAnchor editAs="oneCell">
    <xdr:from>
      <xdr:col>9</xdr:col>
      <xdr:colOff>154940</xdr:colOff>
      <xdr:row>0</xdr:row>
      <xdr:rowOff>63500</xdr:rowOff>
    </xdr:from>
    <xdr:to>
      <xdr:col>9</xdr:col>
      <xdr:colOff>549910</xdr:colOff>
      <xdr:row>0</xdr:row>
      <xdr:rowOff>321310</xdr:rowOff>
    </xdr:to>
    <xdr:pic>
      <xdr:nvPicPr>
        <xdr:cNvPr id="7" name="图片 6"/>
        <xdr:cNvPicPr>
          <a:picLocks noChangeAspect="1"/>
        </xdr:cNvPicPr>
      </xdr:nvPicPr>
      <xdr:blipFill>
        <a:blip r:embed="rId6"/>
        <a:stretch>
          <a:fillRect/>
        </a:stretch>
      </xdr:blipFill>
      <xdr:spPr>
        <a:xfrm>
          <a:off x="8185785" y="63500"/>
          <a:ext cx="394970" cy="257810"/>
        </a:xfrm>
        <a:prstGeom prst="rect">
          <a:avLst/>
        </a:prstGeom>
      </xdr:spPr>
    </xdr:pic>
    <xdr:clientData/>
  </xdr:twoCellAnchor>
  <xdr:twoCellAnchor editAs="oneCell">
    <xdr:from>
      <xdr:col>8</xdr:col>
      <xdr:colOff>73660</xdr:colOff>
      <xdr:row>0</xdr:row>
      <xdr:rowOff>635</xdr:rowOff>
    </xdr:from>
    <xdr:to>
      <xdr:col>8</xdr:col>
      <xdr:colOff>605790</xdr:colOff>
      <xdr:row>0</xdr:row>
      <xdr:rowOff>320675</xdr:rowOff>
    </xdr:to>
    <xdr:pic>
      <xdr:nvPicPr>
        <xdr:cNvPr id="8" name="图片 7"/>
        <xdr:cNvPicPr>
          <a:picLocks noChangeAspect="1"/>
        </xdr:cNvPicPr>
      </xdr:nvPicPr>
      <xdr:blipFill>
        <a:blip r:embed="rId7"/>
        <a:stretch>
          <a:fillRect/>
        </a:stretch>
      </xdr:blipFill>
      <xdr:spPr>
        <a:xfrm>
          <a:off x="7127240" y="635"/>
          <a:ext cx="532130" cy="320040"/>
        </a:xfrm>
        <a:prstGeom prst="rect">
          <a:avLst/>
        </a:prstGeom>
      </xdr:spPr>
    </xdr:pic>
    <xdr:clientData/>
  </xdr:twoCellAnchor>
  <xdr:twoCellAnchor editAs="oneCell">
    <xdr:from>
      <xdr:col>7</xdr:col>
      <xdr:colOff>240665</xdr:colOff>
      <xdr:row>0</xdr:row>
      <xdr:rowOff>635</xdr:rowOff>
    </xdr:from>
    <xdr:to>
      <xdr:col>7</xdr:col>
      <xdr:colOff>687705</xdr:colOff>
      <xdr:row>0</xdr:row>
      <xdr:rowOff>296545</xdr:rowOff>
    </xdr:to>
    <xdr:pic>
      <xdr:nvPicPr>
        <xdr:cNvPr id="9" name="图片 8"/>
        <xdr:cNvPicPr>
          <a:picLocks noChangeAspect="1"/>
        </xdr:cNvPicPr>
      </xdr:nvPicPr>
      <xdr:blipFill>
        <a:blip r:embed="rId8"/>
        <a:stretch>
          <a:fillRect/>
        </a:stretch>
      </xdr:blipFill>
      <xdr:spPr>
        <a:xfrm>
          <a:off x="6316980" y="635"/>
          <a:ext cx="447040" cy="295910"/>
        </a:xfrm>
        <a:prstGeom prst="rect">
          <a:avLst/>
        </a:prstGeom>
      </xdr:spPr>
    </xdr:pic>
    <xdr:clientData/>
  </xdr:twoCellAnchor>
  <xdr:twoCellAnchor editAs="oneCell">
    <xdr:from>
      <xdr:col>6</xdr:col>
      <xdr:colOff>222885</xdr:colOff>
      <xdr:row>0</xdr:row>
      <xdr:rowOff>635</xdr:rowOff>
    </xdr:from>
    <xdr:to>
      <xdr:col>6</xdr:col>
      <xdr:colOff>566420</xdr:colOff>
      <xdr:row>0</xdr:row>
      <xdr:rowOff>300990</xdr:rowOff>
    </xdr:to>
    <xdr:pic>
      <xdr:nvPicPr>
        <xdr:cNvPr id="10" name="图片 9"/>
        <xdr:cNvPicPr>
          <a:picLocks noChangeAspect="1"/>
        </xdr:cNvPicPr>
      </xdr:nvPicPr>
      <xdr:blipFill>
        <a:blip r:embed="rId9"/>
        <a:stretch>
          <a:fillRect/>
        </a:stretch>
      </xdr:blipFill>
      <xdr:spPr>
        <a:xfrm>
          <a:off x="5321935" y="635"/>
          <a:ext cx="343535" cy="3003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I323"/>
  <sheetViews>
    <sheetView zoomScale="85" zoomScaleNormal="85" workbookViewId="0">
      <pane xSplit="14" ySplit="2" topLeftCell="BO3" activePane="bottomRight" state="frozen"/>
      <selection/>
      <selection pane="topRight"/>
      <selection pane="bottomLeft"/>
      <selection pane="bottomRight" activeCell="D332" sqref="D332"/>
    </sheetView>
  </sheetViews>
  <sheetFormatPr defaultColWidth="9" defaultRowHeight="13.5"/>
  <cols>
    <col min="1" max="1" width="8.19166666666667" style="142" customWidth="1"/>
    <col min="2" max="2" width="9.45" style="137" customWidth="1"/>
    <col min="3" max="3" width="9" style="137" customWidth="1"/>
    <col min="4" max="4" width="10.775" style="137" customWidth="1"/>
    <col min="5" max="5" width="13.0416666666667" style="137" customWidth="1"/>
    <col min="6" max="6" width="10.8583333333333" style="137" customWidth="1"/>
    <col min="7" max="7" width="13.5833333333333" style="137" customWidth="1"/>
    <col min="8" max="8" width="12.9666666666667" style="137" customWidth="1"/>
    <col min="9" max="9" width="8.975" style="137" customWidth="1"/>
    <col min="10" max="10" width="9" style="137"/>
    <col min="11" max="11" width="11.225" style="137" customWidth="1"/>
    <col min="12" max="12" width="9" style="137"/>
    <col min="13" max="13" width="15.3666666666667" style="137" customWidth="1"/>
    <col min="14" max="14" width="13.5083333333333" style="137" customWidth="1"/>
    <col min="15" max="15" width="10.3916666666667" style="137" customWidth="1"/>
    <col min="16" max="16" width="9" style="137"/>
    <col min="17" max="17" width="9.55" style="137" customWidth="1"/>
    <col min="18" max="18" width="10.3" style="137" customWidth="1"/>
    <col min="19" max="19" width="9" style="137"/>
    <col min="20" max="21" width="11.1583333333333" style="137" customWidth="1"/>
    <col min="22" max="22" width="45.425" style="137" customWidth="1"/>
    <col min="23" max="24" width="9" style="137" customWidth="1"/>
    <col min="25" max="25" width="12.8" style="137" customWidth="1"/>
    <col min="26" max="26" width="9" style="137" customWidth="1"/>
    <col min="27" max="28" width="9" style="137"/>
    <col min="29" max="29" width="5.58333333333333" style="137" customWidth="1"/>
    <col min="30" max="30" width="9" style="137"/>
    <col min="31" max="31" width="18.4916666666667" style="137" customWidth="1"/>
    <col min="32" max="32" width="7.01666666666667" style="137" customWidth="1"/>
    <col min="33" max="33" width="11.1833333333333" style="137" customWidth="1"/>
    <col min="34" max="36" width="7.4" style="137" customWidth="1"/>
    <col min="37" max="45" width="9" style="137"/>
    <col min="46" max="46" width="12.8" style="137"/>
    <col min="47" max="60" width="9" style="137"/>
    <col min="61" max="61" width="5.50833333333333" style="137" customWidth="1"/>
    <col min="62" max="69" width="11.1916666666667" style="137" customWidth="1"/>
    <col min="70" max="70" width="12.6166666666667" style="137" customWidth="1"/>
    <col min="71" max="71" width="7.10833333333333" style="137" customWidth="1"/>
    <col min="72" max="79" width="11.7583333333333" style="137" customWidth="1"/>
    <col min="80" max="80" width="14.9333333333333" style="137" customWidth="1"/>
    <col min="81" max="81" width="9" style="137"/>
    <col min="82" max="82" width="18.2083333333333" style="137" customWidth="1"/>
    <col min="83" max="16384" width="9" style="137"/>
  </cols>
  <sheetData>
    <row r="1" s="137" customFormat="1" ht="49" customHeight="1" spans="1:80">
      <c r="A1" s="143" t="s">
        <v>0</v>
      </c>
      <c r="B1" s="144"/>
      <c r="C1" s="145"/>
      <c r="D1" s="146"/>
      <c r="E1" s="146"/>
      <c r="F1" s="147"/>
      <c r="G1" s="148"/>
      <c r="H1" s="149" t="s">
        <v>1</v>
      </c>
      <c r="I1" s="172"/>
      <c r="J1" s="173"/>
      <c r="K1" s="173"/>
      <c r="L1" s="173"/>
      <c r="M1" s="173"/>
      <c r="N1" s="173"/>
      <c r="O1" s="174"/>
      <c r="P1" s="145"/>
      <c r="Q1" s="145"/>
      <c r="R1" s="173"/>
      <c r="S1" s="173"/>
      <c r="T1" s="174"/>
      <c r="U1" s="174"/>
      <c r="V1" s="189"/>
      <c r="AA1" s="145"/>
      <c r="AB1" s="145"/>
      <c r="AC1" s="145"/>
      <c r="AD1" s="145"/>
      <c r="AH1" s="176" t="s">
        <v>2</v>
      </c>
      <c r="AI1" s="176"/>
      <c r="AJ1" s="176"/>
      <c r="AK1" s="213" t="s">
        <v>3</v>
      </c>
      <c r="AL1" s="214"/>
      <c r="AM1" s="215"/>
      <c r="AN1" s="213" t="s">
        <v>4</v>
      </c>
      <c r="AO1" s="215"/>
      <c r="AP1" s="220" t="s">
        <v>5</v>
      </c>
      <c r="AQ1" s="213" t="s">
        <v>6</v>
      </c>
      <c r="AR1" s="214"/>
      <c r="AS1" s="215"/>
      <c r="AT1" s="221" t="s">
        <v>7</v>
      </c>
      <c r="AU1" s="221"/>
      <c r="AV1" s="221" t="s">
        <v>8</v>
      </c>
      <c r="AW1" s="221" t="s">
        <v>9</v>
      </c>
      <c r="AX1" s="213" t="s">
        <v>10</v>
      </c>
      <c r="AY1" s="215"/>
      <c r="AZ1" s="221" t="s">
        <v>11</v>
      </c>
      <c r="BA1" s="221"/>
      <c r="BB1" s="221"/>
      <c r="BC1" s="221" t="s">
        <v>12</v>
      </c>
      <c r="BD1" s="221"/>
      <c r="BE1" s="221"/>
      <c r="BF1" s="222" t="s">
        <v>13</v>
      </c>
      <c r="BG1" s="222"/>
      <c r="BH1" s="222"/>
      <c r="BJ1" s="223" t="s">
        <v>14</v>
      </c>
      <c r="BK1" s="223" t="s">
        <v>15</v>
      </c>
      <c r="BL1" s="223" t="s">
        <v>16</v>
      </c>
      <c r="BM1" s="223" t="s">
        <v>17</v>
      </c>
      <c r="BN1" s="223" t="s">
        <v>18</v>
      </c>
      <c r="BO1" s="223" t="s">
        <v>19</v>
      </c>
      <c r="BP1" s="223" t="s">
        <v>20</v>
      </c>
      <c r="BQ1" s="223" t="s">
        <v>21</v>
      </c>
      <c r="BR1" s="223" t="s">
        <v>22</v>
      </c>
      <c r="BT1" s="171" t="str">
        <f>生产MA!G4</f>
        <v>腕龙</v>
      </c>
      <c r="BU1" s="171" t="str">
        <f>生产MA!H4</f>
        <v>双脊龙</v>
      </c>
      <c r="BV1" s="171" t="str">
        <f>生产MA!I4</f>
        <v>镰刀龙</v>
      </c>
      <c r="BW1" s="171" t="str">
        <f>生产MA!J4</f>
        <v>甲龙</v>
      </c>
      <c r="BX1" s="171" t="str">
        <f>生产MA!K4</f>
        <v>戟龙</v>
      </c>
      <c r="BY1" s="171" t="str">
        <f>生产MA!L4</f>
        <v>棘龙</v>
      </c>
      <c r="BZ1" s="171" t="str">
        <f>生产MA!M4</f>
        <v>沧龙</v>
      </c>
      <c r="CA1" s="171" t="str">
        <f>生产MA!N4</f>
        <v>霸王龙</v>
      </c>
      <c r="CB1" s="171" t="str">
        <f>生产MA!O4</f>
        <v>特殊款霸王龙</v>
      </c>
    </row>
    <row r="2" s="137" customFormat="1" ht="30" customHeight="1" spans="1:80">
      <c r="A2" s="150" t="s">
        <v>23</v>
      </c>
      <c r="B2" s="151" t="s">
        <v>24</v>
      </c>
      <c r="C2" s="151" t="s">
        <v>25</v>
      </c>
      <c r="D2" s="152" t="s">
        <v>26</v>
      </c>
      <c r="E2" s="151" t="s">
        <v>27</v>
      </c>
      <c r="F2" s="152" t="s">
        <v>28</v>
      </c>
      <c r="G2" s="152" t="s">
        <v>29</v>
      </c>
      <c r="H2" s="151" t="s">
        <v>30</v>
      </c>
      <c r="I2" s="175" t="s">
        <v>31</v>
      </c>
      <c r="J2" s="151" t="s">
        <v>32</v>
      </c>
      <c r="K2" s="151" t="s">
        <v>33</v>
      </c>
      <c r="L2" s="151" t="s">
        <v>34</v>
      </c>
      <c r="M2" s="176" t="s">
        <v>35</v>
      </c>
      <c r="N2" s="176" t="s">
        <v>36</v>
      </c>
      <c r="O2" s="177" t="s">
        <v>37</v>
      </c>
      <c r="P2" s="151" t="s">
        <v>38</v>
      </c>
      <c r="Q2" s="151" t="s">
        <v>39</v>
      </c>
      <c r="R2" s="151" t="s">
        <v>40</v>
      </c>
      <c r="S2" s="151" t="s">
        <v>41</v>
      </c>
      <c r="T2" s="177" t="s">
        <v>42</v>
      </c>
      <c r="U2" s="177" t="s">
        <v>43</v>
      </c>
      <c r="V2" s="190" t="s">
        <v>44</v>
      </c>
      <c r="W2" s="176" t="s">
        <v>45</v>
      </c>
      <c r="X2" s="176" t="s">
        <v>46</v>
      </c>
      <c r="Y2" s="176" t="s">
        <v>47</v>
      </c>
      <c r="Z2" s="176" t="s">
        <v>48</v>
      </c>
      <c r="AA2" s="211" t="s">
        <v>49</v>
      </c>
      <c r="AB2" s="211" t="s">
        <v>50</v>
      </c>
      <c r="AC2" s="211" t="s">
        <v>51</v>
      </c>
      <c r="AD2" s="211" t="s">
        <v>52</v>
      </c>
      <c r="AE2" s="176" t="s">
        <v>53</v>
      </c>
      <c r="AF2" s="176" t="s">
        <v>54</v>
      </c>
      <c r="AG2" s="176" t="s">
        <v>55</v>
      </c>
      <c r="AH2" s="176" t="s">
        <v>56</v>
      </c>
      <c r="AI2" s="216" t="s">
        <v>57</v>
      </c>
      <c r="AJ2" s="176" t="s">
        <v>58</v>
      </c>
      <c r="AK2" s="176" t="s">
        <v>59</v>
      </c>
      <c r="AL2" s="176" t="s">
        <v>60</v>
      </c>
      <c r="AM2" s="176" t="s">
        <v>61</v>
      </c>
      <c r="AN2" s="176" t="s">
        <v>62</v>
      </c>
      <c r="AO2" s="216" t="s">
        <v>63</v>
      </c>
      <c r="AP2" s="216" t="s">
        <v>58</v>
      </c>
      <c r="AQ2" s="176" t="s">
        <v>59</v>
      </c>
      <c r="AR2" s="176" t="s">
        <v>60</v>
      </c>
      <c r="AS2" s="176" t="s">
        <v>64</v>
      </c>
      <c r="AT2" s="176" t="s">
        <v>59</v>
      </c>
      <c r="AU2" s="176" t="s">
        <v>60</v>
      </c>
      <c r="AV2" s="176" t="s">
        <v>65</v>
      </c>
      <c r="AW2" s="176" t="s">
        <v>66</v>
      </c>
      <c r="AX2" s="176" t="s">
        <v>67</v>
      </c>
      <c r="AY2" s="176" t="s">
        <v>68</v>
      </c>
      <c r="AZ2" s="176" t="s">
        <v>59</v>
      </c>
      <c r="BA2" s="176" t="s">
        <v>60</v>
      </c>
      <c r="BB2" s="176" t="s">
        <v>69</v>
      </c>
      <c r="BC2" s="176" t="s">
        <v>59</v>
      </c>
      <c r="BD2" s="176" t="s">
        <v>60</v>
      </c>
      <c r="BE2" s="176" t="s">
        <v>70</v>
      </c>
      <c r="BF2" s="176" t="s">
        <v>71</v>
      </c>
      <c r="BG2" s="176" t="s">
        <v>72</v>
      </c>
      <c r="BH2" s="176"/>
      <c r="BI2" s="171"/>
      <c r="BJ2" s="224">
        <v>0.122395833333333</v>
      </c>
      <c r="BK2" s="224">
        <v>0.122395833333333</v>
      </c>
      <c r="BL2" s="224">
        <v>0.122395833333333</v>
      </c>
      <c r="BM2" s="224">
        <v>0.122395833333333</v>
      </c>
      <c r="BN2" s="224">
        <v>0.122395833333333</v>
      </c>
      <c r="BO2" s="224">
        <v>0.122395833333333</v>
      </c>
      <c r="BP2" s="224">
        <v>0.122395833333333</v>
      </c>
      <c r="BQ2" s="224">
        <v>0.122395833333333</v>
      </c>
      <c r="BR2" s="224">
        <v>0.0208333333333333</v>
      </c>
      <c r="BS2" s="137" t="s">
        <v>73</v>
      </c>
      <c r="BT2" s="171">
        <f>生产MA!G11</f>
        <v>113832</v>
      </c>
      <c r="BU2" s="171">
        <f>生产MA!H11</f>
        <v>113832</v>
      </c>
      <c r="BV2" s="171">
        <f>生产MA!I11</f>
        <v>113832</v>
      </c>
      <c r="BW2" s="171">
        <f>生产MA!J11</f>
        <v>113832</v>
      </c>
      <c r="BX2" s="171">
        <f>生产MA!K11</f>
        <v>113832</v>
      </c>
      <c r="BY2" s="171">
        <f>生产MA!L11</f>
        <v>113832</v>
      </c>
      <c r="BZ2" s="171">
        <f>生产MA!M11</f>
        <v>113832</v>
      </c>
      <c r="CA2" s="171">
        <f>生产MA!N11</f>
        <v>113832</v>
      </c>
      <c r="CB2" s="171">
        <f>生产MA!O11</f>
        <v>19377</v>
      </c>
    </row>
    <row r="3" s="138" customFormat="1" ht="27" hidden="1" customHeight="1" spans="1:80">
      <c r="A3" s="18">
        <v>45617</v>
      </c>
      <c r="B3" s="19" t="s">
        <v>74</v>
      </c>
      <c r="C3" s="20" t="s">
        <v>75</v>
      </c>
      <c r="D3" s="21" t="s">
        <v>76</v>
      </c>
      <c r="E3" s="20" t="s">
        <v>77</v>
      </c>
      <c r="F3" s="19"/>
      <c r="G3" s="153" t="s">
        <v>78</v>
      </c>
      <c r="H3" s="154" t="s">
        <v>79</v>
      </c>
      <c r="I3" s="178">
        <v>1135</v>
      </c>
      <c r="J3" s="178">
        <v>0</v>
      </c>
      <c r="K3" s="178">
        <v>54</v>
      </c>
      <c r="L3" s="178">
        <f t="shared" ref="L3:L12" si="0">I3/K3</f>
        <v>21.0185185185185</v>
      </c>
      <c r="M3" s="179">
        <v>45639</v>
      </c>
      <c r="N3" s="179">
        <v>45635</v>
      </c>
      <c r="O3" s="180"/>
      <c r="P3" s="180"/>
      <c r="Q3" s="180"/>
      <c r="R3" s="180" t="s">
        <v>80</v>
      </c>
      <c r="S3" s="180" t="s">
        <v>80</v>
      </c>
      <c r="T3" s="180" t="s">
        <v>80</v>
      </c>
      <c r="U3" s="180"/>
      <c r="V3" s="191" t="s">
        <v>81</v>
      </c>
      <c r="W3" s="179"/>
      <c r="X3" s="179"/>
      <c r="Y3" s="179"/>
      <c r="Z3" s="179" t="s">
        <v>82</v>
      </c>
      <c r="AA3" s="180"/>
      <c r="AB3" s="180"/>
      <c r="AC3" s="180"/>
      <c r="AD3" s="180"/>
      <c r="AE3" s="179"/>
      <c r="AF3" s="179"/>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225"/>
      <c r="BK3" s="225"/>
      <c r="BL3" s="225"/>
      <c r="BM3" s="225"/>
      <c r="BN3" s="225"/>
      <c r="BO3" s="225"/>
      <c r="BP3" s="225"/>
      <c r="BQ3" s="225"/>
      <c r="BR3" s="225"/>
      <c r="BT3" s="225">
        <f t="shared" ref="BT3:CB3" si="1">BT2-BJ3</f>
        <v>113832</v>
      </c>
      <c r="BU3" s="225">
        <f t="shared" si="1"/>
        <v>113832</v>
      </c>
      <c r="BV3" s="225">
        <f t="shared" si="1"/>
        <v>113832</v>
      </c>
      <c r="BW3" s="225">
        <f t="shared" si="1"/>
        <v>113832</v>
      </c>
      <c r="BX3" s="225">
        <f t="shared" si="1"/>
        <v>113832</v>
      </c>
      <c r="BY3" s="225">
        <f t="shared" si="1"/>
        <v>113832</v>
      </c>
      <c r="BZ3" s="225">
        <f t="shared" si="1"/>
        <v>113832</v>
      </c>
      <c r="CA3" s="225">
        <f t="shared" si="1"/>
        <v>113832</v>
      </c>
      <c r="CB3" s="225">
        <f t="shared" si="1"/>
        <v>19377</v>
      </c>
    </row>
    <row r="4" s="138" customFormat="1" ht="27" hidden="1" customHeight="1" spans="1:80">
      <c r="A4" s="18">
        <v>45618</v>
      </c>
      <c r="B4" s="19" t="s">
        <v>74</v>
      </c>
      <c r="C4" s="20" t="s">
        <v>83</v>
      </c>
      <c r="D4" s="21" t="s">
        <v>84</v>
      </c>
      <c r="E4" s="20" t="s">
        <v>85</v>
      </c>
      <c r="F4" s="19"/>
      <c r="G4" s="153" t="s">
        <v>86</v>
      </c>
      <c r="H4" s="154" t="s">
        <v>87</v>
      </c>
      <c r="I4" s="178">
        <v>1008</v>
      </c>
      <c r="J4" s="178">
        <v>0</v>
      </c>
      <c r="K4" s="178">
        <v>24</v>
      </c>
      <c r="L4" s="178">
        <f t="shared" si="0"/>
        <v>42</v>
      </c>
      <c r="M4" s="179">
        <v>45639</v>
      </c>
      <c r="N4" s="179">
        <v>45635</v>
      </c>
      <c r="O4" s="180"/>
      <c r="P4" s="180"/>
      <c r="Q4" s="180"/>
      <c r="R4" s="180" t="s">
        <v>80</v>
      </c>
      <c r="S4" s="180" t="s">
        <v>80</v>
      </c>
      <c r="T4" s="180" t="s">
        <v>80</v>
      </c>
      <c r="U4" s="180"/>
      <c r="V4" s="191" t="s">
        <v>88</v>
      </c>
      <c r="W4" s="179" t="s">
        <v>89</v>
      </c>
      <c r="X4" s="179"/>
      <c r="Y4" s="179"/>
      <c r="Z4" s="179" t="s">
        <v>90</v>
      </c>
      <c r="AA4" s="180"/>
      <c r="AB4" s="180"/>
      <c r="AC4" s="180"/>
      <c r="AD4" s="180"/>
      <c r="AE4" s="179"/>
      <c r="AF4" s="179"/>
      <c r="AG4" s="171"/>
      <c r="AH4" s="171"/>
      <c r="AI4" s="171"/>
      <c r="AJ4" s="171"/>
      <c r="AK4" s="171"/>
      <c r="AL4" s="171"/>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225"/>
      <c r="BK4" s="225"/>
      <c r="BL4" s="225"/>
      <c r="BM4" s="225"/>
      <c r="BN4" s="225"/>
      <c r="BO4" s="225"/>
      <c r="BP4" s="225"/>
      <c r="BQ4" s="225"/>
      <c r="BR4" s="225"/>
      <c r="BT4" s="225">
        <f t="shared" ref="BT4:CB4" si="2">BT3-BJ4</f>
        <v>113832</v>
      </c>
      <c r="BU4" s="225">
        <f t="shared" si="2"/>
        <v>113832</v>
      </c>
      <c r="BV4" s="225">
        <f t="shared" si="2"/>
        <v>113832</v>
      </c>
      <c r="BW4" s="225">
        <f t="shared" si="2"/>
        <v>113832</v>
      </c>
      <c r="BX4" s="225">
        <f t="shared" si="2"/>
        <v>113832</v>
      </c>
      <c r="BY4" s="225">
        <f t="shared" si="2"/>
        <v>113832</v>
      </c>
      <c r="BZ4" s="225">
        <f t="shared" si="2"/>
        <v>113832</v>
      </c>
      <c r="CA4" s="225">
        <f t="shared" si="2"/>
        <v>113832</v>
      </c>
      <c r="CB4" s="225">
        <f t="shared" si="2"/>
        <v>19377</v>
      </c>
    </row>
    <row r="5" s="138" customFormat="1" ht="27" hidden="1" customHeight="1" spans="1:80">
      <c r="A5" s="18">
        <v>45618</v>
      </c>
      <c r="B5" s="19" t="s">
        <v>74</v>
      </c>
      <c r="C5" s="20" t="s">
        <v>83</v>
      </c>
      <c r="D5" s="21" t="s">
        <v>84</v>
      </c>
      <c r="E5" s="20" t="s">
        <v>85</v>
      </c>
      <c r="F5" s="19"/>
      <c r="G5" s="153" t="s">
        <v>86</v>
      </c>
      <c r="H5" s="154" t="s">
        <v>91</v>
      </c>
      <c r="I5" s="178">
        <v>10</v>
      </c>
      <c r="J5" s="178">
        <v>0</v>
      </c>
      <c r="K5" s="178">
        <v>10</v>
      </c>
      <c r="L5" s="178">
        <f t="shared" si="0"/>
        <v>1</v>
      </c>
      <c r="M5" s="179">
        <v>45639</v>
      </c>
      <c r="N5" s="179">
        <v>45635</v>
      </c>
      <c r="O5" s="180"/>
      <c r="P5" s="180"/>
      <c r="Q5" s="180"/>
      <c r="R5" s="180" t="s">
        <v>80</v>
      </c>
      <c r="S5" s="180" t="s">
        <v>80</v>
      </c>
      <c r="T5" s="180" t="s">
        <v>80</v>
      </c>
      <c r="U5" s="180"/>
      <c r="V5" s="191" t="s">
        <v>92</v>
      </c>
      <c r="W5" s="179" t="s">
        <v>89</v>
      </c>
      <c r="X5" s="179"/>
      <c r="Y5" s="179"/>
      <c r="Z5" s="179" t="s">
        <v>90</v>
      </c>
      <c r="AA5" s="180"/>
      <c r="AB5" s="180"/>
      <c r="AC5" s="180"/>
      <c r="AD5" s="180"/>
      <c r="AE5" s="179" t="s">
        <v>93</v>
      </c>
      <c r="AF5" s="179"/>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225"/>
      <c r="BK5" s="225"/>
      <c r="BL5" s="225"/>
      <c r="BM5" s="225"/>
      <c r="BN5" s="225"/>
      <c r="BO5" s="225"/>
      <c r="BP5" s="225"/>
      <c r="BQ5" s="225"/>
      <c r="BR5" s="225"/>
      <c r="BT5" s="225">
        <f t="shared" ref="BT5:CB5" si="3">BT4-BJ5</f>
        <v>113832</v>
      </c>
      <c r="BU5" s="225">
        <f t="shared" si="3"/>
        <v>113832</v>
      </c>
      <c r="BV5" s="225">
        <f t="shared" si="3"/>
        <v>113832</v>
      </c>
      <c r="BW5" s="225">
        <f t="shared" si="3"/>
        <v>113832</v>
      </c>
      <c r="BX5" s="225">
        <f t="shared" si="3"/>
        <v>113832</v>
      </c>
      <c r="BY5" s="225">
        <f t="shared" si="3"/>
        <v>113832</v>
      </c>
      <c r="BZ5" s="225">
        <f t="shared" si="3"/>
        <v>113832</v>
      </c>
      <c r="CA5" s="225">
        <f t="shared" si="3"/>
        <v>113832</v>
      </c>
      <c r="CB5" s="225">
        <f t="shared" si="3"/>
        <v>19377</v>
      </c>
    </row>
    <row r="6" s="138" customFormat="1" ht="27" hidden="1" customHeight="1" spans="1:80">
      <c r="A6" s="18">
        <v>45618</v>
      </c>
      <c r="B6" s="19" t="s">
        <v>74</v>
      </c>
      <c r="C6" s="20" t="s">
        <v>83</v>
      </c>
      <c r="D6" s="21" t="s">
        <v>84</v>
      </c>
      <c r="E6" s="20" t="s">
        <v>85</v>
      </c>
      <c r="F6" s="19"/>
      <c r="G6" s="153" t="s">
        <v>94</v>
      </c>
      <c r="H6" s="154" t="s">
        <v>95</v>
      </c>
      <c r="I6" s="178">
        <v>20</v>
      </c>
      <c r="J6" s="178">
        <v>0</v>
      </c>
      <c r="K6" s="178">
        <v>20</v>
      </c>
      <c r="L6" s="178">
        <f t="shared" si="0"/>
        <v>1</v>
      </c>
      <c r="M6" s="179">
        <v>45639</v>
      </c>
      <c r="N6" s="179">
        <v>45635</v>
      </c>
      <c r="O6" s="180"/>
      <c r="P6" s="180"/>
      <c r="Q6" s="180"/>
      <c r="R6" s="180" t="s">
        <v>80</v>
      </c>
      <c r="S6" s="180" t="s">
        <v>80</v>
      </c>
      <c r="T6" s="180" t="s">
        <v>80</v>
      </c>
      <c r="U6" s="180"/>
      <c r="V6" s="191" t="s">
        <v>96</v>
      </c>
      <c r="W6" s="179" t="s">
        <v>89</v>
      </c>
      <c r="X6" s="179"/>
      <c r="Y6" s="179"/>
      <c r="Z6" s="179" t="s">
        <v>90</v>
      </c>
      <c r="AA6" s="180"/>
      <c r="AB6" s="180"/>
      <c r="AC6" s="180"/>
      <c r="AD6" s="180"/>
      <c r="AE6" s="179" t="s">
        <v>93</v>
      </c>
      <c r="AF6" s="179"/>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225"/>
      <c r="BK6" s="225"/>
      <c r="BL6" s="225"/>
      <c r="BM6" s="225"/>
      <c r="BN6" s="225"/>
      <c r="BO6" s="225"/>
      <c r="BP6" s="225"/>
      <c r="BQ6" s="225"/>
      <c r="BR6" s="225"/>
      <c r="BT6" s="225">
        <f t="shared" ref="BT6:CB6" si="4">BT5-BJ6</f>
        <v>113832</v>
      </c>
      <c r="BU6" s="225">
        <f t="shared" si="4"/>
        <v>113832</v>
      </c>
      <c r="BV6" s="225">
        <f t="shared" si="4"/>
        <v>113832</v>
      </c>
      <c r="BW6" s="225">
        <f t="shared" si="4"/>
        <v>113832</v>
      </c>
      <c r="BX6" s="225">
        <f t="shared" si="4"/>
        <v>113832</v>
      </c>
      <c r="BY6" s="225">
        <f t="shared" si="4"/>
        <v>113832</v>
      </c>
      <c r="BZ6" s="225">
        <f t="shared" si="4"/>
        <v>113832</v>
      </c>
      <c r="CA6" s="225">
        <f t="shared" si="4"/>
        <v>113832</v>
      </c>
      <c r="CB6" s="225">
        <f t="shared" si="4"/>
        <v>19377</v>
      </c>
    </row>
    <row r="7" s="138" customFormat="1" ht="27" hidden="1" customHeight="1" spans="1:80">
      <c r="A7" s="18">
        <v>45618</v>
      </c>
      <c r="B7" s="19" t="s">
        <v>74</v>
      </c>
      <c r="C7" s="20" t="s">
        <v>83</v>
      </c>
      <c r="D7" s="21" t="s">
        <v>84</v>
      </c>
      <c r="E7" s="20" t="s">
        <v>85</v>
      </c>
      <c r="F7" s="19"/>
      <c r="G7" s="153" t="s">
        <v>78</v>
      </c>
      <c r="H7" s="154" t="s">
        <v>97</v>
      </c>
      <c r="I7" s="178">
        <v>20</v>
      </c>
      <c r="J7" s="178">
        <v>0</v>
      </c>
      <c r="K7" s="178">
        <v>20</v>
      </c>
      <c r="L7" s="178">
        <f t="shared" si="0"/>
        <v>1</v>
      </c>
      <c r="M7" s="179">
        <v>45639</v>
      </c>
      <c r="N7" s="179">
        <v>45635</v>
      </c>
      <c r="O7" s="180"/>
      <c r="P7" s="180"/>
      <c r="Q7" s="180"/>
      <c r="R7" s="180" t="s">
        <v>80</v>
      </c>
      <c r="S7" s="180" t="s">
        <v>80</v>
      </c>
      <c r="T7" s="180" t="s">
        <v>80</v>
      </c>
      <c r="U7" s="180"/>
      <c r="V7" s="191" t="s">
        <v>98</v>
      </c>
      <c r="W7" s="179" t="s">
        <v>89</v>
      </c>
      <c r="X7" s="179"/>
      <c r="Y7" s="179"/>
      <c r="Z7" s="179" t="s">
        <v>90</v>
      </c>
      <c r="AA7" s="180"/>
      <c r="AB7" s="180"/>
      <c r="AC7" s="180"/>
      <c r="AD7" s="180"/>
      <c r="AE7" s="179" t="s">
        <v>93</v>
      </c>
      <c r="AF7" s="179"/>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225"/>
      <c r="BK7" s="225"/>
      <c r="BL7" s="225"/>
      <c r="BM7" s="225"/>
      <c r="BN7" s="225"/>
      <c r="BO7" s="225"/>
      <c r="BP7" s="225"/>
      <c r="BQ7" s="225"/>
      <c r="BR7" s="225"/>
      <c r="BT7" s="225">
        <f t="shared" ref="BT7:CB7" si="5">BT6-BJ7</f>
        <v>113832</v>
      </c>
      <c r="BU7" s="225">
        <f t="shared" si="5"/>
        <v>113832</v>
      </c>
      <c r="BV7" s="225">
        <f t="shared" si="5"/>
        <v>113832</v>
      </c>
      <c r="BW7" s="225">
        <f t="shared" si="5"/>
        <v>113832</v>
      </c>
      <c r="BX7" s="225">
        <f t="shared" si="5"/>
        <v>113832</v>
      </c>
      <c r="BY7" s="225">
        <f t="shared" si="5"/>
        <v>113832</v>
      </c>
      <c r="BZ7" s="225">
        <f t="shared" si="5"/>
        <v>113832</v>
      </c>
      <c r="CA7" s="225">
        <f t="shared" si="5"/>
        <v>113832</v>
      </c>
      <c r="CB7" s="225">
        <f t="shared" si="5"/>
        <v>19377</v>
      </c>
    </row>
    <row r="8" s="4" customFormat="1" ht="27" hidden="1" customHeight="1" spans="1:80">
      <c r="A8" s="18">
        <v>45714</v>
      </c>
      <c r="B8" s="19"/>
      <c r="C8" s="20"/>
      <c r="D8" s="21" t="s">
        <v>99</v>
      </c>
      <c r="E8" s="20"/>
      <c r="F8" s="19"/>
      <c r="G8" s="22" t="s">
        <v>94</v>
      </c>
      <c r="H8" s="34" t="s">
        <v>100</v>
      </c>
      <c r="I8" s="34">
        <v>40</v>
      </c>
      <c r="J8" s="178">
        <v>0</v>
      </c>
      <c r="K8" s="34">
        <v>40</v>
      </c>
      <c r="L8" s="178">
        <f t="shared" si="0"/>
        <v>1</v>
      </c>
      <c r="M8" s="35">
        <v>45726</v>
      </c>
      <c r="N8" s="35">
        <v>45722</v>
      </c>
      <c r="O8" s="37"/>
      <c r="P8" s="37"/>
      <c r="Q8" s="37"/>
      <c r="R8" s="37">
        <v>45714</v>
      </c>
      <c r="S8" s="180" t="s">
        <v>80</v>
      </c>
      <c r="T8" s="180" t="s">
        <v>80</v>
      </c>
      <c r="U8" s="180"/>
      <c r="V8" s="45" t="s">
        <v>101</v>
      </c>
      <c r="W8" s="35" t="s">
        <v>89</v>
      </c>
      <c r="X8" s="35"/>
      <c r="Y8" s="35"/>
      <c r="Z8" s="35" t="s">
        <v>102</v>
      </c>
      <c r="AA8" s="45">
        <v>40</v>
      </c>
      <c r="AB8" s="45">
        <f t="shared" ref="AB8:AB71" si="6">AA8-I8</f>
        <v>0</v>
      </c>
      <c r="AC8" s="37"/>
      <c r="AD8" s="37"/>
      <c r="AE8" s="35" t="s">
        <v>93</v>
      </c>
      <c r="AF8" s="35"/>
      <c r="AG8" s="52"/>
      <c r="AH8" s="52"/>
      <c r="AI8" s="52"/>
      <c r="AJ8" s="52"/>
      <c r="AK8" s="52"/>
      <c r="AL8" s="52"/>
      <c r="AM8" s="52"/>
      <c r="AN8" s="52"/>
      <c r="AO8" s="52"/>
      <c r="AP8" s="52"/>
      <c r="AQ8" s="52"/>
      <c r="AR8" s="52"/>
      <c r="AS8" s="52"/>
      <c r="AT8" s="52">
        <f>I8</f>
        <v>40</v>
      </c>
      <c r="AU8" s="52"/>
      <c r="AV8" s="52"/>
      <c r="AW8" s="52"/>
      <c r="AX8" s="52"/>
      <c r="AY8" s="52"/>
      <c r="AZ8" s="52"/>
      <c r="BA8" s="52"/>
      <c r="BB8" s="52"/>
      <c r="BC8" s="52"/>
      <c r="BD8" s="52"/>
      <c r="BE8" s="52"/>
      <c r="BF8" s="52"/>
      <c r="BG8" s="52"/>
      <c r="BH8" s="52"/>
      <c r="BI8" s="52"/>
      <c r="BJ8" s="58"/>
      <c r="BK8" s="58"/>
      <c r="BL8" s="58"/>
      <c r="BM8" s="58"/>
      <c r="BN8" s="58"/>
      <c r="BO8" s="58"/>
      <c r="BP8" s="58"/>
      <c r="BQ8" s="58"/>
      <c r="BR8" s="58"/>
      <c r="BT8" s="225">
        <f t="shared" ref="BT8:CB8" si="7">BT7-BJ8</f>
        <v>113832</v>
      </c>
      <c r="BU8" s="225">
        <f t="shared" si="7"/>
        <v>113832</v>
      </c>
      <c r="BV8" s="225">
        <f t="shared" si="7"/>
        <v>113832</v>
      </c>
      <c r="BW8" s="225">
        <f t="shared" si="7"/>
        <v>113832</v>
      </c>
      <c r="BX8" s="225">
        <f t="shared" si="7"/>
        <v>113832</v>
      </c>
      <c r="BY8" s="225">
        <f t="shared" si="7"/>
        <v>113832</v>
      </c>
      <c r="BZ8" s="225">
        <f t="shared" si="7"/>
        <v>113832</v>
      </c>
      <c r="CA8" s="225">
        <f t="shared" si="7"/>
        <v>113832</v>
      </c>
      <c r="CB8" s="225">
        <f t="shared" si="7"/>
        <v>19377</v>
      </c>
    </row>
    <row r="9" s="4" customFormat="1" ht="27" hidden="1" customHeight="1" spans="1:80">
      <c r="A9" s="18">
        <v>45714</v>
      </c>
      <c r="B9" s="19"/>
      <c r="C9" s="20"/>
      <c r="D9" s="21" t="s">
        <v>99</v>
      </c>
      <c r="E9" s="20"/>
      <c r="F9" s="19"/>
      <c r="G9" s="22" t="s">
        <v>78</v>
      </c>
      <c r="H9" s="34" t="s">
        <v>100</v>
      </c>
      <c r="I9" s="34">
        <v>40</v>
      </c>
      <c r="J9" s="178">
        <v>0</v>
      </c>
      <c r="K9" s="34">
        <v>40</v>
      </c>
      <c r="L9" s="178">
        <f t="shared" si="0"/>
        <v>1</v>
      </c>
      <c r="M9" s="35">
        <v>45726</v>
      </c>
      <c r="N9" s="35">
        <v>45722</v>
      </c>
      <c r="O9" s="37"/>
      <c r="P9" s="37"/>
      <c r="Q9" s="37"/>
      <c r="R9" s="37">
        <v>45714</v>
      </c>
      <c r="S9" s="180" t="s">
        <v>80</v>
      </c>
      <c r="T9" s="180" t="s">
        <v>80</v>
      </c>
      <c r="U9" s="180"/>
      <c r="V9" s="45" t="s">
        <v>101</v>
      </c>
      <c r="W9" s="35" t="s">
        <v>89</v>
      </c>
      <c r="X9" s="258"/>
      <c r="Y9" s="34"/>
      <c r="Z9" s="35" t="s">
        <v>102</v>
      </c>
      <c r="AA9" s="45">
        <v>40</v>
      </c>
      <c r="AB9" s="45">
        <f t="shared" si="6"/>
        <v>0</v>
      </c>
      <c r="AC9" s="37"/>
      <c r="AD9" s="37"/>
      <c r="AE9" s="35" t="s">
        <v>93</v>
      </c>
      <c r="AF9" s="35"/>
      <c r="AG9" s="52"/>
      <c r="AH9" s="52"/>
      <c r="AI9" s="52"/>
      <c r="AJ9" s="52"/>
      <c r="AK9" s="52"/>
      <c r="AL9" s="52"/>
      <c r="AM9" s="52"/>
      <c r="AN9" s="52"/>
      <c r="AO9" s="52"/>
      <c r="AP9" s="52"/>
      <c r="AQ9" s="52">
        <f>I9</f>
        <v>40</v>
      </c>
      <c r="AR9" s="52"/>
      <c r="AS9" s="52"/>
      <c r="AT9" s="52"/>
      <c r="AU9" s="52"/>
      <c r="AV9" s="52"/>
      <c r="AW9" s="52"/>
      <c r="AX9" s="52"/>
      <c r="AY9" s="52"/>
      <c r="AZ9" s="52"/>
      <c r="BA9" s="52"/>
      <c r="BB9" s="52"/>
      <c r="BC9" s="52"/>
      <c r="BD9" s="52"/>
      <c r="BE9" s="52"/>
      <c r="BF9" s="52"/>
      <c r="BG9" s="52"/>
      <c r="BH9" s="52"/>
      <c r="BI9" s="52"/>
      <c r="BJ9" s="58"/>
      <c r="BK9" s="58"/>
      <c r="BL9" s="58"/>
      <c r="BM9" s="58"/>
      <c r="BN9" s="58"/>
      <c r="BO9" s="58"/>
      <c r="BP9" s="58"/>
      <c r="BQ9" s="58"/>
      <c r="BR9" s="58"/>
      <c r="BT9" s="225">
        <f t="shared" ref="BT9:CB9" si="8">BT8-BJ9</f>
        <v>113832</v>
      </c>
      <c r="BU9" s="225">
        <f t="shared" si="8"/>
        <v>113832</v>
      </c>
      <c r="BV9" s="225">
        <f t="shared" si="8"/>
        <v>113832</v>
      </c>
      <c r="BW9" s="225">
        <f t="shared" si="8"/>
        <v>113832</v>
      </c>
      <c r="BX9" s="225">
        <f t="shared" si="8"/>
        <v>113832</v>
      </c>
      <c r="BY9" s="225">
        <f t="shared" si="8"/>
        <v>113832</v>
      </c>
      <c r="BZ9" s="225">
        <f t="shared" si="8"/>
        <v>113832</v>
      </c>
      <c r="CA9" s="225">
        <f t="shared" si="8"/>
        <v>113832</v>
      </c>
      <c r="CB9" s="225">
        <f t="shared" si="8"/>
        <v>19377</v>
      </c>
    </row>
    <row r="10" s="234" customFormat="1" ht="27" hidden="1" customHeight="1" spans="1:80">
      <c r="A10" s="236">
        <v>45680</v>
      </c>
      <c r="B10" s="237" t="s">
        <v>103</v>
      </c>
      <c r="C10" s="238" t="s">
        <v>104</v>
      </c>
      <c r="D10" s="239">
        <v>4500156526</v>
      </c>
      <c r="E10" s="238">
        <v>83574</v>
      </c>
      <c r="F10" s="237" t="s">
        <v>105</v>
      </c>
      <c r="G10" s="240" t="s">
        <v>78</v>
      </c>
      <c r="H10" s="237" t="s">
        <v>79</v>
      </c>
      <c r="I10" s="247">
        <v>3618</v>
      </c>
      <c r="J10" s="247">
        <v>0</v>
      </c>
      <c r="K10" s="247">
        <v>54</v>
      </c>
      <c r="L10" s="247">
        <f t="shared" si="0"/>
        <v>67</v>
      </c>
      <c r="M10" s="248">
        <v>45730</v>
      </c>
      <c r="N10" s="248">
        <v>45726</v>
      </c>
      <c r="O10" s="249" t="s">
        <v>106</v>
      </c>
      <c r="P10" s="212" t="s">
        <v>107</v>
      </c>
      <c r="Q10" s="212" t="s">
        <v>108</v>
      </c>
      <c r="R10" s="212">
        <v>45680</v>
      </c>
      <c r="S10" s="212" t="s">
        <v>80</v>
      </c>
      <c r="T10" s="212" t="s">
        <v>109</v>
      </c>
      <c r="U10" s="212"/>
      <c r="V10" s="259" t="s">
        <v>110</v>
      </c>
      <c r="W10" s="248" t="s">
        <v>111</v>
      </c>
      <c r="X10" s="260">
        <v>0.9779</v>
      </c>
      <c r="Y10" s="247">
        <f t="shared" ref="Y10:Y16" si="9">X10*I10</f>
        <v>3538.0422</v>
      </c>
      <c r="Z10" s="265" t="s">
        <v>112</v>
      </c>
      <c r="AA10" s="259">
        <f>3101+75</f>
        <v>3176</v>
      </c>
      <c r="AB10" s="259">
        <f t="shared" si="6"/>
        <v>-442</v>
      </c>
      <c r="AC10" s="212" t="s">
        <v>113</v>
      </c>
      <c r="AD10" s="212" t="s">
        <v>114</v>
      </c>
      <c r="AE10" s="248" t="s">
        <v>78</v>
      </c>
      <c r="AF10" s="248" t="s">
        <v>115</v>
      </c>
      <c r="AG10" s="267">
        <f t="shared" ref="AG10:AG18" si="10">I10</f>
        <v>3618</v>
      </c>
      <c r="AH10" s="267">
        <f>I10</f>
        <v>3618</v>
      </c>
      <c r="AI10" s="267"/>
      <c r="AJ10" s="267"/>
      <c r="AK10" s="267">
        <f>I10</f>
        <v>3618</v>
      </c>
      <c r="AL10" s="267"/>
      <c r="AM10" s="267"/>
      <c r="AN10" s="267">
        <f t="shared" ref="AN10:AN18" si="11">I10</f>
        <v>3618</v>
      </c>
      <c r="AO10" s="267"/>
      <c r="AP10" s="267"/>
      <c r="AQ10" s="267">
        <f>I10/27</f>
        <v>134</v>
      </c>
      <c r="AR10" s="267"/>
      <c r="AS10" s="267"/>
      <c r="AT10" s="267"/>
      <c r="AU10" s="267"/>
      <c r="AV10" s="267"/>
      <c r="AW10" s="267"/>
      <c r="AX10" s="267"/>
      <c r="AY10" s="267"/>
      <c r="AZ10" s="267"/>
      <c r="BA10" s="267"/>
      <c r="BB10" s="267"/>
      <c r="BC10" s="267"/>
      <c r="BD10" s="267"/>
      <c r="BE10" s="267"/>
      <c r="BF10" s="267"/>
      <c r="BG10" s="267"/>
      <c r="BH10" s="267"/>
      <c r="BI10" s="267"/>
      <c r="BJ10" s="269">
        <f t="shared" ref="BJ10:BR10" si="12">$I10*BJ$2</f>
        <v>442.828124999999</v>
      </c>
      <c r="BK10" s="269">
        <f t="shared" si="12"/>
        <v>442.828124999999</v>
      </c>
      <c r="BL10" s="269">
        <f t="shared" si="12"/>
        <v>442.828124999999</v>
      </c>
      <c r="BM10" s="269">
        <f t="shared" si="12"/>
        <v>442.828124999999</v>
      </c>
      <c r="BN10" s="269">
        <f t="shared" si="12"/>
        <v>442.828124999999</v>
      </c>
      <c r="BO10" s="269">
        <f t="shared" si="12"/>
        <v>442.828124999999</v>
      </c>
      <c r="BP10" s="269">
        <f t="shared" si="12"/>
        <v>442.828124999999</v>
      </c>
      <c r="BQ10" s="269">
        <f t="shared" si="12"/>
        <v>442.828124999999</v>
      </c>
      <c r="BR10" s="269">
        <f t="shared" si="12"/>
        <v>75.3749999999999</v>
      </c>
      <c r="BT10" s="269">
        <f t="shared" ref="BT10:CB10" si="13">BT9-BJ10</f>
        <v>113389.171875</v>
      </c>
      <c r="BU10" s="269">
        <f t="shared" si="13"/>
        <v>113389.171875</v>
      </c>
      <c r="BV10" s="269">
        <f t="shared" si="13"/>
        <v>113389.171875</v>
      </c>
      <c r="BW10" s="269">
        <f t="shared" si="13"/>
        <v>113389.171875</v>
      </c>
      <c r="BX10" s="269">
        <f t="shared" si="13"/>
        <v>113389.171875</v>
      </c>
      <c r="BY10" s="269">
        <f t="shared" si="13"/>
        <v>113389.171875</v>
      </c>
      <c r="BZ10" s="269">
        <f t="shared" si="13"/>
        <v>113389.171875</v>
      </c>
      <c r="CA10" s="269">
        <f t="shared" si="13"/>
        <v>113389.171875</v>
      </c>
      <c r="CB10" s="269">
        <f t="shared" si="13"/>
        <v>19301.625</v>
      </c>
    </row>
    <row r="11" s="234" customFormat="1" ht="27" hidden="1" customHeight="1" spans="1:87">
      <c r="A11" s="236">
        <v>45701</v>
      </c>
      <c r="B11" s="237" t="s">
        <v>116</v>
      </c>
      <c r="C11" s="238" t="s">
        <v>117</v>
      </c>
      <c r="D11" s="239">
        <v>4500157378</v>
      </c>
      <c r="E11" s="238">
        <v>5200006139</v>
      </c>
      <c r="F11" s="237" t="s">
        <v>118</v>
      </c>
      <c r="G11" s="240" t="s">
        <v>119</v>
      </c>
      <c r="H11" s="237" t="s">
        <v>120</v>
      </c>
      <c r="I11" s="247">
        <v>492</v>
      </c>
      <c r="J11" s="247">
        <v>0</v>
      </c>
      <c r="K11" s="247">
        <v>12</v>
      </c>
      <c r="L11" s="247">
        <f t="shared" si="0"/>
        <v>41</v>
      </c>
      <c r="M11" s="248">
        <v>45734</v>
      </c>
      <c r="N11" s="248">
        <v>45730</v>
      </c>
      <c r="O11" s="212"/>
      <c r="P11" s="212" t="s">
        <v>107</v>
      </c>
      <c r="Q11" s="212" t="s">
        <v>121</v>
      </c>
      <c r="R11" s="212" t="s">
        <v>122</v>
      </c>
      <c r="S11" s="212" t="s">
        <v>80</v>
      </c>
      <c r="T11" s="212" t="s">
        <v>123</v>
      </c>
      <c r="U11" s="212"/>
      <c r="V11" s="259" t="s">
        <v>124</v>
      </c>
      <c r="W11" s="248" t="s">
        <v>125</v>
      </c>
      <c r="X11" s="260">
        <v>2.09</v>
      </c>
      <c r="Y11" s="247">
        <f t="shared" si="9"/>
        <v>1028.28</v>
      </c>
      <c r="Z11" s="265" t="s">
        <v>126</v>
      </c>
      <c r="AA11" s="259">
        <v>492</v>
      </c>
      <c r="AB11" s="259">
        <f t="shared" si="6"/>
        <v>0</v>
      </c>
      <c r="AC11" s="212" t="s">
        <v>113</v>
      </c>
      <c r="AD11" s="212" t="s">
        <v>114</v>
      </c>
      <c r="AE11" s="248" t="s">
        <v>119</v>
      </c>
      <c r="AF11" s="248" t="s">
        <v>115</v>
      </c>
      <c r="AG11" s="267">
        <f>I11*2</f>
        <v>984</v>
      </c>
      <c r="AH11" s="267">
        <f>I11*2</f>
        <v>984</v>
      </c>
      <c r="AI11" s="267"/>
      <c r="AJ11" s="267"/>
      <c r="AK11" s="267">
        <f>I11*2</f>
        <v>984</v>
      </c>
      <c r="AL11" s="267"/>
      <c r="AM11" s="267"/>
      <c r="AN11" s="267">
        <f>I11*2</f>
        <v>984</v>
      </c>
      <c r="AO11" s="267"/>
      <c r="AP11" s="267"/>
      <c r="AQ11" s="267"/>
      <c r="AR11" s="267"/>
      <c r="AS11" s="267"/>
      <c r="AT11" s="267"/>
      <c r="AU11" s="267"/>
      <c r="AV11" s="267"/>
      <c r="AW11" s="267"/>
      <c r="AX11" s="267"/>
      <c r="AY11" s="267"/>
      <c r="AZ11" s="267"/>
      <c r="BA11" s="267"/>
      <c r="BB11" s="267"/>
      <c r="BC11" s="267"/>
      <c r="BD11" s="267"/>
      <c r="BE11" s="267"/>
      <c r="BF11" s="267">
        <f>I11</f>
        <v>492</v>
      </c>
      <c r="BG11" s="267">
        <f>I11</f>
        <v>492</v>
      </c>
      <c r="BH11" s="267"/>
      <c r="BI11" s="267"/>
      <c r="BJ11" s="269">
        <f t="shared" ref="BJ11:BR11" si="14">$I11*BJ$2*2</f>
        <v>120.4375</v>
      </c>
      <c r="BK11" s="269">
        <f t="shared" si="14"/>
        <v>120.4375</v>
      </c>
      <c r="BL11" s="269">
        <f t="shared" si="14"/>
        <v>120.4375</v>
      </c>
      <c r="BM11" s="269">
        <f t="shared" si="14"/>
        <v>120.4375</v>
      </c>
      <c r="BN11" s="269">
        <f t="shared" si="14"/>
        <v>120.4375</v>
      </c>
      <c r="BO11" s="269">
        <f t="shared" si="14"/>
        <v>120.4375</v>
      </c>
      <c r="BP11" s="269">
        <f t="shared" si="14"/>
        <v>120.4375</v>
      </c>
      <c r="BQ11" s="269">
        <f t="shared" si="14"/>
        <v>120.4375</v>
      </c>
      <c r="BR11" s="269">
        <f t="shared" si="14"/>
        <v>20.5</v>
      </c>
      <c r="BT11" s="269">
        <f t="shared" ref="BT11:CB11" si="15">BT10-BJ11</f>
        <v>113268.734375</v>
      </c>
      <c r="BU11" s="269">
        <f t="shared" si="15"/>
        <v>113268.734375</v>
      </c>
      <c r="BV11" s="269">
        <f t="shared" si="15"/>
        <v>113268.734375</v>
      </c>
      <c r="BW11" s="269">
        <f t="shared" si="15"/>
        <v>113268.734375</v>
      </c>
      <c r="BX11" s="269">
        <f t="shared" si="15"/>
        <v>113268.734375</v>
      </c>
      <c r="BY11" s="269">
        <f t="shared" si="15"/>
        <v>113268.734375</v>
      </c>
      <c r="BZ11" s="269">
        <f t="shared" si="15"/>
        <v>113268.734375</v>
      </c>
      <c r="CA11" s="269">
        <f t="shared" si="15"/>
        <v>113268.734375</v>
      </c>
      <c r="CB11" s="269">
        <f t="shared" si="15"/>
        <v>19281.125</v>
      </c>
      <c r="CD11" s="271" t="s">
        <v>127</v>
      </c>
      <c r="CE11" s="234">
        <v>10000</v>
      </c>
      <c r="CF11" s="234">
        <v>5000</v>
      </c>
      <c r="CH11" s="234">
        <f>CE11-I11</f>
        <v>9508</v>
      </c>
      <c r="CI11" s="234">
        <f>CF11-I11</f>
        <v>4508</v>
      </c>
    </row>
    <row r="12" s="234" customFormat="1" ht="27" hidden="1" customHeight="1" spans="1:80">
      <c r="A12" s="236">
        <v>45674</v>
      </c>
      <c r="B12" s="237" t="s">
        <v>128</v>
      </c>
      <c r="C12" s="238" t="s">
        <v>129</v>
      </c>
      <c r="D12" s="239">
        <v>4500156119</v>
      </c>
      <c r="E12" s="238"/>
      <c r="F12" s="237" t="s">
        <v>130</v>
      </c>
      <c r="G12" s="240" t="s">
        <v>131</v>
      </c>
      <c r="H12" s="237" t="s">
        <v>132</v>
      </c>
      <c r="I12" s="247">
        <v>10017</v>
      </c>
      <c r="J12" s="247">
        <v>0</v>
      </c>
      <c r="K12" s="247">
        <v>27</v>
      </c>
      <c r="L12" s="247">
        <f t="shared" si="0"/>
        <v>371</v>
      </c>
      <c r="M12" s="248">
        <v>45741</v>
      </c>
      <c r="N12" s="248">
        <v>45737</v>
      </c>
      <c r="O12" s="212"/>
      <c r="P12" s="212" t="s">
        <v>107</v>
      </c>
      <c r="Q12" s="212" t="s">
        <v>133</v>
      </c>
      <c r="R12" s="212">
        <v>45674</v>
      </c>
      <c r="S12" s="212" t="s">
        <v>80</v>
      </c>
      <c r="T12" s="212" t="s">
        <v>80</v>
      </c>
      <c r="U12" s="212"/>
      <c r="V12" s="259" t="s">
        <v>134</v>
      </c>
      <c r="W12" s="248" t="s">
        <v>135</v>
      </c>
      <c r="X12" s="260">
        <v>0.89</v>
      </c>
      <c r="Y12" s="247">
        <f t="shared" ref="Y12:Y14" si="16">I12*X12</f>
        <v>8915.13</v>
      </c>
      <c r="Z12" s="265" t="s">
        <v>136</v>
      </c>
      <c r="AA12" s="259">
        <v>10017</v>
      </c>
      <c r="AB12" s="259">
        <f t="shared" si="6"/>
        <v>0</v>
      </c>
      <c r="AC12" s="212" t="s">
        <v>80</v>
      </c>
      <c r="AD12" s="212" t="s">
        <v>114</v>
      </c>
      <c r="AE12" s="248" t="s">
        <v>137</v>
      </c>
      <c r="AF12" s="248" t="s">
        <v>115</v>
      </c>
      <c r="AG12" s="267">
        <f t="shared" si="10"/>
        <v>10017</v>
      </c>
      <c r="AH12" s="267"/>
      <c r="AI12" s="267"/>
      <c r="AJ12" s="267">
        <f t="shared" ref="AJ12:AJ14" si="17">I12</f>
        <v>10017</v>
      </c>
      <c r="AK12" s="267"/>
      <c r="AL12" s="267"/>
      <c r="AM12" s="267">
        <f t="shared" ref="AM12:AM14" si="18">I12</f>
        <v>10017</v>
      </c>
      <c r="AN12" s="267">
        <f t="shared" si="11"/>
        <v>10017</v>
      </c>
      <c r="AO12" s="267"/>
      <c r="AP12" s="267"/>
      <c r="AQ12" s="267"/>
      <c r="AR12" s="267">
        <f t="shared" ref="AR12:AR14" si="19">I12/27</f>
        <v>371</v>
      </c>
      <c r="AS12" s="267"/>
      <c r="AT12" s="267"/>
      <c r="AU12" s="267"/>
      <c r="AV12" s="267"/>
      <c r="AW12" s="267"/>
      <c r="AX12" s="267"/>
      <c r="AY12" s="267"/>
      <c r="AZ12" s="267"/>
      <c r="BA12" s="267"/>
      <c r="BB12" s="267"/>
      <c r="BC12" s="267"/>
      <c r="BD12" s="267"/>
      <c r="BE12" s="267"/>
      <c r="BF12" s="267"/>
      <c r="BG12" s="267"/>
      <c r="BH12" s="267"/>
      <c r="BI12" s="267"/>
      <c r="BJ12" s="269">
        <f t="shared" ref="BJ12:BR12" si="20">$I12*BJ$2</f>
        <v>1226.0390625</v>
      </c>
      <c r="BK12" s="269">
        <f t="shared" si="20"/>
        <v>1226.0390625</v>
      </c>
      <c r="BL12" s="269">
        <f t="shared" si="20"/>
        <v>1226.0390625</v>
      </c>
      <c r="BM12" s="269">
        <f t="shared" si="20"/>
        <v>1226.0390625</v>
      </c>
      <c r="BN12" s="269">
        <f t="shared" si="20"/>
        <v>1226.0390625</v>
      </c>
      <c r="BO12" s="269">
        <f t="shared" si="20"/>
        <v>1226.0390625</v>
      </c>
      <c r="BP12" s="269">
        <f t="shared" si="20"/>
        <v>1226.0390625</v>
      </c>
      <c r="BQ12" s="269">
        <f t="shared" si="20"/>
        <v>1226.0390625</v>
      </c>
      <c r="BR12" s="269">
        <f t="shared" si="20"/>
        <v>208.6875</v>
      </c>
      <c r="BT12" s="269">
        <f t="shared" ref="BT12:CB12" si="21">BT11-BJ12</f>
        <v>112042.6953125</v>
      </c>
      <c r="BU12" s="269">
        <f t="shared" si="21"/>
        <v>112042.6953125</v>
      </c>
      <c r="BV12" s="269">
        <f t="shared" si="21"/>
        <v>112042.6953125</v>
      </c>
      <c r="BW12" s="269">
        <f t="shared" si="21"/>
        <v>112042.6953125</v>
      </c>
      <c r="BX12" s="269">
        <f t="shared" si="21"/>
        <v>112042.6953125</v>
      </c>
      <c r="BY12" s="269">
        <f t="shared" si="21"/>
        <v>112042.6953125</v>
      </c>
      <c r="BZ12" s="269">
        <f t="shared" si="21"/>
        <v>112042.6953125</v>
      </c>
      <c r="CA12" s="269">
        <f t="shared" si="21"/>
        <v>112042.6953125</v>
      </c>
      <c r="CB12" s="269">
        <f t="shared" si="21"/>
        <v>19072.4375</v>
      </c>
    </row>
    <row r="13" s="234" customFormat="1" ht="27" hidden="1" customHeight="1" spans="1:80">
      <c r="A13" s="236">
        <v>45670</v>
      </c>
      <c r="B13" s="237" t="s">
        <v>138</v>
      </c>
      <c r="C13" s="238" t="s">
        <v>139</v>
      </c>
      <c r="D13" s="239">
        <v>4500155619</v>
      </c>
      <c r="E13" s="238" t="s">
        <v>140</v>
      </c>
      <c r="F13" s="237" t="s">
        <v>141</v>
      </c>
      <c r="G13" s="240" t="s">
        <v>131</v>
      </c>
      <c r="H13" s="237" t="s">
        <v>132</v>
      </c>
      <c r="I13" s="247">
        <v>8046</v>
      </c>
      <c r="J13" s="247">
        <v>0</v>
      </c>
      <c r="K13" s="247">
        <v>27</v>
      </c>
      <c r="L13" s="247">
        <v>298</v>
      </c>
      <c r="M13" s="248">
        <v>45741</v>
      </c>
      <c r="N13" s="248">
        <v>45737</v>
      </c>
      <c r="O13" s="212"/>
      <c r="P13" s="212" t="s">
        <v>107</v>
      </c>
      <c r="Q13" s="212" t="s">
        <v>142</v>
      </c>
      <c r="R13" s="212">
        <v>45670</v>
      </c>
      <c r="S13" s="212" t="s">
        <v>80</v>
      </c>
      <c r="T13" s="212" t="s">
        <v>80</v>
      </c>
      <c r="U13" s="212"/>
      <c r="V13" s="259" t="s">
        <v>143</v>
      </c>
      <c r="W13" s="248" t="s">
        <v>144</v>
      </c>
      <c r="X13" s="260">
        <v>0.89</v>
      </c>
      <c r="Y13" s="247">
        <f t="shared" si="16"/>
        <v>7160.94</v>
      </c>
      <c r="Z13" s="248" t="s">
        <v>145</v>
      </c>
      <c r="AA13" s="259">
        <f>7452+594</f>
        <v>8046</v>
      </c>
      <c r="AB13" s="259">
        <f t="shared" si="6"/>
        <v>0</v>
      </c>
      <c r="AC13" s="212" t="s">
        <v>80</v>
      </c>
      <c r="AD13" s="212" t="s">
        <v>114</v>
      </c>
      <c r="AE13" s="248" t="s">
        <v>137</v>
      </c>
      <c r="AF13" s="248" t="s">
        <v>115</v>
      </c>
      <c r="AG13" s="267">
        <f t="shared" si="10"/>
        <v>8046</v>
      </c>
      <c r="AH13" s="267"/>
      <c r="AI13" s="267"/>
      <c r="AJ13" s="267">
        <f t="shared" si="17"/>
        <v>8046</v>
      </c>
      <c r="AK13" s="267"/>
      <c r="AL13" s="267"/>
      <c r="AM13" s="267">
        <f t="shared" si="18"/>
        <v>8046</v>
      </c>
      <c r="AN13" s="267">
        <f t="shared" si="11"/>
        <v>8046</v>
      </c>
      <c r="AO13" s="267"/>
      <c r="AP13" s="267"/>
      <c r="AQ13" s="267"/>
      <c r="AR13" s="267">
        <f t="shared" si="19"/>
        <v>298</v>
      </c>
      <c r="AS13" s="267"/>
      <c r="AT13" s="267"/>
      <c r="AU13" s="267"/>
      <c r="AV13" s="267"/>
      <c r="AW13" s="267"/>
      <c r="AX13" s="267"/>
      <c r="AY13" s="267"/>
      <c r="AZ13" s="267"/>
      <c r="BA13" s="267"/>
      <c r="BB13" s="267"/>
      <c r="BC13" s="267"/>
      <c r="BD13" s="267"/>
      <c r="BE13" s="267"/>
      <c r="BF13" s="267"/>
      <c r="BG13" s="267"/>
      <c r="BH13" s="267"/>
      <c r="BI13" s="267"/>
      <c r="BJ13" s="269">
        <f t="shared" ref="BJ13:BR13" si="22">$I13*BJ$2</f>
        <v>984.796874999997</v>
      </c>
      <c r="BK13" s="269">
        <f t="shared" si="22"/>
        <v>984.796874999997</v>
      </c>
      <c r="BL13" s="269">
        <f t="shared" si="22"/>
        <v>984.796874999997</v>
      </c>
      <c r="BM13" s="269">
        <f t="shared" si="22"/>
        <v>984.796874999997</v>
      </c>
      <c r="BN13" s="269">
        <f t="shared" si="22"/>
        <v>984.796874999997</v>
      </c>
      <c r="BO13" s="269">
        <f t="shared" si="22"/>
        <v>984.796874999997</v>
      </c>
      <c r="BP13" s="269">
        <f t="shared" si="22"/>
        <v>984.796874999997</v>
      </c>
      <c r="BQ13" s="269">
        <f t="shared" si="22"/>
        <v>984.796874999997</v>
      </c>
      <c r="BR13" s="269">
        <f t="shared" si="22"/>
        <v>167.625</v>
      </c>
      <c r="BT13" s="269">
        <f t="shared" ref="BT13:CB13" si="23">BT12-BJ13</f>
        <v>111057.8984375</v>
      </c>
      <c r="BU13" s="269">
        <f t="shared" si="23"/>
        <v>111057.8984375</v>
      </c>
      <c r="BV13" s="269">
        <f t="shared" si="23"/>
        <v>111057.8984375</v>
      </c>
      <c r="BW13" s="269">
        <f t="shared" si="23"/>
        <v>111057.8984375</v>
      </c>
      <c r="BX13" s="269">
        <f t="shared" si="23"/>
        <v>111057.8984375</v>
      </c>
      <c r="BY13" s="269">
        <f t="shared" si="23"/>
        <v>111057.8984375</v>
      </c>
      <c r="BZ13" s="269">
        <f t="shared" si="23"/>
        <v>111057.8984375</v>
      </c>
      <c r="CA13" s="269">
        <f t="shared" si="23"/>
        <v>111057.8984375</v>
      </c>
      <c r="CB13" s="269">
        <f t="shared" si="23"/>
        <v>18904.8125</v>
      </c>
    </row>
    <row r="14" s="234" customFormat="1" ht="27" hidden="1" customHeight="1" spans="1:80">
      <c r="A14" s="236">
        <v>45670</v>
      </c>
      <c r="B14" s="237" t="s">
        <v>138</v>
      </c>
      <c r="C14" s="238" t="s">
        <v>139</v>
      </c>
      <c r="D14" s="239">
        <v>4500155619</v>
      </c>
      <c r="E14" s="238" t="s">
        <v>146</v>
      </c>
      <c r="F14" s="237" t="s">
        <v>147</v>
      </c>
      <c r="G14" s="240" t="s">
        <v>131</v>
      </c>
      <c r="H14" s="237" t="s">
        <v>132</v>
      </c>
      <c r="I14" s="247">
        <v>2052</v>
      </c>
      <c r="J14" s="247">
        <v>0</v>
      </c>
      <c r="K14" s="247">
        <v>27</v>
      </c>
      <c r="L14" s="247">
        <f t="shared" ref="L14:L77" si="24">I14/K14</f>
        <v>76</v>
      </c>
      <c r="M14" s="248">
        <v>45741</v>
      </c>
      <c r="N14" s="248">
        <v>45737</v>
      </c>
      <c r="O14" s="212"/>
      <c r="P14" s="212" t="s">
        <v>107</v>
      </c>
      <c r="Q14" s="212" t="s">
        <v>133</v>
      </c>
      <c r="R14" s="212">
        <v>45670</v>
      </c>
      <c r="S14" s="212" t="s">
        <v>80</v>
      </c>
      <c r="T14" s="212" t="s">
        <v>80</v>
      </c>
      <c r="U14" s="212"/>
      <c r="V14" s="259" t="s">
        <v>143</v>
      </c>
      <c r="W14" s="248" t="s">
        <v>144</v>
      </c>
      <c r="X14" s="260">
        <v>0.89</v>
      </c>
      <c r="Y14" s="247">
        <f t="shared" si="16"/>
        <v>1826.28</v>
      </c>
      <c r="Z14" s="248" t="s">
        <v>148</v>
      </c>
      <c r="AA14" s="259">
        <v>2052</v>
      </c>
      <c r="AB14" s="259">
        <f t="shared" si="6"/>
        <v>0</v>
      </c>
      <c r="AC14" s="212" t="s">
        <v>80</v>
      </c>
      <c r="AD14" s="212" t="s">
        <v>114</v>
      </c>
      <c r="AE14" s="248" t="s">
        <v>137</v>
      </c>
      <c r="AF14" s="248" t="s">
        <v>115</v>
      </c>
      <c r="AG14" s="267">
        <f t="shared" si="10"/>
        <v>2052</v>
      </c>
      <c r="AH14" s="267"/>
      <c r="AI14" s="267"/>
      <c r="AJ14" s="267">
        <f t="shared" si="17"/>
        <v>2052</v>
      </c>
      <c r="AK14" s="267"/>
      <c r="AL14" s="267"/>
      <c r="AM14" s="267">
        <f t="shared" si="18"/>
        <v>2052</v>
      </c>
      <c r="AN14" s="267">
        <f t="shared" si="11"/>
        <v>2052</v>
      </c>
      <c r="AO14" s="267"/>
      <c r="AP14" s="267"/>
      <c r="AQ14" s="267"/>
      <c r="AR14" s="267">
        <f t="shared" si="19"/>
        <v>76</v>
      </c>
      <c r="AS14" s="267"/>
      <c r="AT14" s="267"/>
      <c r="AU14" s="267"/>
      <c r="AV14" s="267"/>
      <c r="AW14" s="267"/>
      <c r="AX14" s="267"/>
      <c r="AY14" s="267"/>
      <c r="AZ14" s="267"/>
      <c r="BA14" s="267"/>
      <c r="BB14" s="267"/>
      <c r="BC14" s="267"/>
      <c r="BD14" s="267"/>
      <c r="BE14" s="267"/>
      <c r="BF14" s="267"/>
      <c r="BG14" s="267"/>
      <c r="BH14" s="267"/>
      <c r="BI14" s="267"/>
      <c r="BJ14" s="269">
        <f t="shared" ref="BJ14:BR14" si="25">$I14*BJ$2</f>
        <v>251.156249999999</v>
      </c>
      <c r="BK14" s="269">
        <f t="shared" si="25"/>
        <v>251.156249999999</v>
      </c>
      <c r="BL14" s="269">
        <f t="shared" si="25"/>
        <v>251.156249999999</v>
      </c>
      <c r="BM14" s="269">
        <f t="shared" si="25"/>
        <v>251.156249999999</v>
      </c>
      <c r="BN14" s="269">
        <f t="shared" si="25"/>
        <v>251.156249999999</v>
      </c>
      <c r="BO14" s="269">
        <f t="shared" si="25"/>
        <v>251.156249999999</v>
      </c>
      <c r="BP14" s="269">
        <f t="shared" si="25"/>
        <v>251.156249999999</v>
      </c>
      <c r="BQ14" s="269">
        <f t="shared" si="25"/>
        <v>251.156249999999</v>
      </c>
      <c r="BR14" s="269">
        <f t="shared" si="25"/>
        <v>42.7499999999999</v>
      </c>
      <c r="BT14" s="269">
        <f t="shared" ref="BT14:CB14" si="26">BT13-BJ14</f>
        <v>110806.7421875</v>
      </c>
      <c r="BU14" s="269">
        <f t="shared" si="26"/>
        <v>110806.7421875</v>
      </c>
      <c r="BV14" s="269">
        <f t="shared" si="26"/>
        <v>110806.7421875</v>
      </c>
      <c r="BW14" s="269">
        <f t="shared" si="26"/>
        <v>110806.7421875</v>
      </c>
      <c r="BX14" s="269">
        <f t="shared" si="26"/>
        <v>110806.7421875</v>
      </c>
      <c r="BY14" s="269">
        <f t="shared" si="26"/>
        <v>110806.7421875</v>
      </c>
      <c r="BZ14" s="269">
        <f t="shared" si="26"/>
        <v>110806.7421875</v>
      </c>
      <c r="CA14" s="269">
        <f t="shared" si="26"/>
        <v>110806.7421875</v>
      </c>
      <c r="CB14" s="269">
        <f t="shared" si="26"/>
        <v>18862.0625</v>
      </c>
    </row>
    <row r="15" s="235" customFormat="1" ht="27" hidden="1" customHeight="1" spans="1:80">
      <c r="A15" s="241">
        <v>45705</v>
      </c>
      <c r="B15" s="242" t="s">
        <v>149</v>
      </c>
      <c r="C15" s="243" t="s">
        <v>117</v>
      </c>
      <c r="D15" s="244">
        <v>4500157763</v>
      </c>
      <c r="E15" s="243" t="s">
        <v>150</v>
      </c>
      <c r="F15" s="242" t="s">
        <v>151</v>
      </c>
      <c r="G15" s="245" t="s">
        <v>152</v>
      </c>
      <c r="H15" s="242" t="s">
        <v>153</v>
      </c>
      <c r="I15" s="250">
        <v>18720</v>
      </c>
      <c r="J15" s="250">
        <v>0</v>
      </c>
      <c r="K15" s="250">
        <v>13</v>
      </c>
      <c r="L15" s="250">
        <f t="shared" si="24"/>
        <v>1440</v>
      </c>
      <c r="M15" s="251">
        <v>45770</v>
      </c>
      <c r="N15" s="251">
        <v>45766</v>
      </c>
      <c r="O15" s="252"/>
      <c r="P15" s="253" t="s">
        <v>107</v>
      </c>
      <c r="Q15" s="252" t="s">
        <v>154</v>
      </c>
      <c r="R15" s="252">
        <v>45705</v>
      </c>
      <c r="S15" s="252" t="s">
        <v>80</v>
      </c>
      <c r="T15" s="252" t="s">
        <v>155</v>
      </c>
      <c r="U15" s="252" t="s">
        <v>156</v>
      </c>
      <c r="V15" s="261" t="s">
        <v>157</v>
      </c>
      <c r="W15" s="251" t="s">
        <v>158</v>
      </c>
      <c r="X15" s="260">
        <v>0.765</v>
      </c>
      <c r="Y15" s="250">
        <f t="shared" si="9"/>
        <v>14320.8</v>
      </c>
      <c r="Z15" s="251" t="s">
        <v>159</v>
      </c>
      <c r="AA15" s="261">
        <v>18720</v>
      </c>
      <c r="AB15" s="261">
        <f t="shared" si="6"/>
        <v>0</v>
      </c>
      <c r="AC15" s="252" t="s">
        <v>113</v>
      </c>
      <c r="AD15" s="252" t="s">
        <v>114</v>
      </c>
      <c r="AE15" s="251" t="s">
        <v>152</v>
      </c>
      <c r="AF15" s="251" t="s">
        <v>115</v>
      </c>
      <c r="AG15" s="268">
        <f t="shared" si="10"/>
        <v>18720</v>
      </c>
      <c r="AH15" s="268">
        <f t="shared" ref="AH15:AH18" si="27">I15</f>
        <v>18720</v>
      </c>
      <c r="AI15" s="268"/>
      <c r="AJ15" s="268"/>
      <c r="AK15" s="268">
        <f t="shared" ref="AK15:AK18" si="28">I15</f>
        <v>18720</v>
      </c>
      <c r="AL15" s="268"/>
      <c r="AM15" s="268"/>
      <c r="AN15" s="268">
        <f t="shared" si="11"/>
        <v>18720</v>
      </c>
      <c r="AO15" s="268"/>
      <c r="AP15" s="268"/>
      <c r="AQ15" s="268"/>
      <c r="AR15" s="268"/>
      <c r="AS15" s="268"/>
      <c r="AT15" s="268">
        <f>I15/13</f>
        <v>1440</v>
      </c>
      <c r="AU15" s="268"/>
      <c r="AV15" s="268"/>
      <c r="AW15" s="268"/>
      <c r="AX15" s="268"/>
      <c r="AY15" s="268"/>
      <c r="AZ15" s="268"/>
      <c r="BA15" s="268"/>
      <c r="BB15" s="268"/>
      <c r="BC15" s="268"/>
      <c r="BD15" s="268"/>
      <c r="BE15" s="268"/>
      <c r="BF15" s="268"/>
      <c r="BG15" s="268"/>
      <c r="BH15" s="268"/>
      <c r="BI15" s="268"/>
      <c r="BJ15" s="60">
        <f t="shared" ref="BJ15:BR15" si="29">$I15*BJ$2</f>
        <v>2291.24999999999</v>
      </c>
      <c r="BK15" s="60">
        <f t="shared" si="29"/>
        <v>2291.24999999999</v>
      </c>
      <c r="BL15" s="60">
        <f t="shared" si="29"/>
        <v>2291.24999999999</v>
      </c>
      <c r="BM15" s="60">
        <f t="shared" si="29"/>
        <v>2291.24999999999</v>
      </c>
      <c r="BN15" s="60">
        <f t="shared" si="29"/>
        <v>2291.24999999999</v>
      </c>
      <c r="BO15" s="60">
        <f t="shared" si="29"/>
        <v>2291.24999999999</v>
      </c>
      <c r="BP15" s="60">
        <f t="shared" si="29"/>
        <v>2291.24999999999</v>
      </c>
      <c r="BQ15" s="60">
        <f t="shared" si="29"/>
        <v>2291.24999999999</v>
      </c>
      <c r="BR15" s="60">
        <f t="shared" si="29"/>
        <v>389.999999999999</v>
      </c>
      <c r="BT15" s="60">
        <f t="shared" ref="BT15:CB15" si="30">BT14-BJ15</f>
        <v>108515.4921875</v>
      </c>
      <c r="BU15" s="60">
        <f t="shared" si="30"/>
        <v>108515.4921875</v>
      </c>
      <c r="BV15" s="60">
        <f t="shared" si="30"/>
        <v>108515.4921875</v>
      </c>
      <c r="BW15" s="60">
        <f t="shared" si="30"/>
        <v>108515.4921875</v>
      </c>
      <c r="BX15" s="60">
        <f t="shared" si="30"/>
        <v>108515.4921875</v>
      </c>
      <c r="BY15" s="60">
        <f t="shared" si="30"/>
        <v>108515.4921875</v>
      </c>
      <c r="BZ15" s="60">
        <f t="shared" si="30"/>
        <v>108515.4921875</v>
      </c>
      <c r="CA15" s="60">
        <f t="shared" si="30"/>
        <v>108515.4921875</v>
      </c>
      <c r="CB15" s="60">
        <f t="shared" si="30"/>
        <v>18472.0625</v>
      </c>
    </row>
    <row r="16" s="235" customFormat="1" ht="27" hidden="1" customHeight="1" spans="1:80">
      <c r="A16" s="241">
        <v>45713</v>
      </c>
      <c r="B16" s="242" t="s">
        <v>160</v>
      </c>
      <c r="C16" s="243" t="s">
        <v>161</v>
      </c>
      <c r="D16" s="244">
        <v>4500158563</v>
      </c>
      <c r="E16" s="243" t="s">
        <v>162</v>
      </c>
      <c r="F16" s="242" t="s">
        <v>163</v>
      </c>
      <c r="G16" s="245" t="s">
        <v>78</v>
      </c>
      <c r="H16" s="242" t="s">
        <v>79</v>
      </c>
      <c r="I16" s="250">
        <v>2052</v>
      </c>
      <c r="J16" s="250">
        <v>0</v>
      </c>
      <c r="K16" s="250">
        <v>54</v>
      </c>
      <c r="L16" s="250">
        <f t="shared" si="24"/>
        <v>38</v>
      </c>
      <c r="M16" s="251">
        <v>45749</v>
      </c>
      <c r="N16" s="251">
        <v>45745</v>
      </c>
      <c r="O16" s="252"/>
      <c r="P16" s="253" t="s">
        <v>107</v>
      </c>
      <c r="Q16" s="252" t="s">
        <v>164</v>
      </c>
      <c r="R16" s="252">
        <v>45719</v>
      </c>
      <c r="S16" s="252" t="s">
        <v>80</v>
      </c>
      <c r="T16" s="252" t="s">
        <v>165</v>
      </c>
      <c r="U16" s="252"/>
      <c r="V16" s="261" t="s">
        <v>166</v>
      </c>
      <c r="W16" s="251" t="s">
        <v>167</v>
      </c>
      <c r="X16" s="260">
        <v>0.8048</v>
      </c>
      <c r="Y16" s="250">
        <f t="shared" si="9"/>
        <v>1651.4496</v>
      </c>
      <c r="Z16" s="251" t="s">
        <v>168</v>
      </c>
      <c r="AA16" s="261">
        <v>2052</v>
      </c>
      <c r="AB16" s="261">
        <f t="shared" si="6"/>
        <v>0</v>
      </c>
      <c r="AC16" s="252" t="s">
        <v>113</v>
      </c>
      <c r="AD16" s="252" t="s">
        <v>114</v>
      </c>
      <c r="AE16" s="251" t="s">
        <v>78</v>
      </c>
      <c r="AF16" s="251" t="s">
        <v>115</v>
      </c>
      <c r="AG16" s="268">
        <f t="shared" si="10"/>
        <v>2052</v>
      </c>
      <c r="AH16" s="268">
        <f t="shared" si="27"/>
        <v>2052</v>
      </c>
      <c r="AI16" s="268"/>
      <c r="AJ16" s="268"/>
      <c r="AK16" s="268">
        <f t="shared" si="28"/>
        <v>2052</v>
      </c>
      <c r="AL16" s="268"/>
      <c r="AM16" s="268"/>
      <c r="AN16" s="268">
        <f t="shared" si="11"/>
        <v>2052</v>
      </c>
      <c r="AO16" s="268"/>
      <c r="AP16" s="268"/>
      <c r="AQ16" s="268">
        <f>I16/27</f>
        <v>76</v>
      </c>
      <c r="AR16" s="268"/>
      <c r="AS16" s="268"/>
      <c r="AT16" s="268"/>
      <c r="AU16" s="268"/>
      <c r="AV16" s="268"/>
      <c r="AW16" s="268"/>
      <c r="AX16" s="268"/>
      <c r="AY16" s="268"/>
      <c r="AZ16" s="268"/>
      <c r="BA16" s="268"/>
      <c r="BB16" s="268"/>
      <c r="BC16" s="268"/>
      <c r="BD16" s="268"/>
      <c r="BE16" s="268"/>
      <c r="BF16" s="268"/>
      <c r="BG16" s="268"/>
      <c r="BH16" s="268"/>
      <c r="BI16" s="60"/>
      <c r="BJ16" s="269">
        <f t="shared" ref="BJ16:BR16" si="31">$I16*BJ$2</f>
        <v>251.156249999999</v>
      </c>
      <c r="BK16" s="269">
        <f t="shared" si="31"/>
        <v>251.156249999999</v>
      </c>
      <c r="BL16" s="269">
        <f t="shared" si="31"/>
        <v>251.156249999999</v>
      </c>
      <c r="BM16" s="269">
        <f t="shared" si="31"/>
        <v>251.156249999999</v>
      </c>
      <c r="BN16" s="269">
        <f t="shared" si="31"/>
        <v>251.156249999999</v>
      </c>
      <c r="BO16" s="269">
        <f t="shared" si="31"/>
        <v>251.156249999999</v>
      </c>
      <c r="BP16" s="269">
        <f t="shared" si="31"/>
        <v>251.156249999999</v>
      </c>
      <c r="BQ16" s="269">
        <f t="shared" si="31"/>
        <v>251.156249999999</v>
      </c>
      <c r="BR16" s="269">
        <f t="shared" si="31"/>
        <v>42.7499999999999</v>
      </c>
      <c r="BS16" s="60"/>
      <c r="BT16" s="60">
        <f t="shared" ref="BT16:CB16" si="32">BT15-BJ16</f>
        <v>108264.3359375</v>
      </c>
      <c r="BU16" s="60">
        <f t="shared" si="32"/>
        <v>108264.3359375</v>
      </c>
      <c r="BV16" s="60">
        <f t="shared" si="32"/>
        <v>108264.3359375</v>
      </c>
      <c r="BW16" s="60">
        <f t="shared" si="32"/>
        <v>108264.3359375</v>
      </c>
      <c r="BX16" s="60">
        <f t="shared" si="32"/>
        <v>108264.3359375</v>
      </c>
      <c r="BY16" s="60">
        <f t="shared" si="32"/>
        <v>108264.3359375</v>
      </c>
      <c r="BZ16" s="60">
        <f t="shared" si="32"/>
        <v>108264.3359375</v>
      </c>
      <c r="CA16" s="60">
        <f t="shared" si="32"/>
        <v>108264.3359375</v>
      </c>
      <c r="CB16" s="60">
        <f t="shared" si="32"/>
        <v>18429.3125</v>
      </c>
    </row>
    <row r="17" s="235" customFormat="1" ht="27" hidden="1" customHeight="1" spans="1:80">
      <c r="A17" s="241">
        <v>45719</v>
      </c>
      <c r="B17" s="242" t="s">
        <v>169</v>
      </c>
      <c r="C17" s="243" t="s">
        <v>170</v>
      </c>
      <c r="D17" s="244">
        <v>4500159004</v>
      </c>
      <c r="E17" s="243" t="s">
        <v>171</v>
      </c>
      <c r="F17" s="242" t="s">
        <v>172</v>
      </c>
      <c r="G17" s="245" t="s">
        <v>173</v>
      </c>
      <c r="H17" s="242" t="s">
        <v>174</v>
      </c>
      <c r="I17" s="250">
        <v>2508</v>
      </c>
      <c r="J17" s="250">
        <v>0</v>
      </c>
      <c r="K17" s="250">
        <v>66</v>
      </c>
      <c r="L17" s="250">
        <f t="shared" si="24"/>
        <v>38</v>
      </c>
      <c r="M17" s="251">
        <v>45756</v>
      </c>
      <c r="N17" s="251">
        <v>45751</v>
      </c>
      <c r="O17" s="252"/>
      <c r="P17" s="253" t="s">
        <v>175</v>
      </c>
      <c r="Q17" s="252" t="s">
        <v>176</v>
      </c>
      <c r="R17" s="252">
        <v>45719</v>
      </c>
      <c r="S17" s="252" t="s">
        <v>80</v>
      </c>
      <c r="T17" s="252" t="s">
        <v>80</v>
      </c>
      <c r="U17" s="252"/>
      <c r="V17" s="261" t="s">
        <v>177</v>
      </c>
      <c r="W17" s="251" t="s">
        <v>178</v>
      </c>
      <c r="X17" s="260">
        <v>59.55</v>
      </c>
      <c r="Y17" s="250">
        <f>X17*L17</f>
        <v>2262.9</v>
      </c>
      <c r="Z17" s="251" t="s">
        <v>179</v>
      </c>
      <c r="AA17" s="261">
        <v>2508</v>
      </c>
      <c r="AB17" s="261">
        <f t="shared" si="6"/>
        <v>0</v>
      </c>
      <c r="AC17" s="252" t="s">
        <v>80</v>
      </c>
      <c r="AD17" s="252" t="s">
        <v>114</v>
      </c>
      <c r="AE17" s="251" t="s">
        <v>173</v>
      </c>
      <c r="AF17" s="251" t="s">
        <v>115</v>
      </c>
      <c r="AG17" s="268">
        <f t="shared" si="10"/>
        <v>2508</v>
      </c>
      <c r="AH17" s="268">
        <f t="shared" si="27"/>
        <v>2508</v>
      </c>
      <c r="AI17" s="268"/>
      <c r="AJ17" s="268"/>
      <c r="AK17" s="268">
        <f t="shared" si="28"/>
        <v>2508</v>
      </c>
      <c r="AL17" s="268"/>
      <c r="AM17" s="268"/>
      <c r="AN17" s="268">
        <f t="shared" si="11"/>
        <v>2508</v>
      </c>
      <c r="AO17" s="268"/>
      <c r="AP17" s="268"/>
      <c r="AQ17" s="268"/>
      <c r="AR17" s="268"/>
      <c r="AS17" s="268"/>
      <c r="AT17" s="268"/>
      <c r="AU17" s="268"/>
      <c r="AV17" s="268"/>
      <c r="AW17" s="268"/>
      <c r="AX17" s="268"/>
      <c r="AY17" s="268"/>
      <c r="AZ17" s="268"/>
      <c r="BA17" s="268">
        <f>I17/66</f>
        <v>38</v>
      </c>
      <c r="BB17" s="268">
        <f>BA17</f>
        <v>38</v>
      </c>
      <c r="BC17" s="268"/>
      <c r="BD17" s="268"/>
      <c r="BE17" s="268"/>
      <c r="BF17" s="268"/>
      <c r="BG17" s="268"/>
      <c r="BH17" s="268"/>
      <c r="BI17" s="60"/>
      <c r="BJ17" s="60">
        <f t="shared" ref="BJ17:BR17" si="33">$I17*BJ$2</f>
        <v>306.968749999999</v>
      </c>
      <c r="BK17" s="60">
        <f t="shared" si="33"/>
        <v>306.968749999999</v>
      </c>
      <c r="BL17" s="60">
        <f t="shared" si="33"/>
        <v>306.968749999999</v>
      </c>
      <c r="BM17" s="60">
        <f t="shared" si="33"/>
        <v>306.968749999999</v>
      </c>
      <c r="BN17" s="60">
        <f t="shared" si="33"/>
        <v>306.968749999999</v>
      </c>
      <c r="BO17" s="60">
        <f t="shared" si="33"/>
        <v>306.968749999999</v>
      </c>
      <c r="BP17" s="60">
        <f t="shared" si="33"/>
        <v>306.968749999999</v>
      </c>
      <c r="BQ17" s="60">
        <f t="shared" si="33"/>
        <v>306.968749999999</v>
      </c>
      <c r="BR17" s="60">
        <f t="shared" si="33"/>
        <v>52.2499999999999</v>
      </c>
      <c r="BS17" s="270"/>
      <c r="BT17" s="60">
        <f t="shared" ref="BT17:CB17" si="34">BT16-BJ17</f>
        <v>107957.3671875</v>
      </c>
      <c r="BU17" s="60">
        <f t="shared" si="34"/>
        <v>107957.3671875</v>
      </c>
      <c r="BV17" s="60">
        <f t="shared" si="34"/>
        <v>107957.3671875</v>
      </c>
      <c r="BW17" s="60">
        <f t="shared" si="34"/>
        <v>107957.3671875</v>
      </c>
      <c r="BX17" s="60">
        <f t="shared" si="34"/>
        <v>107957.3671875</v>
      </c>
      <c r="BY17" s="60">
        <f t="shared" si="34"/>
        <v>107957.3671875</v>
      </c>
      <c r="BZ17" s="60">
        <f t="shared" si="34"/>
        <v>107957.3671875</v>
      </c>
      <c r="CA17" s="60">
        <f t="shared" si="34"/>
        <v>107957.3671875</v>
      </c>
      <c r="CB17" s="60">
        <f t="shared" si="34"/>
        <v>18377.0625</v>
      </c>
    </row>
    <row r="18" s="235" customFormat="1" ht="27" hidden="1" customHeight="1" spans="1:80">
      <c r="A18" s="241">
        <v>45719</v>
      </c>
      <c r="B18" s="242" t="s">
        <v>169</v>
      </c>
      <c r="C18" s="243" t="s">
        <v>170</v>
      </c>
      <c r="D18" s="244">
        <v>4500159005</v>
      </c>
      <c r="E18" s="243" t="s">
        <v>180</v>
      </c>
      <c r="F18" s="242" t="s">
        <v>181</v>
      </c>
      <c r="G18" s="245" t="s">
        <v>173</v>
      </c>
      <c r="H18" s="242" t="s">
        <v>174</v>
      </c>
      <c r="I18" s="250">
        <v>792</v>
      </c>
      <c r="J18" s="250">
        <v>0</v>
      </c>
      <c r="K18" s="250">
        <v>66</v>
      </c>
      <c r="L18" s="250">
        <f t="shared" si="24"/>
        <v>12</v>
      </c>
      <c r="M18" s="251">
        <v>45756</v>
      </c>
      <c r="N18" s="251">
        <v>45751</v>
      </c>
      <c r="O18" s="252"/>
      <c r="P18" s="253" t="s">
        <v>175</v>
      </c>
      <c r="Q18" s="252"/>
      <c r="R18" s="252">
        <v>45719</v>
      </c>
      <c r="S18" s="252" t="s">
        <v>80</v>
      </c>
      <c r="T18" s="252" t="s">
        <v>80</v>
      </c>
      <c r="U18" s="252"/>
      <c r="V18" s="261" t="s">
        <v>182</v>
      </c>
      <c r="W18" s="251" t="s">
        <v>178</v>
      </c>
      <c r="X18" s="260">
        <v>59.55</v>
      </c>
      <c r="Y18" s="250">
        <f>X18*L18</f>
        <v>714.6</v>
      </c>
      <c r="Z18" s="251" t="s">
        <v>183</v>
      </c>
      <c r="AA18" s="261">
        <v>792</v>
      </c>
      <c r="AB18" s="261">
        <f t="shared" si="6"/>
        <v>0</v>
      </c>
      <c r="AC18" s="252" t="s">
        <v>80</v>
      </c>
      <c r="AD18" s="252" t="s">
        <v>114</v>
      </c>
      <c r="AE18" s="251" t="s">
        <v>173</v>
      </c>
      <c r="AF18" s="251" t="s">
        <v>115</v>
      </c>
      <c r="AG18" s="268">
        <f t="shared" si="10"/>
        <v>792</v>
      </c>
      <c r="AH18" s="268">
        <f t="shared" si="27"/>
        <v>792</v>
      </c>
      <c r="AI18" s="268"/>
      <c r="AJ18" s="268"/>
      <c r="AK18" s="268">
        <f t="shared" si="28"/>
        <v>792</v>
      </c>
      <c r="AL18" s="268"/>
      <c r="AM18" s="268"/>
      <c r="AN18" s="268">
        <f t="shared" si="11"/>
        <v>792</v>
      </c>
      <c r="AO18" s="268"/>
      <c r="AP18" s="268"/>
      <c r="AQ18" s="268"/>
      <c r="AR18" s="268"/>
      <c r="AS18" s="268"/>
      <c r="AT18" s="268"/>
      <c r="AU18" s="268"/>
      <c r="AV18" s="268"/>
      <c r="AW18" s="268"/>
      <c r="AX18" s="268"/>
      <c r="AY18" s="268"/>
      <c r="AZ18" s="268"/>
      <c r="BA18" s="268">
        <f>I18/66</f>
        <v>12</v>
      </c>
      <c r="BB18" s="268">
        <f>BA18</f>
        <v>12</v>
      </c>
      <c r="BC18" s="268"/>
      <c r="BD18" s="268"/>
      <c r="BE18" s="268"/>
      <c r="BF18" s="268"/>
      <c r="BG18" s="268"/>
      <c r="BH18" s="268"/>
      <c r="BI18" s="60"/>
      <c r="BJ18" s="60">
        <f t="shared" ref="BJ18:BR18" si="35">$I18*BJ$2</f>
        <v>96.9374999999997</v>
      </c>
      <c r="BK18" s="60">
        <f t="shared" si="35"/>
        <v>96.9374999999997</v>
      </c>
      <c r="BL18" s="60">
        <f t="shared" si="35"/>
        <v>96.9374999999997</v>
      </c>
      <c r="BM18" s="60">
        <f t="shared" si="35"/>
        <v>96.9374999999997</v>
      </c>
      <c r="BN18" s="60">
        <f t="shared" si="35"/>
        <v>96.9374999999997</v>
      </c>
      <c r="BO18" s="60">
        <f t="shared" si="35"/>
        <v>96.9374999999997</v>
      </c>
      <c r="BP18" s="60">
        <f t="shared" si="35"/>
        <v>96.9374999999997</v>
      </c>
      <c r="BQ18" s="60">
        <f t="shared" si="35"/>
        <v>96.9374999999997</v>
      </c>
      <c r="BR18" s="60">
        <f t="shared" si="35"/>
        <v>16.5</v>
      </c>
      <c r="BS18" s="270"/>
      <c r="BT18" s="60">
        <f t="shared" ref="BT18:CB18" si="36">BT17-BJ18</f>
        <v>107860.4296875</v>
      </c>
      <c r="BU18" s="60">
        <f t="shared" si="36"/>
        <v>107860.4296875</v>
      </c>
      <c r="BV18" s="60">
        <f t="shared" si="36"/>
        <v>107860.4296875</v>
      </c>
      <c r="BW18" s="60">
        <f t="shared" si="36"/>
        <v>107860.4296875</v>
      </c>
      <c r="BX18" s="60">
        <f t="shared" si="36"/>
        <v>107860.4296875</v>
      </c>
      <c r="BY18" s="60">
        <f t="shared" si="36"/>
        <v>107860.4296875</v>
      </c>
      <c r="BZ18" s="60">
        <f t="shared" si="36"/>
        <v>107860.4296875</v>
      </c>
      <c r="CA18" s="60">
        <f t="shared" si="36"/>
        <v>107860.4296875</v>
      </c>
      <c r="CB18" s="60">
        <f t="shared" si="36"/>
        <v>18360.5625</v>
      </c>
    </row>
    <row r="19" s="235" customFormat="1" ht="27" hidden="1" customHeight="1" spans="1:87">
      <c r="A19" s="241">
        <v>45713</v>
      </c>
      <c r="B19" s="242" t="s">
        <v>184</v>
      </c>
      <c r="C19" s="243" t="s">
        <v>185</v>
      </c>
      <c r="D19" s="244">
        <v>4500158469</v>
      </c>
      <c r="E19" s="243" t="s">
        <v>186</v>
      </c>
      <c r="F19" s="242" t="s">
        <v>187</v>
      </c>
      <c r="G19" s="245" t="s">
        <v>188</v>
      </c>
      <c r="H19" s="242" t="s">
        <v>120</v>
      </c>
      <c r="I19" s="250">
        <v>492</v>
      </c>
      <c r="J19" s="250">
        <v>0</v>
      </c>
      <c r="K19" s="250">
        <v>12</v>
      </c>
      <c r="L19" s="250">
        <f t="shared" si="24"/>
        <v>41</v>
      </c>
      <c r="M19" s="251">
        <v>45757</v>
      </c>
      <c r="N19" s="251">
        <v>45754</v>
      </c>
      <c r="O19" s="252"/>
      <c r="P19" s="253" t="s">
        <v>175</v>
      </c>
      <c r="Q19" s="252" t="s">
        <v>189</v>
      </c>
      <c r="R19" s="252" t="s">
        <v>190</v>
      </c>
      <c r="S19" s="252" t="s">
        <v>191</v>
      </c>
      <c r="T19" s="252" t="s">
        <v>192</v>
      </c>
      <c r="U19" s="252"/>
      <c r="V19" s="261" t="s">
        <v>193</v>
      </c>
      <c r="W19" s="251" t="s">
        <v>194</v>
      </c>
      <c r="X19" s="260">
        <v>1.8938</v>
      </c>
      <c r="Y19" s="250">
        <f t="shared" ref="Y19:Y24" si="37">X19*I19</f>
        <v>931.7496</v>
      </c>
      <c r="Z19" s="266" t="s">
        <v>195</v>
      </c>
      <c r="AA19" s="261">
        <v>492</v>
      </c>
      <c r="AB19" s="261">
        <f t="shared" si="6"/>
        <v>0</v>
      </c>
      <c r="AC19" s="252" t="s">
        <v>113</v>
      </c>
      <c r="AD19" s="252" t="s">
        <v>114</v>
      </c>
      <c r="AE19" s="251" t="s">
        <v>188</v>
      </c>
      <c r="AF19" s="251" t="s">
        <v>115</v>
      </c>
      <c r="AG19" s="268">
        <f t="shared" ref="AG19:AG21" si="38">I19*2</f>
        <v>984</v>
      </c>
      <c r="AH19" s="268">
        <f t="shared" ref="AH19:AH21" si="39">I19*2</f>
        <v>984</v>
      </c>
      <c r="AI19" s="268"/>
      <c r="AJ19" s="268"/>
      <c r="AK19" s="268"/>
      <c r="AL19" s="268">
        <f t="shared" ref="AL19:AL21" si="40">I19*2</f>
        <v>984</v>
      </c>
      <c r="AM19" s="268"/>
      <c r="AN19" s="268">
        <f t="shared" ref="AN19:AN21" si="41">I19*2</f>
        <v>984</v>
      </c>
      <c r="AO19" s="268"/>
      <c r="AP19" s="268"/>
      <c r="AQ19" s="268"/>
      <c r="AR19" s="268"/>
      <c r="AS19" s="268"/>
      <c r="AT19" s="268"/>
      <c r="AU19" s="268"/>
      <c r="AV19" s="268"/>
      <c r="AW19" s="268"/>
      <c r="AX19" s="268"/>
      <c r="AY19" s="268"/>
      <c r="AZ19" s="268"/>
      <c r="BA19" s="268"/>
      <c r="BB19" s="268"/>
      <c r="BC19" s="268"/>
      <c r="BD19" s="268"/>
      <c r="BE19" s="268"/>
      <c r="BF19" s="268">
        <f t="shared" ref="BF19:BF21" si="42">I19</f>
        <v>492</v>
      </c>
      <c r="BG19" s="268">
        <f t="shared" ref="BG19:BG21" si="43">I19</f>
        <v>492</v>
      </c>
      <c r="BH19" s="268"/>
      <c r="BI19" s="268"/>
      <c r="BJ19" s="60">
        <f t="shared" ref="BJ19:BR19" si="44">$I19*BJ$2*2</f>
        <v>120.4375</v>
      </c>
      <c r="BK19" s="60">
        <f t="shared" si="44"/>
        <v>120.4375</v>
      </c>
      <c r="BL19" s="60">
        <f t="shared" si="44"/>
        <v>120.4375</v>
      </c>
      <c r="BM19" s="60">
        <f t="shared" si="44"/>
        <v>120.4375</v>
      </c>
      <c r="BN19" s="60">
        <f t="shared" si="44"/>
        <v>120.4375</v>
      </c>
      <c r="BO19" s="60">
        <f t="shared" si="44"/>
        <v>120.4375</v>
      </c>
      <c r="BP19" s="60">
        <f t="shared" si="44"/>
        <v>120.4375</v>
      </c>
      <c r="BQ19" s="60">
        <f t="shared" si="44"/>
        <v>120.4375</v>
      </c>
      <c r="BR19" s="60">
        <f t="shared" si="44"/>
        <v>20.5</v>
      </c>
      <c r="BT19" s="60">
        <f t="shared" ref="BT19:CB19" si="45">BT18-BJ19</f>
        <v>107739.9921875</v>
      </c>
      <c r="BU19" s="60">
        <f t="shared" si="45"/>
        <v>107739.9921875</v>
      </c>
      <c r="BV19" s="60">
        <f t="shared" si="45"/>
        <v>107739.9921875</v>
      </c>
      <c r="BW19" s="60">
        <f t="shared" si="45"/>
        <v>107739.9921875</v>
      </c>
      <c r="BX19" s="60">
        <f t="shared" si="45"/>
        <v>107739.9921875</v>
      </c>
      <c r="BY19" s="60">
        <f t="shared" si="45"/>
        <v>107739.9921875</v>
      </c>
      <c r="BZ19" s="60">
        <f t="shared" si="45"/>
        <v>107739.9921875</v>
      </c>
      <c r="CA19" s="60">
        <f t="shared" si="45"/>
        <v>107739.9921875</v>
      </c>
      <c r="CB19" s="60">
        <f t="shared" si="45"/>
        <v>18340.0625</v>
      </c>
      <c r="CD19" s="271" t="s">
        <v>127</v>
      </c>
      <c r="CH19" s="235">
        <f>CH11-I19</f>
        <v>9016</v>
      </c>
      <c r="CI19" s="235">
        <f>CI11-I19</f>
        <v>4016</v>
      </c>
    </row>
    <row r="20" s="235" customFormat="1" ht="27" hidden="1" customHeight="1" spans="1:87">
      <c r="A20" s="241">
        <v>45720</v>
      </c>
      <c r="B20" s="242" t="s">
        <v>196</v>
      </c>
      <c r="C20" s="243" t="s">
        <v>129</v>
      </c>
      <c r="D20" s="244">
        <v>4500158578</v>
      </c>
      <c r="E20" s="243" t="s">
        <v>197</v>
      </c>
      <c r="F20" s="242" t="s">
        <v>198</v>
      </c>
      <c r="G20" s="245" t="s">
        <v>188</v>
      </c>
      <c r="H20" s="242" t="s">
        <v>120</v>
      </c>
      <c r="I20" s="250">
        <v>744</v>
      </c>
      <c r="J20" s="250">
        <v>0</v>
      </c>
      <c r="K20" s="250">
        <v>12</v>
      </c>
      <c r="L20" s="250">
        <f t="shared" si="24"/>
        <v>62</v>
      </c>
      <c r="M20" s="251">
        <v>45757</v>
      </c>
      <c r="N20" s="251">
        <v>45754</v>
      </c>
      <c r="O20" s="252"/>
      <c r="P20" s="253" t="s">
        <v>175</v>
      </c>
      <c r="Q20" s="252" t="s">
        <v>199</v>
      </c>
      <c r="R20" s="252" t="s">
        <v>190</v>
      </c>
      <c r="S20" s="252" t="s">
        <v>191</v>
      </c>
      <c r="T20" s="252" t="s">
        <v>200</v>
      </c>
      <c r="U20" s="252"/>
      <c r="V20" s="261" t="s">
        <v>201</v>
      </c>
      <c r="W20" s="251" t="s">
        <v>194</v>
      </c>
      <c r="X20" s="260">
        <v>1.8626</v>
      </c>
      <c r="Y20" s="250">
        <f t="shared" si="37"/>
        <v>1385.7744</v>
      </c>
      <c r="Z20" s="251" t="s">
        <v>202</v>
      </c>
      <c r="AA20" s="261">
        <v>744</v>
      </c>
      <c r="AB20" s="261">
        <f t="shared" si="6"/>
        <v>0</v>
      </c>
      <c r="AC20" s="252" t="s">
        <v>113</v>
      </c>
      <c r="AD20" s="252" t="s">
        <v>114</v>
      </c>
      <c r="AE20" s="251" t="s">
        <v>188</v>
      </c>
      <c r="AF20" s="251" t="s">
        <v>115</v>
      </c>
      <c r="AG20" s="268">
        <f t="shared" si="38"/>
        <v>1488</v>
      </c>
      <c r="AH20" s="268">
        <f t="shared" si="39"/>
        <v>1488</v>
      </c>
      <c r="AI20" s="268"/>
      <c r="AJ20" s="268"/>
      <c r="AK20" s="268"/>
      <c r="AL20" s="268">
        <f t="shared" si="40"/>
        <v>1488</v>
      </c>
      <c r="AM20" s="268"/>
      <c r="AN20" s="268">
        <f t="shared" si="41"/>
        <v>1488</v>
      </c>
      <c r="AO20" s="268"/>
      <c r="AP20" s="268"/>
      <c r="AQ20" s="268"/>
      <c r="AR20" s="268"/>
      <c r="AS20" s="268"/>
      <c r="AT20" s="268"/>
      <c r="AU20" s="268"/>
      <c r="AV20" s="268"/>
      <c r="AW20" s="268"/>
      <c r="AX20" s="268"/>
      <c r="AY20" s="268"/>
      <c r="AZ20" s="268"/>
      <c r="BA20" s="268"/>
      <c r="BB20" s="268"/>
      <c r="BC20" s="268"/>
      <c r="BD20" s="268"/>
      <c r="BE20" s="268"/>
      <c r="BF20" s="268">
        <f t="shared" si="42"/>
        <v>744</v>
      </c>
      <c r="BG20" s="268">
        <f t="shared" si="43"/>
        <v>744</v>
      </c>
      <c r="BH20" s="268"/>
      <c r="BI20" s="268"/>
      <c r="BJ20" s="60">
        <f t="shared" ref="BJ20:BR20" si="46">$I20*BJ$2*2</f>
        <v>182.124999999999</v>
      </c>
      <c r="BK20" s="60">
        <f t="shared" si="46"/>
        <v>182.124999999999</v>
      </c>
      <c r="BL20" s="60">
        <f t="shared" si="46"/>
        <v>182.124999999999</v>
      </c>
      <c r="BM20" s="60">
        <f t="shared" si="46"/>
        <v>182.124999999999</v>
      </c>
      <c r="BN20" s="60">
        <f t="shared" si="46"/>
        <v>182.124999999999</v>
      </c>
      <c r="BO20" s="60">
        <f t="shared" si="46"/>
        <v>182.124999999999</v>
      </c>
      <c r="BP20" s="60">
        <f t="shared" si="46"/>
        <v>182.124999999999</v>
      </c>
      <c r="BQ20" s="60">
        <f t="shared" si="46"/>
        <v>182.124999999999</v>
      </c>
      <c r="BR20" s="60">
        <f t="shared" si="46"/>
        <v>31</v>
      </c>
      <c r="BT20" s="60">
        <f t="shared" ref="BT20:CB20" si="47">BT19-BJ20</f>
        <v>107557.8671875</v>
      </c>
      <c r="BU20" s="60">
        <f t="shared" si="47"/>
        <v>107557.8671875</v>
      </c>
      <c r="BV20" s="60">
        <f t="shared" si="47"/>
        <v>107557.8671875</v>
      </c>
      <c r="BW20" s="60">
        <f t="shared" si="47"/>
        <v>107557.8671875</v>
      </c>
      <c r="BX20" s="60">
        <f t="shared" si="47"/>
        <v>107557.8671875</v>
      </c>
      <c r="BY20" s="60">
        <f t="shared" si="47"/>
        <v>107557.8671875</v>
      </c>
      <c r="BZ20" s="60">
        <f t="shared" si="47"/>
        <v>107557.8671875</v>
      </c>
      <c r="CA20" s="60">
        <f t="shared" si="47"/>
        <v>107557.8671875</v>
      </c>
      <c r="CB20" s="60">
        <f t="shared" si="47"/>
        <v>18309.0625</v>
      </c>
      <c r="CD20" s="271" t="s">
        <v>127</v>
      </c>
      <c r="CH20" s="235">
        <f>CH19-I20</f>
        <v>8272</v>
      </c>
      <c r="CI20" s="235">
        <f>CI19-I20</f>
        <v>3272</v>
      </c>
    </row>
    <row r="21" s="235" customFormat="1" ht="27" hidden="1" customHeight="1" spans="1:87">
      <c r="A21" s="241">
        <v>45720</v>
      </c>
      <c r="B21" s="242" t="s">
        <v>196</v>
      </c>
      <c r="C21" s="243" t="s">
        <v>203</v>
      </c>
      <c r="D21" s="244">
        <v>4500158578</v>
      </c>
      <c r="E21" s="243" t="s">
        <v>204</v>
      </c>
      <c r="F21" s="242" t="s">
        <v>205</v>
      </c>
      <c r="G21" s="245" t="s">
        <v>188</v>
      </c>
      <c r="H21" s="242" t="s">
        <v>120</v>
      </c>
      <c r="I21" s="250">
        <v>492</v>
      </c>
      <c r="J21" s="250">
        <v>0</v>
      </c>
      <c r="K21" s="250">
        <v>12</v>
      </c>
      <c r="L21" s="250">
        <f t="shared" si="24"/>
        <v>41</v>
      </c>
      <c r="M21" s="251">
        <v>45757</v>
      </c>
      <c r="N21" s="251">
        <v>45754</v>
      </c>
      <c r="O21" s="252"/>
      <c r="P21" s="253" t="s">
        <v>175</v>
      </c>
      <c r="Q21" s="252" t="s">
        <v>199</v>
      </c>
      <c r="R21" s="252" t="s">
        <v>190</v>
      </c>
      <c r="S21" s="252" t="s">
        <v>191</v>
      </c>
      <c r="T21" s="252" t="s">
        <v>200</v>
      </c>
      <c r="U21" s="252"/>
      <c r="V21" s="261" t="s">
        <v>201</v>
      </c>
      <c r="W21" s="251" t="s">
        <v>194</v>
      </c>
      <c r="X21" s="260">
        <v>1.8626</v>
      </c>
      <c r="Y21" s="250">
        <f t="shared" si="37"/>
        <v>916.3992</v>
      </c>
      <c r="Z21" s="251" t="s">
        <v>206</v>
      </c>
      <c r="AA21" s="261">
        <v>492</v>
      </c>
      <c r="AB21" s="261">
        <f t="shared" si="6"/>
        <v>0</v>
      </c>
      <c r="AC21" s="252" t="s">
        <v>113</v>
      </c>
      <c r="AD21" s="252" t="s">
        <v>114</v>
      </c>
      <c r="AE21" s="251" t="s">
        <v>188</v>
      </c>
      <c r="AF21" s="251" t="s">
        <v>115</v>
      </c>
      <c r="AG21" s="268">
        <f t="shared" si="38"/>
        <v>984</v>
      </c>
      <c r="AH21" s="268">
        <f t="shared" si="39"/>
        <v>984</v>
      </c>
      <c r="AI21" s="268"/>
      <c r="AJ21" s="268"/>
      <c r="AK21" s="268"/>
      <c r="AL21" s="268">
        <f t="shared" si="40"/>
        <v>984</v>
      </c>
      <c r="AM21" s="268"/>
      <c r="AN21" s="268">
        <f t="shared" si="41"/>
        <v>984</v>
      </c>
      <c r="AO21" s="268"/>
      <c r="AP21" s="268"/>
      <c r="AQ21" s="268"/>
      <c r="AR21" s="268"/>
      <c r="AS21" s="268"/>
      <c r="AT21" s="268"/>
      <c r="AU21" s="268"/>
      <c r="AV21" s="268"/>
      <c r="AW21" s="268"/>
      <c r="AX21" s="268"/>
      <c r="AY21" s="268"/>
      <c r="AZ21" s="268"/>
      <c r="BA21" s="268"/>
      <c r="BB21" s="268"/>
      <c r="BC21" s="268"/>
      <c r="BD21" s="268"/>
      <c r="BE21" s="268"/>
      <c r="BF21" s="268">
        <f t="shared" si="42"/>
        <v>492</v>
      </c>
      <c r="BG21" s="268">
        <f t="shared" si="43"/>
        <v>492</v>
      </c>
      <c r="BH21" s="268"/>
      <c r="BI21" s="268"/>
      <c r="BJ21" s="60">
        <f t="shared" ref="BJ21:BR21" si="48">$I21*BJ$2*2</f>
        <v>120.4375</v>
      </c>
      <c r="BK21" s="60">
        <f t="shared" si="48"/>
        <v>120.4375</v>
      </c>
      <c r="BL21" s="60">
        <f t="shared" si="48"/>
        <v>120.4375</v>
      </c>
      <c r="BM21" s="60">
        <f t="shared" si="48"/>
        <v>120.4375</v>
      </c>
      <c r="BN21" s="60">
        <f t="shared" si="48"/>
        <v>120.4375</v>
      </c>
      <c r="BO21" s="60">
        <f t="shared" si="48"/>
        <v>120.4375</v>
      </c>
      <c r="BP21" s="60">
        <f t="shared" si="48"/>
        <v>120.4375</v>
      </c>
      <c r="BQ21" s="60">
        <f t="shared" si="48"/>
        <v>120.4375</v>
      </c>
      <c r="BR21" s="60">
        <f t="shared" si="48"/>
        <v>20.5</v>
      </c>
      <c r="BT21" s="60">
        <f t="shared" ref="BT21:CB21" si="49">BT20-BJ21</f>
        <v>107437.4296875</v>
      </c>
      <c r="BU21" s="60">
        <f t="shared" si="49"/>
        <v>107437.4296875</v>
      </c>
      <c r="BV21" s="60">
        <f t="shared" si="49"/>
        <v>107437.4296875</v>
      </c>
      <c r="BW21" s="60">
        <f t="shared" si="49"/>
        <v>107437.4296875</v>
      </c>
      <c r="BX21" s="60">
        <f t="shared" si="49"/>
        <v>107437.4296875</v>
      </c>
      <c r="BY21" s="60">
        <f t="shared" si="49"/>
        <v>107437.4296875</v>
      </c>
      <c r="BZ21" s="60">
        <f t="shared" si="49"/>
        <v>107437.4296875</v>
      </c>
      <c r="CA21" s="60">
        <f t="shared" si="49"/>
        <v>107437.4296875</v>
      </c>
      <c r="CB21" s="60">
        <f t="shared" si="49"/>
        <v>18288.5625</v>
      </c>
      <c r="CD21" s="271" t="s">
        <v>127</v>
      </c>
      <c r="CH21" s="235">
        <f>CH20-I21</f>
        <v>7780</v>
      </c>
      <c r="CI21" s="235">
        <f>CI20-I21</f>
        <v>2780</v>
      </c>
    </row>
    <row r="22" s="234" customFormat="1" ht="27" hidden="1" customHeight="1" spans="1:80">
      <c r="A22" s="236">
        <v>45737</v>
      </c>
      <c r="B22" s="237" t="s">
        <v>207</v>
      </c>
      <c r="C22" s="238" t="s">
        <v>208</v>
      </c>
      <c r="D22" s="239">
        <v>4500160929</v>
      </c>
      <c r="E22" s="238" t="s">
        <v>209</v>
      </c>
      <c r="F22" s="237" t="s">
        <v>210</v>
      </c>
      <c r="G22" s="240" t="s">
        <v>94</v>
      </c>
      <c r="H22" s="237" t="s">
        <v>211</v>
      </c>
      <c r="I22" s="247">
        <v>780</v>
      </c>
      <c r="J22" s="247">
        <v>0</v>
      </c>
      <c r="K22" s="247">
        <v>52</v>
      </c>
      <c r="L22" s="247">
        <f t="shared" si="24"/>
        <v>15</v>
      </c>
      <c r="M22" s="248">
        <v>45761</v>
      </c>
      <c r="N22" s="248">
        <v>45757</v>
      </c>
      <c r="O22" s="212"/>
      <c r="P22" s="254" t="s">
        <v>107</v>
      </c>
      <c r="Q22" s="212" t="s">
        <v>176</v>
      </c>
      <c r="R22" s="212">
        <v>45737</v>
      </c>
      <c r="S22" s="212" t="s">
        <v>80</v>
      </c>
      <c r="T22" s="212" t="s">
        <v>212</v>
      </c>
      <c r="U22" s="212"/>
      <c r="V22" s="259" t="s">
        <v>213</v>
      </c>
      <c r="W22" s="248" t="s">
        <v>214</v>
      </c>
      <c r="X22" s="260">
        <v>0.8533</v>
      </c>
      <c r="Y22" s="247">
        <f t="shared" si="37"/>
        <v>665.574</v>
      </c>
      <c r="Z22" s="248" t="s">
        <v>215</v>
      </c>
      <c r="AA22" s="259">
        <v>780</v>
      </c>
      <c r="AB22" s="259">
        <f t="shared" si="6"/>
        <v>0</v>
      </c>
      <c r="AC22" s="212" t="s">
        <v>113</v>
      </c>
      <c r="AD22" s="212" t="s">
        <v>114</v>
      </c>
      <c r="AE22" s="248" t="s">
        <v>94</v>
      </c>
      <c r="AF22" s="248" t="s">
        <v>115</v>
      </c>
      <c r="AG22" s="267">
        <f t="shared" ref="AG22:AG24" si="50">I22</f>
        <v>780</v>
      </c>
      <c r="AH22" s="267">
        <f t="shared" ref="AH22:AH24" si="51">I22</f>
        <v>780</v>
      </c>
      <c r="AI22" s="267"/>
      <c r="AJ22" s="267"/>
      <c r="AK22" s="267">
        <f t="shared" ref="AK22:AK31" si="52">I22</f>
        <v>780</v>
      </c>
      <c r="AL22" s="267"/>
      <c r="AM22" s="267"/>
      <c r="AN22" s="267">
        <f t="shared" ref="AN22:AN24" si="53">I22</f>
        <v>780</v>
      </c>
      <c r="AO22" s="267"/>
      <c r="AP22" s="267"/>
      <c r="AQ22" s="267"/>
      <c r="AR22" s="267"/>
      <c r="AS22" s="267"/>
      <c r="AT22" s="267">
        <f>I22/13</f>
        <v>60</v>
      </c>
      <c r="AU22" s="267"/>
      <c r="AV22" s="267"/>
      <c r="AW22" s="267"/>
      <c r="AX22" s="267"/>
      <c r="AY22" s="267"/>
      <c r="AZ22" s="267"/>
      <c r="BA22" s="267"/>
      <c r="BB22" s="267"/>
      <c r="BC22" s="267"/>
      <c r="BD22" s="267"/>
      <c r="BE22" s="267"/>
      <c r="BF22" s="267"/>
      <c r="BG22" s="267"/>
      <c r="BH22" s="267"/>
      <c r="BI22" s="267"/>
      <c r="BJ22" s="269">
        <f t="shared" ref="BJ22:BR22" si="54">$I22*BJ$2</f>
        <v>95.4687499999997</v>
      </c>
      <c r="BK22" s="269">
        <f t="shared" si="54"/>
        <v>95.4687499999997</v>
      </c>
      <c r="BL22" s="269">
        <f t="shared" si="54"/>
        <v>95.4687499999997</v>
      </c>
      <c r="BM22" s="269">
        <f t="shared" si="54"/>
        <v>95.4687499999997</v>
      </c>
      <c r="BN22" s="269">
        <f t="shared" si="54"/>
        <v>95.4687499999997</v>
      </c>
      <c r="BO22" s="269">
        <f t="shared" si="54"/>
        <v>95.4687499999997</v>
      </c>
      <c r="BP22" s="269">
        <f t="shared" si="54"/>
        <v>95.4687499999997</v>
      </c>
      <c r="BQ22" s="269">
        <f t="shared" si="54"/>
        <v>95.4687499999997</v>
      </c>
      <c r="BR22" s="269">
        <f t="shared" si="54"/>
        <v>16.25</v>
      </c>
      <c r="BT22" s="60">
        <f t="shared" ref="BT22:CB22" si="55">BT21-BJ22</f>
        <v>107341.9609375</v>
      </c>
      <c r="BU22" s="60">
        <f t="shared" si="55"/>
        <v>107341.9609375</v>
      </c>
      <c r="BV22" s="60">
        <f t="shared" si="55"/>
        <v>107341.9609375</v>
      </c>
      <c r="BW22" s="60">
        <f t="shared" si="55"/>
        <v>107341.9609375</v>
      </c>
      <c r="BX22" s="60">
        <f t="shared" si="55"/>
        <v>107341.9609375</v>
      </c>
      <c r="BY22" s="60">
        <f t="shared" si="55"/>
        <v>107341.9609375</v>
      </c>
      <c r="BZ22" s="60">
        <f t="shared" si="55"/>
        <v>107341.9609375</v>
      </c>
      <c r="CA22" s="60">
        <f t="shared" si="55"/>
        <v>107341.9609375</v>
      </c>
      <c r="CB22" s="60">
        <f t="shared" si="55"/>
        <v>18272.3125</v>
      </c>
    </row>
    <row r="23" s="235" customFormat="1" ht="27" hidden="1" customHeight="1" spans="1:80">
      <c r="A23" s="241">
        <v>45720</v>
      </c>
      <c r="B23" s="242" t="s">
        <v>216</v>
      </c>
      <c r="C23" s="243" t="s">
        <v>170</v>
      </c>
      <c r="D23" s="244">
        <v>4500159074</v>
      </c>
      <c r="E23" s="243">
        <v>3002</v>
      </c>
      <c r="F23" s="242" t="s">
        <v>217</v>
      </c>
      <c r="G23" s="245" t="s">
        <v>131</v>
      </c>
      <c r="H23" s="242" t="s">
        <v>132</v>
      </c>
      <c r="I23" s="250">
        <v>1350</v>
      </c>
      <c r="J23" s="250">
        <v>0</v>
      </c>
      <c r="K23" s="250">
        <v>27</v>
      </c>
      <c r="L23" s="250">
        <f t="shared" si="24"/>
        <v>50</v>
      </c>
      <c r="M23" s="251">
        <v>45763</v>
      </c>
      <c r="N23" s="251">
        <v>45758</v>
      </c>
      <c r="O23" s="252"/>
      <c r="P23" s="253" t="s">
        <v>107</v>
      </c>
      <c r="Q23" s="252" t="s">
        <v>218</v>
      </c>
      <c r="R23" s="252">
        <v>45720</v>
      </c>
      <c r="S23" s="252" t="s">
        <v>80</v>
      </c>
      <c r="T23" s="252" t="s">
        <v>80</v>
      </c>
      <c r="U23" s="252"/>
      <c r="V23" s="261" t="s">
        <v>219</v>
      </c>
      <c r="W23" s="251" t="s">
        <v>178</v>
      </c>
      <c r="X23" s="260">
        <v>0.89</v>
      </c>
      <c r="Y23" s="250">
        <f t="shared" si="37"/>
        <v>1201.5</v>
      </c>
      <c r="Z23" s="251" t="s">
        <v>220</v>
      </c>
      <c r="AA23" s="261">
        <v>1350</v>
      </c>
      <c r="AB23" s="261">
        <f t="shared" si="6"/>
        <v>0</v>
      </c>
      <c r="AC23" s="252" t="s">
        <v>80</v>
      </c>
      <c r="AD23" s="252" t="s">
        <v>114</v>
      </c>
      <c r="AE23" s="251" t="s">
        <v>131</v>
      </c>
      <c r="AF23" s="251" t="s">
        <v>115</v>
      </c>
      <c r="AG23" s="268">
        <f t="shared" si="50"/>
        <v>1350</v>
      </c>
      <c r="AH23" s="268">
        <f t="shared" si="51"/>
        <v>1350</v>
      </c>
      <c r="AI23" s="268"/>
      <c r="AJ23" s="268"/>
      <c r="AK23" s="268">
        <f t="shared" si="52"/>
        <v>1350</v>
      </c>
      <c r="AL23" s="268"/>
      <c r="AM23" s="268"/>
      <c r="AN23" s="268">
        <f t="shared" si="53"/>
        <v>1350</v>
      </c>
      <c r="AO23" s="268"/>
      <c r="AP23" s="268"/>
      <c r="AQ23" s="268">
        <f>I23/27</f>
        <v>50</v>
      </c>
      <c r="AR23" s="268"/>
      <c r="AS23" s="268"/>
      <c r="AT23" s="268"/>
      <c r="AU23" s="268"/>
      <c r="AV23" s="268"/>
      <c r="AW23" s="268"/>
      <c r="AX23" s="268"/>
      <c r="AY23" s="268"/>
      <c r="AZ23" s="268"/>
      <c r="BA23" s="268"/>
      <c r="BB23" s="268"/>
      <c r="BC23" s="268"/>
      <c r="BD23" s="268"/>
      <c r="BE23" s="268"/>
      <c r="BF23" s="268"/>
      <c r="BG23" s="268"/>
      <c r="BH23" s="268"/>
      <c r="BI23" s="268"/>
      <c r="BJ23" s="60">
        <f t="shared" ref="BJ23:BR23" si="56">$I23*BJ$2</f>
        <v>165.234375</v>
      </c>
      <c r="BK23" s="60">
        <f t="shared" si="56"/>
        <v>165.234375</v>
      </c>
      <c r="BL23" s="60">
        <f t="shared" si="56"/>
        <v>165.234375</v>
      </c>
      <c r="BM23" s="60">
        <f t="shared" si="56"/>
        <v>165.234375</v>
      </c>
      <c r="BN23" s="60">
        <f t="shared" si="56"/>
        <v>165.234375</v>
      </c>
      <c r="BO23" s="60">
        <f t="shared" si="56"/>
        <v>165.234375</v>
      </c>
      <c r="BP23" s="60">
        <f t="shared" si="56"/>
        <v>165.234375</v>
      </c>
      <c r="BQ23" s="60">
        <f t="shared" si="56"/>
        <v>165.234375</v>
      </c>
      <c r="BR23" s="60">
        <f t="shared" si="56"/>
        <v>28.125</v>
      </c>
      <c r="BT23" s="60">
        <f t="shared" ref="BT23:CB23" si="57">BT22-BJ23</f>
        <v>107176.7265625</v>
      </c>
      <c r="BU23" s="60">
        <f t="shared" si="57"/>
        <v>107176.7265625</v>
      </c>
      <c r="BV23" s="60">
        <f t="shared" si="57"/>
        <v>107176.7265625</v>
      </c>
      <c r="BW23" s="60">
        <f t="shared" si="57"/>
        <v>107176.7265625</v>
      </c>
      <c r="BX23" s="60">
        <f t="shared" si="57"/>
        <v>107176.7265625</v>
      </c>
      <c r="BY23" s="60">
        <f t="shared" si="57"/>
        <v>107176.7265625</v>
      </c>
      <c r="BZ23" s="60">
        <f t="shared" si="57"/>
        <v>107176.7265625</v>
      </c>
      <c r="CA23" s="60">
        <f t="shared" si="57"/>
        <v>107176.7265625</v>
      </c>
      <c r="CB23" s="60">
        <f t="shared" si="57"/>
        <v>18244.1875</v>
      </c>
    </row>
    <row r="24" s="235" customFormat="1" ht="27" hidden="1" customHeight="1" spans="1:80">
      <c r="A24" s="241">
        <v>45733</v>
      </c>
      <c r="B24" s="242" t="s">
        <v>221</v>
      </c>
      <c r="C24" s="243" t="s">
        <v>222</v>
      </c>
      <c r="D24" s="244">
        <v>4500160421</v>
      </c>
      <c r="E24" s="243"/>
      <c r="F24" s="242" t="s">
        <v>223</v>
      </c>
      <c r="G24" s="245" t="s">
        <v>78</v>
      </c>
      <c r="H24" s="242" t="s">
        <v>79</v>
      </c>
      <c r="I24" s="250">
        <v>378</v>
      </c>
      <c r="J24" s="250">
        <v>0</v>
      </c>
      <c r="K24" s="250">
        <v>54</v>
      </c>
      <c r="L24" s="250">
        <f t="shared" si="24"/>
        <v>7</v>
      </c>
      <c r="M24" s="251">
        <v>45768</v>
      </c>
      <c r="N24" s="251">
        <v>45764</v>
      </c>
      <c r="O24" s="252"/>
      <c r="P24" s="253" t="s">
        <v>224</v>
      </c>
      <c r="Q24" s="262" t="s">
        <v>225</v>
      </c>
      <c r="R24" s="263">
        <v>45736</v>
      </c>
      <c r="S24" s="252" t="s">
        <v>80</v>
      </c>
      <c r="T24" s="264" t="s">
        <v>226</v>
      </c>
      <c r="U24" s="264"/>
      <c r="V24" s="261" t="s">
        <v>227</v>
      </c>
      <c r="W24" s="251" t="s">
        <v>228</v>
      </c>
      <c r="X24" s="260">
        <v>0.9779</v>
      </c>
      <c r="Y24" s="250">
        <f t="shared" si="37"/>
        <v>369.6462</v>
      </c>
      <c r="Z24" s="251" t="s">
        <v>229</v>
      </c>
      <c r="AA24" s="261">
        <v>378</v>
      </c>
      <c r="AB24" s="261">
        <f t="shared" si="6"/>
        <v>0</v>
      </c>
      <c r="AC24" s="252" t="s">
        <v>113</v>
      </c>
      <c r="AD24" s="252" t="s">
        <v>114</v>
      </c>
      <c r="AE24" s="251" t="s">
        <v>230</v>
      </c>
      <c r="AF24" s="251" t="s">
        <v>115</v>
      </c>
      <c r="AG24" s="268">
        <f t="shared" si="50"/>
        <v>378</v>
      </c>
      <c r="AH24" s="268">
        <f t="shared" si="51"/>
        <v>378</v>
      </c>
      <c r="AI24" s="268"/>
      <c r="AJ24" s="268"/>
      <c r="AK24" s="268"/>
      <c r="AL24" s="268">
        <f>I24</f>
        <v>378</v>
      </c>
      <c r="AM24" s="268"/>
      <c r="AN24" s="268">
        <f t="shared" si="53"/>
        <v>378</v>
      </c>
      <c r="AO24" s="268"/>
      <c r="AP24" s="268"/>
      <c r="AQ24" s="268"/>
      <c r="AR24" s="268">
        <f>I24/27</f>
        <v>14</v>
      </c>
      <c r="AS24" s="268"/>
      <c r="AT24" s="268"/>
      <c r="AU24" s="268"/>
      <c r="AV24" s="268"/>
      <c r="AW24" s="268"/>
      <c r="AX24" s="268"/>
      <c r="AY24" s="268"/>
      <c r="AZ24" s="268"/>
      <c r="BA24" s="268"/>
      <c r="BB24" s="268"/>
      <c r="BC24" s="268"/>
      <c r="BD24" s="268"/>
      <c r="BE24" s="268"/>
      <c r="BF24" s="268"/>
      <c r="BG24" s="268"/>
      <c r="BH24" s="268"/>
      <c r="BI24" s="268"/>
      <c r="BJ24" s="269">
        <f t="shared" ref="BJ24:BR24" si="58">$I24*BJ$2</f>
        <v>46.2656249999999</v>
      </c>
      <c r="BK24" s="269">
        <f t="shared" si="58"/>
        <v>46.2656249999999</v>
      </c>
      <c r="BL24" s="269">
        <f t="shared" si="58"/>
        <v>46.2656249999999</v>
      </c>
      <c r="BM24" s="269">
        <f t="shared" si="58"/>
        <v>46.2656249999999</v>
      </c>
      <c r="BN24" s="269">
        <f t="shared" si="58"/>
        <v>46.2656249999999</v>
      </c>
      <c r="BO24" s="269">
        <f t="shared" si="58"/>
        <v>46.2656249999999</v>
      </c>
      <c r="BP24" s="269">
        <f t="shared" si="58"/>
        <v>46.2656249999999</v>
      </c>
      <c r="BQ24" s="269">
        <f t="shared" si="58"/>
        <v>46.2656249999999</v>
      </c>
      <c r="BR24" s="269">
        <f t="shared" si="58"/>
        <v>7.87499999999999</v>
      </c>
      <c r="BT24" s="60">
        <f t="shared" ref="BT24:CB24" si="59">BT23-BJ24</f>
        <v>107130.4609375</v>
      </c>
      <c r="BU24" s="60">
        <f t="shared" si="59"/>
        <v>107130.4609375</v>
      </c>
      <c r="BV24" s="60">
        <f t="shared" si="59"/>
        <v>107130.4609375</v>
      </c>
      <c r="BW24" s="60">
        <f t="shared" si="59"/>
        <v>107130.4609375</v>
      </c>
      <c r="BX24" s="60">
        <f t="shared" si="59"/>
        <v>107130.4609375</v>
      </c>
      <c r="BY24" s="60">
        <f t="shared" si="59"/>
        <v>107130.4609375</v>
      </c>
      <c r="BZ24" s="60">
        <f t="shared" si="59"/>
        <v>107130.4609375</v>
      </c>
      <c r="CA24" s="60">
        <f t="shared" si="59"/>
        <v>107130.4609375</v>
      </c>
      <c r="CB24" s="60">
        <f t="shared" si="59"/>
        <v>18236.3125</v>
      </c>
    </row>
    <row r="25" s="4" customFormat="1" ht="27" hidden="1" customHeight="1" spans="1:80">
      <c r="A25" s="18">
        <v>45749</v>
      </c>
      <c r="B25" s="19"/>
      <c r="C25" s="20"/>
      <c r="D25" s="21" t="s">
        <v>231</v>
      </c>
      <c r="E25" s="20"/>
      <c r="F25" s="19"/>
      <c r="G25" s="22" t="s">
        <v>86</v>
      </c>
      <c r="H25" s="19" t="s">
        <v>232</v>
      </c>
      <c r="I25" s="34">
        <v>60</v>
      </c>
      <c r="J25" s="34">
        <v>0</v>
      </c>
      <c r="K25" s="34">
        <v>24</v>
      </c>
      <c r="L25" s="34">
        <f t="shared" si="24"/>
        <v>2.5</v>
      </c>
      <c r="M25" s="35">
        <v>45768</v>
      </c>
      <c r="N25" s="35">
        <v>45764</v>
      </c>
      <c r="O25" s="37"/>
      <c r="P25" s="255" t="s">
        <v>93</v>
      </c>
      <c r="Q25" s="37"/>
      <c r="R25" s="37">
        <v>45749</v>
      </c>
      <c r="S25" s="37" t="s">
        <v>80</v>
      </c>
      <c r="T25" s="37" t="s">
        <v>80</v>
      </c>
      <c r="U25" s="37"/>
      <c r="V25" s="45" t="s">
        <v>233</v>
      </c>
      <c r="W25" s="35" t="s">
        <v>234</v>
      </c>
      <c r="X25" s="260"/>
      <c r="Y25" s="34"/>
      <c r="Z25" s="35" t="s">
        <v>235</v>
      </c>
      <c r="AA25" s="261">
        <v>60</v>
      </c>
      <c r="AB25" s="261">
        <f t="shared" si="6"/>
        <v>0</v>
      </c>
      <c r="AC25" s="37" t="s">
        <v>80</v>
      </c>
      <c r="AD25" s="37"/>
      <c r="AE25" s="35" t="s">
        <v>93</v>
      </c>
      <c r="AF25" s="35"/>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8">
        <v>60</v>
      </c>
      <c r="BK25" s="58">
        <v>60</v>
      </c>
      <c r="BL25" s="58">
        <v>60</v>
      </c>
      <c r="BM25" s="58">
        <v>60</v>
      </c>
      <c r="BN25" s="58">
        <v>60</v>
      </c>
      <c r="BO25" s="58">
        <v>60</v>
      </c>
      <c r="BP25" s="58">
        <v>60</v>
      </c>
      <c r="BQ25" s="58">
        <v>60</v>
      </c>
      <c r="BR25" s="58">
        <v>60</v>
      </c>
      <c r="BT25" s="60">
        <f t="shared" ref="BT25:CB25" si="60">BT24-BJ25</f>
        <v>107070.4609375</v>
      </c>
      <c r="BU25" s="60">
        <f t="shared" si="60"/>
        <v>107070.4609375</v>
      </c>
      <c r="BV25" s="60">
        <f t="shared" si="60"/>
        <v>107070.4609375</v>
      </c>
      <c r="BW25" s="60">
        <f t="shared" si="60"/>
        <v>107070.4609375</v>
      </c>
      <c r="BX25" s="60">
        <f t="shared" si="60"/>
        <v>107070.4609375</v>
      </c>
      <c r="BY25" s="60">
        <f t="shared" si="60"/>
        <v>107070.4609375</v>
      </c>
      <c r="BZ25" s="60">
        <f t="shared" si="60"/>
        <v>107070.4609375</v>
      </c>
      <c r="CA25" s="60">
        <f t="shared" si="60"/>
        <v>107070.4609375</v>
      </c>
      <c r="CB25" s="60">
        <f t="shared" si="60"/>
        <v>18176.3125</v>
      </c>
    </row>
    <row r="26" s="235" customFormat="1" ht="27" hidden="1" customHeight="1" spans="1:80">
      <c r="A26" s="241">
        <v>45749</v>
      </c>
      <c r="B26" s="242"/>
      <c r="C26" s="243"/>
      <c r="D26" s="244" t="s">
        <v>231</v>
      </c>
      <c r="E26" s="243"/>
      <c r="F26" s="242"/>
      <c r="G26" s="245" t="s">
        <v>94</v>
      </c>
      <c r="H26" s="242" t="s">
        <v>236</v>
      </c>
      <c r="I26" s="250">
        <v>650</v>
      </c>
      <c r="J26" s="250">
        <v>0</v>
      </c>
      <c r="K26" s="250">
        <v>52</v>
      </c>
      <c r="L26" s="250">
        <f t="shared" si="24"/>
        <v>12.5</v>
      </c>
      <c r="M26" s="251">
        <v>45768</v>
      </c>
      <c r="N26" s="251">
        <v>45764</v>
      </c>
      <c r="O26" s="252"/>
      <c r="P26" s="253" t="s">
        <v>107</v>
      </c>
      <c r="Q26" s="252"/>
      <c r="R26" s="252">
        <v>45749</v>
      </c>
      <c r="S26" s="252" t="s">
        <v>80</v>
      </c>
      <c r="T26" s="252" t="s">
        <v>80</v>
      </c>
      <c r="U26" s="252"/>
      <c r="V26" s="261" t="s">
        <v>237</v>
      </c>
      <c r="W26" s="251" t="s">
        <v>234</v>
      </c>
      <c r="X26" s="260"/>
      <c r="Y26" s="250"/>
      <c r="Z26" s="35" t="s">
        <v>235</v>
      </c>
      <c r="AA26" s="261">
        <v>650</v>
      </c>
      <c r="AB26" s="261">
        <f t="shared" si="6"/>
        <v>0</v>
      </c>
      <c r="AC26" s="252" t="s">
        <v>80</v>
      </c>
      <c r="AD26" s="252" t="s">
        <v>114</v>
      </c>
      <c r="AE26" s="251" t="s">
        <v>94</v>
      </c>
      <c r="AF26" s="251" t="s">
        <v>115</v>
      </c>
      <c r="AG26" s="268">
        <f t="shared" ref="AG26:AG33" si="61">I26</f>
        <v>650</v>
      </c>
      <c r="AH26" s="268">
        <f t="shared" ref="AH26:AH31" si="62">I26</f>
        <v>650</v>
      </c>
      <c r="AI26" s="268"/>
      <c r="AJ26" s="268"/>
      <c r="AK26" s="268">
        <f t="shared" si="52"/>
        <v>650</v>
      </c>
      <c r="AL26" s="268"/>
      <c r="AM26" s="268"/>
      <c r="AN26" s="268">
        <f t="shared" ref="AN26:AN33" si="63">I26</f>
        <v>650</v>
      </c>
      <c r="AO26" s="268"/>
      <c r="AP26" s="268"/>
      <c r="AQ26" s="268"/>
      <c r="AR26" s="268"/>
      <c r="AS26" s="268"/>
      <c r="AT26" s="268">
        <f t="shared" ref="AT26:AT29" si="64">I26/13</f>
        <v>50</v>
      </c>
      <c r="AU26" s="268"/>
      <c r="AV26" s="268"/>
      <c r="AW26" s="268"/>
      <c r="AX26" s="268"/>
      <c r="AY26" s="268"/>
      <c r="AZ26" s="268"/>
      <c r="BA26" s="268"/>
      <c r="BB26" s="268"/>
      <c r="BC26" s="268"/>
      <c r="BD26" s="268"/>
      <c r="BE26" s="268"/>
      <c r="BF26" s="268"/>
      <c r="BG26" s="268"/>
      <c r="BH26" s="268"/>
      <c r="BI26" s="268"/>
      <c r="BJ26" s="60">
        <f t="shared" ref="BJ26:BR26" si="65">$I26*BJ$2</f>
        <v>79.5572916666664</v>
      </c>
      <c r="BK26" s="60">
        <f t="shared" si="65"/>
        <v>79.5572916666664</v>
      </c>
      <c r="BL26" s="60">
        <f t="shared" si="65"/>
        <v>79.5572916666664</v>
      </c>
      <c r="BM26" s="60">
        <f t="shared" si="65"/>
        <v>79.5572916666664</v>
      </c>
      <c r="BN26" s="60">
        <f t="shared" si="65"/>
        <v>79.5572916666664</v>
      </c>
      <c r="BO26" s="60">
        <f t="shared" si="65"/>
        <v>79.5572916666664</v>
      </c>
      <c r="BP26" s="60">
        <f t="shared" si="65"/>
        <v>79.5572916666664</v>
      </c>
      <c r="BQ26" s="60">
        <f t="shared" si="65"/>
        <v>79.5572916666664</v>
      </c>
      <c r="BR26" s="60">
        <f t="shared" si="65"/>
        <v>13.5416666666666</v>
      </c>
      <c r="BT26" s="60">
        <f t="shared" ref="BT26:CB26" si="66">BT25-BJ26</f>
        <v>106990.903645833</v>
      </c>
      <c r="BU26" s="60">
        <f t="shared" si="66"/>
        <v>106990.903645833</v>
      </c>
      <c r="BV26" s="60">
        <f t="shared" si="66"/>
        <v>106990.903645833</v>
      </c>
      <c r="BW26" s="60">
        <f t="shared" si="66"/>
        <v>106990.903645833</v>
      </c>
      <c r="BX26" s="60">
        <f t="shared" si="66"/>
        <v>106990.903645833</v>
      </c>
      <c r="BY26" s="60">
        <f t="shared" si="66"/>
        <v>106990.903645833</v>
      </c>
      <c r="BZ26" s="60">
        <f t="shared" si="66"/>
        <v>106990.903645833</v>
      </c>
      <c r="CA26" s="60">
        <f t="shared" si="66"/>
        <v>106990.903645833</v>
      </c>
      <c r="CB26" s="60">
        <f t="shared" si="66"/>
        <v>18162.7708333333</v>
      </c>
    </row>
    <row r="27" s="235" customFormat="1" ht="27" hidden="1" customHeight="1" spans="1:80">
      <c r="A27" s="241">
        <v>45749</v>
      </c>
      <c r="B27" s="242"/>
      <c r="C27" s="243"/>
      <c r="D27" s="244" t="s">
        <v>231</v>
      </c>
      <c r="E27" s="243"/>
      <c r="F27" s="242"/>
      <c r="G27" s="245" t="s">
        <v>78</v>
      </c>
      <c r="H27" s="242" t="s">
        <v>238</v>
      </c>
      <c r="I27" s="250">
        <v>1350</v>
      </c>
      <c r="J27" s="250">
        <v>0</v>
      </c>
      <c r="K27" s="250">
        <v>54</v>
      </c>
      <c r="L27" s="250">
        <f t="shared" si="24"/>
        <v>25</v>
      </c>
      <c r="M27" s="251">
        <v>45768</v>
      </c>
      <c r="N27" s="251">
        <v>45764</v>
      </c>
      <c r="O27" s="252"/>
      <c r="P27" s="253" t="s">
        <v>107</v>
      </c>
      <c r="Q27" s="252"/>
      <c r="R27" s="252">
        <v>45749</v>
      </c>
      <c r="S27" s="252" t="s">
        <v>80</v>
      </c>
      <c r="T27" s="252" t="s">
        <v>80</v>
      </c>
      <c r="U27" s="252"/>
      <c r="V27" s="261" t="s">
        <v>237</v>
      </c>
      <c r="W27" s="251" t="s">
        <v>234</v>
      </c>
      <c r="X27" s="260"/>
      <c r="Y27" s="250"/>
      <c r="Z27" s="35" t="s">
        <v>235</v>
      </c>
      <c r="AA27" s="261">
        <v>1350</v>
      </c>
      <c r="AB27" s="261">
        <f t="shared" si="6"/>
        <v>0</v>
      </c>
      <c r="AC27" s="252" t="s">
        <v>80</v>
      </c>
      <c r="AD27" s="252" t="s">
        <v>114</v>
      </c>
      <c r="AE27" s="251" t="s">
        <v>78</v>
      </c>
      <c r="AF27" s="251" t="s">
        <v>115</v>
      </c>
      <c r="AG27" s="268">
        <f t="shared" si="61"/>
        <v>1350</v>
      </c>
      <c r="AH27" s="268">
        <f t="shared" si="62"/>
        <v>1350</v>
      </c>
      <c r="AI27" s="268"/>
      <c r="AJ27" s="268"/>
      <c r="AK27" s="268">
        <f t="shared" si="52"/>
        <v>1350</v>
      </c>
      <c r="AL27" s="268"/>
      <c r="AM27" s="268"/>
      <c r="AN27" s="268">
        <f t="shared" si="63"/>
        <v>1350</v>
      </c>
      <c r="AO27" s="268"/>
      <c r="AP27" s="268"/>
      <c r="AQ27" s="268">
        <f>I27/27</f>
        <v>50</v>
      </c>
      <c r="AR27" s="268"/>
      <c r="AS27" s="268"/>
      <c r="AT27" s="268"/>
      <c r="AU27" s="268"/>
      <c r="AV27" s="268"/>
      <c r="AW27" s="268"/>
      <c r="AX27" s="268"/>
      <c r="AY27" s="268"/>
      <c r="AZ27" s="268"/>
      <c r="BA27" s="268"/>
      <c r="BB27" s="268"/>
      <c r="BC27" s="268"/>
      <c r="BD27" s="268"/>
      <c r="BE27" s="268"/>
      <c r="BF27" s="268"/>
      <c r="BG27" s="268"/>
      <c r="BH27" s="268"/>
      <c r="BI27" s="268"/>
      <c r="BJ27" s="269">
        <f t="shared" ref="BJ27:BR27" si="67">$I27*BJ$2</f>
        <v>165.234375</v>
      </c>
      <c r="BK27" s="269">
        <f t="shared" si="67"/>
        <v>165.234375</v>
      </c>
      <c r="BL27" s="269">
        <f t="shared" si="67"/>
        <v>165.234375</v>
      </c>
      <c r="BM27" s="269">
        <f t="shared" si="67"/>
        <v>165.234375</v>
      </c>
      <c r="BN27" s="269">
        <f t="shared" si="67"/>
        <v>165.234375</v>
      </c>
      <c r="BO27" s="269">
        <f t="shared" si="67"/>
        <v>165.234375</v>
      </c>
      <c r="BP27" s="269">
        <f t="shared" si="67"/>
        <v>165.234375</v>
      </c>
      <c r="BQ27" s="269">
        <f t="shared" si="67"/>
        <v>165.234375</v>
      </c>
      <c r="BR27" s="269">
        <f t="shared" si="67"/>
        <v>28.125</v>
      </c>
      <c r="BT27" s="60">
        <f t="shared" ref="BT27:CB27" si="68">BT26-BJ27</f>
        <v>106825.669270833</v>
      </c>
      <c r="BU27" s="60">
        <f t="shared" si="68"/>
        <v>106825.669270833</v>
      </c>
      <c r="BV27" s="60">
        <f t="shared" si="68"/>
        <v>106825.669270833</v>
      </c>
      <c r="BW27" s="60">
        <f t="shared" si="68"/>
        <v>106825.669270833</v>
      </c>
      <c r="BX27" s="60">
        <f t="shared" si="68"/>
        <v>106825.669270833</v>
      </c>
      <c r="BY27" s="60">
        <f t="shared" si="68"/>
        <v>106825.669270833</v>
      </c>
      <c r="BZ27" s="60">
        <f t="shared" si="68"/>
        <v>106825.669270833</v>
      </c>
      <c r="CA27" s="60">
        <f t="shared" si="68"/>
        <v>106825.669270833</v>
      </c>
      <c r="CB27" s="60">
        <f t="shared" si="68"/>
        <v>18134.6458333333</v>
      </c>
    </row>
    <row r="28" s="235" customFormat="1" ht="27" hidden="1" customHeight="1" spans="1:80">
      <c r="A28" s="241">
        <v>45729</v>
      </c>
      <c r="B28" s="242" t="s">
        <v>239</v>
      </c>
      <c r="C28" s="243" t="s">
        <v>240</v>
      </c>
      <c r="D28" s="244">
        <v>4500159866</v>
      </c>
      <c r="E28" s="243"/>
      <c r="F28" s="242" t="s">
        <v>241</v>
      </c>
      <c r="G28" s="245" t="s">
        <v>94</v>
      </c>
      <c r="H28" s="242" t="s">
        <v>211</v>
      </c>
      <c r="I28" s="250">
        <v>208</v>
      </c>
      <c r="J28" s="250">
        <v>0</v>
      </c>
      <c r="K28" s="250">
        <v>52</v>
      </c>
      <c r="L28" s="250">
        <f t="shared" si="24"/>
        <v>4</v>
      </c>
      <c r="M28" s="251">
        <v>45769</v>
      </c>
      <c r="N28" s="251">
        <v>45765</v>
      </c>
      <c r="O28" s="252"/>
      <c r="P28" s="253" t="s">
        <v>224</v>
      </c>
      <c r="Q28" s="252" t="s">
        <v>242</v>
      </c>
      <c r="R28" s="252">
        <v>45729</v>
      </c>
      <c r="S28" s="252" t="s">
        <v>80</v>
      </c>
      <c r="T28" s="252" t="s">
        <v>243</v>
      </c>
      <c r="U28" s="252"/>
      <c r="V28" s="261" t="s">
        <v>244</v>
      </c>
      <c r="W28" s="251" t="s">
        <v>245</v>
      </c>
      <c r="X28" s="260">
        <v>0.945</v>
      </c>
      <c r="Y28" s="250">
        <f t="shared" ref="Y28:Y38" si="69">X28*I28</f>
        <v>196.56</v>
      </c>
      <c r="Z28" s="251" t="s">
        <v>246</v>
      </c>
      <c r="AA28" s="261">
        <v>208</v>
      </c>
      <c r="AB28" s="261">
        <f t="shared" si="6"/>
        <v>0</v>
      </c>
      <c r="AC28" s="252" t="s">
        <v>113</v>
      </c>
      <c r="AD28" s="252" t="s">
        <v>114</v>
      </c>
      <c r="AE28" s="251" t="s">
        <v>94</v>
      </c>
      <c r="AF28" s="251" t="s">
        <v>115</v>
      </c>
      <c r="AG28" s="268">
        <f t="shared" si="61"/>
        <v>208</v>
      </c>
      <c r="AH28" s="268">
        <f t="shared" si="62"/>
        <v>208</v>
      </c>
      <c r="AI28" s="268"/>
      <c r="AJ28" s="268"/>
      <c r="AK28" s="268">
        <f t="shared" si="52"/>
        <v>208</v>
      </c>
      <c r="AL28" s="268"/>
      <c r="AM28" s="268"/>
      <c r="AN28" s="268">
        <f t="shared" si="63"/>
        <v>208</v>
      </c>
      <c r="AO28" s="268"/>
      <c r="AP28" s="268"/>
      <c r="AQ28" s="268"/>
      <c r="AR28" s="268"/>
      <c r="AS28" s="268"/>
      <c r="AT28" s="268">
        <f t="shared" si="64"/>
        <v>16</v>
      </c>
      <c r="AU28" s="268"/>
      <c r="AV28" s="268"/>
      <c r="AW28" s="268"/>
      <c r="AX28" s="268"/>
      <c r="AY28" s="268"/>
      <c r="AZ28" s="268"/>
      <c r="BA28" s="268"/>
      <c r="BB28" s="268"/>
      <c r="BC28" s="268"/>
      <c r="BD28" s="268"/>
      <c r="BE28" s="268"/>
      <c r="BF28" s="268"/>
      <c r="BG28" s="268"/>
      <c r="BH28" s="268"/>
      <c r="BI28" s="268"/>
      <c r="BJ28" s="60">
        <f t="shared" ref="BJ28:BR28" si="70">$I28*BJ$2</f>
        <v>25.4583333333333</v>
      </c>
      <c r="BK28" s="60">
        <f t="shared" si="70"/>
        <v>25.4583333333333</v>
      </c>
      <c r="BL28" s="60">
        <f t="shared" si="70"/>
        <v>25.4583333333333</v>
      </c>
      <c r="BM28" s="60">
        <f t="shared" si="70"/>
        <v>25.4583333333333</v>
      </c>
      <c r="BN28" s="60">
        <f t="shared" si="70"/>
        <v>25.4583333333333</v>
      </c>
      <c r="BO28" s="60">
        <f t="shared" si="70"/>
        <v>25.4583333333333</v>
      </c>
      <c r="BP28" s="60">
        <f t="shared" si="70"/>
        <v>25.4583333333333</v>
      </c>
      <c r="BQ28" s="60">
        <f t="shared" si="70"/>
        <v>25.4583333333333</v>
      </c>
      <c r="BR28" s="60">
        <f t="shared" si="70"/>
        <v>4.33333333333333</v>
      </c>
      <c r="BT28" s="60">
        <f t="shared" ref="BT28:CB28" si="71">BT27-BJ28</f>
        <v>106800.2109375</v>
      </c>
      <c r="BU28" s="60">
        <f t="shared" si="71"/>
        <v>106800.2109375</v>
      </c>
      <c r="BV28" s="60">
        <f t="shared" si="71"/>
        <v>106800.2109375</v>
      </c>
      <c r="BW28" s="60">
        <f t="shared" si="71"/>
        <v>106800.2109375</v>
      </c>
      <c r="BX28" s="60">
        <f t="shared" si="71"/>
        <v>106800.2109375</v>
      </c>
      <c r="BY28" s="60">
        <f t="shared" si="71"/>
        <v>106800.2109375</v>
      </c>
      <c r="BZ28" s="60">
        <f t="shared" si="71"/>
        <v>106800.2109375</v>
      </c>
      <c r="CA28" s="60">
        <f t="shared" si="71"/>
        <v>106800.2109375</v>
      </c>
      <c r="CB28" s="60">
        <f t="shared" si="71"/>
        <v>18130.3125</v>
      </c>
    </row>
    <row r="29" s="235" customFormat="1" ht="27" hidden="1" customHeight="1" spans="1:80">
      <c r="A29" s="241">
        <v>45737</v>
      </c>
      <c r="B29" s="242" t="s">
        <v>247</v>
      </c>
      <c r="C29" s="243" t="s">
        <v>248</v>
      </c>
      <c r="D29" s="244">
        <v>4500160940</v>
      </c>
      <c r="E29" s="243" t="s">
        <v>249</v>
      </c>
      <c r="F29" s="242" t="s">
        <v>250</v>
      </c>
      <c r="G29" s="245" t="s">
        <v>94</v>
      </c>
      <c r="H29" s="242" t="s">
        <v>211</v>
      </c>
      <c r="I29" s="250">
        <v>780</v>
      </c>
      <c r="J29" s="250">
        <v>0</v>
      </c>
      <c r="K29" s="250">
        <v>52</v>
      </c>
      <c r="L29" s="250">
        <f t="shared" si="24"/>
        <v>15</v>
      </c>
      <c r="M29" s="251">
        <v>45772</v>
      </c>
      <c r="N29" s="251">
        <v>45768</v>
      </c>
      <c r="O29" s="252"/>
      <c r="P29" s="253" t="s">
        <v>107</v>
      </c>
      <c r="Q29" s="252" t="s">
        <v>251</v>
      </c>
      <c r="R29" s="252">
        <v>45737</v>
      </c>
      <c r="S29" s="252" t="s">
        <v>80</v>
      </c>
      <c r="T29" s="252" t="s">
        <v>252</v>
      </c>
      <c r="U29" s="252"/>
      <c r="V29" s="261" t="s">
        <v>253</v>
      </c>
      <c r="W29" s="251" t="s">
        <v>214</v>
      </c>
      <c r="X29" s="260">
        <v>0.945</v>
      </c>
      <c r="Y29" s="250">
        <f t="shared" si="69"/>
        <v>737.1</v>
      </c>
      <c r="Z29" s="251" t="s">
        <v>254</v>
      </c>
      <c r="AA29" s="261">
        <v>780</v>
      </c>
      <c r="AB29" s="261">
        <f t="shared" si="6"/>
        <v>0</v>
      </c>
      <c r="AC29" s="252" t="s">
        <v>113</v>
      </c>
      <c r="AD29" s="252" t="s">
        <v>114</v>
      </c>
      <c r="AE29" s="251" t="s">
        <v>94</v>
      </c>
      <c r="AF29" s="251" t="s">
        <v>115</v>
      </c>
      <c r="AG29" s="268">
        <f t="shared" si="61"/>
        <v>780</v>
      </c>
      <c r="AH29" s="268">
        <f t="shared" si="62"/>
        <v>780</v>
      </c>
      <c r="AI29" s="268"/>
      <c r="AJ29" s="268"/>
      <c r="AK29" s="268">
        <f t="shared" si="52"/>
        <v>780</v>
      </c>
      <c r="AL29" s="268"/>
      <c r="AM29" s="268"/>
      <c r="AN29" s="268">
        <f t="shared" si="63"/>
        <v>780</v>
      </c>
      <c r="AO29" s="268"/>
      <c r="AP29" s="268"/>
      <c r="AQ29" s="268"/>
      <c r="AR29" s="268"/>
      <c r="AS29" s="268"/>
      <c r="AT29" s="268">
        <f t="shared" si="64"/>
        <v>60</v>
      </c>
      <c r="AU29" s="268"/>
      <c r="AV29" s="268"/>
      <c r="AW29" s="268"/>
      <c r="AX29" s="268"/>
      <c r="AY29" s="268"/>
      <c r="AZ29" s="268"/>
      <c r="BA29" s="268"/>
      <c r="BB29" s="268"/>
      <c r="BC29" s="268"/>
      <c r="BD29" s="268"/>
      <c r="BE29" s="268"/>
      <c r="BF29" s="268"/>
      <c r="BG29" s="268"/>
      <c r="BH29" s="268"/>
      <c r="BI29" s="268"/>
      <c r="BJ29" s="60">
        <f t="shared" ref="BJ29:BR29" si="72">$I29*BJ$2</f>
        <v>95.4687499999997</v>
      </c>
      <c r="BK29" s="60">
        <f t="shared" si="72"/>
        <v>95.4687499999997</v>
      </c>
      <c r="BL29" s="60">
        <f t="shared" si="72"/>
        <v>95.4687499999997</v>
      </c>
      <c r="BM29" s="60">
        <f t="shared" si="72"/>
        <v>95.4687499999997</v>
      </c>
      <c r="BN29" s="60">
        <f t="shared" si="72"/>
        <v>95.4687499999997</v>
      </c>
      <c r="BO29" s="60">
        <f t="shared" si="72"/>
        <v>95.4687499999997</v>
      </c>
      <c r="BP29" s="60">
        <f t="shared" si="72"/>
        <v>95.4687499999997</v>
      </c>
      <c r="BQ29" s="60">
        <f t="shared" si="72"/>
        <v>95.4687499999997</v>
      </c>
      <c r="BR29" s="60">
        <f t="shared" si="72"/>
        <v>16.25</v>
      </c>
      <c r="BT29" s="60">
        <f t="shared" ref="BT29:CB29" si="73">BT28-BJ29</f>
        <v>106704.7421875</v>
      </c>
      <c r="BU29" s="60">
        <f t="shared" si="73"/>
        <v>106704.7421875</v>
      </c>
      <c r="BV29" s="60">
        <f t="shared" si="73"/>
        <v>106704.7421875</v>
      </c>
      <c r="BW29" s="60">
        <f t="shared" si="73"/>
        <v>106704.7421875</v>
      </c>
      <c r="BX29" s="60">
        <f t="shared" si="73"/>
        <v>106704.7421875</v>
      </c>
      <c r="BY29" s="60">
        <f t="shared" si="73"/>
        <v>106704.7421875</v>
      </c>
      <c r="BZ29" s="60">
        <f t="shared" si="73"/>
        <v>106704.7421875</v>
      </c>
      <c r="CA29" s="60">
        <f t="shared" si="73"/>
        <v>106704.7421875</v>
      </c>
      <c r="CB29" s="60">
        <f t="shared" si="73"/>
        <v>18114.0625</v>
      </c>
    </row>
    <row r="30" s="235" customFormat="1" ht="27" hidden="1" customHeight="1" spans="1:80">
      <c r="A30" s="241">
        <v>45726</v>
      </c>
      <c r="B30" s="242" t="s">
        <v>255</v>
      </c>
      <c r="C30" s="243" t="s">
        <v>117</v>
      </c>
      <c r="D30" s="244">
        <v>4500159701</v>
      </c>
      <c r="E30" s="303" t="s">
        <v>256</v>
      </c>
      <c r="F30" s="242" t="s">
        <v>257</v>
      </c>
      <c r="G30" s="245" t="s">
        <v>258</v>
      </c>
      <c r="H30" s="242" t="s">
        <v>259</v>
      </c>
      <c r="I30" s="250">
        <v>1152</v>
      </c>
      <c r="J30" s="250">
        <v>0</v>
      </c>
      <c r="K30" s="250">
        <v>1152</v>
      </c>
      <c r="L30" s="250">
        <f t="shared" si="24"/>
        <v>1</v>
      </c>
      <c r="M30" s="251">
        <v>45770</v>
      </c>
      <c r="N30" s="251">
        <v>45768</v>
      </c>
      <c r="O30" s="252" t="s">
        <v>260</v>
      </c>
      <c r="P30" s="253" t="s">
        <v>107</v>
      </c>
      <c r="Q30" s="252" t="s">
        <v>261</v>
      </c>
      <c r="R30" s="252" t="s">
        <v>262</v>
      </c>
      <c r="S30" s="252" t="s">
        <v>191</v>
      </c>
      <c r="T30" s="252" t="s">
        <v>263</v>
      </c>
      <c r="U30" s="252"/>
      <c r="V30" s="261" t="s">
        <v>264</v>
      </c>
      <c r="W30" s="251" t="s">
        <v>265</v>
      </c>
      <c r="X30" s="260">
        <v>903.2128</v>
      </c>
      <c r="Y30" s="250">
        <f>X30*L30</f>
        <v>903.2128</v>
      </c>
      <c r="Z30" s="251" t="s">
        <v>266</v>
      </c>
      <c r="AA30" s="261">
        <v>1152</v>
      </c>
      <c r="AB30" s="261">
        <f t="shared" si="6"/>
        <v>0</v>
      </c>
      <c r="AC30" s="252"/>
      <c r="AD30" s="252" t="s">
        <v>114</v>
      </c>
      <c r="AE30" s="251" t="s">
        <v>258</v>
      </c>
      <c r="AF30" s="251" t="s">
        <v>115</v>
      </c>
      <c r="AG30" s="268">
        <f t="shared" si="61"/>
        <v>1152</v>
      </c>
      <c r="AH30" s="268">
        <f t="shared" si="62"/>
        <v>1152</v>
      </c>
      <c r="AI30" s="268"/>
      <c r="AJ30" s="268"/>
      <c r="AK30" s="268">
        <f t="shared" si="52"/>
        <v>1152</v>
      </c>
      <c r="AL30" s="268"/>
      <c r="AM30" s="268"/>
      <c r="AN30" s="268">
        <f t="shared" si="63"/>
        <v>1152</v>
      </c>
      <c r="AO30" s="268"/>
      <c r="AP30" s="268"/>
      <c r="AQ30" s="268"/>
      <c r="AR30" s="268"/>
      <c r="AS30" s="268"/>
      <c r="AT30" s="268"/>
      <c r="AU30" s="268"/>
      <c r="AV30" s="268">
        <f>I30/12</f>
        <v>96</v>
      </c>
      <c r="AW30" s="268"/>
      <c r="AX30" s="268"/>
      <c r="AY30" s="268"/>
      <c r="AZ30" s="268"/>
      <c r="BA30" s="268"/>
      <c r="BB30" s="268"/>
      <c r="BC30" s="268"/>
      <c r="BD30" s="268"/>
      <c r="BE30" s="268"/>
      <c r="BF30" s="268"/>
      <c r="BG30" s="268"/>
      <c r="BH30" s="268"/>
      <c r="BI30" s="268"/>
      <c r="BJ30" s="60">
        <f t="shared" ref="BJ30:BR30" si="74">$I30*BJ$2</f>
        <v>141</v>
      </c>
      <c r="BK30" s="60">
        <f t="shared" si="74"/>
        <v>141</v>
      </c>
      <c r="BL30" s="60">
        <f t="shared" si="74"/>
        <v>141</v>
      </c>
      <c r="BM30" s="60">
        <f t="shared" si="74"/>
        <v>141</v>
      </c>
      <c r="BN30" s="60">
        <f t="shared" si="74"/>
        <v>141</v>
      </c>
      <c r="BO30" s="60">
        <f t="shared" si="74"/>
        <v>141</v>
      </c>
      <c r="BP30" s="60">
        <f t="shared" si="74"/>
        <v>141</v>
      </c>
      <c r="BQ30" s="60">
        <f t="shared" si="74"/>
        <v>141</v>
      </c>
      <c r="BR30" s="60">
        <f t="shared" si="74"/>
        <v>24</v>
      </c>
      <c r="BT30" s="60">
        <f t="shared" ref="BT30:CB30" si="75">BT29-BJ30</f>
        <v>106563.7421875</v>
      </c>
      <c r="BU30" s="60">
        <f t="shared" si="75"/>
        <v>106563.7421875</v>
      </c>
      <c r="BV30" s="60">
        <f t="shared" si="75"/>
        <v>106563.7421875</v>
      </c>
      <c r="BW30" s="60">
        <f t="shared" si="75"/>
        <v>106563.7421875</v>
      </c>
      <c r="BX30" s="60">
        <f t="shared" si="75"/>
        <v>106563.7421875</v>
      </c>
      <c r="BY30" s="60">
        <f t="shared" si="75"/>
        <v>106563.7421875</v>
      </c>
      <c r="BZ30" s="60">
        <f t="shared" si="75"/>
        <v>106563.7421875</v>
      </c>
      <c r="CA30" s="60">
        <f t="shared" si="75"/>
        <v>106563.7421875</v>
      </c>
      <c r="CB30" s="60">
        <f t="shared" si="75"/>
        <v>18090.0625</v>
      </c>
    </row>
    <row r="31" s="235" customFormat="1" ht="27" hidden="1" customHeight="1" spans="1:80">
      <c r="A31" s="241">
        <v>45735</v>
      </c>
      <c r="B31" s="242" t="s">
        <v>267</v>
      </c>
      <c r="C31" s="243" t="s">
        <v>268</v>
      </c>
      <c r="D31" s="244">
        <v>4500160671</v>
      </c>
      <c r="E31" s="243"/>
      <c r="F31" s="242" t="s">
        <v>269</v>
      </c>
      <c r="G31" s="245" t="s">
        <v>94</v>
      </c>
      <c r="H31" s="242" t="s">
        <v>211</v>
      </c>
      <c r="I31" s="250">
        <v>312</v>
      </c>
      <c r="J31" s="250">
        <v>0</v>
      </c>
      <c r="K31" s="250">
        <v>52</v>
      </c>
      <c r="L31" s="250">
        <f t="shared" si="24"/>
        <v>6</v>
      </c>
      <c r="M31" s="251">
        <v>45772</v>
      </c>
      <c r="N31" s="251">
        <v>45768</v>
      </c>
      <c r="O31" s="252"/>
      <c r="P31" s="253" t="s">
        <v>224</v>
      </c>
      <c r="Q31" s="252" t="s">
        <v>270</v>
      </c>
      <c r="R31" s="252">
        <v>45735</v>
      </c>
      <c r="S31" s="252" t="s">
        <v>80</v>
      </c>
      <c r="T31" s="252" t="s">
        <v>271</v>
      </c>
      <c r="U31" s="252"/>
      <c r="V31" s="261" t="s">
        <v>272</v>
      </c>
      <c r="W31" s="251" t="s">
        <v>273</v>
      </c>
      <c r="X31" s="260">
        <v>0.7909</v>
      </c>
      <c r="Y31" s="250">
        <f t="shared" si="69"/>
        <v>246.7608</v>
      </c>
      <c r="Z31" s="251" t="s">
        <v>274</v>
      </c>
      <c r="AA31" s="261">
        <v>312</v>
      </c>
      <c r="AB31" s="261">
        <f t="shared" si="6"/>
        <v>0</v>
      </c>
      <c r="AC31" s="252" t="s">
        <v>113</v>
      </c>
      <c r="AD31" s="252" t="s">
        <v>114</v>
      </c>
      <c r="AE31" s="251" t="s">
        <v>94</v>
      </c>
      <c r="AF31" s="251" t="s">
        <v>115</v>
      </c>
      <c r="AG31" s="268">
        <f t="shared" si="61"/>
        <v>312</v>
      </c>
      <c r="AH31" s="268">
        <f t="shared" si="62"/>
        <v>312</v>
      </c>
      <c r="AI31" s="268"/>
      <c r="AJ31" s="268"/>
      <c r="AK31" s="268">
        <f t="shared" si="52"/>
        <v>312</v>
      </c>
      <c r="AL31" s="268"/>
      <c r="AM31" s="268"/>
      <c r="AN31" s="268">
        <f t="shared" si="63"/>
        <v>312</v>
      </c>
      <c r="AO31" s="268"/>
      <c r="AP31" s="268"/>
      <c r="AQ31" s="268"/>
      <c r="AR31" s="268"/>
      <c r="AS31" s="268"/>
      <c r="AT31" s="268">
        <f>I31/13</f>
        <v>24</v>
      </c>
      <c r="AU31" s="268"/>
      <c r="AV31" s="268"/>
      <c r="AW31" s="268"/>
      <c r="AX31" s="268"/>
      <c r="AY31" s="268"/>
      <c r="AZ31" s="268"/>
      <c r="BA31" s="268"/>
      <c r="BB31" s="268"/>
      <c r="BC31" s="268"/>
      <c r="BD31" s="268"/>
      <c r="BE31" s="268"/>
      <c r="BF31" s="268"/>
      <c r="BG31" s="268"/>
      <c r="BH31" s="268"/>
      <c r="BI31" s="268"/>
      <c r="BJ31" s="60">
        <f t="shared" ref="BJ31:BR31" si="76">$I31*BJ$2</f>
        <v>38.1874999999999</v>
      </c>
      <c r="BK31" s="60">
        <f t="shared" si="76"/>
        <v>38.1874999999999</v>
      </c>
      <c r="BL31" s="60">
        <f t="shared" si="76"/>
        <v>38.1874999999999</v>
      </c>
      <c r="BM31" s="60">
        <f t="shared" si="76"/>
        <v>38.1874999999999</v>
      </c>
      <c r="BN31" s="60">
        <f t="shared" si="76"/>
        <v>38.1874999999999</v>
      </c>
      <c r="BO31" s="60">
        <f t="shared" si="76"/>
        <v>38.1874999999999</v>
      </c>
      <c r="BP31" s="60">
        <f t="shared" si="76"/>
        <v>38.1874999999999</v>
      </c>
      <c r="BQ31" s="60">
        <f t="shared" si="76"/>
        <v>38.1874999999999</v>
      </c>
      <c r="BR31" s="60">
        <f t="shared" si="76"/>
        <v>6.49999999999999</v>
      </c>
      <c r="BT31" s="60">
        <f t="shared" ref="BT31:CB31" si="77">BT30-BJ31</f>
        <v>106525.5546875</v>
      </c>
      <c r="BU31" s="60">
        <f t="shared" si="77"/>
        <v>106525.5546875</v>
      </c>
      <c r="BV31" s="60">
        <f t="shared" si="77"/>
        <v>106525.5546875</v>
      </c>
      <c r="BW31" s="60">
        <f t="shared" si="77"/>
        <v>106525.5546875</v>
      </c>
      <c r="BX31" s="60">
        <f t="shared" si="77"/>
        <v>106525.5546875</v>
      </c>
      <c r="BY31" s="60">
        <f t="shared" si="77"/>
        <v>106525.5546875</v>
      </c>
      <c r="BZ31" s="60">
        <f t="shared" si="77"/>
        <v>106525.5546875</v>
      </c>
      <c r="CA31" s="60">
        <f t="shared" si="77"/>
        <v>106525.5546875</v>
      </c>
      <c r="CB31" s="60">
        <f t="shared" si="77"/>
        <v>18083.5625</v>
      </c>
    </row>
    <row r="32" s="235" customFormat="1" ht="27" hidden="1" customHeight="1" spans="1:80">
      <c r="A32" s="241">
        <v>45695</v>
      </c>
      <c r="B32" s="242" t="s">
        <v>275</v>
      </c>
      <c r="C32" s="243" t="s">
        <v>203</v>
      </c>
      <c r="D32" s="244">
        <v>4500156863</v>
      </c>
      <c r="E32" s="243">
        <v>4400463048</v>
      </c>
      <c r="F32" s="242" t="s">
        <v>276</v>
      </c>
      <c r="G32" s="245" t="s">
        <v>131</v>
      </c>
      <c r="H32" s="242" t="s">
        <v>132</v>
      </c>
      <c r="I32" s="250">
        <v>4023</v>
      </c>
      <c r="J32" s="250">
        <v>0</v>
      </c>
      <c r="K32" s="250">
        <v>27</v>
      </c>
      <c r="L32" s="250">
        <f t="shared" si="24"/>
        <v>149</v>
      </c>
      <c r="M32" s="251">
        <v>45775</v>
      </c>
      <c r="N32" s="251">
        <v>45771</v>
      </c>
      <c r="O32" s="252"/>
      <c r="P32" s="253" t="s">
        <v>107</v>
      </c>
      <c r="Q32" s="252" t="s">
        <v>277</v>
      </c>
      <c r="R32" s="252">
        <v>45696</v>
      </c>
      <c r="S32" s="252" t="s">
        <v>80</v>
      </c>
      <c r="T32" s="252" t="s">
        <v>80</v>
      </c>
      <c r="U32" s="252"/>
      <c r="V32" s="261" t="s">
        <v>278</v>
      </c>
      <c r="W32" s="251" t="s">
        <v>144</v>
      </c>
      <c r="X32" s="260">
        <v>0.89</v>
      </c>
      <c r="Y32" s="250">
        <f t="shared" si="69"/>
        <v>3580.47</v>
      </c>
      <c r="Z32" s="251" t="s">
        <v>279</v>
      </c>
      <c r="AA32" s="261">
        <v>4023</v>
      </c>
      <c r="AB32" s="261">
        <f t="shared" si="6"/>
        <v>0</v>
      </c>
      <c r="AC32" s="252" t="s">
        <v>80</v>
      </c>
      <c r="AD32" s="252" t="s">
        <v>114</v>
      </c>
      <c r="AE32" s="251" t="s">
        <v>137</v>
      </c>
      <c r="AF32" s="251" t="s">
        <v>115</v>
      </c>
      <c r="AG32" s="268">
        <f t="shared" si="61"/>
        <v>4023</v>
      </c>
      <c r="AH32" s="268"/>
      <c r="AI32" s="268"/>
      <c r="AJ32" s="268">
        <f>I32</f>
        <v>4023</v>
      </c>
      <c r="AK32" s="268"/>
      <c r="AL32" s="268"/>
      <c r="AM32" s="268">
        <f>I32</f>
        <v>4023</v>
      </c>
      <c r="AN32" s="268">
        <f t="shared" si="63"/>
        <v>4023</v>
      </c>
      <c r="AO32" s="268"/>
      <c r="AP32" s="268"/>
      <c r="AQ32" s="268"/>
      <c r="AR32" s="268">
        <f t="shared" ref="AR32:AR36" si="78">I32/27</f>
        <v>149</v>
      </c>
      <c r="AS32" s="268"/>
      <c r="AT32" s="268"/>
      <c r="AU32" s="268"/>
      <c r="AV32" s="268"/>
      <c r="AW32" s="268"/>
      <c r="AX32" s="268"/>
      <c r="AY32" s="268"/>
      <c r="AZ32" s="268"/>
      <c r="BA32" s="268"/>
      <c r="BB32" s="268"/>
      <c r="BC32" s="268"/>
      <c r="BD32" s="268"/>
      <c r="BE32" s="268"/>
      <c r="BF32" s="268"/>
      <c r="BG32" s="268"/>
      <c r="BH32" s="268"/>
      <c r="BI32" s="268"/>
      <c r="BJ32" s="60">
        <f t="shared" ref="BJ32:BR32" si="79">$I32*BJ$2</f>
        <v>492.398437499999</v>
      </c>
      <c r="BK32" s="60">
        <f t="shared" si="79"/>
        <v>492.398437499999</v>
      </c>
      <c r="BL32" s="60">
        <f t="shared" si="79"/>
        <v>492.398437499999</v>
      </c>
      <c r="BM32" s="60">
        <f t="shared" si="79"/>
        <v>492.398437499999</v>
      </c>
      <c r="BN32" s="60">
        <f t="shared" si="79"/>
        <v>492.398437499999</v>
      </c>
      <c r="BO32" s="60">
        <f t="shared" si="79"/>
        <v>492.398437499999</v>
      </c>
      <c r="BP32" s="60">
        <f t="shared" si="79"/>
        <v>492.398437499999</v>
      </c>
      <c r="BQ32" s="60">
        <f t="shared" si="79"/>
        <v>492.398437499999</v>
      </c>
      <c r="BR32" s="60">
        <f t="shared" si="79"/>
        <v>83.8124999999999</v>
      </c>
      <c r="BT32" s="60">
        <f t="shared" ref="BT32:CB32" si="80">BT31-BJ32</f>
        <v>106033.15625</v>
      </c>
      <c r="BU32" s="60">
        <f t="shared" si="80"/>
        <v>106033.15625</v>
      </c>
      <c r="BV32" s="60">
        <f t="shared" si="80"/>
        <v>106033.15625</v>
      </c>
      <c r="BW32" s="60">
        <f t="shared" si="80"/>
        <v>106033.15625</v>
      </c>
      <c r="BX32" s="60">
        <f t="shared" si="80"/>
        <v>106033.15625</v>
      </c>
      <c r="BY32" s="60">
        <f t="shared" si="80"/>
        <v>106033.15625</v>
      </c>
      <c r="BZ32" s="60">
        <f t="shared" si="80"/>
        <v>106033.15625</v>
      </c>
      <c r="CA32" s="60">
        <f t="shared" si="80"/>
        <v>106033.15625</v>
      </c>
      <c r="CB32" s="60">
        <f t="shared" si="80"/>
        <v>17999.75</v>
      </c>
    </row>
    <row r="33" s="235" customFormat="1" ht="27" hidden="1" customHeight="1" spans="1:80">
      <c r="A33" s="241">
        <v>45730</v>
      </c>
      <c r="B33" s="242" t="s">
        <v>280</v>
      </c>
      <c r="C33" s="243" t="s">
        <v>281</v>
      </c>
      <c r="D33" s="244">
        <v>4500160345</v>
      </c>
      <c r="E33" s="243"/>
      <c r="F33" s="242" t="s">
        <v>282</v>
      </c>
      <c r="G33" s="245" t="s">
        <v>78</v>
      </c>
      <c r="H33" s="242" t="s">
        <v>79</v>
      </c>
      <c r="I33" s="250">
        <v>108</v>
      </c>
      <c r="J33" s="250">
        <v>0</v>
      </c>
      <c r="K33" s="250">
        <v>54</v>
      </c>
      <c r="L33" s="250">
        <f t="shared" si="24"/>
        <v>2</v>
      </c>
      <c r="M33" s="251">
        <v>45776</v>
      </c>
      <c r="N33" s="251">
        <v>45772</v>
      </c>
      <c r="O33" s="252"/>
      <c r="P33" s="253" t="s">
        <v>224</v>
      </c>
      <c r="Q33" s="252"/>
      <c r="R33" s="252">
        <v>45743</v>
      </c>
      <c r="S33" s="252" t="s">
        <v>80</v>
      </c>
      <c r="T33" s="252" t="s">
        <v>283</v>
      </c>
      <c r="U33" s="252"/>
      <c r="V33" s="261" t="s">
        <v>284</v>
      </c>
      <c r="W33" s="251" t="s">
        <v>228</v>
      </c>
      <c r="X33" s="260">
        <v>0.7967</v>
      </c>
      <c r="Y33" s="250">
        <f t="shared" si="69"/>
        <v>86.0436</v>
      </c>
      <c r="Z33" s="251" t="s">
        <v>285</v>
      </c>
      <c r="AA33" s="261">
        <v>108</v>
      </c>
      <c r="AB33" s="261">
        <f t="shared" si="6"/>
        <v>0</v>
      </c>
      <c r="AC33" s="252" t="s">
        <v>113</v>
      </c>
      <c r="AD33" s="252" t="s">
        <v>114</v>
      </c>
      <c r="AE33" s="251" t="s">
        <v>230</v>
      </c>
      <c r="AF33" s="251" t="s">
        <v>115</v>
      </c>
      <c r="AG33" s="268">
        <f t="shared" si="61"/>
        <v>108</v>
      </c>
      <c r="AH33" s="268">
        <f t="shared" ref="AH33:AH54" si="81">I33</f>
        <v>108</v>
      </c>
      <c r="AI33" s="268"/>
      <c r="AJ33" s="268"/>
      <c r="AK33" s="268"/>
      <c r="AL33" s="268">
        <f t="shared" ref="AL33:AL37" si="82">I33</f>
        <v>108</v>
      </c>
      <c r="AM33" s="268"/>
      <c r="AN33" s="268">
        <f t="shared" si="63"/>
        <v>108</v>
      </c>
      <c r="AO33" s="268"/>
      <c r="AP33" s="268"/>
      <c r="AQ33" s="268"/>
      <c r="AR33" s="268">
        <f t="shared" si="78"/>
        <v>4</v>
      </c>
      <c r="AS33" s="268"/>
      <c r="AT33" s="268"/>
      <c r="AU33" s="268"/>
      <c r="AV33" s="268"/>
      <c r="AW33" s="268"/>
      <c r="AX33" s="268"/>
      <c r="AY33" s="268"/>
      <c r="AZ33" s="268"/>
      <c r="BA33" s="268"/>
      <c r="BB33" s="268"/>
      <c r="BC33" s="268"/>
      <c r="BD33" s="268"/>
      <c r="BE33" s="268"/>
      <c r="BF33" s="268"/>
      <c r="BG33" s="268"/>
      <c r="BH33" s="268"/>
      <c r="BI33" s="268"/>
      <c r="BJ33" s="269">
        <f t="shared" ref="BJ33:BR33" si="83">$I33*BJ$2</f>
        <v>13.21875</v>
      </c>
      <c r="BK33" s="269">
        <f t="shared" si="83"/>
        <v>13.21875</v>
      </c>
      <c r="BL33" s="269">
        <f t="shared" si="83"/>
        <v>13.21875</v>
      </c>
      <c r="BM33" s="269">
        <f t="shared" si="83"/>
        <v>13.21875</v>
      </c>
      <c r="BN33" s="269">
        <f t="shared" si="83"/>
        <v>13.21875</v>
      </c>
      <c r="BO33" s="269">
        <f t="shared" si="83"/>
        <v>13.21875</v>
      </c>
      <c r="BP33" s="269">
        <f t="shared" si="83"/>
        <v>13.21875</v>
      </c>
      <c r="BQ33" s="269">
        <f t="shared" si="83"/>
        <v>13.21875</v>
      </c>
      <c r="BR33" s="269">
        <f t="shared" si="83"/>
        <v>2.25</v>
      </c>
      <c r="BT33" s="60">
        <f t="shared" ref="BT33:CB33" si="84">BT32-BJ33</f>
        <v>106019.9375</v>
      </c>
      <c r="BU33" s="60">
        <f t="shared" si="84"/>
        <v>106019.9375</v>
      </c>
      <c r="BV33" s="60">
        <f t="shared" si="84"/>
        <v>106019.9375</v>
      </c>
      <c r="BW33" s="60">
        <f t="shared" si="84"/>
        <v>106019.9375</v>
      </c>
      <c r="BX33" s="60">
        <f t="shared" si="84"/>
        <v>106019.9375</v>
      </c>
      <c r="BY33" s="60">
        <f t="shared" si="84"/>
        <v>106019.9375</v>
      </c>
      <c r="BZ33" s="60">
        <f t="shared" si="84"/>
        <v>106019.9375</v>
      </c>
      <c r="CA33" s="60">
        <f t="shared" si="84"/>
        <v>106019.9375</v>
      </c>
      <c r="CB33" s="60">
        <f t="shared" si="84"/>
        <v>17997.5</v>
      </c>
    </row>
    <row r="34" s="235" customFormat="1" ht="27" hidden="1" customHeight="1" spans="1:87">
      <c r="A34" s="241">
        <v>45734</v>
      </c>
      <c r="B34" s="242" t="s">
        <v>116</v>
      </c>
      <c r="C34" s="243" t="s">
        <v>117</v>
      </c>
      <c r="D34" s="244">
        <v>4500160498</v>
      </c>
      <c r="E34" s="243" t="s">
        <v>286</v>
      </c>
      <c r="F34" s="242" t="s">
        <v>287</v>
      </c>
      <c r="G34" s="245" t="s">
        <v>119</v>
      </c>
      <c r="H34" s="242" t="s">
        <v>120</v>
      </c>
      <c r="I34" s="250">
        <v>756</v>
      </c>
      <c r="J34" s="250">
        <v>0</v>
      </c>
      <c r="K34" s="250">
        <v>12</v>
      </c>
      <c r="L34" s="250">
        <f t="shared" si="24"/>
        <v>63</v>
      </c>
      <c r="M34" s="251">
        <v>45777</v>
      </c>
      <c r="N34" s="251">
        <v>45773</v>
      </c>
      <c r="O34" s="252"/>
      <c r="P34" s="253" t="s">
        <v>224</v>
      </c>
      <c r="Q34" s="252" t="s">
        <v>288</v>
      </c>
      <c r="R34" s="252" t="s">
        <v>289</v>
      </c>
      <c r="S34" s="252" t="s">
        <v>80</v>
      </c>
      <c r="T34" s="252" t="s">
        <v>123</v>
      </c>
      <c r="U34" s="252"/>
      <c r="V34" s="261" t="s">
        <v>290</v>
      </c>
      <c r="W34" s="251" t="s">
        <v>291</v>
      </c>
      <c r="X34" s="260">
        <v>2.09</v>
      </c>
      <c r="Y34" s="250">
        <f t="shared" si="69"/>
        <v>1580.04</v>
      </c>
      <c r="Z34" s="251" t="s">
        <v>292</v>
      </c>
      <c r="AA34" s="261">
        <v>756</v>
      </c>
      <c r="AB34" s="261">
        <f t="shared" si="6"/>
        <v>0</v>
      </c>
      <c r="AC34" s="252" t="s">
        <v>113</v>
      </c>
      <c r="AD34" s="252" t="s">
        <v>114</v>
      </c>
      <c r="AE34" s="251" t="s">
        <v>119</v>
      </c>
      <c r="AF34" s="251" t="s">
        <v>115</v>
      </c>
      <c r="AG34" s="268">
        <f>I34*2</f>
        <v>1512</v>
      </c>
      <c r="AH34" s="268">
        <f>I34*2</f>
        <v>1512</v>
      </c>
      <c r="AI34" s="268"/>
      <c r="AJ34" s="268"/>
      <c r="AK34" s="268">
        <f>I34*2</f>
        <v>1512</v>
      </c>
      <c r="AL34" s="268"/>
      <c r="AM34" s="268"/>
      <c r="AN34" s="268">
        <f>I34*2</f>
        <v>1512</v>
      </c>
      <c r="AO34" s="268"/>
      <c r="AP34" s="268"/>
      <c r="AQ34" s="268"/>
      <c r="AR34" s="268"/>
      <c r="AS34" s="268"/>
      <c r="AT34" s="268"/>
      <c r="AU34" s="268"/>
      <c r="AV34" s="268"/>
      <c r="AW34" s="268"/>
      <c r="AX34" s="268"/>
      <c r="AY34" s="268"/>
      <c r="AZ34" s="268"/>
      <c r="BA34" s="268"/>
      <c r="BB34" s="268"/>
      <c r="BC34" s="268"/>
      <c r="BD34" s="268"/>
      <c r="BE34" s="268"/>
      <c r="BF34" s="268">
        <f>I34</f>
        <v>756</v>
      </c>
      <c r="BG34" s="268">
        <f>I34</f>
        <v>756</v>
      </c>
      <c r="BH34" s="268"/>
      <c r="BI34" s="268"/>
      <c r="BJ34" s="60">
        <f t="shared" ref="BJ34:BR34" si="85">$I34*BJ$2*2</f>
        <v>185.062499999999</v>
      </c>
      <c r="BK34" s="60">
        <f t="shared" si="85"/>
        <v>185.062499999999</v>
      </c>
      <c r="BL34" s="60">
        <f t="shared" si="85"/>
        <v>185.062499999999</v>
      </c>
      <c r="BM34" s="60">
        <f t="shared" si="85"/>
        <v>185.062499999999</v>
      </c>
      <c r="BN34" s="60">
        <f t="shared" si="85"/>
        <v>185.062499999999</v>
      </c>
      <c r="BO34" s="60">
        <f t="shared" si="85"/>
        <v>185.062499999999</v>
      </c>
      <c r="BP34" s="60">
        <f t="shared" si="85"/>
        <v>185.062499999999</v>
      </c>
      <c r="BQ34" s="60">
        <f t="shared" si="85"/>
        <v>185.062499999999</v>
      </c>
      <c r="BR34" s="60">
        <f t="shared" si="85"/>
        <v>31.5</v>
      </c>
      <c r="BT34" s="60">
        <f t="shared" ref="BT34:CB34" si="86">BT33-BJ34</f>
        <v>105834.875</v>
      </c>
      <c r="BU34" s="60">
        <f t="shared" si="86"/>
        <v>105834.875</v>
      </c>
      <c r="BV34" s="60">
        <f t="shared" si="86"/>
        <v>105834.875</v>
      </c>
      <c r="BW34" s="60">
        <f t="shared" si="86"/>
        <v>105834.875</v>
      </c>
      <c r="BX34" s="60">
        <f t="shared" si="86"/>
        <v>105834.875</v>
      </c>
      <c r="BY34" s="60">
        <f t="shared" si="86"/>
        <v>105834.875</v>
      </c>
      <c r="BZ34" s="60">
        <f t="shared" si="86"/>
        <v>105834.875</v>
      </c>
      <c r="CA34" s="60">
        <f t="shared" si="86"/>
        <v>105834.875</v>
      </c>
      <c r="CB34" s="60">
        <f t="shared" si="86"/>
        <v>17966</v>
      </c>
      <c r="CD34" s="271" t="s">
        <v>127</v>
      </c>
      <c r="CH34" s="235">
        <f>CH21-I34</f>
        <v>7024</v>
      </c>
      <c r="CI34" s="235">
        <f>CI21-I34</f>
        <v>2024</v>
      </c>
    </row>
    <row r="35" s="235" customFormat="1" ht="27" hidden="1" customHeight="1" spans="1:82">
      <c r="A35" s="241">
        <v>45735</v>
      </c>
      <c r="B35" s="242" t="s">
        <v>293</v>
      </c>
      <c r="C35" s="243" t="s">
        <v>117</v>
      </c>
      <c r="D35" s="244">
        <v>4500160726</v>
      </c>
      <c r="E35" s="243" t="s">
        <v>294</v>
      </c>
      <c r="F35" s="242" t="s">
        <v>295</v>
      </c>
      <c r="G35" s="245" t="s">
        <v>94</v>
      </c>
      <c r="H35" s="242" t="s">
        <v>211</v>
      </c>
      <c r="I35" s="250">
        <v>988</v>
      </c>
      <c r="J35" s="250">
        <v>0</v>
      </c>
      <c r="K35" s="250">
        <v>52</v>
      </c>
      <c r="L35" s="250">
        <f t="shared" si="24"/>
        <v>19</v>
      </c>
      <c r="M35" s="256">
        <v>45818</v>
      </c>
      <c r="N35" s="251">
        <v>45814</v>
      </c>
      <c r="O35" s="252"/>
      <c r="P35" s="253" t="s">
        <v>107</v>
      </c>
      <c r="Q35" s="252" t="s">
        <v>296</v>
      </c>
      <c r="R35" s="252">
        <v>45742</v>
      </c>
      <c r="S35" s="252" t="s">
        <v>191</v>
      </c>
      <c r="T35" s="252" t="s">
        <v>297</v>
      </c>
      <c r="U35" s="252"/>
      <c r="V35" s="261" t="s">
        <v>298</v>
      </c>
      <c r="W35" s="251" t="s">
        <v>299</v>
      </c>
      <c r="X35" s="260">
        <v>0.945</v>
      </c>
      <c r="Y35" s="250">
        <f t="shared" si="69"/>
        <v>933.66</v>
      </c>
      <c r="Z35" s="251" t="s">
        <v>300</v>
      </c>
      <c r="AA35" s="261">
        <v>988</v>
      </c>
      <c r="AB35" s="261">
        <f t="shared" si="6"/>
        <v>0</v>
      </c>
      <c r="AC35" s="252"/>
      <c r="AD35" s="252" t="s">
        <v>114</v>
      </c>
      <c r="AE35" s="251" t="s">
        <v>94</v>
      </c>
      <c r="AF35" s="251" t="s">
        <v>115</v>
      </c>
      <c r="AG35" s="268">
        <f t="shared" ref="AG35:AG55" si="87">I35</f>
        <v>988</v>
      </c>
      <c r="AH35" s="268">
        <f t="shared" si="81"/>
        <v>988</v>
      </c>
      <c r="AI35" s="268"/>
      <c r="AJ35" s="268"/>
      <c r="AK35" s="268">
        <f t="shared" ref="AK35:AK54" si="88">I35</f>
        <v>988</v>
      </c>
      <c r="AL35" s="268"/>
      <c r="AM35" s="268"/>
      <c r="AN35" s="268">
        <f t="shared" ref="AN35:AN44" si="89">I35</f>
        <v>988</v>
      </c>
      <c r="AO35" s="268"/>
      <c r="AP35" s="268"/>
      <c r="AQ35" s="268"/>
      <c r="AR35" s="268"/>
      <c r="AS35" s="268"/>
      <c r="AT35" s="268">
        <f>I35/13</f>
        <v>76</v>
      </c>
      <c r="AU35" s="268"/>
      <c r="AV35" s="268"/>
      <c r="AW35" s="268"/>
      <c r="AX35" s="268"/>
      <c r="AY35" s="268"/>
      <c r="AZ35" s="268"/>
      <c r="BA35" s="268"/>
      <c r="BB35" s="268"/>
      <c r="BC35" s="268"/>
      <c r="BD35" s="268"/>
      <c r="BE35" s="268"/>
      <c r="BF35" s="268"/>
      <c r="BG35" s="268"/>
      <c r="BH35" s="268"/>
      <c r="BI35" s="268"/>
      <c r="BJ35" s="60">
        <f t="shared" ref="BJ35:BR35" si="90">$I35*BJ$2</f>
        <v>120.927083333333</v>
      </c>
      <c r="BK35" s="60">
        <f t="shared" si="90"/>
        <v>120.927083333333</v>
      </c>
      <c r="BL35" s="60">
        <f t="shared" si="90"/>
        <v>120.927083333333</v>
      </c>
      <c r="BM35" s="60">
        <f t="shared" si="90"/>
        <v>120.927083333333</v>
      </c>
      <c r="BN35" s="60">
        <f t="shared" si="90"/>
        <v>120.927083333333</v>
      </c>
      <c r="BO35" s="60">
        <f t="shared" si="90"/>
        <v>120.927083333333</v>
      </c>
      <c r="BP35" s="60">
        <f t="shared" si="90"/>
        <v>120.927083333333</v>
      </c>
      <c r="BQ35" s="60">
        <f t="shared" si="90"/>
        <v>120.927083333333</v>
      </c>
      <c r="BR35" s="60">
        <f t="shared" si="90"/>
        <v>20.5833333333333</v>
      </c>
      <c r="BT35" s="60">
        <f t="shared" ref="BT35:CB35" si="91">BT34-BJ35</f>
        <v>105713.947916667</v>
      </c>
      <c r="BU35" s="60">
        <f t="shared" si="91"/>
        <v>105713.947916667</v>
      </c>
      <c r="BV35" s="60">
        <f t="shared" si="91"/>
        <v>105713.947916667</v>
      </c>
      <c r="BW35" s="60">
        <f t="shared" si="91"/>
        <v>105713.947916667</v>
      </c>
      <c r="BX35" s="60">
        <f t="shared" si="91"/>
        <v>105713.947916667</v>
      </c>
      <c r="BY35" s="60">
        <f t="shared" si="91"/>
        <v>105713.947916667</v>
      </c>
      <c r="BZ35" s="60">
        <f t="shared" si="91"/>
        <v>105713.947916667</v>
      </c>
      <c r="CA35" s="60">
        <f t="shared" si="91"/>
        <v>105713.947916667</v>
      </c>
      <c r="CB35" s="60">
        <f t="shared" si="91"/>
        <v>17945.4166666667</v>
      </c>
      <c r="CD35" s="271"/>
    </row>
    <row r="36" s="234" customFormat="1" ht="27" hidden="1" customHeight="1" spans="1:80">
      <c r="A36" s="236">
        <v>45730</v>
      </c>
      <c r="B36" s="237" t="s">
        <v>301</v>
      </c>
      <c r="C36" s="238" t="s">
        <v>302</v>
      </c>
      <c r="D36" s="239">
        <v>4500160092</v>
      </c>
      <c r="E36" s="238" t="s">
        <v>303</v>
      </c>
      <c r="F36" s="239" t="s">
        <v>304</v>
      </c>
      <c r="G36" s="240" t="s">
        <v>78</v>
      </c>
      <c r="H36" s="237" t="s">
        <v>79</v>
      </c>
      <c r="I36" s="247">
        <v>2700</v>
      </c>
      <c r="J36" s="247">
        <v>0</v>
      </c>
      <c r="K36" s="247">
        <v>54</v>
      </c>
      <c r="L36" s="247">
        <f t="shared" si="24"/>
        <v>50</v>
      </c>
      <c r="M36" s="248">
        <v>45775</v>
      </c>
      <c r="N36" s="248">
        <v>45775</v>
      </c>
      <c r="O36" s="212" t="s">
        <v>305</v>
      </c>
      <c r="P36" s="254" t="s">
        <v>107</v>
      </c>
      <c r="Q36" s="212" t="s">
        <v>306</v>
      </c>
      <c r="R36" s="212">
        <v>45740</v>
      </c>
      <c r="S36" s="212" t="s">
        <v>80</v>
      </c>
      <c r="T36" s="212" t="s">
        <v>307</v>
      </c>
      <c r="U36" s="212"/>
      <c r="V36" s="259" t="s">
        <v>308</v>
      </c>
      <c r="W36" s="248" t="s">
        <v>228</v>
      </c>
      <c r="X36" s="260">
        <v>0.9779</v>
      </c>
      <c r="Y36" s="247">
        <f t="shared" si="69"/>
        <v>2640.33</v>
      </c>
      <c r="Z36" s="248" t="s">
        <v>309</v>
      </c>
      <c r="AA36" s="259">
        <f>2700</f>
        <v>2700</v>
      </c>
      <c r="AB36" s="259">
        <f t="shared" si="6"/>
        <v>0</v>
      </c>
      <c r="AC36" s="212" t="s">
        <v>113</v>
      </c>
      <c r="AD36" s="212" t="s">
        <v>114</v>
      </c>
      <c r="AE36" s="248" t="s">
        <v>230</v>
      </c>
      <c r="AF36" s="248" t="s">
        <v>115</v>
      </c>
      <c r="AG36" s="267">
        <f t="shared" si="87"/>
        <v>2700</v>
      </c>
      <c r="AH36" s="267">
        <f t="shared" si="81"/>
        <v>2700</v>
      </c>
      <c r="AI36" s="267"/>
      <c r="AJ36" s="267"/>
      <c r="AK36" s="267"/>
      <c r="AL36" s="267">
        <f t="shared" si="82"/>
        <v>2700</v>
      </c>
      <c r="AM36" s="267"/>
      <c r="AN36" s="267">
        <f t="shared" si="89"/>
        <v>2700</v>
      </c>
      <c r="AO36" s="267"/>
      <c r="AP36" s="267"/>
      <c r="AQ36" s="267"/>
      <c r="AR36" s="267">
        <f t="shared" si="78"/>
        <v>100</v>
      </c>
      <c r="AS36" s="267"/>
      <c r="AT36" s="267"/>
      <c r="AU36" s="267"/>
      <c r="AV36" s="267"/>
      <c r="AW36" s="267"/>
      <c r="AX36" s="267"/>
      <c r="AY36" s="267"/>
      <c r="AZ36" s="267"/>
      <c r="BA36" s="267"/>
      <c r="BB36" s="267"/>
      <c r="BC36" s="267"/>
      <c r="BD36" s="267"/>
      <c r="BE36" s="267"/>
      <c r="BF36" s="267"/>
      <c r="BG36" s="267"/>
      <c r="BH36" s="267"/>
      <c r="BI36" s="267"/>
      <c r="BJ36" s="269">
        <f t="shared" ref="BJ36:BR36" si="92">$I36*BJ$2</f>
        <v>330.468749999999</v>
      </c>
      <c r="BK36" s="269">
        <f t="shared" si="92"/>
        <v>330.468749999999</v>
      </c>
      <c r="BL36" s="269">
        <f t="shared" si="92"/>
        <v>330.468749999999</v>
      </c>
      <c r="BM36" s="269">
        <f t="shared" si="92"/>
        <v>330.468749999999</v>
      </c>
      <c r="BN36" s="269">
        <f t="shared" si="92"/>
        <v>330.468749999999</v>
      </c>
      <c r="BO36" s="269">
        <f t="shared" si="92"/>
        <v>330.468749999999</v>
      </c>
      <c r="BP36" s="269">
        <f t="shared" si="92"/>
        <v>330.468749999999</v>
      </c>
      <c r="BQ36" s="269">
        <f t="shared" si="92"/>
        <v>330.468749999999</v>
      </c>
      <c r="BR36" s="269">
        <f t="shared" si="92"/>
        <v>56.2499999999999</v>
      </c>
      <c r="BT36" s="60">
        <f t="shared" ref="BT36:CB36" si="93">BT35-BJ36</f>
        <v>105383.479166667</v>
      </c>
      <c r="BU36" s="60">
        <f t="shared" si="93"/>
        <v>105383.479166667</v>
      </c>
      <c r="BV36" s="60">
        <f t="shared" si="93"/>
        <v>105383.479166667</v>
      </c>
      <c r="BW36" s="60">
        <f t="shared" si="93"/>
        <v>105383.479166667</v>
      </c>
      <c r="BX36" s="60">
        <f t="shared" si="93"/>
        <v>105383.479166667</v>
      </c>
      <c r="BY36" s="60">
        <f t="shared" si="93"/>
        <v>105383.479166667</v>
      </c>
      <c r="BZ36" s="60">
        <f t="shared" si="93"/>
        <v>105383.479166667</v>
      </c>
      <c r="CA36" s="60">
        <f t="shared" si="93"/>
        <v>105383.479166667</v>
      </c>
      <c r="CB36" s="60">
        <f t="shared" si="93"/>
        <v>17889.1666666667</v>
      </c>
    </row>
    <row r="37" s="235" customFormat="1" ht="27" hidden="1" customHeight="1" spans="1:80">
      <c r="A37" s="241">
        <v>45754</v>
      </c>
      <c r="B37" s="242" t="s">
        <v>310</v>
      </c>
      <c r="C37" s="243" t="s">
        <v>311</v>
      </c>
      <c r="D37" s="244">
        <v>4500162346</v>
      </c>
      <c r="E37" s="243">
        <v>5200006527</v>
      </c>
      <c r="F37" s="242" t="s">
        <v>312</v>
      </c>
      <c r="G37" s="245" t="s">
        <v>313</v>
      </c>
      <c r="H37" s="242" t="s">
        <v>153</v>
      </c>
      <c r="I37" s="250">
        <v>3315</v>
      </c>
      <c r="J37" s="250">
        <v>0</v>
      </c>
      <c r="K37" s="250">
        <v>13</v>
      </c>
      <c r="L37" s="250">
        <f t="shared" si="24"/>
        <v>255</v>
      </c>
      <c r="M37" s="251">
        <v>45783</v>
      </c>
      <c r="N37" s="251">
        <v>45782</v>
      </c>
      <c r="O37" s="252"/>
      <c r="P37" s="253" t="s">
        <v>107</v>
      </c>
      <c r="Q37" s="252" t="s">
        <v>314</v>
      </c>
      <c r="R37" s="252">
        <v>45757</v>
      </c>
      <c r="S37" s="252" t="s">
        <v>80</v>
      </c>
      <c r="T37" s="252" t="s">
        <v>315</v>
      </c>
      <c r="U37" s="252"/>
      <c r="V37" s="261" t="s">
        <v>316</v>
      </c>
      <c r="W37" s="251" t="s">
        <v>317</v>
      </c>
      <c r="X37" s="260">
        <v>0.7931</v>
      </c>
      <c r="Y37" s="250">
        <f t="shared" si="69"/>
        <v>2629.1265</v>
      </c>
      <c r="Z37" s="251" t="s">
        <v>318</v>
      </c>
      <c r="AA37" s="261">
        <v>3315</v>
      </c>
      <c r="AB37" s="261">
        <f t="shared" si="6"/>
        <v>0</v>
      </c>
      <c r="AC37" s="252" t="s">
        <v>113</v>
      </c>
      <c r="AD37" s="252" t="s">
        <v>114</v>
      </c>
      <c r="AE37" s="251" t="s">
        <v>319</v>
      </c>
      <c r="AF37" s="251" t="s">
        <v>115</v>
      </c>
      <c r="AG37" s="268">
        <f t="shared" si="87"/>
        <v>3315</v>
      </c>
      <c r="AH37" s="268">
        <f t="shared" si="81"/>
        <v>3315</v>
      </c>
      <c r="AJ37" s="268"/>
      <c r="AL37" s="268">
        <f t="shared" si="82"/>
        <v>3315</v>
      </c>
      <c r="AM37" s="268"/>
      <c r="AN37" s="268">
        <f t="shared" si="89"/>
        <v>3315</v>
      </c>
      <c r="AQ37" s="268"/>
      <c r="AR37" s="268"/>
      <c r="AS37" s="268"/>
      <c r="AU37" s="268">
        <f>I37/13</f>
        <v>255</v>
      </c>
      <c r="AV37" s="268"/>
      <c r="AW37" s="268"/>
      <c r="AX37" s="268"/>
      <c r="AY37" s="268"/>
      <c r="AZ37" s="268"/>
      <c r="BA37" s="268"/>
      <c r="BB37" s="268"/>
      <c r="BC37" s="268"/>
      <c r="BD37" s="268"/>
      <c r="BE37" s="268"/>
      <c r="BF37" s="268"/>
      <c r="BG37" s="268"/>
      <c r="BH37" s="268"/>
      <c r="BI37" s="268"/>
      <c r="BJ37" s="60">
        <f t="shared" ref="BJ37:BR37" si="94">$I37*BJ$2</f>
        <v>405.742187499999</v>
      </c>
      <c r="BK37" s="60">
        <f t="shared" si="94"/>
        <v>405.742187499999</v>
      </c>
      <c r="BL37" s="60">
        <f t="shared" si="94"/>
        <v>405.742187499999</v>
      </c>
      <c r="BM37" s="60">
        <f t="shared" si="94"/>
        <v>405.742187499999</v>
      </c>
      <c r="BN37" s="60">
        <f t="shared" si="94"/>
        <v>405.742187499999</v>
      </c>
      <c r="BO37" s="60">
        <f t="shared" si="94"/>
        <v>405.742187499999</v>
      </c>
      <c r="BP37" s="60">
        <f t="shared" si="94"/>
        <v>405.742187499999</v>
      </c>
      <c r="BQ37" s="60">
        <f t="shared" si="94"/>
        <v>405.742187499999</v>
      </c>
      <c r="BR37" s="60">
        <f t="shared" si="94"/>
        <v>69.0624999999999</v>
      </c>
      <c r="BT37" s="60">
        <f t="shared" ref="BT37:CB37" si="95">BT36-BJ37</f>
        <v>104977.736979167</v>
      </c>
      <c r="BU37" s="60">
        <f t="shared" si="95"/>
        <v>104977.736979167</v>
      </c>
      <c r="BV37" s="60">
        <f t="shared" si="95"/>
        <v>104977.736979167</v>
      </c>
      <c r="BW37" s="60">
        <f t="shared" si="95"/>
        <v>104977.736979167</v>
      </c>
      <c r="BX37" s="60">
        <f t="shared" si="95"/>
        <v>104977.736979167</v>
      </c>
      <c r="BY37" s="60">
        <f t="shared" si="95"/>
        <v>104977.736979167</v>
      </c>
      <c r="BZ37" s="60">
        <f t="shared" si="95"/>
        <v>104977.736979167</v>
      </c>
      <c r="CA37" s="60">
        <f t="shared" si="95"/>
        <v>104977.736979167</v>
      </c>
      <c r="CB37" s="60">
        <f t="shared" si="95"/>
        <v>17820.1041666667</v>
      </c>
    </row>
    <row r="38" s="235" customFormat="1" ht="27" hidden="1" customHeight="1" spans="1:80">
      <c r="A38" s="241">
        <v>45740</v>
      </c>
      <c r="B38" s="242" t="s">
        <v>320</v>
      </c>
      <c r="C38" s="243" t="s">
        <v>170</v>
      </c>
      <c r="D38" s="244">
        <v>4500161244</v>
      </c>
      <c r="E38" s="243" t="s">
        <v>321</v>
      </c>
      <c r="F38" s="242" t="s">
        <v>322</v>
      </c>
      <c r="G38" s="245" t="s">
        <v>94</v>
      </c>
      <c r="H38" s="242" t="s">
        <v>211</v>
      </c>
      <c r="I38" s="250">
        <v>1456</v>
      </c>
      <c r="J38" s="250">
        <v>0</v>
      </c>
      <c r="K38" s="250">
        <v>52</v>
      </c>
      <c r="L38" s="250">
        <f t="shared" si="24"/>
        <v>28</v>
      </c>
      <c r="M38" s="251">
        <v>45784</v>
      </c>
      <c r="N38" s="251">
        <v>45782</v>
      </c>
      <c r="O38" s="252"/>
      <c r="P38" s="253" t="s">
        <v>107</v>
      </c>
      <c r="Q38" s="252" t="s">
        <v>323</v>
      </c>
      <c r="R38" s="252">
        <v>45747</v>
      </c>
      <c r="S38" s="252" t="s">
        <v>80</v>
      </c>
      <c r="T38" s="252" t="s">
        <v>80</v>
      </c>
      <c r="U38" s="252"/>
      <c r="V38" s="261" t="s">
        <v>324</v>
      </c>
      <c r="W38" s="251" t="s">
        <v>178</v>
      </c>
      <c r="X38" s="260">
        <v>0.945</v>
      </c>
      <c r="Y38" s="250">
        <f t="shared" si="69"/>
        <v>1375.92</v>
      </c>
      <c r="Z38" s="251" t="s">
        <v>325</v>
      </c>
      <c r="AA38" s="261">
        <v>1456</v>
      </c>
      <c r="AB38" s="45">
        <f t="shared" si="6"/>
        <v>0</v>
      </c>
      <c r="AC38" s="252" t="s">
        <v>80</v>
      </c>
      <c r="AD38" s="252" t="s">
        <v>114</v>
      </c>
      <c r="AE38" s="251" t="s">
        <v>94</v>
      </c>
      <c r="AF38" s="251" t="s">
        <v>115</v>
      </c>
      <c r="AG38" s="268">
        <f t="shared" si="87"/>
        <v>1456</v>
      </c>
      <c r="AH38" s="268">
        <f t="shared" si="81"/>
        <v>1456</v>
      </c>
      <c r="AI38" s="268"/>
      <c r="AJ38" s="268"/>
      <c r="AK38" s="268">
        <f t="shared" si="88"/>
        <v>1456</v>
      </c>
      <c r="AL38" s="268"/>
      <c r="AM38" s="268"/>
      <c r="AN38" s="268">
        <f t="shared" si="89"/>
        <v>1456</v>
      </c>
      <c r="AO38" s="268"/>
      <c r="AP38" s="268"/>
      <c r="AQ38" s="268"/>
      <c r="AR38" s="268"/>
      <c r="AS38" s="268"/>
      <c r="AT38" s="268">
        <f>I38/13</f>
        <v>112</v>
      </c>
      <c r="AU38" s="268"/>
      <c r="AV38" s="268"/>
      <c r="AW38" s="268"/>
      <c r="AX38" s="268"/>
      <c r="AY38" s="268"/>
      <c r="AZ38" s="268"/>
      <c r="BA38" s="268"/>
      <c r="BB38" s="268"/>
      <c r="BC38" s="268"/>
      <c r="BD38" s="268"/>
      <c r="BE38" s="268"/>
      <c r="BF38" s="268"/>
      <c r="BG38" s="268"/>
      <c r="BH38" s="268"/>
      <c r="BI38" s="268"/>
      <c r="BJ38" s="60">
        <f t="shared" ref="BJ38:BR38" si="96">$I38*BJ$2</f>
        <v>178.208333333333</v>
      </c>
      <c r="BK38" s="60">
        <f t="shared" si="96"/>
        <v>178.208333333333</v>
      </c>
      <c r="BL38" s="60">
        <f t="shared" si="96"/>
        <v>178.208333333333</v>
      </c>
      <c r="BM38" s="60">
        <f t="shared" si="96"/>
        <v>178.208333333333</v>
      </c>
      <c r="BN38" s="60">
        <f t="shared" si="96"/>
        <v>178.208333333333</v>
      </c>
      <c r="BO38" s="60">
        <f t="shared" si="96"/>
        <v>178.208333333333</v>
      </c>
      <c r="BP38" s="60">
        <f t="shared" si="96"/>
        <v>178.208333333333</v>
      </c>
      <c r="BQ38" s="60">
        <f t="shared" si="96"/>
        <v>178.208333333333</v>
      </c>
      <c r="BR38" s="60">
        <f t="shared" si="96"/>
        <v>30.3333333333333</v>
      </c>
      <c r="BT38" s="60">
        <f t="shared" ref="BT38:CB38" si="97">BT37-BJ38</f>
        <v>104799.528645833</v>
      </c>
      <c r="BU38" s="60">
        <f t="shared" si="97"/>
        <v>104799.528645833</v>
      </c>
      <c r="BV38" s="60">
        <f t="shared" si="97"/>
        <v>104799.528645833</v>
      </c>
      <c r="BW38" s="60">
        <f t="shared" si="97"/>
        <v>104799.528645833</v>
      </c>
      <c r="BX38" s="60">
        <f t="shared" si="97"/>
        <v>104799.528645833</v>
      </c>
      <c r="BY38" s="60">
        <f t="shared" si="97"/>
        <v>104799.528645833</v>
      </c>
      <c r="BZ38" s="60">
        <f t="shared" si="97"/>
        <v>104799.528645833</v>
      </c>
      <c r="CA38" s="60">
        <f t="shared" si="97"/>
        <v>104799.528645833</v>
      </c>
      <c r="CB38" s="60">
        <f t="shared" si="97"/>
        <v>17789.7708333333</v>
      </c>
    </row>
    <row r="39" s="235" customFormat="1" ht="27" hidden="1" customHeight="1" spans="1:80">
      <c r="A39" s="241">
        <v>45744</v>
      </c>
      <c r="B39" s="242" t="s">
        <v>326</v>
      </c>
      <c r="C39" s="243" t="s">
        <v>117</v>
      </c>
      <c r="D39" s="244">
        <v>4500161693</v>
      </c>
      <c r="E39" s="243" t="s">
        <v>327</v>
      </c>
      <c r="F39" s="242" t="s">
        <v>328</v>
      </c>
      <c r="G39" s="245" t="s">
        <v>258</v>
      </c>
      <c r="H39" s="242" t="s">
        <v>259</v>
      </c>
      <c r="I39" s="250">
        <v>1152</v>
      </c>
      <c r="J39" s="250">
        <v>0</v>
      </c>
      <c r="K39" s="250">
        <v>1152</v>
      </c>
      <c r="L39" s="250">
        <f t="shared" si="24"/>
        <v>1</v>
      </c>
      <c r="M39" s="251">
        <v>45785</v>
      </c>
      <c r="N39" s="251">
        <v>45782</v>
      </c>
      <c r="O39" s="252" t="s">
        <v>329</v>
      </c>
      <c r="P39" s="253" t="s">
        <v>107</v>
      </c>
      <c r="Q39" s="252" t="s">
        <v>330</v>
      </c>
      <c r="R39" s="252" t="s">
        <v>331</v>
      </c>
      <c r="S39" s="252" t="s">
        <v>191</v>
      </c>
      <c r="T39" s="252" t="s">
        <v>332</v>
      </c>
      <c r="U39" s="252"/>
      <c r="V39" s="261" t="s">
        <v>333</v>
      </c>
      <c r="W39" s="251" t="s">
        <v>265</v>
      </c>
      <c r="X39" s="260">
        <v>903.2128</v>
      </c>
      <c r="Y39" s="250">
        <f t="shared" ref="Y39:Y41" si="98">X39*L39</f>
        <v>903.2128</v>
      </c>
      <c r="Z39" s="251" t="s">
        <v>334</v>
      </c>
      <c r="AA39" s="261">
        <v>1152</v>
      </c>
      <c r="AB39" s="45">
        <f t="shared" si="6"/>
        <v>0</v>
      </c>
      <c r="AC39" s="252"/>
      <c r="AD39" s="252" t="s">
        <v>114</v>
      </c>
      <c r="AE39" s="251" t="s">
        <v>258</v>
      </c>
      <c r="AF39" s="251" t="s">
        <v>115</v>
      </c>
      <c r="AG39" s="268">
        <f t="shared" si="87"/>
        <v>1152</v>
      </c>
      <c r="AH39" s="268">
        <f t="shared" si="81"/>
        <v>1152</v>
      </c>
      <c r="AI39" s="268"/>
      <c r="AJ39" s="268"/>
      <c r="AK39" s="268">
        <f t="shared" si="88"/>
        <v>1152</v>
      </c>
      <c r="AL39" s="268"/>
      <c r="AM39" s="268"/>
      <c r="AN39" s="268">
        <f t="shared" si="89"/>
        <v>1152</v>
      </c>
      <c r="AO39" s="268"/>
      <c r="AP39" s="268"/>
      <c r="AQ39" s="268"/>
      <c r="AR39" s="268"/>
      <c r="AS39" s="268"/>
      <c r="AT39" s="268"/>
      <c r="AU39" s="268"/>
      <c r="AV39" s="268">
        <f t="shared" ref="AV39:AV44" si="99">I39/12</f>
        <v>96</v>
      </c>
      <c r="AW39" s="268"/>
      <c r="AX39" s="268"/>
      <c r="AY39" s="268"/>
      <c r="AZ39" s="268"/>
      <c r="BA39" s="268"/>
      <c r="BB39" s="268"/>
      <c r="BC39" s="268"/>
      <c r="BD39" s="268"/>
      <c r="BE39" s="268"/>
      <c r="BF39" s="268"/>
      <c r="BG39" s="268"/>
      <c r="BH39" s="268"/>
      <c r="BI39" s="268"/>
      <c r="BJ39" s="60">
        <f t="shared" ref="BJ39:BR39" si="100">$I39*BJ$2</f>
        <v>141</v>
      </c>
      <c r="BK39" s="60">
        <f t="shared" si="100"/>
        <v>141</v>
      </c>
      <c r="BL39" s="60">
        <f t="shared" si="100"/>
        <v>141</v>
      </c>
      <c r="BM39" s="60">
        <f t="shared" si="100"/>
        <v>141</v>
      </c>
      <c r="BN39" s="60">
        <f t="shared" si="100"/>
        <v>141</v>
      </c>
      <c r="BO39" s="60">
        <f t="shared" si="100"/>
        <v>141</v>
      </c>
      <c r="BP39" s="60">
        <f t="shared" si="100"/>
        <v>141</v>
      </c>
      <c r="BQ39" s="60">
        <f t="shared" si="100"/>
        <v>141</v>
      </c>
      <c r="BR39" s="60">
        <f t="shared" si="100"/>
        <v>24</v>
      </c>
      <c r="BT39" s="60">
        <f t="shared" ref="BT39:CB39" si="101">BT38-BJ39</f>
        <v>104658.528645833</v>
      </c>
      <c r="BU39" s="60">
        <f t="shared" si="101"/>
        <v>104658.528645833</v>
      </c>
      <c r="BV39" s="60">
        <f t="shared" si="101"/>
        <v>104658.528645833</v>
      </c>
      <c r="BW39" s="60">
        <f t="shared" si="101"/>
        <v>104658.528645833</v>
      </c>
      <c r="BX39" s="60">
        <f t="shared" si="101"/>
        <v>104658.528645833</v>
      </c>
      <c r="BY39" s="60">
        <f t="shared" si="101"/>
        <v>104658.528645833</v>
      </c>
      <c r="BZ39" s="60">
        <f t="shared" si="101"/>
        <v>104658.528645833</v>
      </c>
      <c r="CA39" s="60">
        <f t="shared" si="101"/>
        <v>104658.528645833</v>
      </c>
      <c r="CB39" s="60">
        <f t="shared" si="101"/>
        <v>17765.7708333333</v>
      </c>
    </row>
    <row r="40" s="235" customFormat="1" ht="27" hidden="1" customHeight="1" spans="1:80">
      <c r="A40" s="241">
        <v>45744</v>
      </c>
      <c r="B40" s="242" t="s">
        <v>326</v>
      </c>
      <c r="C40" s="243" t="s">
        <v>117</v>
      </c>
      <c r="D40" s="244">
        <v>4500161693</v>
      </c>
      <c r="E40" s="243" t="s">
        <v>335</v>
      </c>
      <c r="F40" s="242" t="s">
        <v>336</v>
      </c>
      <c r="G40" s="245" t="s">
        <v>258</v>
      </c>
      <c r="H40" s="242" t="s">
        <v>259</v>
      </c>
      <c r="I40" s="250">
        <v>1152</v>
      </c>
      <c r="J40" s="250">
        <v>0</v>
      </c>
      <c r="K40" s="250">
        <v>1152</v>
      </c>
      <c r="L40" s="250">
        <f t="shared" si="24"/>
        <v>1</v>
      </c>
      <c r="M40" s="251">
        <v>45785</v>
      </c>
      <c r="N40" s="251">
        <v>45782</v>
      </c>
      <c r="O40" s="252" t="s">
        <v>329</v>
      </c>
      <c r="P40" s="253" t="s">
        <v>107</v>
      </c>
      <c r="Q40" s="252" t="s">
        <v>337</v>
      </c>
      <c r="R40" s="252" t="s">
        <v>331</v>
      </c>
      <c r="S40" s="252" t="s">
        <v>191</v>
      </c>
      <c r="T40" s="252" t="s">
        <v>332</v>
      </c>
      <c r="U40" s="252"/>
      <c r="V40" s="261" t="s">
        <v>333</v>
      </c>
      <c r="W40" s="251" t="s">
        <v>265</v>
      </c>
      <c r="X40" s="260">
        <v>903.2128</v>
      </c>
      <c r="Y40" s="250">
        <f t="shared" si="98"/>
        <v>903.2128</v>
      </c>
      <c r="Z40" s="251" t="s">
        <v>338</v>
      </c>
      <c r="AA40" s="261">
        <v>1152</v>
      </c>
      <c r="AB40" s="45">
        <f t="shared" si="6"/>
        <v>0</v>
      </c>
      <c r="AC40" s="252"/>
      <c r="AD40" s="252" t="s">
        <v>114</v>
      </c>
      <c r="AE40" s="251" t="s">
        <v>258</v>
      </c>
      <c r="AF40" s="251" t="s">
        <v>115</v>
      </c>
      <c r="AG40" s="268">
        <f t="shared" si="87"/>
        <v>1152</v>
      </c>
      <c r="AH40" s="268">
        <f t="shared" si="81"/>
        <v>1152</v>
      </c>
      <c r="AI40" s="268"/>
      <c r="AJ40" s="268"/>
      <c r="AK40" s="268">
        <f t="shared" si="88"/>
        <v>1152</v>
      </c>
      <c r="AL40" s="268"/>
      <c r="AM40" s="268"/>
      <c r="AN40" s="268">
        <f t="shared" si="89"/>
        <v>1152</v>
      </c>
      <c r="AO40" s="268"/>
      <c r="AP40" s="268"/>
      <c r="AQ40" s="268"/>
      <c r="AR40" s="268"/>
      <c r="AS40" s="268"/>
      <c r="AT40" s="268"/>
      <c r="AU40" s="268"/>
      <c r="AV40" s="268">
        <f t="shared" si="99"/>
        <v>96</v>
      </c>
      <c r="AW40" s="268"/>
      <c r="AX40" s="268"/>
      <c r="AY40" s="268"/>
      <c r="AZ40" s="268"/>
      <c r="BA40" s="268"/>
      <c r="BB40" s="268"/>
      <c r="BC40" s="268"/>
      <c r="BD40" s="268"/>
      <c r="BE40" s="268"/>
      <c r="BF40" s="268"/>
      <c r="BG40" s="268"/>
      <c r="BH40" s="268"/>
      <c r="BI40" s="268"/>
      <c r="BJ40" s="60">
        <f t="shared" ref="BJ40:BR40" si="102">$I40*BJ$2</f>
        <v>141</v>
      </c>
      <c r="BK40" s="60">
        <f t="shared" si="102"/>
        <v>141</v>
      </c>
      <c r="BL40" s="60">
        <f t="shared" si="102"/>
        <v>141</v>
      </c>
      <c r="BM40" s="60">
        <f t="shared" si="102"/>
        <v>141</v>
      </c>
      <c r="BN40" s="60">
        <f t="shared" si="102"/>
        <v>141</v>
      </c>
      <c r="BO40" s="60">
        <f t="shared" si="102"/>
        <v>141</v>
      </c>
      <c r="BP40" s="60">
        <f t="shared" si="102"/>
        <v>141</v>
      </c>
      <c r="BQ40" s="60">
        <f t="shared" si="102"/>
        <v>141</v>
      </c>
      <c r="BR40" s="60">
        <f t="shared" si="102"/>
        <v>24</v>
      </c>
      <c r="BT40" s="60">
        <f t="shared" ref="BT40:CB40" si="103">BT39-BJ40</f>
        <v>104517.528645833</v>
      </c>
      <c r="BU40" s="60">
        <f t="shared" si="103"/>
        <v>104517.528645833</v>
      </c>
      <c r="BV40" s="60">
        <f t="shared" si="103"/>
        <v>104517.528645833</v>
      </c>
      <c r="BW40" s="60">
        <f t="shared" si="103"/>
        <v>104517.528645833</v>
      </c>
      <c r="BX40" s="60">
        <f t="shared" si="103"/>
        <v>104517.528645833</v>
      </c>
      <c r="BY40" s="60">
        <f t="shared" si="103"/>
        <v>104517.528645833</v>
      </c>
      <c r="BZ40" s="60">
        <f t="shared" si="103"/>
        <v>104517.528645833</v>
      </c>
      <c r="CA40" s="60">
        <f t="shared" si="103"/>
        <v>104517.528645833</v>
      </c>
      <c r="CB40" s="60">
        <f t="shared" si="103"/>
        <v>17741.7708333333</v>
      </c>
    </row>
    <row r="41" s="235" customFormat="1" ht="27" hidden="1" customHeight="1" spans="1:80">
      <c r="A41" s="241">
        <v>45744</v>
      </c>
      <c r="B41" s="242" t="s">
        <v>326</v>
      </c>
      <c r="C41" s="243" t="s">
        <v>117</v>
      </c>
      <c r="D41" s="244">
        <v>4500161749</v>
      </c>
      <c r="E41" s="303" t="s">
        <v>339</v>
      </c>
      <c r="F41" s="242" t="s">
        <v>340</v>
      </c>
      <c r="G41" s="245" t="s">
        <v>258</v>
      </c>
      <c r="H41" s="242" t="s">
        <v>259</v>
      </c>
      <c r="I41" s="250">
        <v>1152</v>
      </c>
      <c r="J41" s="250">
        <v>0</v>
      </c>
      <c r="K41" s="250">
        <v>1152</v>
      </c>
      <c r="L41" s="250">
        <f t="shared" si="24"/>
        <v>1</v>
      </c>
      <c r="M41" s="251">
        <v>45789</v>
      </c>
      <c r="N41" s="251">
        <v>45785</v>
      </c>
      <c r="O41" s="252" t="s">
        <v>341</v>
      </c>
      <c r="P41" s="253" t="s">
        <v>107</v>
      </c>
      <c r="Q41" s="252" t="s">
        <v>342</v>
      </c>
      <c r="R41" s="252" t="s">
        <v>331</v>
      </c>
      <c r="S41" s="252" t="s">
        <v>191</v>
      </c>
      <c r="T41" s="252" t="s">
        <v>332</v>
      </c>
      <c r="U41" s="252"/>
      <c r="V41" s="261" t="s">
        <v>333</v>
      </c>
      <c r="W41" s="251" t="s">
        <v>265</v>
      </c>
      <c r="X41" s="260">
        <v>903.2128</v>
      </c>
      <c r="Y41" s="250">
        <f t="shared" si="98"/>
        <v>903.2128</v>
      </c>
      <c r="Z41" s="251"/>
      <c r="AA41" s="261">
        <v>1152</v>
      </c>
      <c r="AB41" s="45">
        <f t="shared" si="6"/>
        <v>0</v>
      </c>
      <c r="AC41" s="252"/>
      <c r="AD41" s="252" t="s">
        <v>114</v>
      </c>
      <c r="AE41" s="251" t="s">
        <v>258</v>
      </c>
      <c r="AF41" s="251" t="s">
        <v>115</v>
      </c>
      <c r="AG41" s="268">
        <f t="shared" si="87"/>
        <v>1152</v>
      </c>
      <c r="AH41" s="268">
        <f t="shared" si="81"/>
        <v>1152</v>
      </c>
      <c r="AI41" s="268"/>
      <c r="AJ41" s="268"/>
      <c r="AK41" s="268">
        <f t="shared" si="88"/>
        <v>1152</v>
      </c>
      <c r="AL41" s="268"/>
      <c r="AM41" s="268"/>
      <c r="AN41" s="268">
        <f t="shared" si="89"/>
        <v>1152</v>
      </c>
      <c r="AO41" s="268"/>
      <c r="AP41" s="268"/>
      <c r="AQ41" s="268"/>
      <c r="AR41" s="268"/>
      <c r="AS41" s="268"/>
      <c r="AT41" s="268"/>
      <c r="AU41" s="268"/>
      <c r="AV41" s="268">
        <f t="shared" si="99"/>
        <v>96</v>
      </c>
      <c r="AW41" s="268"/>
      <c r="AX41" s="268"/>
      <c r="AY41" s="268"/>
      <c r="AZ41" s="268"/>
      <c r="BA41" s="268"/>
      <c r="BB41" s="268"/>
      <c r="BC41" s="268"/>
      <c r="BD41" s="268"/>
      <c r="BE41" s="268"/>
      <c r="BF41" s="268"/>
      <c r="BG41" s="268"/>
      <c r="BH41" s="268"/>
      <c r="BI41" s="268"/>
      <c r="BJ41" s="60">
        <f t="shared" ref="BJ41:BR41" si="104">$I41*BJ$2</f>
        <v>141</v>
      </c>
      <c r="BK41" s="60">
        <f t="shared" si="104"/>
        <v>141</v>
      </c>
      <c r="BL41" s="60">
        <f t="shared" si="104"/>
        <v>141</v>
      </c>
      <c r="BM41" s="60">
        <f t="shared" si="104"/>
        <v>141</v>
      </c>
      <c r="BN41" s="60">
        <f t="shared" si="104"/>
        <v>141</v>
      </c>
      <c r="BO41" s="60">
        <f t="shared" si="104"/>
        <v>141</v>
      </c>
      <c r="BP41" s="60">
        <f t="shared" si="104"/>
        <v>141</v>
      </c>
      <c r="BQ41" s="60">
        <f t="shared" si="104"/>
        <v>141</v>
      </c>
      <c r="BR41" s="60">
        <f t="shared" si="104"/>
        <v>24</v>
      </c>
      <c r="BT41" s="60">
        <f t="shared" ref="BT41:CB41" si="105">BT40-BJ41</f>
        <v>104376.528645833</v>
      </c>
      <c r="BU41" s="60">
        <f t="shared" si="105"/>
        <v>104376.528645833</v>
      </c>
      <c r="BV41" s="60">
        <f t="shared" si="105"/>
        <v>104376.528645833</v>
      </c>
      <c r="BW41" s="60">
        <f t="shared" si="105"/>
        <v>104376.528645833</v>
      </c>
      <c r="BX41" s="60">
        <f t="shared" si="105"/>
        <v>104376.528645833</v>
      </c>
      <c r="BY41" s="60">
        <f t="shared" si="105"/>
        <v>104376.528645833</v>
      </c>
      <c r="BZ41" s="60">
        <f t="shared" si="105"/>
        <v>104376.528645833</v>
      </c>
      <c r="CA41" s="60">
        <f t="shared" si="105"/>
        <v>104376.528645833</v>
      </c>
      <c r="CB41" s="60">
        <f t="shared" si="105"/>
        <v>17717.7708333333</v>
      </c>
    </row>
    <row r="42" s="235" customFormat="1" ht="27" customHeight="1" spans="1:80">
      <c r="A42" s="241">
        <v>45749</v>
      </c>
      <c r="B42" s="242" t="s">
        <v>326</v>
      </c>
      <c r="C42" s="243" t="s">
        <v>117</v>
      </c>
      <c r="D42" s="244">
        <v>4500162369</v>
      </c>
      <c r="E42" s="243" t="s">
        <v>343</v>
      </c>
      <c r="F42" s="242" t="s">
        <v>344</v>
      </c>
      <c r="G42" s="245" t="s">
        <v>345</v>
      </c>
      <c r="H42" s="242" t="s">
        <v>346</v>
      </c>
      <c r="I42" s="250">
        <v>5064</v>
      </c>
      <c r="J42" s="250">
        <v>0</v>
      </c>
      <c r="K42" s="250">
        <v>12</v>
      </c>
      <c r="L42" s="250">
        <f t="shared" si="24"/>
        <v>422</v>
      </c>
      <c r="M42" s="251">
        <v>45789</v>
      </c>
      <c r="N42" s="251">
        <v>45785</v>
      </c>
      <c r="O42" s="252" t="s">
        <v>341</v>
      </c>
      <c r="P42" s="253" t="s">
        <v>107</v>
      </c>
      <c r="Q42" s="252" t="s">
        <v>277</v>
      </c>
      <c r="R42" s="252">
        <v>45749</v>
      </c>
      <c r="S42" s="252" t="s">
        <v>191</v>
      </c>
      <c r="T42" s="252" t="s">
        <v>332</v>
      </c>
      <c r="U42" s="252"/>
      <c r="V42" s="261" t="s">
        <v>347</v>
      </c>
      <c r="W42" s="251" t="s">
        <v>265</v>
      </c>
      <c r="X42" s="260">
        <v>0.945</v>
      </c>
      <c r="Y42" s="250">
        <f t="shared" ref="Y42:Y45" si="106">X42*I42</f>
        <v>4785.48</v>
      </c>
      <c r="Z42" s="251"/>
      <c r="AA42" s="261">
        <v>5064</v>
      </c>
      <c r="AB42" s="45">
        <f t="shared" si="6"/>
        <v>0</v>
      </c>
      <c r="AC42" s="252"/>
      <c r="AD42" s="252" t="s">
        <v>114</v>
      </c>
      <c r="AE42" s="251" t="s">
        <v>345</v>
      </c>
      <c r="AF42" s="251" t="s">
        <v>115</v>
      </c>
      <c r="AG42" s="268">
        <f t="shared" si="87"/>
        <v>5064</v>
      </c>
      <c r="AH42" s="268">
        <f t="shared" si="81"/>
        <v>5064</v>
      </c>
      <c r="AI42" s="268"/>
      <c r="AJ42" s="268"/>
      <c r="AK42" s="268">
        <f t="shared" si="88"/>
        <v>5064</v>
      </c>
      <c r="AL42" s="268"/>
      <c r="AM42" s="268"/>
      <c r="AN42" s="268">
        <f t="shared" si="89"/>
        <v>5064</v>
      </c>
      <c r="AO42" s="268"/>
      <c r="AP42" s="268"/>
      <c r="AQ42" s="268"/>
      <c r="AR42" s="268"/>
      <c r="AS42" s="268"/>
      <c r="AT42" s="268"/>
      <c r="AU42" s="268"/>
      <c r="AV42" s="268">
        <f t="shared" si="99"/>
        <v>422</v>
      </c>
      <c r="AW42" s="268"/>
      <c r="AX42" s="268"/>
      <c r="AY42" s="268"/>
      <c r="AZ42" s="268"/>
      <c r="BA42" s="268"/>
      <c r="BB42" s="268"/>
      <c r="BC42" s="268"/>
      <c r="BD42" s="268"/>
      <c r="BE42" s="268"/>
      <c r="BF42" s="268"/>
      <c r="BG42" s="268"/>
      <c r="BH42" s="268"/>
      <c r="BI42" s="268"/>
      <c r="BJ42" s="60">
        <f t="shared" ref="BJ42:BR42" si="107">$I42*BJ$2</f>
        <v>619.812499999998</v>
      </c>
      <c r="BK42" s="60">
        <f t="shared" si="107"/>
        <v>619.812499999998</v>
      </c>
      <c r="BL42" s="60">
        <f t="shared" si="107"/>
        <v>619.812499999998</v>
      </c>
      <c r="BM42" s="60">
        <f t="shared" si="107"/>
        <v>619.812499999998</v>
      </c>
      <c r="BN42" s="60">
        <f t="shared" si="107"/>
        <v>619.812499999998</v>
      </c>
      <c r="BO42" s="60">
        <f t="shared" si="107"/>
        <v>619.812499999998</v>
      </c>
      <c r="BP42" s="60">
        <f t="shared" si="107"/>
        <v>619.812499999998</v>
      </c>
      <c r="BQ42" s="60">
        <f t="shared" si="107"/>
        <v>619.812499999998</v>
      </c>
      <c r="BR42" s="60">
        <f t="shared" si="107"/>
        <v>105.5</v>
      </c>
      <c r="BT42" s="60">
        <f t="shared" ref="BT42:CB42" si="108">BT41-BJ42</f>
        <v>103756.716145833</v>
      </c>
      <c r="BU42" s="60">
        <f t="shared" si="108"/>
        <v>103756.716145833</v>
      </c>
      <c r="BV42" s="60">
        <f t="shared" si="108"/>
        <v>103756.716145833</v>
      </c>
      <c r="BW42" s="60">
        <f t="shared" si="108"/>
        <v>103756.716145833</v>
      </c>
      <c r="BX42" s="60">
        <f t="shared" si="108"/>
        <v>103756.716145833</v>
      </c>
      <c r="BY42" s="60">
        <f t="shared" si="108"/>
        <v>103756.716145833</v>
      </c>
      <c r="BZ42" s="60">
        <f t="shared" si="108"/>
        <v>103756.716145833</v>
      </c>
      <c r="CA42" s="60">
        <f t="shared" si="108"/>
        <v>103756.716145833</v>
      </c>
      <c r="CB42" s="60">
        <f t="shared" si="108"/>
        <v>17612.2708333333</v>
      </c>
    </row>
    <row r="43" s="235" customFormat="1" ht="27" customHeight="1" spans="1:80">
      <c r="A43" s="241">
        <v>45749</v>
      </c>
      <c r="B43" s="242" t="s">
        <v>326</v>
      </c>
      <c r="C43" s="243" t="s">
        <v>117</v>
      </c>
      <c r="D43" s="244">
        <v>4500162369</v>
      </c>
      <c r="E43" s="243" t="s">
        <v>348</v>
      </c>
      <c r="F43" s="242" t="s">
        <v>349</v>
      </c>
      <c r="G43" s="245" t="s">
        <v>345</v>
      </c>
      <c r="H43" s="242" t="s">
        <v>346</v>
      </c>
      <c r="I43" s="250">
        <v>6684</v>
      </c>
      <c r="J43" s="250">
        <v>0</v>
      </c>
      <c r="K43" s="250">
        <v>12</v>
      </c>
      <c r="L43" s="250">
        <f t="shared" si="24"/>
        <v>557</v>
      </c>
      <c r="M43" s="251">
        <v>45789</v>
      </c>
      <c r="N43" s="251">
        <v>45785</v>
      </c>
      <c r="O43" s="252" t="s">
        <v>341</v>
      </c>
      <c r="P43" s="253" t="s">
        <v>107</v>
      </c>
      <c r="Q43" s="252" t="s">
        <v>261</v>
      </c>
      <c r="R43" s="252">
        <v>45749</v>
      </c>
      <c r="S43" s="252" t="s">
        <v>191</v>
      </c>
      <c r="T43" s="252" t="s">
        <v>332</v>
      </c>
      <c r="U43" s="252"/>
      <c r="V43" s="261" t="s">
        <v>347</v>
      </c>
      <c r="W43" s="251" t="s">
        <v>265</v>
      </c>
      <c r="X43" s="260">
        <v>0.945</v>
      </c>
      <c r="Y43" s="250">
        <f t="shared" si="106"/>
        <v>6316.38</v>
      </c>
      <c r="Z43" s="251"/>
      <c r="AA43" s="261">
        <v>6684</v>
      </c>
      <c r="AB43" s="45">
        <f t="shared" si="6"/>
        <v>0</v>
      </c>
      <c r="AC43" s="252"/>
      <c r="AD43" s="252" t="s">
        <v>114</v>
      </c>
      <c r="AE43" s="251" t="s">
        <v>345</v>
      </c>
      <c r="AF43" s="251" t="s">
        <v>115</v>
      </c>
      <c r="AG43" s="268">
        <f t="shared" si="87"/>
        <v>6684</v>
      </c>
      <c r="AH43" s="268">
        <f t="shared" si="81"/>
        <v>6684</v>
      </c>
      <c r="AI43" s="268"/>
      <c r="AJ43" s="268"/>
      <c r="AK43" s="268">
        <f t="shared" si="88"/>
        <v>6684</v>
      </c>
      <c r="AL43" s="268"/>
      <c r="AM43" s="268"/>
      <c r="AN43" s="268">
        <f t="shared" si="89"/>
        <v>6684</v>
      </c>
      <c r="AO43" s="268"/>
      <c r="AP43" s="268"/>
      <c r="AQ43" s="268"/>
      <c r="AR43" s="268"/>
      <c r="AS43" s="268"/>
      <c r="AT43" s="268"/>
      <c r="AU43" s="268"/>
      <c r="AV43" s="268">
        <f t="shared" si="99"/>
        <v>557</v>
      </c>
      <c r="AW43" s="268"/>
      <c r="AX43" s="268"/>
      <c r="AY43" s="268"/>
      <c r="AZ43" s="268"/>
      <c r="BA43" s="268"/>
      <c r="BB43" s="268"/>
      <c r="BC43" s="268"/>
      <c r="BD43" s="268"/>
      <c r="BE43" s="268"/>
      <c r="BF43" s="268"/>
      <c r="BG43" s="268"/>
      <c r="BH43" s="268"/>
      <c r="BI43" s="268"/>
      <c r="BJ43" s="60">
        <f t="shared" ref="BJ43:BR43" si="109">$I43*BJ$2</f>
        <v>818.093749999998</v>
      </c>
      <c r="BK43" s="60">
        <f t="shared" si="109"/>
        <v>818.093749999998</v>
      </c>
      <c r="BL43" s="60">
        <f t="shared" si="109"/>
        <v>818.093749999998</v>
      </c>
      <c r="BM43" s="60">
        <f t="shared" si="109"/>
        <v>818.093749999998</v>
      </c>
      <c r="BN43" s="60">
        <f t="shared" si="109"/>
        <v>818.093749999998</v>
      </c>
      <c r="BO43" s="60">
        <f t="shared" si="109"/>
        <v>818.093749999998</v>
      </c>
      <c r="BP43" s="60">
        <f t="shared" si="109"/>
        <v>818.093749999998</v>
      </c>
      <c r="BQ43" s="60">
        <f t="shared" si="109"/>
        <v>818.093749999998</v>
      </c>
      <c r="BR43" s="60">
        <f t="shared" si="109"/>
        <v>139.25</v>
      </c>
      <c r="BT43" s="60">
        <f t="shared" ref="BT43:CB43" si="110">BT42-BJ43</f>
        <v>102938.622395833</v>
      </c>
      <c r="BU43" s="60">
        <f t="shared" si="110"/>
        <v>102938.622395833</v>
      </c>
      <c r="BV43" s="60">
        <f t="shared" si="110"/>
        <v>102938.622395833</v>
      </c>
      <c r="BW43" s="60">
        <f t="shared" si="110"/>
        <v>102938.622395833</v>
      </c>
      <c r="BX43" s="60">
        <f t="shared" si="110"/>
        <v>102938.622395833</v>
      </c>
      <c r="BY43" s="60">
        <f t="shared" si="110"/>
        <v>102938.622395833</v>
      </c>
      <c r="BZ43" s="60">
        <f t="shared" si="110"/>
        <v>102938.622395833</v>
      </c>
      <c r="CA43" s="60">
        <f t="shared" si="110"/>
        <v>102938.622395833</v>
      </c>
      <c r="CB43" s="60">
        <f t="shared" si="110"/>
        <v>17473.0208333333</v>
      </c>
    </row>
    <row r="44" s="235" customFormat="1" ht="27" customHeight="1" spans="1:80">
      <c r="A44" s="241">
        <v>45749</v>
      </c>
      <c r="B44" s="242" t="s">
        <v>326</v>
      </c>
      <c r="C44" s="243" t="s">
        <v>117</v>
      </c>
      <c r="D44" s="244">
        <v>4500162369</v>
      </c>
      <c r="E44" s="243" t="s">
        <v>350</v>
      </c>
      <c r="F44" s="242" t="s">
        <v>351</v>
      </c>
      <c r="G44" s="245" t="s">
        <v>345</v>
      </c>
      <c r="H44" s="242" t="s">
        <v>346</v>
      </c>
      <c r="I44" s="250">
        <v>5820</v>
      </c>
      <c r="J44" s="250">
        <v>0</v>
      </c>
      <c r="K44" s="250">
        <v>12</v>
      </c>
      <c r="L44" s="250">
        <f t="shared" si="24"/>
        <v>485</v>
      </c>
      <c r="M44" s="251">
        <v>45789</v>
      </c>
      <c r="N44" s="251">
        <v>45785</v>
      </c>
      <c r="O44" s="252" t="s">
        <v>341</v>
      </c>
      <c r="P44" s="253" t="s">
        <v>107</v>
      </c>
      <c r="Q44" s="252" t="s">
        <v>352</v>
      </c>
      <c r="R44" s="252">
        <v>45749</v>
      </c>
      <c r="S44" s="252" t="s">
        <v>191</v>
      </c>
      <c r="T44" s="252" t="s">
        <v>332</v>
      </c>
      <c r="U44" s="252"/>
      <c r="V44" s="261" t="s">
        <v>347</v>
      </c>
      <c r="W44" s="251" t="s">
        <v>265</v>
      </c>
      <c r="X44" s="260">
        <v>0.945</v>
      </c>
      <c r="Y44" s="250">
        <f t="shared" si="106"/>
        <v>5499.9</v>
      </c>
      <c r="Z44" s="251"/>
      <c r="AA44" s="261">
        <v>5820</v>
      </c>
      <c r="AB44" s="45">
        <f t="shared" si="6"/>
        <v>0</v>
      </c>
      <c r="AC44" s="252"/>
      <c r="AD44" s="252" t="s">
        <v>114</v>
      </c>
      <c r="AE44" s="251" t="s">
        <v>345</v>
      </c>
      <c r="AF44" s="251" t="s">
        <v>115</v>
      </c>
      <c r="AG44" s="268">
        <f t="shared" si="87"/>
        <v>5820</v>
      </c>
      <c r="AH44" s="268">
        <f t="shared" si="81"/>
        <v>5820</v>
      </c>
      <c r="AI44" s="268"/>
      <c r="AJ44" s="268"/>
      <c r="AK44" s="268">
        <f t="shared" si="88"/>
        <v>5820</v>
      </c>
      <c r="AL44" s="268"/>
      <c r="AM44" s="268"/>
      <c r="AN44" s="268">
        <f t="shared" si="89"/>
        <v>5820</v>
      </c>
      <c r="AO44" s="268"/>
      <c r="AP44" s="268"/>
      <c r="AQ44" s="268"/>
      <c r="AR44" s="268"/>
      <c r="AS44" s="268"/>
      <c r="AT44" s="268"/>
      <c r="AU44" s="268"/>
      <c r="AV44" s="268">
        <f t="shared" si="99"/>
        <v>485</v>
      </c>
      <c r="AW44" s="268"/>
      <c r="AX44" s="268"/>
      <c r="AY44" s="268"/>
      <c r="AZ44" s="268"/>
      <c r="BA44" s="268"/>
      <c r="BB44" s="268"/>
      <c r="BC44" s="268"/>
      <c r="BD44" s="268"/>
      <c r="BE44" s="268"/>
      <c r="BF44" s="268"/>
      <c r="BG44" s="268"/>
      <c r="BH44" s="268"/>
      <c r="BI44" s="268"/>
      <c r="BJ44" s="60">
        <f t="shared" ref="BJ44:BR44" si="111">$I44*BJ$2</f>
        <v>712.343749999998</v>
      </c>
      <c r="BK44" s="60">
        <f t="shared" si="111"/>
        <v>712.343749999998</v>
      </c>
      <c r="BL44" s="60">
        <f t="shared" si="111"/>
        <v>712.343749999998</v>
      </c>
      <c r="BM44" s="60">
        <f t="shared" si="111"/>
        <v>712.343749999998</v>
      </c>
      <c r="BN44" s="60">
        <f t="shared" si="111"/>
        <v>712.343749999998</v>
      </c>
      <c r="BO44" s="60">
        <f t="shared" si="111"/>
        <v>712.343749999998</v>
      </c>
      <c r="BP44" s="60">
        <f t="shared" si="111"/>
        <v>712.343749999998</v>
      </c>
      <c r="BQ44" s="60">
        <f t="shared" si="111"/>
        <v>712.343749999998</v>
      </c>
      <c r="BR44" s="60">
        <f t="shared" si="111"/>
        <v>121.25</v>
      </c>
      <c r="BT44" s="60">
        <f t="shared" ref="BT44:CB44" si="112">BT43-BJ44</f>
        <v>102226.278645833</v>
      </c>
      <c r="BU44" s="60">
        <f t="shared" si="112"/>
        <v>102226.278645833</v>
      </c>
      <c r="BV44" s="60">
        <f t="shared" si="112"/>
        <v>102226.278645833</v>
      </c>
      <c r="BW44" s="60">
        <f t="shared" si="112"/>
        <v>102226.278645833</v>
      </c>
      <c r="BX44" s="60">
        <f t="shared" si="112"/>
        <v>102226.278645833</v>
      </c>
      <c r="BY44" s="60">
        <f t="shared" si="112"/>
        <v>102226.278645833</v>
      </c>
      <c r="BZ44" s="60">
        <f t="shared" si="112"/>
        <v>102226.278645833</v>
      </c>
      <c r="CA44" s="60">
        <f t="shared" si="112"/>
        <v>102226.278645833</v>
      </c>
      <c r="CB44" s="60">
        <f t="shared" si="112"/>
        <v>17351.7708333333</v>
      </c>
    </row>
    <row r="45" s="234" customFormat="1" ht="27" hidden="1" customHeight="1" spans="1:80">
      <c r="A45" s="236">
        <v>45747</v>
      </c>
      <c r="B45" s="237" t="s">
        <v>149</v>
      </c>
      <c r="C45" s="238" t="s">
        <v>117</v>
      </c>
      <c r="D45" s="239">
        <v>4500162016</v>
      </c>
      <c r="E45" s="238" t="s">
        <v>353</v>
      </c>
      <c r="F45" s="237" t="s">
        <v>354</v>
      </c>
      <c r="G45" s="240" t="s">
        <v>152</v>
      </c>
      <c r="H45" s="237" t="s">
        <v>153</v>
      </c>
      <c r="I45" s="247">
        <v>10530</v>
      </c>
      <c r="J45" s="247">
        <v>0</v>
      </c>
      <c r="K45" s="247">
        <v>13</v>
      </c>
      <c r="L45" s="247">
        <f t="shared" si="24"/>
        <v>810</v>
      </c>
      <c r="M45" s="248">
        <v>45790</v>
      </c>
      <c r="N45" s="248">
        <v>45790</v>
      </c>
      <c r="O45" s="212"/>
      <c r="P45" s="212" t="s">
        <v>107</v>
      </c>
      <c r="Q45" s="212" t="s">
        <v>342</v>
      </c>
      <c r="R45" s="212">
        <v>45761</v>
      </c>
      <c r="S45" s="212" t="s">
        <v>80</v>
      </c>
      <c r="T45" s="212" t="s">
        <v>355</v>
      </c>
      <c r="U45" s="212"/>
      <c r="V45" s="259" t="s">
        <v>356</v>
      </c>
      <c r="W45" s="248" t="s">
        <v>158</v>
      </c>
      <c r="X45" s="260">
        <v>0.765</v>
      </c>
      <c r="Y45" s="247">
        <f t="shared" si="106"/>
        <v>8055.45</v>
      </c>
      <c r="Z45" s="248"/>
      <c r="AA45" s="259">
        <f>10491+39</f>
        <v>10530</v>
      </c>
      <c r="AB45" s="45">
        <f t="shared" si="6"/>
        <v>0</v>
      </c>
      <c r="AC45" s="212" t="s">
        <v>113</v>
      </c>
      <c r="AD45" s="212" t="s">
        <v>114</v>
      </c>
      <c r="AE45" s="248" t="s">
        <v>152</v>
      </c>
      <c r="AF45" s="248" t="s">
        <v>115</v>
      </c>
      <c r="AG45" s="267">
        <f t="shared" si="87"/>
        <v>10530</v>
      </c>
      <c r="AH45" s="267">
        <f t="shared" si="81"/>
        <v>10530</v>
      </c>
      <c r="AI45" s="267"/>
      <c r="AJ45" s="267"/>
      <c r="AK45" s="267">
        <f t="shared" si="88"/>
        <v>10530</v>
      </c>
      <c r="AL45" s="267"/>
      <c r="AM45" s="267"/>
      <c r="AN45" s="267"/>
      <c r="AO45" s="267">
        <f t="shared" ref="AO45:AO55" si="113">I45</f>
        <v>10530</v>
      </c>
      <c r="AP45" s="267"/>
      <c r="AQ45" s="267"/>
      <c r="AR45" s="267"/>
      <c r="AS45" s="267"/>
      <c r="AT45" s="267">
        <f>I45/13</f>
        <v>810</v>
      </c>
      <c r="AU45" s="267"/>
      <c r="AV45" s="267"/>
      <c r="AW45" s="267"/>
      <c r="AX45" s="267"/>
      <c r="AY45" s="267"/>
      <c r="AZ45" s="267"/>
      <c r="BA45" s="267"/>
      <c r="BB45" s="267"/>
      <c r="BC45" s="267"/>
      <c r="BD45" s="267"/>
      <c r="BE45" s="267"/>
      <c r="BF45" s="267"/>
      <c r="BG45" s="267"/>
      <c r="BH45" s="267"/>
      <c r="BI45" s="267"/>
      <c r="BJ45" s="269">
        <f t="shared" ref="BJ45:BR45" si="114">$I45*BJ$2</f>
        <v>1288.828125</v>
      </c>
      <c r="BK45" s="269">
        <f t="shared" si="114"/>
        <v>1288.828125</v>
      </c>
      <c r="BL45" s="269">
        <f t="shared" si="114"/>
        <v>1288.828125</v>
      </c>
      <c r="BM45" s="269">
        <f t="shared" si="114"/>
        <v>1288.828125</v>
      </c>
      <c r="BN45" s="269">
        <f t="shared" si="114"/>
        <v>1288.828125</v>
      </c>
      <c r="BO45" s="269">
        <f t="shared" si="114"/>
        <v>1288.828125</v>
      </c>
      <c r="BP45" s="269">
        <f t="shared" si="114"/>
        <v>1288.828125</v>
      </c>
      <c r="BQ45" s="269">
        <f t="shared" si="114"/>
        <v>1288.828125</v>
      </c>
      <c r="BR45" s="269">
        <f t="shared" si="114"/>
        <v>219.375</v>
      </c>
      <c r="BT45" s="60">
        <f t="shared" ref="BT45:CB45" si="115">BT44-BJ45</f>
        <v>100937.450520833</v>
      </c>
      <c r="BU45" s="60">
        <f t="shared" si="115"/>
        <v>100937.450520833</v>
      </c>
      <c r="BV45" s="60">
        <f t="shared" si="115"/>
        <v>100937.450520833</v>
      </c>
      <c r="BW45" s="60">
        <f t="shared" si="115"/>
        <v>100937.450520833</v>
      </c>
      <c r="BX45" s="60">
        <f t="shared" si="115"/>
        <v>100937.450520833</v>
      </c>
      <c r="BY45" s="60">
        <f t="shared" si="115"/>
        <v>100937.450520833</v>
      </c>
      <c r="BZ45" s="60">
        <f t="shared" si="115"/>
        <v>100937.450520833</v>
      </c>
      <c r="CA45" s="60">
        <f t="shared" si="115"/>
        <v>100937.450520833</v>
      </c>
      <c r="CB45" s="60">
        <f t="shared" si="115"/>
        <v>17132.3958333333</v>
      </c>
    </row>
    <row r="46" s="234" customFormat="1" ht="27" hidden="1" customHeight="1" spans="1:80">
      <c r="A46" s="236">
        <v>45744</v>
      </c>
      <c r="B46" s="237" t="s">
        <v>326</v>
      </c>
      <c r="C46" s="238" t="s">
        <v>117</v>
      </c>
      <c r="D46" s="239">
        <v>4500161750</v>
      </c>
      <c r="E46" s="246">
        <v>904512454</v>
      </c>
      <c r="F46" s="237" t="s">
        <v>357</v>
      </c>
      <c r="G46" s="240" t="s">
        <v>258</v>
      </c>
      <c r="H46" s="237" t="s">
        <v>358</v>
      </c>
      <c r="I46" s="247">
        <v>1152</v>
      </c>
      <c r="J46" s="247">
        <v>0</v>
      </c>
      <c r="K46" s="247">
        <v>1152</v>
      </c>
      <c r="L46" s="247">
        <f t="shared" si="24"/>
        <v>1</v>
      </c>
      <c r="M46" s="248">
        <v>45793</v>
      </c>
      <c r="N46" s="248">
        <v>45789</v>
      </c>
      <c r="O46" s="212" t="s">
        <v>359</v>
      </c>
      <c r="P46" s="212" t="s">
        <v>107</v>
      </c>
      <c r="Q46" s="212" t="s">
        <v>360</v>
      </c>
      <c r="R46" s="212" t="s">
        <v>331</v>
      </c>
      <c r="S46" s="212" t="s">
        <v>191</v>
      </c>
      <c r="T46" s="212" t="s">
        <v>332</v>
      </c>
      <c r="U46" s="212"/>
      <c r="V46" s="259" t="s">
        <v>333</v>
      </c>
      <c r="W46" s="248" t="s">
        <v>265</v>
      </c>
      <c r="X46" s="260">
        <v>903.2128</v>
      </c>
      <c r="Y46" s="247">
        <f t="shared" ref="Y46:Y52" si="116">X46*L46</f>
        <v>903.2128</v>
      </c>
      <c r="Z46" s="248"/>
      <c r="AA46" s="259">
        <v>1152</v>
      </c>
      <c r="AB46" s="259">
        <f t="shared" si="6"/>
        <v>0</v>
      </c>
      <c r="AC46" s="212"/>
      <c r="AD46" s="212" t="s">
        <v>114</v>
      </c>
      <c r="AE46" s="248" t="s">
        <v>258</v>
      </c>
      <c r="AF46" s="248" t="s">
        <v>115</v>
      </c>
      <c r="AG46" s="267">
        <f t="shared" si="87"/>
        <v>1152</v>
      </c>
      <c r="AH46" s="267">
        <f t="shared" si="81"/>
        <v>1152</v>
      </c>
      <c r="AI46" s="267"/>
      <c r="AJ46" s="267"/>
      <c r="AK46" s="267">
        <f t="shared" si="88"/>
        <v>1152</v>
      </c>
      <c r="AL46" s="267"/>
      <c r="AM46" s="267"/>
      <c r="AN46" s="267">
        <f>I46</f>
        <v>1152</v>
      </c>
      <c r="AQ46" s="267"/>
      <c r="AR46" s="267"/>
      <c r="AS46" s="267"/>
      <c r="AT46" s="267"/>
      <c r="AU46" s="267"/>
      <c r="AV46" s="267">
        <f t="shared" ref="AV46:AV54" si="117">I46/12</f>
        <v>96</v>
      </c>
      <c r="AW46" s="267"/>
      <c r="AX46" s="267"/>
      <c r="AY46" s="267"/>
      <c r="AZ46" s="267"/>
      <c r="BA46" s="267"/>
      <c r="BB46" s="267"/>
      <c r="BC46" s="267"/>
      <c r="BD46" s="267"/>
      <c r="BE46" s="267"/>
      <c r="BF46" s="267"/>
      <c r="BG46" s="267"/>
      <c r="BH46" s="267"/>
      <c r="BI46" s="267"/>
      <c r="BJ46" s="269">
        <f t="shared" ref="BJ46:BR46" si="118">$I46*BJ$2</f>
        <v>141</v>
      </c>
      <c r="BK46" s="269">
        <f t="shared" si="118"/>
        <v>141</v>
      </c>
      <c r="BL46" s="269">
        <f t="shared" si="118"/>
        <v>141</v>
      </c>
      <c r="BM46" s="269">
        <f t="shared" si="118"/>
        <v>141</v>
      </c>
      <c r="BN46" s="269">
        <f t="shared" si="118"/>
        <v>141</v>
      </c>
      <c r="BO46" s="269">
        <f t="shared" si="118"/>
        <v>141</v>
      </c>
      <c r="BP46" s="269">
        <f t="shared" si="118"/>
        <v>141</v>
      </c>
      <c r="BQ46" s="269">
        <f t="shared" si="118"/>
        <v>141</v>
      </c>
      <c r="BR46" s="269">
        <f t="shared" si="118"/>
        <v>24</v>
      </c>
      <c r="BT46" s="60">
        <f t="shared" ref="BT46:CB46" si="119">BT45-BJ46</f>
        <v>100796.450520833</v>
      </c>
      <c r="BU46" s="60">
        <f t="shared" si="119"/>
        <v>100796.450520833</v>
      </c>
      <c r="BV46" s="60">
        <f t="shared" si="119"/>
        <v>100796.450520833</v>
      </c>
      <c r="BW46" s="60">
        <f t="shared" si="119"/>
        <v>100796.450520833</v>
      </c>
      <c r="BX46" s="60">
        <f t="shared" si="119"/>
        <v>100796.450520833</v>
      </c>
      <c r="BY46" s="60">
        <f t="shared" si="119"/>
        <v>100796.450520833</v>
      </c>
      <c r="BZ46" s="60">
        <f t="shared" si="119"/>
        <v>100796.450520833</v>
      </c>
      <c r="CA46" s="60">
        <f t="shared" si="119"/>
        <v>100796.450520833</v>
      </c>
      <c r="CB46" s="60">
        <f t="shared" si="119"/>
        <v>17108.3958333333</v>
      </c>
    </row>
    <row r="47" s="234" customFormat="1" ht="27" hidden="1" customHeight="1" spans="1:80">
      <c r="A47" s="236">
        <v>45741</v>
      </c>
      <c r="B47" s="237" t="s">
        <v>361</v>
      </c>
      <c r="C47" s="238" t="s">
        <v>117</v>
      </c>
      <c r="D47" s="239">
        <v>4500161373</v>
      </c>
      <c r="E47" s="238">
        <v>22425</v>
      </c>
      <c r="F47" s="237" t="s">
        <v>362</v>
      </c>
      <c r="G47" s="240" t="s">
        <v>363</v>
      </c>
      <c r="H47" s="237" t="s">
        <v>364</v>
      </c>
      <c r="I47" s="247">
        <v>12840</v>
      </c>
      <c r="J47" s="247">
        <v>0</v>
      </c>
      <c r="K47" s="247">
        <v>24</v>
      </c>
      <c r="L47" s="247">
        <f t="shared" si="24"/>
        <v>535</v>
      </c>
      <c r="M47" s="248">
        <v>45797</v>
      </c>
      <c r="N47" s="248">
        <v>45793</v>
      </c>
      <c r="O47" s="212" t="s">
        <v>365</v>
      </c>
      <c r="P47" s="212" t="s">
        <v>175</v>
      </c>
      <c r="Q47" s="212" t="s">
        <v>342</v>
      </c>
      <c r="R47" s="212">
        <v>45741</v>
      </c>
      <c r="S47" s="212" t="s">
        <v>80</v>
      </c>
      <c r="T47" s="212" t="s">
        <v>80</v>
      </c>
      <c r="U47" s="212"/>
      <c r="V47" s="259" t="s">
        <v>366</v>
      </c>
      <c r="W47" s="248" t="s">
        <v>367</v>
      </c>
      <c r="X47" s="260">
        <v>18.4169</v>
      </c>
      <c r="Y47" s="247">
        <f t="shared" si="116"/>
        <v>9853.0415</v>
      </c>
      <c r="Z47" s="248"/>
      <c r="AA47" s="259">
        <f>12792+48</f>
        <v>12840</v>
      </c>
      <c r="AB47" s="45">
        <f t="shared" si="6"/>
        <v>0</v>
      </c>
      <c r="AC47" s="212" t="s">
        <v>80</v>
      </c>
      <c r="AD47" s="212" t="s">
        <v>114</v>
      </c>
      <c r="AE47" s="248" t="s">
        <v>363</v>
      </c>
      <c r="AF47" s="248" t="s">
        <v>115</v>
      </c>
      <c r="AG47" s="267">
        <f t="shared" si="87"/>
        <v>12840</v>
      </c>
      <c r="AH47" s="267">
        <f t="shared" si="81"/>
        <v>12840</v>
      </c>
      <c r="AI47" s="267"/>
      <c r="AJ47" s="267"/>
      <c r="AK47" s="267">
        <f t="shared" si="88"/>
        <v>12840</v>
      </c>
      <c r="AL47" s="267"/>
      <c r="AM47" s="267"/>
      <c r="AN47" s="267"/>
      <c r="AO47" s="267">
        <f t="shared" si="113"/>
        <v>12840</v>
      </c>
      <c r="AP47" s="267"/>
      <c r="AQ47" s="267"/>
      <c r="AR47" s="267"/>
      <c r="AS47" s="267"/>
      <c r="AT47" s="267"/>
      <c r="AU47" s="267"/>
      <c r="AV47" s="267"/>
      <c r="AW47" s="267">
        <f>I47/24</f>
        <v>535</v>
      </c>
      <c r="AX47" s="267"/>
      <c r="AY47" s="267"/>
      <c r="AZ47" s="267"/>
      <c r="BA47" s="267"/>
      <c r="BB47" s="267"/>
      <c r="BC47" s="267"/>
      <c r="BD47" s="267"/>
      <c r="BE47" s="267"/>
      <c r="BF47" s="267"/>
      <c r="BG47" s="267"/>
      <c r="BH47" s="267"/>
      <c r="BI47" s="267"/>
      <c r="BJ47" s="269">
        <f t="shared" ref="BJ47:BR47" si="120">$I47*BJ$2</f>
        <v>1571.5625</v>
      </c>
      <c r="BK47" s="269">
        <f t="shared" si="120"/>
        <v>1571.5625</v>
      </c>
      <c r="BL47" s="269">
        <f t="shared" si="120"/>
        <v>1571.5625</v>
      </c>
      <c r="BM47" s="269">
        <f t="shared" si="120"/>
        <v>1571.5625</v>
      </c>
      <c r="BN47" s="269">
        <f t="shared" si="120"/>
        <v>1571.5625</v>
      </c>
      <c r="BO47" s="269">
        <f t="shared" si="120"/>
        <v>1571.5625</v>
      </c>
      <c r="BP47" s="269">
        <f t="shared" si="120"/>
        <v>1571.5625</v>
      </c>
      <c r="BQ47" s="269">
        <f t="shared" si="120"/>
        <v>1571.5625</v>
      </c>
      <c r="BR47" s="269">
        <f t="shared" si="120"/>
        <v>267.5</v>
      </c>
      <c r="BT47" s="60">
        <f t="shared" ref="BT47:CB47" si="121">BT46-BJ47</f>
        <v>99224.8880208333</v>
      </c>
      <c r="BU47" s="60">
        <f t="shared" si="121"/>
        <v>99224.8880208333</v>
      </c>
      <c r="BV47" s="60">
        <f t="shared" si="121"/>
        <v>99224.8880208333</v>
      </c>
      <c r="BW47" s="60">
        <f t="shared" si="121"/>
        <v>99224.8880208333</v>
      </c>
      <c r="BX47" s="60">
        <f t="shared" si="121"/>
        <v>99224.8880208333</v>
      </c>
      <c r="BY47" s="60">
        <f t="shared" si="121"/>
        <v>99224.8880208333</v>
      </c>
      <c r="BZ47" s="60">
        <f t="shared" si="121"/>
        <v>99224.8880208333</v>
      </c>
      <c r="CA47" s="60">
        <f t="shared" si="121"/>
        <v>99224.8880208333</v>
      </c>
      <c r="CB47" s="60">
        <f t="shared" si="121"/>
        <v>16840.8958333333</v>
      </c>
    </row>
    <row r="48" s="234" customFormat="1" ht="27" hidden="1" customHeight="1" spans="1:80">
      <c r="A48" s="236">
        <v>45744</v>
      </c>
      <c r="B48" s="237" t="s">
        <v>326</v>
      </c>
      <c r="C48" s="238" t="s">
        <v>117</v>
      </c>
      <c r="D48" s="239">
        <v>4500161751</v>
      </c>
      <c r="E48" s="238" t="s">
        <v>368</v>
      </c>
      <c r="F48" s="237" t="s">
        <v>369</v>
      </c>
      <c r="G48" s="240" t="s">
        <v>258</v>
      </c>
      <c r="H48" s="237" t="s">
        <v>259</v>
      </c>
      <c r="I48" s="247">
        <v>1152</v>
      </c>
      <c r="J48" s="247">
        <v>0</v>
      </c>
      <c r="K48" s="247">
        <v>1152</v>
      </c>
      <c r="L48" s="247">
        <f t="shared" si="24"/>
        <v>1</v>
      </c>
      <c r="M48" s="248">
        <v>45797</v>
      </c>
      <c r="N48" s="248">
        <v>45793</v>
      </c>
      <c r="O48" s="212" t="s">
        <v>370</v>
      </c>
      <c r="P48" s="212" t="s">
        <v>107</v>
      </c>
      <c r="Q48" s="212" t="s">
        <v>371</v>
      </c>
      <c r="R48" s="212" t="s">
        <v>331</v>
      </c>
      <c r="S48" s="212" t="s">
        <v>191</v>
      </c>
      <c r="T48" s="212" t="s">
        <v>332</v>
      </c>
      <c r="U48" s="212"/>
      <c r="V48" s="259" t="s">
        <v>333</v>
      </c>
      <c r="W48" s="248" t="s">
        <v>265</v>
      </c>
      <c r="X48" s="260">
        <v>903.2128</v>
      </c>
      <c r="Y48" s="247">
        <f t="shared" si="116"/>
        <v>903.2128</v>
      </c>
      <c r="Z48" s="248" t="s">
        <v>372</v>
      </c>
      <c r="AA48" s="259">
        <v>1152</v>
      </c>
      <c r="AB48" s="45">
        <f t="shared" si="6"/>
        <v>0</v>
      </c>
      <c r="AC48" s="212"/>
      <c r="AD48" s="212" t="s">
        <v>114</v>
      </c>
      <c r="AE48" s="248" t="s">
        <v>258</v>
      </c>
      <c r="AF48" s="248" t="s">
        <v>115</v>
      </c>
      <c r="AG48" s="267">
        <f t="shared" si="87"/>
        <v>1152</v>
      </c>
      <c r="AH48" s="267">
        <f t="shared" si="81"/>
        <v>1152</v>
      </c>
      <c r="AI48" s="267"/>
      <c r="AJ48" s="267"/>
      <c r="AK48" s="267">
        <f t="shared" si="88"/>
        <v>1152</v>
      </c>
      <c r="AL48" s="267"/>
      <c r="AM48" s="267"/>
      <c r="AN48" s="267"/>
      <c r="AO48" s="267">
        <f t="shared" si="113"/>
        <v>1152</v>
      </c>
      <c r="AP48" s="267"/>
      <c r="AQ48" s="267"/>
      <c r="AR48" s="267"/>
      <c r="AS48" s="267"/>
      <c r="AT48" s="267"/>
      <c r="AU48" s="267"/>
      <c r="AV48" s="267">
        <f t="shared" si="117"/>
        <v>96</v>
      </c>
      <c r="AW48" s="267"/>
      <c r="AX48" s="267"/>
      <c r="AY48" s="267"/>
      <c r="AZ48" s="267"/>
      <c r="BA48" s="267"/>
      <c r="BB48" s="267"/>
      <c r="BC48" s="267"/>
      <c r="BD48" s="267"/>
      <c r="BE48" s="267"/>
      <c r="BF48" s="267"/>
      <c r="BG48" s="267"/>
      <c r="BH48" s="267"/>
      <c r="BI48" s="267"/>
      <c r="BJ48" s="269">
        <f t="shared" ref="BJ48:BR48" si="122">$I48*BJ$2</f>
        <v>141</v>
      </c>
      <c r="BK48" s="269">
        <f t="shared" si="122"/>
        <v>141</v>
      </c>
      <c r="BL48" s="269">
        <f t="shared" si="122"/>
        <v>141</v>
      </c>
      <c r="BM48" s="269">
        <f t="shared" si="122"/>
        <v>141</v>
      </c>
      <c r="BN48" s="269">
        <f t="shared" si="122"/>
        <v>141</v>
      </c>
      <c r="BO48" s="269">
        <f t="shared" si="122"/>
        <v>141</v>
      </c>
      <c r="BP48" s="269">
        <f t="shared" si="122"/>
        <v>141</v>
      </c>
      <c r="BQ48" s="269">
        <f t="shared" si="122"/>
        <v>141</v>
      </c>
      <c r="BR48" s="269">
        <f t="shared" si="122"/>
        <v>24</v>
      </c>
      <c r="BT48" s="60">
        <f t="shared" ref="BT48:CB48" si="123">BT47-BJ48</f>
        <v>99083.8880208333</v>
      </c>
      <c r="BU48" s="60">
        <f t="shared" si="123"/>
        <v>99083.8880208333</v>
      </c>
      <c r="BV48" s="60">
        <f t="shared" si="123"/>
        <v>99083.8880208333</v>
      </c>
      <c r="BW48" s="60">
        <f t="shared" si="123"/>
        <v>99083.8880208333</v>
      </c>
      <c r="BX48" s="60">
        <f t="shared" si="123"/>
        <v>99083.8880208333</v>
      </c>
      <c r="BY48" s="60">
        <f t="shared" si="123"/>
        <v>99083.8880208333</v>
      </c>
      <c r="BZ48" s="60">
        <f t="shared" si="123"/>
        <v>99083.8880208333</v>
      </c>
      <c r="CA48" s="60">
        <f t="shared" si="123"/>
        <v>99083.8880208333</v>
      </c>
      <c r="CB48" s="60">
        <f t="shared" si="123"/>
        <v>16816.8958333333</v>
      </c>
    </row>
    <row r="49" s="234" customFormat="1" ht="27" hidden="1" customHeight="1" spans="1:80">
      <c r="A49" s="236">
        <v>45744</v>
      </c>
      <c r="B49" s="237" t="s">
        <v>326</v>
      </c>
      <c r="C49" s="238" t="s">
        <v>117</v>
      </c>
      <c r="D49" s="239">
        <v>4500161751</v>
      </c>
      <c r="E49" s="238" t="s">
        <v>373</v>
      </c>
      <c r="F49" s="237" t="s">
        <v>374</v>
      </c>
      <c r="G49" s="240" t="s">
        <v>258</v>
      </c>
      <c r="H49" s="237" t="s">
        <v>259</v>
      </c>
      <c r="I49" s="247">
        <v>1152</v>
      </c>
      <c r="J49" s="247">
        <v>0</v>
      </c>
      <c r="K49" s="247">
        <v>1152</v>
      </c>
      <c r="L49" s="247">
        <f t="shared" si="24"/>
        <v>1</v>
      </c>
      <c r="M49" s="248">
        <v>45797</v>
      </c>
      <c r="N49" s="248">
        <v>45793</v>
      </c>
      <c r="O49" s="212" t="s">
        <v>370</v>
      </c>
      <c r="P49" s="212" t="s">
        <v>107</v>
      </c>
      <c r="Q49" s="212" t="s">
        <v>371</v>
      </c>
      <c r="R49" s="212" t="s">
        <v>331</v>
      </c>
      <c r="S49" s="212" t="s">
        <v>191</v>
      </c>
      <c r="T49" s="212" t="s">
        <v>332</v>
      </c>
      <c r="U49" s="212"/>
      <c r="V49" s="259" t="s">
        <v>333</v>
      </c>
      <c r="W49" s="248" t="s">
        <v>265</v>
      </c>
      <c r="X49" s="260">
        <v>903.2128</v>
      </c>
      <c r="Y49" s="247">
        <f t="shared" si="116"/>
        <v>903.2128</v>
      </c>
      <c r="Z49" s="248" t="s">
        <v>375</v>
      </c>
      <c r="AA49" s="259">
        <f>1140+12</f>
        <v>1152</v>
      </c>
      <c r="AB49" s="45">
        <f t="shared" si="6"/>
        <v>0</v>
      </c>
      <c r="AC49" s="212"/>
      <c r="AD49" s="212" t="s">
        <v>114</v>
      </c>
      <c r="AE49" s="248" t="s">
        <v>258</v>
      </c>
      <c r="AF49" s="248" t="s">
        <v>115</v>
      </c>
      <c r="AG49" s="267">
        <f t="shared" si="87"/>
        <v>1152</v>
      </c>
      <c r="AH49" s="267">
        <f t="shared" si="81"/>
        <v>1152</v>
      </c>
      <c r="AI49" s="267"/>
      <c r="AJ49" s="267"/>
      <c r="AK49" s="267">
        <f t="shared" si="88"/>
        <v>1152</v>
      </c>
      <c r="AL49" s="267"/>
      <c r="AM49" s="267"/>
      <c r="AN49" s="267"/>
      <c r="AO49" s="267">
        <f t="shared" si="113"/>
        <v>1152</v>
      </c>
      <c r="AP49" s="267"/>
      <c r="AQ49" s="267"/>
      <c r="AR49" s="267"/>
      <c r="AS49" s="267"/>
      <c r="AT49" s="267"/>
      <c r="AU49" s="267"/>
      <c r="AV49" s="267">
        <f t="shared" si="117"/>
        <v>96</v>
      </c>
      <c r="AW49" s="267"/>
      <c r="AX49" s="267"/>
      <c r="AY49" s="267"/>
      <c r="AZ49" s="267"/>
      <c r="BA49" s="267"/>
      <c r="BB49" s="267"/>
      <c r="BC49" s="267"/>
      <c r="BD49" s="267"/>
      <c r="BE49" s="267"/>
      <c r="BF49" s="267"/>
      <c r="BG49" s="267"/>
      <c r="BH49" s="267"/>
      <c r="BI49" s="267"/>
      <c r="BJ49" s="269">
        <f t="shared" ref="BJ49:BR49" si="124">$I49*BJ$2</f>
        <v>141</v>
      </c>
      <c r="BK49" s="269">
        <f t="shared" si="124"/>
        <v>141</v>
      </c>
      <c r="BL49" s="269">
        <f t="shared" si="124"/>
        <v>141</v>
      </c>
      <c r="BM49" s="269">
        <f t="shared" si="124"/>
        <v>141</v>
      </c>
      <c r="BN49" s="269">
        <f t="shared" si="124"/>
        <v>141</v>
      </c>
      <c r="BO49" s="269">
        <f t="shared" si="124"/>
        <v>141</v>
      </c>
      <c r="BP49" s="269">
        <f t="shared" si="124"/>
        <v>141</v>
      </c>
      <c r="BQ49" s="269">
        <f t="shared" si="124"/>
        <v>141</v>
      </c>
      <c r="BR49" s="269">
        <f t="shared" si="124"/>
        <v>24</v>
      </c>
      <c r="BT49" s="60">
        <f t="shared" ref="BT49:CB49" si="125">BT48-BJ49</f>
        <v>98942.8880208333</v>
      </c>
      <c r="BU49" s="60">
        <f t="shared" si="125"/>
        <v>98942.8880208333</v>
      </c>
      <c r="BV49" s="60">
        <f t="shared" si="125"/>
        <v>98942.8880208333</v>
      </c>
      <c r="BW49" s="60">
        <f t="shared" si="125"/>
        <v>98942.8880208333</v>
      </c>
      <c r="BX49" s="60">
        <f t="shared" si="125"/>
        <v>98942.8880208333</v>
      </c>
      <c r="BY49" s="60">
        <f t="shared" si="125"/>
        <v>98942.8880208333</v>
      </c>
      <c r="BZ49" s="60">
        <f t="shared" si="125"/>
        <v>98942.8880208333</v>
      </c>
      <c r="CA49" s="60">
        <f t="shared" si="125"/>
        <v>98942.8880208333</v>
      </c>
      <c r="CB49" s="60">
        <f t="shared" si="125"/>
        <v>16792.8958333333</v>
      </c>
    </row>
    <row r="50" s="234" customFormat="1" ht="27" hidden="1" customHeight="1" spans="1:80">
      <c r="A50" s="236">
        <v>45744</v>
      </c>
      <c r="B50" s="237" t="s">
        <v>326</v>
      </c>
      <c r="C50" s="238" t="s">
        <v>117</v>
      </c>
      <c r="D50" s="239">
        <v>4500161751</v>
      </c>
      <c r="E50" s="238" t="s">
        <v>376</v>
      </c>
      <c r="F50" s="237" t="s">
        <v>377</v>
      </c>
      <c r="G50" s="240" t="s">
        <v>258</v>
      </c>
      <c r="H50" s="237" t="s">
        <v>259</v>
      </c>
      <c r="I50" s="247">
        <v>1152</v>
      </c>
      <c r="J50" s="247">
        <v>0</v>
      </c>
      <c r="K50" s="247">
        <v>1152</v>
      </c>
      <c r="L50" s="247">
        <f t="shared" si="24"/>
        <v>1</v>
      </c>
      <c r="M50" s="248">
        <v>45797</v>
      </c>
      <c r="N50" s="248">
        <v>45793</v>
      </c>
      <c r="O50" s="212" t="s">
        <v>370</v>
      </c>
      <c r="P50" s="212" t="s">
        <v>107</v>
      </c>
      <c r="Q50" s="212" t="s">
        <v>378</v>
      </c>
      <c r="R50" s="212" t="s">
        <v>331</v>
      </c>
      <c r="S50" s="212" t="s">
        <v>191</v>
      </c>
      <c r="T50" s="212" t="s">
        <v>332</v>
      </c>
      <c r="U50" s="212"/>
      <c r="V50" s="259" t="s">
        <v>333</v>
      </c>
      <c r="W50" s="248" t="s">
        <v>265</v>
      </c>
      <c r="X50" s="260">
        <v>903.2128</v>
      </c>
      <c r="Y50" s="247">
        <f t="shared" si="116"/>
        <v>903.2128</v>
      </c>
      <c r="Z50" s="248"/>
      <c r="AA50" s="259">
        <v>1152</v>
      </c>
      <c r="AB50" s="45">
        <f t="shared" si="6"/>
        <v>0</v>
      </c>
      <c r="AC50" s="212"/>
      <c r="AD50" s="212" t="s">
        <v>114</v>
      </c>
      <c r="AE50" s="248" t="s">
        <v>258</v>
      </c>
      <c r="AF50" s="248" t="s">
        <v>115</v>
      </c>
      <c r="AG50" s="267">
        <f t="shared" si="87"/>
        <v>1152</v>
      </c>
      <c r="AH50" s="267">
        <f t="shared" si="81"/>
        <v>1152</v>
      </c>
      <c r="AI50" s="267"/>
      <c r="AJ50" s="267"/>
      <c r="AK50" s="267">
        <f t="shared" si="88"/>
        <v>1152</v>
      </c>
      <c r="AL50" s="267"/>
      <c r="AM50" s="267"/>
      <c r="AN50" s="267"/>
      <c r="AO50" s="267">
        <f t="shared" si="113"/>
        <v>1152</v>
      </c>
      <c r="AP50" s="267"/>
      <c r="AQ50" s="267"/>
      <c r="AR50" s="267"/>
      <c r="AS50" s="267"/>
      <c r="AT50" s="267"/>
      <c r="AU50" s="267"/>
      <c r="AV50" s="267">
        <f t="shared" si="117"/>
        <v>96</v>
      </c>
      <c r="AW50" s="267"/>
      <c r="AX50" s="267"/>
      <c r="AY50" s="267"/>
      <c r="AZ50" s="267"/>
      <c r="BA50" s="267"/>
      <c r="BB50" s="267"/>
      <c r="BC50" s="267"/>
      <c r="BD50" s="267"/>
      <c r="BE50" s="267"/>
      <c r="BF50" s="267"/>
      <c r="BG50" s="267"/>
      <c r="BH50" s="267"/>
      <c r="BI50" s="267"/>
      <c r="BJ50" s="269">
        <f t="shared" ref="BJ50:BR50" si="126">$I50*BJ$2</f>
        <v>141</v>
      </c>
      <c r="BK50" s="269">
        <f t="shared" si="126"/>
        <v>141</v>
      </c>
      <c r="BL50" s="269">
        <f t="shared" si="126"/>
        <v>141</v>
      </c>
      <c r="BM50" s="269">
        <f t="shared" si="126"/>
        <v>141</v>
      </c>
      <c r="BN50" s="269">
        <f t="shared" si="126"/>
        <v>141</v>
      </c>
      <c r="BO50" s="269">
        <f t="shared" si="126"/>
        <v>141</v>
      </c>
      <c r="BP50" s="269">
        <f t="shared" si="126"/>
        <v>141</v>
      </c>
      <c r="BQ50" s="269">
        <f t="shared" si="126"/>
        <v>141</v>
      </c>
      <c r="BR50" s="269">
        <f t="shared" si="126"/>
        <v>24</v>
      </c>
      <c r="BT50" s="60">
        <f t="shared" ref="BT50:CB50" si="127">BT49-BJ50</f>
        <v>98801.8880208333</v>
      </c>
      <c r="BU50" s="60">
        <f t="shared" si="127"/>
        <v>98801.8880208333</v>
      </c>
      <c r="BV50" s="60">
        <f t="shared" si="127"/>
        <v>98801.8880208333</v>
      </c>
      <c r="BW50" s="60">
        <f t="shared" si="127"/>
        <v>98801.8880208333</v>
      </c>
      <c r="BX50" s="60">
        <f t="shared" si="127"/>
        <v>98801.8880208333</v>
      </c>
      <c r="BY50" s="60">
        <f t="shared" si="127"/>
        <v>98801.8880208333</v>
      </c>
      <c r="BZ50" s="60">
        <f t="shared" si="127"/>
        <v>98801.8880208333</v>
      </c>
      <c r="CA50" s="60">
        <f t="shared" si="127"/>
        <v>98801.8880208333</v>
      </c>
      <c r="CB50" s="60">
        <f t="shared" si="127"/>
        <v>16768.8958333333</v>
      </c>
    </row>
    <row r="51" s="234" customFormat="1" ht="27" hidden="1" customHeight="1" spans="1:80">
      <c r="A51" s="236">
        <v>45744</v>
      </c>
      <c r="B51" s="237" t="s">
        <v>326</v>
      </c>
      <c r="C51" s="238" t="s">
        <v>117</v>
      </c>
      <c r="D51" s="239">
        <v>4500161751</v>
      </c>
      <c r="E51" s="238" t="s">
        <v>379</v>
      </c>
      <c r="F51" s="237" t="s">
        <v>380</v>
      </c>
      <c r="G51" s="240" t="s">
        <v>258</v>
      </c>
      <c r="H51" s="237" t="s">
        <v>259</v>
      </c>
      <c r="I51" s="247">
        <v>1152</v>
      </c>
      <c r="J51" s="247">
        <v>0</v>
      </c>
      <c r="K51" s="247">
        <v>1152</v>
      </c>
      <c r="L51" s="247">
        <f t="shared" si="24"/>
        <v>1</v>
      </c>
      <c r="M51" s="248">
        <v>45797</v>
      </c>
      <c r="N51" s="248">
        <v>45793</v>
      </c>
      <c r="O51" s="212" t="s">
        <v>370</v>
      </c>
      <c r="P51" s="212" t="s">
        <v>107</v>
      </c>
      <c r="Q51" s="212" t="s">
        <v>371</v>
      </c>
      <c r="R51" s="212" t="s">
        <v>331</v>
      </c>
      <c r="S51" s="212" t="s">
        <v>191</v>
      </c>
      <c r="T51" s="212" t="s">
        <v>332</v>
      </c>
      <c r="U51" s="212"/>
      <c r="V51" s="259" t="s">
        <v>333</v>
      </c>
      <c r="W51" s="248" t="s">
        <v>265</v>
      </c>
      <c r="X51" s="260">
        <v>903.2128</v>
      </c>
      <c r="Y51" s="247">
        <f t="shared" si="116"/>
        <v>903.2128</v>
      </c>
      <c r="Z51" s="248"/>
      <c r="AA51" s="259">
        <f>1128+24</f>
        <v>1152</v>
      </c>
      <c r="AB51" s="45">
        <f t="shared" si="6"/>
        <v>0</v>
      </c>
      <c r="AC51" s="212"/>
      <c r="AD51" s="212" t="s">
        <v>114</v>
      </c>
      <c r="AE51" s="248" t="s">
        <v>258</v>
      </c>
      <c r="AF51" s="248" t="s">
        <v>115</v>
      </c>
      <c r="AG51" s="267">
        <f t="shared" si="87"/>
        <v>1152</v>
      </c>
      <c r="AH51" s="267">
        <f t="shared" si="81"/>
        <v>1152</v>
      </c>
      <c r="AI51" s="267"/>
      <c r="AJ51" s="267"/>
      <c r="AK51" s="267">
        <f t="shared" si="88"/>
        <v>1152</v>
      </c>
      <c r="AL51" s="267"/>
      <c r="AM51" s="267"/>
      <c r="AN51" s="267"/>
      <c r="AO51" s="267">
        <f t="shared" si="113"/>
        <v>1152</v>
      </c>
      <c r="AP51" s="267"/>
      <c r="AQ51" s="267"/>
      <c r="AR51" s="267"/>
      <c r="AS51" s="267"/>
      <c r="AT51" s="267"/>
      <c r="AU51" s="267"/>
      <c r="AV51" s="267">
        <f t="shared" si="117"/>
        <v>96</v>
      </c>
      <c r="AW51" s="267"/>
      <c r="AX51" s="267"/>
      <c r="AY51" s="267"/>
      <c r="AZ51" s="267"/>
      <c r="BA51" s="267"/>
      <c r="BB51" s="267"/>
      <c r="BC51" s="267"/>
      <c r="BD51" s="267"/>
      <c r="BE51" s="267"/>
      <c r="BF51" s="267"/>
      <c r="BG51" s="267"/>
      <c r="BH51" s="267"/>
      <c r="BI51" s="267"/>
      <c r="BJ51" s="269">
        <f t="shared" ref="BJ51:BR51" si="128">$I51*BJ$2</f>
        <v>141</v>
      </c>
      <c r="BK51" s="269">
        <f t="shared" si="128"/>
        <v>141</v>
      </c>
      <c r="BL51" s="269">
        <f t="shared" si="128"/>
        <v>141</v>
      </c>
      <c r="BM51" s="269">
        <f t="shared" si="128"/>
        <v>141</v>
      </c>
      <c r="BN51" s="269">
        <f t="shared" si="128"/>
        <v>141</v>
      </c>
      <c r="BO51" s="269">
        <f t="shared" si="128"/>
        <v>141</v>
      </c>
      <c r="BP51" s="269">
        <f t="shared" si="128"/>
        <v>141</v>
      </c>
      <c r="BQ51" s="269">
        <f t="shared" si="128"/>
        <v>141</v>
      </c>
      <c r="BR51" s="269">
        <f t="shared" si="128"/>
        <v>24</v>
      </c>
      <c r="BT51" s="60">
        <f t="shared" ref="BT51:CB51" si="129">BT50-BJ51</f>
        <v>98660.8880208333</v>
      </c>
      <c r="BU51" s="60">
        <f t="shared" si="129"/>
        <v>98660.8880208333</v>
      </c>
      <c r="BV51" s="60">
        <f t="shared" si="129"/>
        <v>98660.8880208333</v>
      </c>
      <c r="BW51" s="60">
        <f t="shared" si="129"/>
        <v>98660.8880208333</v>
      </c>
      <c r="BX51" s="60">
        <f t="shared" si="129"/>
        <v>98660.8880208333</v>
      </c>
      <c r="BY51" s="60">
        <f t="shared" si="129"/>
        <v>98660.8880208333</v>
      </c>
      <c r="BZ51" s="60">
        <f t="shared" si="129"/>
        <v>98660.8880208333</v>
      </c>
      <c r="CA51" s="60">
        <f t="shared" si="129"/>
        <v>98660.8880208333</v>
      </c>
      <c r="CB51" s="60">
        <f t="shared" si="129"/>
        <v>16744.8958333333</v>
      </c>
    </row>
    <row r="52" s="234" customFormat="1" ht="27" hidden="1" customHeight="1" spans="1:80">
      <c r="A52" s="236">
        <v>45744</v>
      </c>
      <c r="B52" s="237" t="s">
        <v>326</v>
      </c>
      <c r="C52" s="238" t="s">
        <v>117</v>
      </c>
      <c r="D52" s="239">
        <v>4500161751</v>
      </c>
      <c r="E52" s="238" t="s">
        <v>381</v>
      </c>
      <c r="F52" s="237" t="s">
        <v>382</v>
      </c>
      <c r="G52" s="240" t="s">
        <v>258</v>
      </c>
      <c r="H52" s="237" t="s">
        <v>259</v>
      </c>
      <c r="I52" s="247">
        <v>1152</v>
      </c>
      <c r="J52" s="247">
        <v>0</v>
      </c>
      <c r="K52" s="247">
        <v>1152</v>
      </c>
      <c r="L52" s="247">
        <f t="shared" si="24"/>
        <v>1</v>
      </c>
      <c r="M52" s="248">
        <v>45797</v>
      </c>
      <c r="N52" s="248">
        <v>45793</v>
      </c>
      <c r="O52" s="212" t="s">
        <v>370</v>
      </c>
      <c r="P52" s="212" t="s">
        <v>107</v>
      </c>
      <c r="Q52" s="212" t="s">
        <v>371</v>
      </c>
      <c r="R52" s="212" t="s">
        <v>331</v>
      </c>
      <c r="S52" s="212" t="s">
        <v>191</v>
      </c>
      <c r="T52" s="212" t="s">
        <v>332</v>
      </c>
      <c r="U52" s="212"/>
      <c r="V52" s="259" t="s">
        <v>333</v>
      </c>
      <c r="W52" s="248" t="s">
        <v>265</v>
      </c>
      <c r="X52" s="260">
        <v>903.2128</v>
      </c>
      <c r="Y52" s="247">
        <f t="shared" si="116"/>
        <v>903.2128</v>
      </c>
      <c r="Z52" s="248"/>
      <c r="AA52" s="259">
        <v>1152</v>
      </c>
      <c r="AB52" s="45">
        <f t="shared" si="6"/>
        <v>0</v>
      </c>
      <c r="AC52" s="212"/>
      <c r="AD52" s="212" t="s">
        <v>114</v>
      </c>
      <c r="AE52" s="248" t="s">
        <v>258</v>
      </c>
      <c r="AF52" s="248" t="s">
        <v>115</v>
      </c>
      <c r="AG52" s="267">
        <f t="shared" si="87"/>
        <v>1152</v>
      </c>
      <c r="AH52" s="267">
        <f t="shared" si="81"/>
        <v>1152</v>
      </c>
      <c r="AI52" s="267"/>
      <c r="AJ52" s="267"/>
      <c r="AK52" s="267">
        <f t="shared" si="88"/>
        <v>1152</v>
      </c>
      <c r="AL52" s="267"/>
      <c r="AM52" s="267"/>
      <c r="AN52" s="267"/>
      <c r="AO52" s="267">
        <f t="shared" si="113"/>
        <v>1152</v>
      </c>
      <c r="AP52" s="267"/>
      <c r="AQ52" s="267"/>
      <c r="AR52" s="267"/>
      <c r="AS52" s="267"/>
      <c r="AT52" s="267"/>
      <c r="AU52" s="267"/>
      <c r="AV52" s="267">
        <f t="shared" si="117"/>
        <v>96</v>
      </c>
      <c r="AW52" s="267"/>
      <c r="AX52" s="267"/>
      <c r="AY52" s="267"/>
      <c r="AZ52" s="267"/>
      <c r="BA52" s="267"/>
      <c r="BB52" s="267"/>
      <c r="BC52" s="267"/>
      <c r="BD52" s="267"/>
      <c r="BE52" s="267"/>
      <c r="BF52" s="267"/>
      <c r="BG52" s="267"/>
      <c r="BH52" s="267"/>
      <c r="BI52" s="267"/>
      <c r="BJ52" s="269">
        <f t="shared" ref="BJ52:BR52" si="130">$I52*BJ$2</f>
        <v>141</v>
      </c>
      <c r="BK52" s="269">
        <f t="shared" si="130"/>
        <v>141</v>
      </c>
      <c r="BL52" s="269">
        <f t="shared" si="130"/>
        <v>141</v>
      </c>
      <c r="BM52" s="269">
        <f t="shared" si="130"/>
        <v>141</v>
      </c>
      <c r="BN52" s="269">
        <f t="shared" si="130"/>
        <v>141</v>
      </c>
      <c r="BO52" s="269">
        <f t="shared" si="130"/>
        <v>141</v>
      </c>
      <c r="BP52" s="269">
        <f t="shared" si="130"/>
        <v>141</v>
      </c>
      <c r="BQ52" s="269">
        <f t="shared" si="130"/>
        <v>141</v>
      </c>
      <c r="BR52" s="269">
        <f t="shared" si="130"/>
        <v>24</v>
      </c>
      <c r="BT52" s="60">
        <f t="shared" ref="BT52:CB52" si="131">BT51-BJ52</f>
        <v>98519.8880208333</v>
      </c>
      <c r="BU52" s="60">
        <f t="shared" si="131"/>
        <v>98519.8880208333</v>
      </c>
      <c r="BV52" s="60">
        <f t="shared" si="131"/>
        <v>98519.8880208333</v>
      </c>
      <c r="BW52" s="60">
        <f t="shared" si="131"/>
        <v>98519.8880208333</v>
      </c>
      <c r="BX52" s="60">
        <f t="shared" si="131"/>
        <v>98519.8880208333</v>
      </c>
      <c r="BY52" s="60">
        <f t="shared" si="131"/>
        <v>98519.8880208333</v>
      </c>
      <c r="BZ52" s="60">
        <f t="shared" si="131"/>
        <v>98519.8880208333</v>
      </c>
      <c r="CA52" s="60">
        <f t="shared" si="131"/>
        <v>98519.8880208333</v>
      </c>
      <c r="CB52" s="60">
        <f t="shared" si="131"/>
        <v>16720.8958333333</v>
      </c>
    </row>
    <row r="53" s="234" customFormat="1" ht="27" customHeight="1" spans="1:80">
      <c r="A53" s="236">
        <v>45749</v>
      </c>
      <c r="B53" s="237" t="s">
        <v>326</v>
      </c>
      <c r="C53" s="238" t="s">
        <v>117</v>
      </c>
      <c r="D53" s="239">
        <v>4500162370</v>
      </c>
      <c r="E53" s="238" t="s">
        <v>383</v>
      </c>
      <c r="F53" s="237" t="s">
        <v>384</v>
      </c>
      <c r="G53" s="240" t="s">
        <v>345</v>
      </c>
      <c r="H53" s="237" t="s">
        <v>346</v>
      </c>
      <c r="I53" s="247">
        <v>9108</v>
      </c>
      <c r="J53" s="247">
        <v>0</v>
      </c>
      <c r="K53" s="247">
        <v>12</v>
      </c>
      <c r="L53" s="247">
        <f t="shared" si="24"/>
        <v>759</v>
      </c>
      <c r="M53" s="248">
        <v>45797</v>
      </c>
      <c r="N53" s="248">
        <v>45793</v>
      </c>
      <c r="O53" s="212" t="s">
        <v>370</v>
      </c>
      <c r="P53" s="212" t="s">
        <v>107</v>
      </c>
      <c r="Q53" s="212" t="s">
        <v>360</v>
      </c>
      <c r="R53" s="212">
        <v>45749</v>
      </c>
      <c r="S53" s="212" t="s">
        <v>191</v>
      </c>
      <c r="T53" s="212" t="s">
        <v>332</v>
      </c>
      <c r="U53" s="212"/>
      <c r="V53" s="259" t="s">
        <v>385</v>
      </c>
      <c r="W53" s="248" t="s">
        <v>265</v>
      </c>
      <c r="X53" s="260">
        <v>0.945</v>
      </c>
      <c r="Y53" s="247">
        <f t="shared" ref="Y53:Y59" si="132">X53*I53</f>
        <v>8607.06</v>
      </c>
      <c r="Z53" s="248"/>
      <c r="AA53" s="259">
        <f>8928+180</f>
        <v>9108</v>
      </c>
      <c r="AB53" s="45">
        <f t="shared" si="6"/>
        <v>0</v>
      </c>
      <c r="AC53" s="212"/>
      <c r="AD53" s="212" t="s">
        <v>114</v>
      </c>
      <c r="AE53" s="248" t="s">
        <v>345</v>
      </c>
      <c r="AF53" s="248" t="s">
        <v>115</v>
      </c>
      <c r="AG53" s="267">
        <f t="shared" si="87"/>
        <v>9108</v>
      </c>
      <c r="AH53" s="267">
        <f t="shared" si="81"/>
        <v>9108</v>
      </c>
      <c r="AI53" s="267"/>
      <c r="AJ53" s="267"/>
      <c r="AK53" s="267">
        <f t="shared" si="88"/>
        <v>9108</v>
      </c>
      <c r="AL53" s="267"/>
      <c r="AM53" s="267"/>
      <c r="AN53" s="267"/>
      <c r="AO53" s="267">
        <f t="shared" si="113"/>
        <v>9108</v>
      </c>
      <c r="AP53" s="267"/>
      <c r="AQ53" s="267"/>
      <c r="AR53" s="267"/>
      <c r="AS53" s="267"/>
      <c r="AT53" s="267"/>
      <c r="AU53" s="267"/>
      <c r="AV53" s="267">
        <f t="shared" si="117"/>
        <v>759</v>
      </c>
      <c r="AW53" s="267"/>
      <c r="AX53" s="267"/>
      <c r="AY53" s="267"/>
      <c r="AZ53" s="267"/>
      <c r="BA53" s="267"/>
      <c r="BB53" s="267"/>
      <c r="BC53" s="267"/>
      <c r="BD53" s="267"/>
      <c r="BE53" s="267"/>
      <c r="BF53" s="267"/>
      <c r="BG53" s="267"/>
      <c r="BH53" s="267"/>
      <c r="BI53" s="267"/>
      <c r="BJ53" s="269">
        <f t="shared" ref="BJ53:BR53" si="133">$I53*BJ$2</f>
        <v>1114.78125</v>
      </c>
      <c r="BK53" s="269">
        <f t="shared" si="133"/>
        <v>1114.78125</v>
      </c>
      <c r="BL53" s="269">
        <f t="shared" si="133"/>
        <v>1114.78125</v>
      </c>
      <c r="BM53" s="269">
        <f t="shared" si="133"/>
        <v>1114.78125</v>
      </c>
      <c r="BN53" s="269">
        <f t="shared" si="133"/>
        <v>1114.78125</v>
      </c>
      <c r="BO53" s="269">
        <f t="shared" si="133"/>
        <v>1114.78125</v>
      </c>
      <c r="BP53" s="269">
        <f t="shared" si="133"/>
        <v>1114.78125</v>
      </c>
      <c r="BQ53" s="269">
        <f t="shared" si="133"/>
        <v>1114.78125</v>
      </c>
      <c r="BR53" s="269">
        <f t="shared" si="133"/>
        <v>189.75</v>
      </c>
      <c r="BT53" s="60">
        <f t="shared" ref="BT53:CB53" si="134">BT52-BJ53</f>
        <v>97405.1067708333</v>
      </c>
      <c r="BU53" s="60">
        <f t="shared" si="134"/>
        <v>97405.1067708333</v>
      </c>
      <c r="BV53" s="60">
        <f t="shared" si="134"/>
        <v>97405.1067708333</v>
      </c>
      <c r="BW53" s="60">
        <f t="shared" si="134"/>
        <v>97405.1067708333</v>
      </c>
      <c r="BX53" s="60">
        <f t="shared" si="134"/>
        <v>97405.1067708333</v>
      </c>
      <c r="BY53" s="60">
        <f t="shared" si="134"/>
        <v>97405.1067708333</v>
      </c>
      <c r="BZ53" s="60">
        <f t="shared" si="134"/>
        <v>97405.1067708333</v>
      </c>
      <c r="CA53" s="60">
        <f t="shared" si="134"/>
        <v>97405.1067708333</v>
      </c>
      <c r="CB53" s="60">
        <f t="shared" si="134"/>
        <v>16531.1458333333</v>
      </c>
    </row>
    <row r="54" s="234" customFormat="1" ht="27" customHeight="1" spans="1:80">
      <c r="A54" s="236">
        <v>45749</v>
      </c>
      <c r="B54" s="237" t="s">
        <v>326</v>
      </c>
      <c r="C54" s="238" t="s">
        <v>117</v>
      </c>
      <c r="D54" s="239">
        <v>4500162370</v>
      </c>
      <c r="E54" s="238" t="s">
        <v>386</v>
      </c>
      <c r="F54" s="237" t="s">
        <v>387</v>
      </c>
      <c r="G54" s="240" t="s">
        <v>345</v>
      </c>
      <c r="H54" s="237" t="s">
        <v>346</v>
      </c>
      <c r="I54" s="247">
        <v>7860</v>
      </c>
      <c r="J54" s="247">
        <v>0</v>
      </c>
      <c r="K54" s="247">
        <v>12</v>
      </c>
      <c r="L54" s="247">
        <f t="shared" si="24"/>
        <v>655</v>
      </c>
      <c r="M54" s="248">
        <v>45797</v>
      </c>
      <c r="N54" s="248">
        <v>45793</v>
      </c>
      <c r="O54" s="212" t="s">
        <v>370</v>
      </c>
      <c r="P54" s="212" t="s">
        <v>107</v>
      </c>
      <c r="Q54" s="212" t="s">
        <v>360</v>
      </c>
      <c r="R54" s="212">
        <v>45749</v>
      </c>
      <c r="S54" s="212" t="s">
        <v>191</v>
      </c>
      <c r="T54" s="212" t="s">
        <v>332</v>
      </c>
      <c r="U54" s="212"/>
      <c r="V54" s="259" t="s">
        <v>385</v>
      </c>
      <c r="W54" s="248" t="s">
        <v>265</v>
      </c>
      <c r="X54" s="260">
        <v>0.945</v>
      </c>
      <c r="Y54" s="247">
        <f t="shared" si="132"/>
        <v>7427.7</v>
      </c>
      <c r="Z54" s="248"/>
      <c r="AA54" s="259">
        <f>7752+108</f>
        <v>7860</v>
      </c>
      <c r="AB54" s="45">
        <f t="shared" si="6"/>
        <v>0</v>
      </c>
      <c r="AC54" s="212"/>
      <c r="AD54" s="212" t="s">
        <v>114</v>
      </c>
      <c r="AE54" s="248" t="s">
        <v>345</v>
      </c>
      <c r="AF54" s="248" t="s">
        <v>115</v>
      </c>
      <c r="AG54" s="267">
        <f t="shared" si="87"/>
        <v>7860</v>
      </c>
      <c r="AH54" s="267">
        <f t="shared" si="81"/>
        <v>7860</v>
      </c>
      <c r="AI54" s="267"/>
      <c r="AJ54" s="267"/>
      <c r="AK54" s="267">
        <f t="shared" si="88"/>
        <v>7860</v>
      </c>
      <c r="AL54" s="267"/>
      <c r="AM54" s="267"/>
      <c r="AN54" s="267"/>
      <c r="AO54" s="267">
        <f t="shared" si="113"/>
        <v>7860</v>
      </c>
      <c r="AP54" s="267"/>
      <c r="AQ54" s="267"/>
      <c r="AR54" s="267"/>
      <c r="AS54" s="267"/>
      <c r="AT54" s="267"/>
      <c r="AU54" s="267"/>
      <c r="AV54" s="267">
        <f t="shared" si="117"/>
        <v>655</v>
      </c>
      <c r="AW54" s="267"/>
      <c r="AX54" s="267"/>
      <c r="AY54" s="267"/>
      <c r="AZ54" s="267"/>
      <c r="BA54" s="267"/>
      <c r="BB54" s="267"/>
      <c r="BC54" s="267"/>
      <c r="BD54" s="267"/>
      <c r="BE54" s="267"/>
      <c r="BF54" s="267"/>
      <c r="BG54" s="267"/>
      <c r="BH54" s="267"/>
      <c r="BI54" s="267"/>
      <c r="BJ54" s="269">
        <f t="shared" ref="BJ54:BR54" si="135">$I54*BJ$2</f>
        <v>962.031249999997</v>
      </c>
      <c r="BK54" s="269">
        <f t="shared" si="135"/>
        <v>962.031249999997</v>
      </c>
      <c r="BL54" s="269">
        <f t="shared" si="135"/>
        <v>962.031249999997</v>
      </c>
      <c r="BM54" s="269">
        <f t="shared" si="135"/>
        <v>962.031249999997</v>
      </c>
      <c r="BN54" s="269">
        <f t="shared" si="135"/>
        <v>962.031249999997</v>
      </c>
      <c r="BO54" s="269">
        <f t="shared" si="135"/>
        <v>962.031249999997</v>
      </c>
      <c r="BP54" s="269">
        <f t="shared" si="135"/>
        <v>962.031249999997</v>
      </c>
      <c r="BQ54" s="269">
        <f t="shared" si="135"/>
        <v>962.031249999997</v>
      </c>
      <c r="BR54" s="269">
        <f t="shared" si="135"/>
        <v>163.75</v>
      </c>
      <c r="BT54" s="60">
        <f t="shared" ref="BT54:CB54" si="136">BT53-BJ54</f>
        <v>96443.0755208333</v>
      </c>
      <c r="BU54" s="60">
        <f t="shared" si="136"/>
        <v>96443.0755208333</v>
      </c>
      <c r="BV54" s="60">
        <f t="shared" si="136"/>
        <v>96443.0755208333</v>
      </c>
      <c r="BW54" s="60">
        <f t="shared" si="136"/>
        <v>96443.0755208333</v>
      </c>
      <c r="BX54" s="60">
        <f t="shared" si="136"/>
        <v>96443.0755208333</v>
      </c>
      <c r="BY54" s="60">
        <f t="shared" si="136"/>
        <v>96443.0755208333</v>
      </c>
      <c r="BZ54" s="60">
        <f t="shared" si="136"/>
        <v>96443.0755208333</v>
      </c>
      <c r="CA54" s="60">
        <f t="shared" si="136"/>
        <v>96443.0755208333</v>
      </c>
      <c r="CB54" s="60">
        <f t="shared" si="136"/>
        <v>16367.3958333333</v>
      </c>
    </row>
    <row r="55" s="234" customFormat="1" ht="27" hidden="1" customHeight="1" spans="1:80">
      <c r="A55" s="236">
        <v>45758</v>
      </c>
      <c r="B55" s="237" t="s">
        <v>388</v>
      </c>
      <c r="C55" s="238" t="s">
        <v>389</v>
      </c>
      <c r="D55" s="239">
        <v>4500163438</v>
      </c>
      <c r="E55" s="238">
        <v>3501527805</v>
      </c>
      <c r="F55" s="237" t="s">
        <v>390</v>
      </c>
      <c r="G55" s="240" t="s">
        <v>152</v>
      </c>
      <c r="H55" s="237" t="s">
        <v>153</v>
      </c>
      <c r="I55" s="247">
        <v>1716</v>
      </c>
      <c r="J55" s="247">
        <v>0</v>
      </c>
      <c r="K55" s="247">
        <v>13</v>
      </c>
      <c r="L55" s="247">
        <f t="shared" si="24"/>
        <v>132</v>
      </c>
      <c r="M55" s="248">
        <v>45796</v>
      </c>
      <c r="N55" s="248">
        <v>45793</v>
      </c>
      <c r="O55" s="212" t="s">
        <v>391</v>
      </c>
      <c r="P55" s="212" t="s">
        <v>224</v>
      </c>
      <c r="Q55" s="212" t="s">
        <v>392</v>
      </c>
      <c r="R55" s="212">
        <v>45764</v>
      </c>
      <c r="S55" s="212" t="s">
        <v>80</v>
      </c>
      <c r="T55" s="212" t="s">
        <v>393</v>
      </c>
      <c r="U55" s="212"/>
      <c r="V55" s="259" t="s">
        <v>394</v>
      </c>
      <c r="W55" s="248" t="s">
        <v>395</v>
      </c>
      <c r="X55" s="260">
        <v>0.7931</v>
      </c>
      <c r="Y55" s="247">
        <f t="shared" si="132"/>
        <v>1360.9596</v>
      </c>
      <c r="Z55" s="248"/>
      <c r="AA55" s="259">
        <f>1547+169</f>
        <v>1716</v>
      </c>
      <c r="AB55" s="259">
        <f t="shared" si="6"/>
        <v>0</v>
      </c>
      <c r="AC55" s="212" t="s">
        <v>113</v>
      </c>
      <c r="AD55" s="212" t="s">
        <v>114</v>
      </c>
      <c r="AE55" s="248" t="s">
        <v>319</v>
      </c>
      <c r="AF55" s="248" t="s">
        <v>115</v>
      </c>
      <c r="AG55" s="267">
        <f t="shared" si="87"/>
        <v>1716</v>
      </c>
      <c r="AH55" s="267"/>
      <c r="AI55" s="267">
        <f>I55</f>
        <v>1716</v>
      </c>
      <c r="AJ55" s="267"/>
      <c r="AK55" s="267"/>
      <c r="AL55" s="267">
        <f t="shared" ref="AL55:AL58" si="137">I55</f>
        <v>1716</v>
      </c>
      <c r="AM55" s="267"/>
      <c r="AN55" s="267"/>
      <c r="AO55" s="267">
        <f t="shared" si="113"/>
        <v>1716</v>
      </c>
      <c r="AP55" s="267"/>
      <c r="AQ55" s="267"/>
      <c r="AR55" s="267"/>
      <c r="AS55" s="267"/>
      <c r="AT55" s="267"/>
      <c r="AU55" s="267">
        <f>I55/13</f>
        <v>132</v>
      </c>
      <c r="AV55" s="267"/>
      <c r="AW55" s="267"/>
      <c r="AX55" s="267"/>
      <c r="AY55" s="267"/>
      <c r="AZ55" s="267"/>
      <c r="BA55" s="267"/>
      <c r="BB55" s="267"/>
      <c r="BC55" s="267"/>
      <c r="BD55" s="267"/>
      <c r="BE55" s="267"/>
      <c r="BF55" s="267"/>
      <c r="BG55" s="267"/>
      <c r="BH55" s="267"/>
      <c r="BI55" s="267"/>
      <c r="BJ55" s="269">
        <f t="shared" ref="BJ55:BR55" si="138">$I55*BJ$2</f>
        <v>210.031249999999</v>
      </c>
      <c r="BK55" s="269">
        <f t="shared" si="138"/>
        <v>210.031249999999</v>
      </c>
      <c r="BL55" s="269">
        <f t="shared" si="138"/>
        <v>210.031249999999</v>
      </c>
      <c r="BM55" s="269">
        <f t="shared" si="138"/>
        <v>210.031249999999</v>
      </c>
      <c r="BN55" s="269">
        <f t="shared" si="138"/>
        <v>210.031249999999</v>
      </c>
      <c r="BO55" s="269">
        <f t="shared" si="138"/>
        <v>210.031249999999</v>
      </c>
      <c r="BP55" s="269">
        <f t="shared" si="138"/>
        <v>210.031249999999</v>
      </c>
      <c r="BQ55" s="269">
        <f t="shared" si="138"/>
        <v>210.031249999999</v>
      </c>
      <c r="BR55" s="269">
        <f t="shared" si="138"/>
        <v>35.7499999999999</v>
      </c>
      <c r="BT55" s="60">
        <f t="shared" ref="BT55:CB55" si="139">BT54-BJ55</f>
        <v>96233.0442708333</v>
      </c>
      <c r="BU55" s="60">
        <f t="shared" si="139"/>
        <v>96233.0442708333</v>
      </c>
      <c r="BV55" s="60">
        <f t="shared" si="139"/>
        <v>96233.0442708333</v>
      </c>
      <c r="BW55" s="60">
        <f t="shared" si="139"/>
        <v>96233.0442708333</v>
      </c>
      <c r="BX55" s="60">
        <f t="shared" si="139"/>
        <v>96233.0442708333</v>
      </c>
      <c r="BY55" s="60">
        <f t="shared" si="139"/>
        <v>96233.0442708333</v>
      </c>
      <c r="BZ55" s="60">
        <f t="shared" si="139"/>
        <v>96233.0442708333</v>
      </c>
      <c r="CA55" s="60">
        <f t="shared" si="139"/>
        <v>96233.0442708333</v>
      </c>
      <c r="CB55" s="60">
        <f t="shared" si="139"/>
        <v>16331.6458333333</v>
      </c>
    </row>
    <row r="56" s="234" customFormat="1" ht="27" hidden="1" customHeight="1" spans="1:87">
      <c r="A56" s="236">
        <v>45720</v>
      </c>
      <c r="B56" s="237" t="s">
        <v>196</v>
      </c>
      <c r="C56" s="238" t="s">
        <v>396</v>
      </c>
      <c r="D56" s="239">
        <v>4500158581</v>
      </c>
      <c r="E56" s="238" t="s">
        <v>397</v>
      </c>
      <c r="F56" s="237" t="s">
        <v>398</v>
      </c>
      <c r="G56" s="240" t="s">
        <v>188</v>
      </c>
      <c r="H56" s="237" t="s">
        <v>120</v>
      </c>
      <c r="I56" s="247">
        <v>600</v>
      </c>
      <c r="J56" s="247">
        <v>0</v>
      </c>
      <c r="K56" s="247">
        <v>12</v>
      </c>
      <c r="L56" s="247">
        <f t="shared" si="24"/>
        <v>50</v>
      </c>
      <c r="M56" s="248">
        <v>45799</v>
      </c>
      <c r="N56" s="248">
        <v>45793</v>
      </c>
      <c r="O56" s="212"/>
      <c r="P56" s="212" t="s">
        <v>224</v>
      </c>
      <c r="Q56" s="212" t="s">
        <v>360</v>
      </c>
      <c r="R56" s="212" t="s">
        <v>190</v>
      </c>
      <c r="S56" s="212" t="s">
        <v>191</v>
      </c>
      <c r="T56" s="212" t="s">
        <v>399</v>
      </c>
      <c r="U56" s="212"/>
      <c r="V56" s="259" t="s">
        <v>400</v>
      </c>
      <c r="W56" s="248" t="s">
        <v>194</v>
      </c>
      <c r="X56" s="260">
        <v>1.8626</v>
      </c>
      <c r="Y56" s="247">
        <f t="shared" si="132"/>
        <v>1117.56</v>
      </c>
      <c r="Z56" s="248"/>
      <c r="AA56" s="259">
        <v>600</v>
      </c>
      <c r="AB56" s="259">
        <f t="shared" si="6"/>
        <v>0</v>
      </c>
      <c r="AC56" s="212" t="s">
        <v>113</v>
      </c>
      <c r="AD56" s="212" t="s">
        <v>114</v>
      </c>
      <c r="AE56" s="248" t="s">
        <v>188</v>
      </c>
      <c r="AF56" s="248" t="s">
        <v>115</v>
      </c>
      <c r="AG56" s="267">
        <f>I56*2</f>
        <v>1200</v>
      </c>
      <c r="AH56" s="267">
        <f>I56*2</f>
        <v>1200</v>
      </c>
      <c r="AI56" s="267"/>
      <c r="AJ56" s="267"/>
      <c r="AK56" s="267"/>
      <c r="AL56" s="267">
        <f>I56*2</f>
        <v>1200</v>
      </c>
      <c r="AM56" s="267"/>
      <c r="AN56" s="267"/>
      <c r="AO56" s="267">
        <f>I56*2</f>
        <v>1200</v>
      </c>
      <c r="AP56" s="267"/>
      <c r="AQ56" s="267"/>
      <c r="AR56" s="267"/>
      <c r="AS56" s="267"/>
      <c r="AT56" s="267"/>
      <c r="AU56" s="267"/>
      <c r="AV56" s="267"/>
      <c r="AW56" s="267"/>
      <c r="AX56" s="267"/>
      <c r="AY56" s="267"/>
      <c r="AZ56" s="267"/>
      <c r="BA56" s="267"/>
      <c r="BB56" s="267"/>
      <c r="BC56" s="267"/>
      <c r="BD56" s="267"/>
      <c r="BE56" s="267"/>
      <c r="BF56" s="267">
        <f>I56</f>
        <v>600</v>
      </c>
      <c r="BG56" s="267">
        <f>I56</f>
        <v>600</v>
      </c>
      <c r="BH56" s="267"/>
      <c r="BI56" s="267"/>
      <c r="BJ56" s="269">
        <f t="shared" ref="BJ56:BR56" si="140">$I56*BJ$2*2</f>
        <v>146.875</v>
      </c>
      <c r="BK56" s="269">
        <f t="shared" si="140"/>
        <v>146.875</v>
      </c>
      <c r="BL56" s="269">
        <f t="shared" si="140"/>
        <v>146.875</v>
      </c>
      <c r="BM56" s="269">
        <f t="shared" si="140"/>
        <v>146.875</v>
      </c>
      <c r="BN56" s="269">
        <f t="shared" si="140"/>
        <v>146.875</v>
      </c>
      <c r="BO56" s="269">
        <f t="shared" si="140"/>
        <v>146.875</v>
      </c>
      <c r="BP56" s="269">
        <f t="shared" si="140"/>
        <v>146.875</v>
      </c>
      <c r="BQ56" s="269">
        <f t="shared" si="140"/>
        <v>146.875</v>
      </c>
      <c r="BR56" s="269">
        <f t="shared" si="140"/>
        <v>25</v>
      </c>
      <c r="BT56" s="60">
        <f t="shared" ref="BT56:CB56" si="141">BT55-BJ56</f>
        <v>96086.1692708333</v>
      </c>
      <c r="BU56" s="60">
        <f t="shared" si="141"/>
        <v>96086.1692708333</v>
      </c>
      <c r="BV56" s="60">
        <f t="shared" si="141"/>
        <v>96086.1692708333</v>
      </c>
      <c r="BW56" s="60">
        <f t="shared" si="141"/>
        <v>96086.1692708333</v>
      </c>
      <c r="BX56" s="60">
        <f t="shared" si="141"/>
        <v>96086.1692708333</v>
      </c>
      <c r="BY56" s="60">
        <f t="shared" si="141"/>
        <v>96086.1692708333</v>
      </c>
      <c r="BZ56" s="60">
        <f t="shared" si="141"/>
        <v>96086.1692708333</v>
      </c>
      <c r="CA56" s="60">
        <f t="shared" si="141"/>
        <v>96086.1692708333</v>
      </c>
      <c r="CB56" s="60">
        <f t="shared" si="141"/>
        <v>16306.6458333333</v>
      </c>
      <c r="CD56" s="271" t="s">
        <v>127</v>
      </c>
      <c r="CH56" s="234">
        <f>CH34-I56</f>
        <v>6424</v>
      </c>
      <c r="CI56" s="234">
        <f>CI34-I56</f>
        <v>1424</v>
      </c>
    </row>
    <row r="57" s="234" customFormat="1" ht="27" hidden="1" customHeight="1" spans="1:80">
      <c r="A57" s="236">
        <v>45768</v>
      </c>
      <c r="B57" s="237" t="s">
        <v>401</v>
      </c>
      <c r="C57" s="238" t="s">
        <v>117</v>
      </c>
      <c r="D57" s="239">
        <v>4500164375</v>
      </c>
      <c r="E57" s="238" t="s">
        <v>402</v>
      </c>
      <c r="F57" s="237" t="s">
        <v>403</v>
      </c>
      <c r="G57" s="240" t="s">
        <v>78</v>
      </c>
      <c r="H57" s="237" t="s">
        <v>79</v>
      </c>
      <c r="I57" s="247">
        <v>2160</v>
      </c>
      <c r="J57" s="247">
        <v>0</v>
      </c>
      <c r="K57" s="247">
        <v>54</v>
      </c>
      <c r="L57" s="247">
        <f t="shared" si="24"/>
        <v>40</v>
      </c>
      <c r="M57" s="248">
        <v>45799</v>
      </c>
      <c r="N57" s="248">
        <v>45803</v>
      </c>
      <c r="O57" s="212"/>
      <c r="P57" s="212" t="s">
        <v>107</v>
      </c>
      <c r="Q57" s="212" t="s">
        <v>404</v>
      </c>
      <c r="R57" s="212">
        <v>45771</v>
      </c>
      <c r="S57" s="212" t="s">
        <v>80</v>
      </c>
      <c r="T57" s="212" t="s">
        <v>80</v>
      </c>
      <c r="U57" s="212"/>
      <c r="V57" s="259" t="s">
        <v>405</v>
      </c>
      <c r="W57" s="265" t="s">
        <v>406</v>
      </c>
      <c r="X57" s="260">
        <v>0.4748</v>
      </c>
      <c r="Y57" s="247">
        <f t="shared" si="132"/>
        <v>1025.568</v>
      </c>
      <c r="Z57" s="248"/>
      <c r="AA57" s="259">
        <f>108+2052</f>
        <v>2160</v>
      </c>
      <c r="AB57" s="259">
        <f t="shared" si="6"/>
        <v>0</v>
      </c>
      <c r="AC57" s="212" t="s">
        <v>80</v>
      </c>
      <c r="AD57" s="212" t="s">
        <v>114</v>
      </c>
      <c r="AE57" s="248" t="s">
        <v>230</v>
      </c>
      <c r="AF57" s="248" t="s">
        <v>115</v>
      </c>
      <c r="AG57" s="267">
        <f t="shared" ref="AG57:AG70" si="142">I57</f>
        <v>2160</v>
      </c>
      <c r="AH57" s="267">
        <f t="shared" ref="AH57:AH70" si="143">I57</f>
        <v>2160</v>
      </c>
      <c r="AI57" s="267"/>
      <c r="AJ57" s="267"/>
      <c r="AK57" s="267"/>
      <c r="AL57" s="267">
        <f t="shared" si="137"/>
        <v>2160</v>
      </c>
      <c r="AM57" s="267"/>
      <c r="AN57" s="267"/>
      <c r="AO57" s="267">
        <f t="shared" ref="AO57:AO70" si="144">I57</f>
        <v>2160</v>
      </c>
      <c r="AP57" s="267"/>
      <c r="AQ57" s="267">
        <f>I57/27</f>
        <v>80</v>
      </c>
      <c r="AR57" s="267"/>
      <c r="AS57" s="267"/>
      <c r="AT57" s="267"/>
      <c r="AU57" s="267"/>
      <c r="AV57" s="267"/>
      <c r="AW57" s="267"/>
      <c r="AX57" s="267"/>
      <c r="AY57" s="267"/>
      <c r="AZ57" s="267"/>
      <c r="BA57" s="267"/>
      <c r="BB57" s="267"/>
      <c r="BC57" s="267"/>
      <c r="BD57" s="267"/>
      <c r="BE57" s="267"/>
      <c r="BF57" s="267"/>
      <c r="BG57" s="267"/>
      <c r="BH57" s="267"/>
      <c r="BI57" s="267"/>
      <c r="BJ57" s="269">
        <f t="shared" ref="BJ57:BR57" si="145">$I57*BJ$2</f>
        <v>264.374999999999</v>
      </c>
      <c r="BK57" s="269">
        <f t="shared" si="145"/>
        <v>264.374999999999</v>
      </c>
      <c r="BL57" s="269">
        <f t="shared" si="145"/>
        <v>264.374999999999</v>
      </c>
      <c r="BM57" s="269">
        <f t="shared" si="145"/>
        <v>264.374999999999</v>
      </c>
      <c r="BN57" s="269">
        <f t="shared" si="145"/>
        <v>264.374999999999</v>
      </c>
      <c r="BO57" s="269">
        <f t="shared" si="145"/>
        <v>264.374999999999</v>
      </c>
      <c r="BP57" s="269">
        <f t="shared" si="145"/>
        <v>264.374999999999</v>
      </c>
      <c r="BQ57" s="269">
        <f t="shared" si="145"/>
        <v>264.374999999999</v>
      </c>
      <c r="BR57" s="269">
        <f t="shared" si="145"/>
        <v>44.9999999999999</v>
      </c>
      <c r="BT57" s="60">
        <f t="shared" ref="BT57:CB57" si="146">BT56-BJ57</f>
        <v>95821.7942708333</v>
      </c>
      <c r="BU57" s="60">
        <f t="shared" si="146"/>
        <v>95821.7942708333</v>
      </c>
      <c r="BV57" s="60">
        <f t="shared" si="146"/>
        <v>95821.7942708333</v>
      </c>
      <c r="BW57" s="60">
        <f t="shared" si="146"/>
        <v>95821.7942708333</v>
      </c>
      <c r="BX57" s="60">
        <f t="shared" si="146"/>
        <v>95821.7942708333</v>
      </c>
      <c r="BY57" s="60">
        <f t="shared" si="146"/>
        <v>95821.7942708333</v>
      </c>
      <c r="BZ57" s="60">
        <f t="shared" si="146"/>
        <v>95821.7942708333</v>
      </c>
      <c r="CA57" s="60">
        <f t="shared" si="146"/>
        <v>95821.7942708333</v>
      </c>
      <c r="CB57" s="60">
        <f t="shared" si="146"/>
        <v>16261.6458333333</v>
      </c>
    </row>
    <row r="58" s="234" customFormat="1" ht="27" hidden="1" customHeight="1" spans="1:80">
      <c r="A58" s="236">
        <v>45722</v>
      </c>
      <c r="B58" s="237" t="s">
        <v>407</v>
      </c>
      <c r="C58" s="238" t="s">
        <v>408</v>
      </c>
      <c r="D58" s="239">
        <v>4500159286</v>
      </c>
      <c r="E58" s="238"/>
      <c r="F58" s="237" t="s">
        <v>409</v>
      </c>
      <c r="G58" s="240" t="s">
        <v>94</v>
      </c>
      <c r="H58" s="237" t="s">
        <v>211</v>
      </c>
      <c r="I58" s="247">
        <v>1040</v>
      </c>
      <c r="J58" s="247">
        <v>0</v>
      </c>
      <c r="K58" s="247">
        <v>52</v>
      </c>
      <c r="L58" s="247">
        <f t="shared" si="24"/>
        <v>20</v>
      </c>
      <c r="M58" s="248">
        <v>45800</v>
      </c>
      <c r="N58" s="248">
        <v>45803</v>
      </c>
      <c r="O58" s="212"/>
      <c r="P58" s="257" t="s">
        <v>224</v>
      </c>
      <c r="Q58" s="212" t="s">
        <v>410</v>
      </c>
      <c r="R58" s="212">
        <v>45762</v>
      </c>
      <c r="S58" s="212" t="s">
        <v>80</v>
      </c>
      <c r="T58" s="212" t="s">
        <v>411</v>
      </c>
      <c r="U58" s="212"/>
      <c r="V58" s="259" t="s">
        <v>412</v>
      </c>
      <c r="W58" s="265" t="s">
        <v>413</v>
      </c>
      <c r="X58" s="260">
        <v>0.945</v>
      </c>
      <c r="Y58" s="247">
        <f t="shared" si="132"/>
        <v>982.8</v>
      </c>
      <c r="Z58" s="248"/>
      <c r="AA58" s="259">
        <v>1040</v>
      </c>
      <c r="AB58" s="259">
        <f t="shared" si="6"/>
        <v>0</v>
      </c>
      <c r="AC58" s="212" t="s">
        <v>113</v>
      </c>
      <c r="AD58" s="212" t="s">
        <v>114</v>
      </c>
      <c r="AE58" s="248" t="s">
        <v>414</v>
      </c>
      <c r="AF58" s="248" t="s">
        <v>115</v>
      </c>
      <c r="AG58" s="267">
        <f t="shared" si="142"/>
        <v>1040</v>
      </c>
      <c r="AH58" s="267">
        <f t="shared" si="143"/>
        <v>1040</v>
      </c>
      <c r="AI58" s="267"/>
      <c r="AJ58" s="267"/>
      <c r="AK58" s="267"/>
      <c r="AL58" s="267">
        <f t="shared" si="137"/>
        <v>1040</v>
      </c>
      <c r="AM58" s="267"/>
      <c r="AN58" s="267"/>
      <c r="AO58" s="267">
        <f t="shared" si="144"/>
        <v>1040</v>
      </c>
      <c r="AP58" s="267"/>
      <c r="AQ58" s="267"/>
      <c r="AR58" s="267"/>
      <c r="AS58" s="267"/>
      <c r="AT58" s="267"/>
      <c r="AU58" s="267">
        <f>I58/13</f>
        <v>80</v>
      </c>
      <c r="AV58" s="267"/>
      <c r="AW58" s="267"/>
      <c r="AX58" s="267"/>
      <c r="AY58" s="267"/>
      <c r="AZ58" s="267"/>
      <c r="BA58" s="267"/>
      <c r="BB58" s="267"/>
      <c r="BC58" s="267"/>
      <c r="BD58" s="267"/>
      <c r="BE58" s="267"/>
      <c r="BF58" s="267"/>
      <c r="BG58" s="267"/>
      <c r="BH58" s="267"/>
      <c r="BI58" s="267"/>
      <c r="BJ58" s="269">
        <f t="shared" ref="BJ58:BR58" si="147">$I58*BJ$2</f>
        <v>127.291666666666</v>
      </c>
      <c r="BK58" s="269">
        <f t="shared" si="147"/>
        <v>127.291666666666</v>
      </c>
      <c r="BL58" s="269">
        <f t="shared" si="147"/>
        <v>127.291666666666</v>
      </c>
      <c r="BM58" s="269">
        <f t="shared" si="147"/>
        <v>127.291666666666</v>
      </c>
      <c r="BN58" s="269">
        <f t="shared" si="147"/>
        <v>127.291666666666</v>
      </c>
      <c r="BO58" s="269">
        <f t="shared" si="147"/>
        <v>127.291666666666</v>
      </c>
      <c r="BP58" s="269">
        <f t="shared" si="147"/>
        <v>127.291666666666</v>
      </c>
      <c r="BQ58" s="269">
        <f t="shared" si="147"/>
        <v>127.291666666666</v>
      </c>
      <c r="BR58" s="269">
        <f t="shared" si="147"/>
        <v>21.6666666666666</v>
      </c>
      <c r="BT58" s="60">
        <f t="shared" ref="BT58:CB58" si="148">BT57-BJ58</f>
        <v>95694.5026041667</v>
      </c>
      <c r="BU58" s="60">
        <f t="shared" si="148"/>
        <v>95694.5026041667</v>
      </c>
      <c r="BV58" s="60">
        <f t="shared" si="148"/>
        <v>95694.5026041667</v>
      </c>
      <c r="BW58" s="60">
        <f t="shared" si="148"/>
        <v>95694.5026041667</v>
      </c>
      <c r="BX58" s="60">
        <f t="shared" si="148"/>
        <v>95694.5026041667</v>
      </c>
      <c r="BY58" s="60">
        <f t="shared" si="148"/>
        <v>95694.5026041667</v>
      </c>
      <c r="BZ58" s="60">
        <f t="shared" si="148"/>
        <v>95694.5026041667</v>
      </c>
      <c r="CA58" s="60">
        <f t="shared" si="148"/>
        <v>95694.5026041667</v>
      </c>
      <c r="CB58" s="60">
        <f t="shared" si="148"/>
        <v>16239.9791666667</v>
      </c>
    </row>
    <row r="59" s="234" customFormat="1" ht="27" hidden="1" customHeight="1" spans="1:80">
      <c r="A59" s="236">
        <v>45727</v>
      </c>
      <c r="B59" s="237" t="s">
        <v>415</v>
      </c>
      <c r="C59" s="238" t="s">
        <v>396</v>
      </c>
      <c r="D59" s="239">
        <v>4500159575</v>
      </c>
      <c r="E59" s="238" t="s">
        <v>416</v>
      </c>
      <c r="F59" s="237" t="s">
        <v>417</v>
      </c>
      <c r="G59" s="240" t="s">
        <v>94</v>
      </c>
      <c r="H59" s="237" t="s">
        <v>211</v>
      </c>
      <c r="I59" s="247">
        <v>21216</v>
      </c>
      <c r="J59" s="247">
        <v>0</v>
      </c>
      <c r="K59" s="247">
        <v>52</v>
      </c>
      <c r="L59" s="247">
        <f t="shared" si="24"/>
        <v>408</v>
      </c>
      <c r="M59" s="248">
        <v>45800</v>
      </c>
      <c r="N59" s="248">
        <v>45803</v>
      </c>
      <c r="O59" s="212"/>
      <c r="P59" s="212" t="s">
        <v>107</v>
      </c>
      <c r="Q59" s="212" t="s">
        <v>404</v>
      </c>
      <c r="R59" s="212">
        <v>45727</v>
      </c>
      <c r="S59" s="212" t="s">
        <v>80</v>
      </c>
      <c r="T59" s="212" t="s">
        <v>80</v>
      </c>
      <c r="U59" s="212" t="s">
        <v>156</v>
      </c>
      <c r="V59" s="259" t="s">
        <v>418</v>
      </c>
      <c r="W59" s="265" t="s">
        <v>419</v>
      </c>
      <c r="X59" s="260">
        <v>0.7835</v>
      </c>
      <c r="Y59" s="247">
        <f t="shared" si="132"/>
        <v>16622.736</v>
      </c>
      <c r="Z59" s="248"/>
      <c r="AA59" s="259">
        <f>21216</f>
        <v>21216</v>
      </c>
      <c r="AB59" s="259">
        <f t="shared" si="6"/>
        <v>0</v>
      </c>
      <c r="AC59" s="212" t="s">
        <v>80</v>
      </c>
      <c r="AD59" s="212" t="s">
        <v>114</v>
      </c>
      <c r="AE59" s="248" t="s">
        <v>94</v>
      </c>
      <c r="AF59" s="248" t="s">
        <v>115</v>
      </c>
      <c r="AG59" s="267">
        <f t="shared" si="142"/>
        <v>21216</v>
      </c>
      <c r="AH59" s="267">
        <f t="shared" si="143"/>
        <v>21216</v>
      </c>
      <c r="AI59" s="267"/>
      <c r="AJ59" s="267"/>
      <c r="AK59" s="267">
        <f t="shared" ref="AK59:AK64" si="149">I59</f>
        <v>21216</v>
      </c>
      <c r="AL59" s="267"/>
      <c r="AM59" s="267"/>
      <c r="AN59" s="267"/>
      <c r="AO59" s="267">
        <f t="shared" si="144"/>
        <v>21216</v>
      </c>
      <c r="AP59" s="267"/>
      <c r="AQ59" s="267"/>
      <c r="AR59" s="267"/>
      <c r="AS59" s="267"/>
      <c r="AT59" s="267">
        <f>I59/13</f>
        <v>1632</v>
      </c>
      <c r="AU59" s="267"/>
      <c r="AV59" s="267"/>
      <c r="AW59" s="267"/>
      <c r="AX59" s="267"/>
      <c r="AY59" s="267"/>
      <c r="AZ59" s="267"/>
      <c r="BA59" s="267"/>
      <c r="BB59" s="267"/>
      <c r="BC59" s="267"/>
      <c r="BD59" s="267"/>
      <c r="BE59" s="267"/>
      <c r="BF59" s="267"/>
      <c r="BG59" s="267"/>
      <c r="BH59" s="267"/>
      <c r="BI59" s="267"/>
      <c r="BJ59" s="269">
        <f t="shared" ref="BJ59:BR59" si="150">$I59*BJ$2</f>
        <v>2596.74999999999</v>
      </c>
      <c r="BK59" s="269">
        <f t="shared" si="150"/>
        <v>2596.74999999999</v>
      </c>
      <c r="BL59" s="269">
        <f t="shared" si="150"/>
        <v>2596.74999999999</v>
      </c>
      <c r="BM59" s="269">
        <f t="shared" si="150"/>
        <v>2596.74999999999</v>
      </c>
      <c r="BN59" s="269">
        <f t="shared" si="150"/>
        <v>2596.74999999999</v>
      </c>
      <c r="BO59" s="269">
        <f t="shared" si="150"/>
        <v>2596.74999999999</v>
      </c>
      <c r="BP59" s="269">
        <f t="shared" si="150"/>
        <v>2596.74999999999</v>
      </c>
      <c r="BQ59" s="269">
        <f t="shared" si="150"/>
        <v>2596.74999999999</v>
      </c>
      <c r="BR59" s="269">
        <f t="shared" si="150"/>
        <v>441.999999999999</v>
      </c>
      <c r="BT59" s="60">
        <f t="shared" ref="BT59:CB59" si="151">BT58-BJ59</f>
        <v>93097.7526041667</v>
      </c>
      <c r="BU59" s="60">
        <f t="shared" si="151"/>
        <v>93097.7526041667</v>
      </c>
      <c r="BV59" s="60">
        <f t="shared" si="151"/>
        <v>93097.7526041667</v>
      </c>
      <c r="BW59" s="60">
        <f t="shared" si="151"/>
        <v>93097.7526041667</v>
      </c>
      <c r="BX59" s="60">
        <f t="shared" si="151"/>
        <v>93097.7526041667</v>
      </c>
      <c r="BY59" s="60">
        <f t="shared" si="151"/>
        <v>93097.7526041667</v>
      </c>
      <c r="BZ59" s="60">
        <f t="shared" si="151"/>
        <v>93097.7526041667</v>
      </c>
      <c r="CA59" s="60">
        <f t="shared" si="151"/>
        <v>93097.7526041667</v>
      </c>
      <c r="CB59" s="60">
        <f t="shared" si="151"/>
        <v>15797.9791666667</v>
      </c>
    </row>
    <row r="60" s="234" customFormat="1" ht="27" hidden="1" customHeight="1" spans="1:80">
      <c r="A60" s="236">
        <v>45764</v>
      </c>
      <c r="B60" s="237" t="s">
        <v>420</v>
      </c>
      <c r="C60" s="238" t="s">
        <v>421</v>
      </c>
      <c r="D60" s="239">
        <v>4500163743</v>
      </c>
      <c r="E60" s="238" t="s">
        <v>422</v>
      </c>
      <c r="F60" s="237" t="s">
        <v>423</v>
      </c>
      <c r="G60" s="240" t="s">
        <v>424</v>
      </c>
      <c r="H60" s="237" t="s">
        <v>174</v>
      </c>
      <c r="I60" s="247">
        <v>4950</v>
      </c>
      <c r="J60" s="247">
        <v>0</v>
      </c>
      <c r="K60" s="247">
        <v>33</v>
      </c>
      <c r="L60" s="247">
        <f t="shared" si="24"/>
        <v>150</v>
      </c>
      <c r="M60" s="248">
        <v>45800</v>
      </c>
      <c r="N60" s="248">
        <v>45803</v>
      </c>
      <c r="O60" s="212"/>
      <c r="P60" s="212" t="s">
        <v>107</v>
      </c>
      <c r="Q60" s="212" t="s">
        <v>425</v>
      </c>
      <c r="R60" s="212">
        <v>45762</v>
      </c>
      <c r="S60" s="212" t="s">
        <v>80</v>
      </c>
      <c r="T60" s="212" t="s">
        <v>80</v>
      </c>
      <c r="U60" s="212"/>
      <c r="V60" s="259" t="s">
        <v>426</v>
      </c>
      <c r="W60" s="248" t="s">
        <v>214</v>
      </c>
      <c r="X60" s="260">
        <v>38.1703</v>
      </c>
      <c r="Y60" s="247">
        <f>X60*L60</f>
        <v>5725.545</v>
      </c>
      <c r="Z60" s="248"/>
      <c r="AA60" s="259">
        <f>33+4917</f>
        <v>4950</v>
      </c>
      <c r="AB60" s="259">
        <f t="shared" si="6"/>
        <v>0</v>
      </c>
      <c r="AC60" s="212" t="s">
        <v>80</v>
      </c>
      <c r="AD60" s="212" t="s">
        <v>114</v>
      </c>
      <c r="AE60" s="240" t="s">
        <v>424</v>
      </c>
      <c r="AF60" s="248" t="s">
        <v>115</v>
      </c>
      <c r="AG60" s="267">
        <f t="shared" si="142"/>
        <v>4950</v>
      </c>
      <c r="AH60" s="267">
        <f t="shared" si="143"/>
        <v>4950</v>
      </c>
      <c r="AI60" s="267"/>
      <c r="AJ60" s="267"/>
      <c r="AK60" s="267">
        <f t="shared" si="149"/>
        <v>4950</v>
      </c>
      <c r="AL60" s="267"/>
      <c r="AM60" s="267"/>
      <c r="AN60" s="267"/>
      <c r="AO60" s="267">
        <f t="shared" si="144"/>
        <v>4950</v>
      </c>
      <c r="AP60" s="267"/>
      <c r="AQ60" s="267"/>
      <c r="AR60" s="267"/>
      <c r="AS60" s="267"/>
      <c r="AT60" s="267"/>
      <c r="AU60" s="267"/>
      <c r="AV60" s="267"/>
      <c r="AW60" s="267"/>
      <c r="AX60" s="267"/>
      <c r="AY60" s="267"/>
      <c r="AZ60" s="267"/>
      <c r="BA60" s="267"/>
      <c r="BB60" s="267"/>
      <c r="BC60" s="267">
        <f>I60/33</f>
        <v>150</v>
      </c>
      <c r="BD60" s="267"/>
      <c r="BE60" s="267">
        <f>BC60</f>
        <v>150</v>
      </c>
      <c r="BF60" s="267"/>
      <c r="BG60" s="267"/>
      <c r="BH60" s="267"/>
      <c r="BI60" s="267"/>
      <c r="BJ60" s="269">
        <f t="shared" ref="BJ60:BR60" si="152">$I60*BJ$2</f>
        <v>605.859374999998</v>
      </c>
      <c r="BK60" s="269">
        <f t="shared" si="152"/>
        <v>605.859374999998</v>
      </c>
      <c r="BL60" s="269">
        <f t="shared" si="152"/>
        <v>605.859374999998</v>
      </c>
      <c r="BM60" s="269">
        <f t="shared" si="152"/>
        <v>605.859374999998</v>
      </c>
      <c r="BN60" s="269">
        <f t="shared" si="152"/>
        <v>605.859374999998</v>
      </c>
      <c r="BO60" s="269">
        <f t="shared" si="152"/>
        <v>605.859374999998</v>
      </c>
      <c r="BP60" s="269">
        <f t="shared" si="152"/>
        <v>605.859374999998</v>
      </c>
      <c r="BQ60" s="269">
        <f t="shared" si="152"/>
        <v>605.859374999998</v>
      </c>
      <c r="BR60" s="269">
        <f t="shared" si="152"/>
        <v>103.125</v>
      </c>
      <c r="BT60" s="60">
        <f t="shared" ref="BT60:CB60" si="153">BT59-BJ60</f>
        <v>92491.8932291667</v>
      </c>
      <c r="BU60" s="60">
        <f t="shared" si="153"/>
        <v>92491.8932291667</v>
      </c>
      <c r="BV60" s="60">
        <f t="shared" si="153"/>
        <v>92491.8932291667</v>
      </c>
      <c r="BW60" s="60">
        <f t="shared" si="153"/>
        <v>92491.8932291667</v>
      </c>
      <c r="BX60" s="60">
        <f t="shared" si="153"/>
        <v>92491.8932291667</v>
      </c>
      <c r="BY60" s="60">
        <f t="shared" si="153"/>
        <v>92491.8932291667</v>
      </c>
      <c r="BZ60" s="60">
        <f t="shared" si="153"/>
        <v>92491.8932291667</v>
      </c>
      <c r="CA60" s="60">
        <f t="shared" si="153"/>
        <v>92491.8932291667</v>
      </c>
      <c r="CB60" s="60">
        <f t="shared" si="153"/>
        <v>15694.8541666667</v>
      </c>
    </row>
    <row r="61" s="234" customFormat="1" ht="27" hidden="1" customHeight="1" spans="1:80">
      <c r="A61" s="236">
        <v>45749</v>
      </c>
      <c r="B61" s="237" t="s">
        <v>427</v>
      </c>
      <c r="C61" s="238" t="s">
        <v>428</v>
      </c>
      <c r="D61" s="239">
        <v>4500161573</v>
      </c>
      <c r="E61" s="238">
        <v>4100411993</v>
      </c>
      <c r="F61" s="237" t="s">
        <v>429</v>
      </c>
      <c r="G61" s="240" t="s">
        <v>131</v>
      </c>
      <c r="H61" s="237" t="s">
        <v>132</v>
      </c>
      <c r="I61" s="247">
        <v>162</v>
      </c>
      <c r="J61" s="247">
        <v>0</v>
      </c>
      <c r="K61" s="247">
        <v>27</v>
      </c>
      <c r="L61" s="247">
        <f t="shared" si="24"/>
        <v>6</v>
      </c>
      <c r="M61" s="248">
        <v>45803</v>
      </c>
      <c r="N61" s="248">
        <v>45803</v>
      </c>
      <c r="O61" s="212"/>
      <c r="P61" s="212" t="s">
        <v>224</v>
      </c>
      <c r="Q61" s="212" t="s">
        <v>430</v>
      </c>
      <c r="R61" s="212">
        <v>45770</v>
      </c>
      <c r="S61" s="212" t="s">
        <v>80</v>
      </c>
      <c r="T61" s="212" t="s">
        <v>431</v>
      </c>
      <c r="U61" s="212"/>
      <c r="V61" s="259" t="s">
        <v>432</v>
      </c>
      <c r="W61" s="248" t="s">
        <v>433</v>
      </c>
      <c r="X61" s="260">
        <v>0.7792</v>
      </c>
      <c r="Y61" s="247">
        <f t="shared" ref="Y61:Y69" si="154">X61*I61</f>
        <v>126.2304</v>
      </c>
      <c r="Z61" s="248"/>
      <c r="AA61" s="259">
        <v>162</v>
      </c>
      <c r="AB61" s="259">
        <f t="shared" si="6"/>
        <v>0</v>
      </c>
      <c r="AC61" s="212" t="s">
        <v>113</v>
      </c>
      <c r="AD61" s="212" t="s">
        <v>114</v>
      </c>
      <c r="AE61" s="248" t="s">
        <v>434</v>
      </c>
      <c r="AF61" s="248" t="s">
        <v>115</v>
      </c>
      <c r="AG61" s="267">
        <f t="shared" si="142"/>
        <v>162</v>
      </c>
      <c r="AH61" s="267">
        <f t="shared" si="143"/>
        <v>162</v>
      </c>
      <c r="AI61" s="267"/>
      <c r="AJ61" s="267"/>
      <c r="AK61" s="267"/>
      <c r="AL61" s="267">
        <f t="shared" ref="AL61:AL66" si="155">I61</f>
        <v>162</v>
      </c>
      <c r="AM61" s="267"/>
      <c r="AN61" s="267"/>
      <c r="AO61" s="267">
        <f t="shared" si="144"/>
        <v>162</v>
      </c>
      <c r="AP61" s="267"/>
      <c r="AQ61" s="267"/>
      <c r="AR61" s="267">
        <f>I61/27</f>
        <v>6</v>
      </c>
      <c r="AS61" s="267"/>
      <c r="AT61" s="267"/>
      <c r="AU61" s="267"/>
      <c r="AV61" s="267"/>
      <c r="AW61" s="267"/>
      <c r="AX61" s="267"/>
      <c r="AY61" s="267"/>
      <c r="AZ61" s="267"/>
      <c r="BA61" s="267"/>
      <c r="BB61" s="267"/>
      <c r="BC61" s="267"/>
      <c r="BD61" s="267"/>
      <c r="BE61" s="267"/>
      <c r="BF61" s="267"/>
      <c r="BG61" s="267"/>
      <c r="BH61" s="267"/>
      <c r="BI61" s="267"/>
      <c r="BJ61" s="269">
        <f t="shared" ref="BJ61:BR61" si="156">$I61*BJ$2</f>
        <v>19.8281249999999</v>
      </c>
      <c r="BK61" s="269">
        <f t="shared" si="156"/>
        <v>19.8281249999999</v>
      </c>
      <c r="BL61" s="269">
        <f t="shared" si="156"/>
        <v>19.8281249999999</v>
      </c>
      <c r="BM61" s="269">
        <f t="shared" si="156"/>
        <v>19.8281249999999</v>
      </c>
      <c r="BN61" s="269">
        <f t="shared" si="156"/>
        <v>19.8281249999999</v>
      </c>
      <c r="BO61" s="269">
        <f t="shared" si="156"/>
        <v>19.8281249999999</v>
      </c>
      <c r="BP61" s="269">
        <f t="shared" si="156"/>
        <v>19.8281249999999</v>
      </c>
      <c r="BQ61" s="269">
        <f t="shared" si="156"/>
        <v>19.8281249999999</v>
      </c>
      <c r="BR61" s="269">
        <f t="shared" si="156"/>
        <v>3.37499999999999</v>
      </c>
      <c r="BT61" s="60">
        <f t="shared" ref="BT61:CB61" si="157">BT60-BJ61</f>
        <v>92472.0651041667</v>
      </c>
      <c r="BU61" s="60">
        <f t="shared" si="157"/>
        <v>92472.0651041667</v>
      </c>
      <c r="BV61" s="60">
        <f t="shared" si="157"/>
        <v>92472.0651041667</v>
      </c>
      <c r="BW61" s="60">
        <f t="shared" si="157"/>
        <v>92472.0651041667</v>
      </c>
      <c r="BX61" s="60">
        <f t="shared" si="157"/>
        <v>92472.0651041667</v>
      </c>
      <c r="BY61" s="60">
        <f t="shared" si="157"/>
        <v>92472.0651041667</v>
      </c>
      <c r="BZ61" s="60">
        <f t="shared" si="157"/>
        <v>92472.0651041667</v>
      </c>
      <c r="CA61" s="60">
        <f t="shared" si="157"/>
        <v>92472.0651041667</v>
      </c>
      <c r="CB61" s="60">
        <f t="shared" si="157"/>
        <v>15691.4791666667</v>
      </c>
    </row>
    <row r="62" s="234" customFormat="1" ht="27" hidden="1" customHeight="1" spans="1:80">
      <c r="A62" s="236">
        <v>45744</v>
      </c>
      <c r="B62" s="237" t="s">
        <v>326</v>
      </c>
      <c r="C62" s="238" t="s">
        <v>117</v>
      </c>
      <c r="D62" s="239">
        <v>4500161752</v>
      </c>
      <c r="E62" s="304" t="s">
        <v>435</v>
      </c>
      <c r="F62" s="237" t="s">
        <v>436</v>
      </c>
      <c r="G62" s="240" t="s">
        <v>258</v>
      </c>
      <c r="H62" s="237" t="s">
        <v>259</v>
      </c>
      <c r="I62" s="247">
        <v>1152</v>
      </c>
      <c r="J62" s="247">
        <v>0</v>
      </c>
      <c r="K62" s="247">
        <v>1152</v>
      </c>
      <c r="L62" s="247">
        <f t="shared" si="24"/>
        <v>1</v>
      </c>
      <c r="M62" s="248">
        <v>45803</v>
      </c>
      <c r="N62" s="248">
        <v>45803</v>
      </c>
      <c r="O62" s="212" t="s">
        <v>437</v>
      </c>
      <c r="P62" s="212" t="s">
        <v>107</v>
      </c>
      <c r="Q62" s="212" t="s">
        <v>438</v>
      </c>
      <c r="R62" s="212" t="s">
        <v>331</v>
      </c>
      <c r="S62" s="212" t="s">
        <v>191</v>
      </c>
      <c r="T62" s="212" t="s">
        <v>332</v>
      </c>
      <c r="U62" s="212"/>
      <c r="V62" s="259" t="s">
        <v>333</v>
      </c>
      <c r="W62" s="248" t="s">
        <v>265</v>
      </c>
      <c r="X62" s="260">
        <v>903.2128</v>
      </c>
      <c r="Y62" s="247">
        <f>X62*L62</f>
        <v>903.2128</v>
      </c>
      <c r="Z62" s="248" t="s">
        <v>439</v>
      </c>
      <c r="AA62" s="259">
        <f>1140+12</f>
        <v>1152</v>
      </c>
      <c r="AB62" s="259">
        <f t="shared" si="6"/>
        <v>0</v>
      </c>
      <c r="AC62" s="212"/>
      <c r="AD62" s="212" t="s">
        <v>114</v>
      </c>
      <c r="AE62" s="248" t="s">
        <v>258</v>
      </c>
      <c r="AF62" s="248" t="s">
        <v>115</v>
      </c>
      <c r="AG62" s="267">
        <f t="shared" si="142"/>
        <v>1152</v>
      </c>
      <c r="AH62" s="267">
        <f t="shared" si="143"/>
        <v>1152</v>
      </c>
      <c r="AI62" s="267"/>
      <c r="AJ62" s="267"/>
      <c r="AK62" s="267">
        <f t="shared" si="149"/>
        <v>1152</v>
      </c>
      <c r="AL62" s="267"/>
      <c r="AM62" s="267"/>
      <c r="AN62" s="267"/>
      <c r="AO62" s="267">
        <f t="shared" si="144"/>
        <v>1152</v>
      </c>
      <c r="AP62" s="267"/>
      <c r="AQ62" s="267"/>
      <c r="AR62" s="267"/>
      <c r="AS62" s="267"/>
      <c r="AT62" s="267"/>
      <c r="AU62" s="267"/>
      <c r="AV62" s="267">
        <f t="shared" ref="AV62:AV64" si="158">I62/12</f>
        <v>96</v>
      </c>
      <c r="AW62" s="267"/>
      <c r="AX62" s="267"/>
      <c r="AY62" s="267"/>
      <c r="AZ62" s="267"/>
      <c r="BA62" s="267"/>
      <c r="BB62" s="267"/>
      <c r="BC62" s="267"/>
      <c r="BD62" s="267"/>
      <c r="BE62" s="267"/>
      <c r="BF62" s="267"/>
      <c r="BG62" s="267"/>
      <c r="BH62" s="267"/>
      <c r="BI62" s="267"/>
      <c r="BJ62" s="269">
        <f t="shared" ref="BJ62:BR62" si="159">$I62*BJ$2</f>
        <v>141</v>
      </c>
      <c r="BK62" s="269">
        <f t="shared" si="159"/>
        <v>141</v>
      </c>
      <c r="BL62" s="269">
        <f t="shared" si="159"/>
        <v>141</v>
      </c>
      <c r="BM62" s="269">
        <f t="shared" si="159"/>
        <v>141</v>
      </c>
      <c r="BN62" s="269">
        <f t="shared" si="159"/>
        <v>141</v>
      </c>
      <c r="BO62" s="269">
        <f t="shared" si="159"/>
        <v>141</v>
      </c>
      <c r="BP62" s="269">
        <f t="shared" si="159"/>
        <v>141</v>
      </c>
      <c r="BQ62" s="269">
        <f t="shared" si="159"/>
        <v>141</v>
      </c>
      <c r="BR62" s="269">
        <f t="shared" si="159"/>
        <v>24</v>
      </c>
      <c r="BT62" s="60">
        <f t="shared" ref="BT62:CB62" si="160">BT61-BJ62</f>
        <v>92331.0651041667</v>
      </c>
      <c r="BU62" s="60">
        <f t="shared" si="160"/>
        <v>92331.0651041667</v>
      </c>
      <c r="BV62" s="60">
        <f t="shared" si="160"/>
        <v>92331.0651041667</v>
      </c>
      <c r="BW62" s="60">
        <f t="shared" si="160"/>
        <v>92331.0651041667</v>
      </c>
      <c r="BX62" s="60">
        <f t="shared" si="160"/>
        <v>92331.0651041667</v>
      </c>
      <c r="BY62" s="60">
        <f t="shared" si="160"/>
        <v>92331.0651041667</v>
      </c>
      <c r="BZ62" s="60">
        <f t="shared" si="160"/>
        <v>92331.0651041667</v>
      </c>
      <c r="CA62" s="60">
        <f t="shared" si="160"/>
        <v>92331.0651041667</v>
      </c>
      <c r="CB62" s="60">
        <f t="shared" si="160"/>
        <v>15667.4791666667</v>
      </c>
    </row>
    <row r="63" s="234" customFormat="1" ht="27" customHeight="1" spans="1:80">
      <c r="A63" s="236">
        <v>45749</v>
      </c>
      <c r="B63" s="237" t="s">
        <v>326</v>
      </c>
      <c r="C63" s="238" t="s">
        <v>117</v>
      </c>
      <c r="D63" s="239">
        <v>4500162371</v>
      </c>
      <c r="E63" s="238" t="s">
        <v>440</v>
      </c>
      <c r="F63" s="237" t="s">
        <v>441</v>
      </c>
      <c r="G63" s="240" t="s">
        <v>345</v>
      </c>
      <c r="H63" s="237" t="s">
        <v>346</v>
      </c>
      <c r="I63" s="247">
        <v>6276</v>
      </c>
      <c r="J63" s="247">
        <v>0</v>
      </c>
      <c r="K63" s="247">
        <v>12</v>
      </c>
      <c r="L63" s="247">
        <f t="shared" si="24"/>
        <v>523</v>
      </c>
      <c r="M63" s="248">
        <v>45803</v>
      </c>
      <c r="N63" s="248">
        <v>45803</v>
      </c>
      <c r="O63" s="212" t="s">
        <v>442</v>
      </c>
      <c r="P63" s="212" t="s">
        <v>107</v>
      </c>
      <c r="Q63" s="212" t="s">
        <v>392</v>
      </c>
      <c r="R63" s="212">
        <v>45749</v>
      </c>
      <c r="S63" s="212" t="s">
        <v>191</v>
      </c>
      <c r="T63" s="212" t="s">
        <v>332</v>
      </c>
      <c r="U63" s="212"/>
      <c r="V63" s="259" t="s">
        <v>385</v>
      </c>
      <c r="W63" s="248" t="s">
        <v>265</v>
      </c>
      <c r="X63" s="260">
        <v>0.945</v>
      </c>
      <c r="Y63" s="247">
        <f t="shared" si="154"/>
        <v>5930.82</v>
      </c>
      <c r="Z63" s="248" t="s">
        <v>443</v>
      </c>
      <c r="AA63" s="259">
        <v>6276</v>
      </c>
      <c r="AB63" s="259">
        <f t="shared" si="6"/>
        <v>0</v>
      </c>
      <c r="AC63" s="212"/>
      <c r="AD63" s="212" t="s">
        <v>114</v>
      </c>
      <c r="AE63" s="248" t="s">
        <v>345</v>
      </c>
      <c r="AF63" s="248" t="s">
        <v>115</v>
      </c>
      <c r="AG63" s="267">
        <f t="shared" si="142"/>
        <v>6276</v>
      </c>
      <c r="AH63" s="267">
        <f t="shared" si="143"/>
        <v>6276</v>
      </c>
      <c r="AI63" s="267"/>
      <c r="AJ63" s="267"/>
      <c r="AK63" s="267">
        <f t="shared" si="149"/>
        <v>6276</v>
      </c>
      <c r="AL63" s="267"/>
      <c r="AM63" s="267"/>
      <c r="AN63" s="267"/>
      <c r="AO63" s="267">
        <f t="shared" si="144"/>
        <v>6276</v>
      </c>
      <c r="AP63" s="267"/>
      <c r="AQ63" s="267"/>
      <c r="AR63" s="267"/>
      <c r="AS63" s="267"/>
      <c r="AT63" s="267"/>
      <c r="AU63" s="267"/>
      <c r="AV63" s="267">
        <f t="shared" si="158"/>
        <v>523</v>
      </c>
      <c r="AW63" s="267"/>
      <c r="AX63" s="267"/>
      <c r="AY63" s="267"/>
      <c r="AZ63" s="267"/>
      <c r="BA63" s="267"/>
      <c r="BB63" s="267"/>
      <c r="BC63" s="267"/>
      <c r="BD63" s="267"/>
      <c r="BE63" s="267"/>
      <c r="BF63" s="267"/>
      <c r="BG63" s="267"/>
      <c r="BH63" s="267"/>
      <c r="BI63" s="267"/>
      <c r="BJ63" s="269">
        <f t="shared" ref="BJ63:BR63" si="161">$I63*BJ$2</f>
        <v>768.156249999998</v>
      </c>
      <c r="BK63" s="269">
        <f t="shared" si="161"/>
        <v>768.156249999998</v>
      </c>
      <c r="BL63" s="269">
        <f t="shared" si="161"/>
        <v>768.156249999998</v>
      </c>
      <c r="BM63" s="269">
        <f t="shared" si="161"/>
        <v>768.156249999998</v>
      </c>
      <c r="BN63" s="269">
        <f t="shared" si="161"/>
        <v>768.156249999998</v>
      </c>
      <c r="BO63" s="269">
        <f t="shared" si="161"/>
        <v>768.156249999998</v>
      </c>
      <c r="BP63" s="269">
        <f t="shared" si="161"/>
        <v>768.156249999998</v>
      </c>
      <c r="BQ63" s="269">
        <f t="shared" si="161"/>
        <v>768.156249999998</v>
      </c>
      <c r="BR63" s="269">
        <f t="shared" si="161"/>
        <v>130.75</v>
      </c>
      <c r="BT63" s="60">
        <f t="shared" ref="BT63:CB63" si="162">BT62-BJ63</f>
        <v>91562.9088541667</v>
      </c>
      <c r="BU63" s="60">
        <f t="shared" si="162"/>
        <v>91562.9088541667</v>
      </c>
      <c r="BV63" s="60">
        <f t="shared" si="162"/>
        <v>91562.9088541667</v>
      </c>
      <c r="BW63" s="60">
        <f t="shared" si="162"/>
        <v>91562.9088541667</v>
      </c>
      <c r="BX63" s="60">
        <f t="shared" si="162"/>
        <v>91562.9088541667</v>
      </c>
      <c r="BY63" s="60">
        <f t="shared" si="162"/>
        <v>91562.9088541667</v>
      </c>
      <c r="BZ63" s="60">
        <f t="shared" si="162"/>
        <v>91562.9088541667</v>
      </c>
      <c r="CA63" s="60">
        <f t="shared" si="162"/>
        <v>91562.9088541667</v>
      </c>
      <c r="CB63" s="60">
        <f t="shared" si="162"/>
        <v>15536.7291666667</v>
      </c>
    </row>
    <row r="64" s="234" customFormat="1" ht="27" customHeight="1" spans="1:80">
      <c r="A64" s="236">
        <v>45749</v>
      </c>
      <c r="B64" s="237" t="s">
        <v>326</v>
      </c>
      <c r="C64" s="238" t="s">
        <v>117</v>
      </c>
      <c r="D64" s="239">
        <v>4500162371</v>
      </c>
      <c r="E64" s="238" t="s">
        <v>444</v>
      </c>
      <c r="F64" s="237" t="s">
        <v>445</v>
      </c>
      <c r="G64" s="240" t="s">
        <v>345</v>
      </c>
      <c r="H64" s="237" t="s">
        <v>346</v>
      </c>
      <c r="I64" s="247">
        <v>6000</v>
      </c>
      <c r="J64" s="247">
        <v>0</v>
      </c>
      <c r="K64" s="247">
        <v>12</v>
      </c>
      <c r="L64" s="247">
        <f t="shared" si="24"/>
        <v>500</v>
      </c>
      <c r="M64" s="248">
        <v>45803</v>
      </c>
      <c r="N64" s="248">
        <v>45803</v>
      </c>
      <c r="O64" s="212" t="s">
        <v>442</v>
      </c>
      <c r="P64" s="212" t="s">
        <v>107</v>
      </c>
      <c r="Q64" s="212" t="s">
        <v>392</v>
      </c>
      <c r="R64" s="212">
        <v>45749</v>
      </c>
      <c r="S64" s="212" t="s">
        <v>191</v>
      </c>
      <c r="T64" s="212" t="s">
        <v>332</v>
      </c>
      <c r="U64" s="212"/>
      <c r="V64" s="259" t="s">
        <v>385</v>
      </c>
      <c r="W64" s="248" t="s">
        <v>265</v>
      </c>
      <c r="X64" s="260">
        <v>0.945</v>
      </c>
      <c r="Y64" s="247">
        <f t="shared" si="154"/>
        <v>5670</v>
      </c>
      <c r="Z64" s="248" t="s">
        <v>446</v>
      </c>
      <c r="AA64" s="259">
        <f>5976+24</f>
        <v>6000</v>
      </c>
      <c r="AB64" s="259">
        <f t="shared" si="6"/>
        <v>0</v>
      </c>
      <c r="AC64" s="212"/>
      <c r="AD64" s="212" t="s">
        <v>114</v>
      </c>
      <c r="AE64" s="248" t="s">
        <v>345</v>
      </c>
      <c r="AF64" s="248" t="s">
        <v>115</v>
      </c>
      <c r="AG64" s="267">
        <f t="shared" si="142"/>
        <v>6000</v>
      </c>
      <c r="AH64" s="267">
        <f t="shared" si="143"/>
        <v>6000</v>
      </c>
      <c r="AI64" s="267"/>
      <c r="AJ64" s="267"/>
      <c r="AK64" s="267">
        <f t="shared" si="149"/>
        <v>6000</v>
      </c>
      <c r="AL64" s="267"/>
      <c r="AM64" s="267"/>
      <c r="AN64" s="267"/>
      <c r="AO64" s="267">
        <f t="shared" si="144"/>
        <v>6000</v>
      </c>
      <c r="AP64" s="267"/>
      <c r="AQ64" s="267"/>
      <c r="AR64" s="267"/>
      <c r="AS64" s="267"/>
      <c r="AT64" s="267"/>
      <c r="AU64" s="267"/>
      <c r="AV64" s="267">
        <f t="shared" si="158"/>
        <v>500</v>
      </c>
      <c r="AW64" s="267"/>
      <c r="AX64" s="267"/>
      <c r="AY64" s="267"/>
      <c r="AZ64" s="267"/>
      <c r="BA64" s="267"/>
      <c r="BB64" s="267"/>
      <c r="BC64" s="267"/>
      <c r="BD64" s="267"/>
      <c r="BE64" s="267"/>
      <c r="BF64" s="267"/>
      <c r="BG64" s="267"/>
      <c r="BH64" s="267"/>
      <c r="BI64" s="267"/>
      <c r="BJ64" s="269">
        <f t="shared" ref="BJ64:BR64" si="163">$I64*BJ$2</f>
        <v>734.374999999998</v>
      </c>
      <c r="BK64" s="269">
        <f t="shared" si="163"/>
        <v>734.374999999998</v>
      </c>
      <c r="BL64" s="269">
        <f t="shared" si="163"/>
        <v>734.374999999998</v>
      </c>
      <c r="BM64" s="269">
        <f t="shared" si="163"/>
        <v>734.374999999998</v>
      </c>
      <c r="BN64" s="269">
        <f t="shared" si="163"/>
        <v>734.374999999998</v>
      </c>
      <c r="BO64" s="269">
        <f t="shared" si="163"/>
        <v>734.374999999998</v>
      </c>
      <c r="BP64" s="269">
        <f t="shared" si="163"/>
        <v>734.374999999998</v>
      </c>
      <c r="BQ64" s="269">
        <f t="shared" si="163"/>
        <v>734.374999999998</v>
      </c>
      <c r="BR64" s="269">
        <f t="shared" si="163"/>
        <v>125</v>
      </c>
      <c r="BT64" s="60">
        <f t="shared" ref="BT64:CB64" si="164">BT63-BJ64</f>
        <v>90828.5338541667</v>
      </c>
      <c r="BU64" s="60">
        <f t="shared" si="164"/>
        <v>90828.5338541667</v>
      </c>
      <c r="BV64" s="60">
        <f t="shared" si="164"/>
        <v>90828.5338541667</v>
      </c>
      <c r="BW64" s="60">
        <f t="shared" si="164"/>
        <v>90828.5338541667</v>
      </c>
      <c r="BX64" s="60">
        <f t="shared" si="164"/>
        <v>90828.5338541667</v>
      </c>
      <c r="BY64" s="60">
        <f t="shared" si="164"/>
        <v>90828.5338541667</v>
      </c>
      <c r="BZ64" s="60">
        <f t="shared" si="164"/>
        <v>90828.5338541667</v>
      </c>
      <c r="CA64" s="60">
        <f t="shared" si="164"/>
        <v>90828.5338541667</v>
      </c>
      <c r="CB64" s="60">
        <f t="shared" si="164"/>
        <v>15411.7291666667</v>
      </c>
    </row>
    <row r="65" s="234" customFormat="1" ht="27" hidden="1" customHeight="1" spans="1:80">
      <c r="A65" s="236">
        <v>45749</v>
      </c>
      <c r="B65" s="237" t="s">
        <v>447</v>
      </c>
      <c r="C65" s="238" t="s">
        <v>448</v>
      </c>
      <c r="D65" s="239">
        <v>4500162231</v>
      </c>
      <c r="E65" s="238">
        <v>32578104</v>
      </c>
      <c r="F65" s="237" t="s">
        <v>449</v>
      </c>
      <c r="G65" s="240" t="s">
        <v>152</v>
      </c>
      <c r="H65" s="237" t="s">
        <v>153</v>
      </c>
      <c r="I65" s="247">
        <v>2600</v>
      </c>
      <c r="J65" s="247">
        <v>0</v>
      </c>
      <c r="K65" s="247">
        <v>13</v>
      </c>
      <c r="L65" s="247">
        <f t="shared" si="24"/>
        <v>200</v>
      </c>
      <c r="M65" s="248">
        <v>45803</v>
      </c>
      <c r="N65" s="248">
        <v>45803</v>
      </c>
      <c r="O65" s="212" t="s">
        <v>450</v>
      </c>
      <c r="P65" s="212" t="s">
        <v>107</v>
      </c>
      <c r="Q65" s="212" t="s">
        <v>451</v>
      </c>
      <c r="R65" s="212">
        <v>45750</v>
      </c>
      <c r="S65" s="212" t="s">
        <v>80</v>
      </c>
      <c r="T65" s="212" t="s">
        <v>452</v>
      </c>
      <c r="U65" s="212" t="s">
        <v>156</v>
      </c>
      <c r="V65" s="259" t="s">
        <v>453</v>
      </c>
      <c r="W65" s="248" t="s">
        <v>454</v>
      </c>
      <c r="X65" s="260">
        <v>0.7931</v>
      </c>
      <c r="Y65" s="247">
        <f t="shared" si="154"/>
        <v>2062.06</v>
      </c>
      <c r="Z65" s="248"/>
      <c r="AA65" s="259">
        <f>2548+39+13</f>
        <v>2600</v>
      </c>
      <c r="AB65" s="259">
        <f t="shared" si="6"/>
        <v>0</v>
      </c>
      <c r="AC65" s="212" t="s">
        <v>113</v>
      </c>
      <c r="AD65" s="212" t="s">
        <v>114</v>
      </c>
      <c r="AE65" s="248" t="s">
        <v>319</v>
      </c>
      <c r="AF65" s="248" t="s">
        <v>115</v>
      </c>
      <c r="AG65" s="267">
        <f t="shared" si="142"/>
        <v>2600</v>
      </c>
      <c r="AH65" s="267">
        <f t="shared" si="143"/>
        <v>2600</v>
      </c>
      <c r="AI65" s="267"/>
      <c r="AJ65" s="267"/>
      <c r="AK65" s="267"/>
      <c r="AL65" s="267">
        <f t="shared" si="155"/>
        <v>2600</v>
      </c>
      <c r="AM65" s="267"/>
      <c r="AN65" s="267"/>
      <c r="AO65" s="267">
        <f t="shared" si="144"/>
        <v>2600</v>
      </c>
      <c r="AP65" s="267"/>
      <c r="AQ65" s="267"/>
      <c r="AR65" s="267"/>
      <c r="AS65" s="267"/>
      <c r="AT65" s="267"/>
      <c r="AU65" s="267">
        <f>I65/13</f>
        <v>200</v>
      </c>
      <c r="AV65" s="267"/>
      <c r="AW65" s="267"/>
      <c r="AX65" s="267"/>
      <c r="AY65" s="267"/>
      <c r="AZ65" s="267"/>
      <c r="BA65" s="267"/>
      <c r="BB65" s="267"/>
      <c r="BC65" s="267"/>
      <c r="BD65" s="267"/>
      <c r="BE65" s="267"/>
      <c r="BF65" s="267"/>
      <c r="BG65" s="267"/>
      <c r="BH65" s="267"/>
      <c r="BI65" s="267"/>
      <c r="BJ65" s="269">
        <f t="shared" ref="BJ65:BR65" si="165">$I65*BJ$2</f>
        <v>318.229166666666</v>
      </c>
      <c r="BK65" s="269">
        <f t="shared" si="165"/>
        <v>318.229166666666</v>
      </c>
      <c r="BL65" s="269">
        <f t="shared" si="165"/>
        <v>318.229166666666</v>
      </c>
      <c r="BM65" s="269">
        <f t="shared" si="165"/>
        <v>318.229166666666</v>
      </c>
      <c r="BN65" s="269">
        <f t="shared" si="165"/>
        <v>318.229166666666</v>
      </c>
      <c r="BO65" s="269">
        <f t="shared" si="165"/>
        <v>318.229166666666</v>
      </c>
      <c r="BP65" s="269">
        <f t="shared" si="165"/>
        <v>318.229166666666</v>
      </c>
      <c r="BQ65" s="269">
        <f t="shared" si="165"/>
        <v>318.229166666666</v>
      </c>
      <c r="BR65" s="269">
        <f t="shared" si="165"/>
        <v>54.1666666666666</v>
      </c>
      <c r="BT65" s="60">
        <f t="shared" ref="BT65:CB65" si="166">BT64-BJ65</f>
        <v>90510.3046875</v>
      </c>
      <c r="BU65" s="60">
        <f t="shared" si="166"/>
        <v>90510.3046875</v>
      </c>
      <c r="BV65" s="60">
        <f t="shared" si="166"/>
        <v>90510.3046875</v>
      </c>
      <c r="BW65" s="60">
        <f t="shared" si="166"/>
        <v>90510.3046875</v>
      </c>
      <c r="BX65" s="60">
        <f t="shared" si="166"/>
        <v>90510.3046875</v>
      </c>
      <c r="BY65" s="60">
        <f t="shared" si="166"/>
        <v>90510.3046875</v>
      </c>
      <c r="BZ65" s="60">
        <f t="shared" si="166"/>
        <v>90510.3046875</v>
      </c>
      <c r="CA65" s="60">
        <f t="shared" si="166"/>
        <v>90510.3046875</v>
      </c>
      <c r="CB65" s="60">
        <f t="shared" si="166"/>
        <v>15357.5625</v>
      </c>
    </row>
    <row r="66" s="234" customFormat="1" ht="27" hidden="1" customHeight="1" spans="1:80">
      <c r="A66" s="236">
        <v>45755</v>
      </c>
      <c r="B66" s="237" t="s">
        <v>455</v>
      </c>
      <c r="C66" s="238" t="s">
        <v>311</v>
      </c>
      <c r="D66" s="239">
        <v>4500160515</v>
      </c>
      <c r="E66" s="238">
        <v>4508281081</v>
      </c>
      <c r="F66" s="237" t="s">
        <v>456</v>
      </c>
      <c r="G66" s="240" t="s">
        <v>152</v>
      </c>
      <c r="H66" s="237" t="s">
        <v>153</v>
      </c>
      <c r="I66" s="247">
        <v>3510</v>
      </c>
      <c r="J66" s="247">
        <v>0</v>
      </c>
      <c r="K66" s="247">
        <v>13</v>
      </c>
      <c r="L66" s="247">
        <f t="shared" si="24"/>
        <v>270</v>
      </c>
      <c r="M66" s="248">
        <v>45803</v>
      </c>
      <c r="N66" s="248">
        <v>45803</v>
      </c>
      <c r="O66" s="212"/>
      <c r="P66" s="212" t="s">
        <v>224</v>
      </c>
      <c r="Q66" s="212" t="s">
        <v>451</v>
      </c>
      <c r="R66" s="212">
        <v>45755</v>
      </c>
      <c r="S66" s="212" t="s">
        <v>80</v>
      </c>
      <c r="T66" s="212" t="s">
        <v>457</v>
      </c>
      <c r="U66" s="212" t="s">
        <v>156</v>
      </c>
      <c r="V66" s="259" t="s">
        <v>458</v>
      </c>
      <c r="W66" s="248" t="s">
        <v>459</v>
      </c>
      <c r="X66" s="260">
        <v>0.7758</v>
      </c>
      <c r="Y66" s="247">
        <f t="shared" si="154"/>
        <v>2723.058</v>
      </c>
      <c r="Z66" s="248"/>
      <c r="AA66" s="259">
        <v>3510</v>
      </c>
      <c r="AB66" s="259">
        <f t="shared" si="6"/>
        <v>0</v>
      </c>
      <c r="AC66" s="212" t="s">
        <v>113</v>
      </c>
      <c r="AD66" s="212" t="s">
        <v>114</v>
      </c>
      <c r="AE66" s="248" t="s">
        <v>319</v>
      </c>
      <c r="AF66" s="248" t="s">
        <v>115</v>
      </c>
      <c r="AG66" s="267">
        <f t="shared" si="142"/>
        <v>3510</v>
      </c>
      <c r="AH66" s="267">
        <f t="shared" si="143"/>
        <v>3510</v>
      </c>
      <c r="AJ66" s="267"/>
      <c r="AK66" s="267"/>
      <c r="AL66" s="267">
        <f t="shared" si="155"/>
        <v>3510</v>
      </c>
      <c r="AM66" s="267"/>
      <c r="AN66" s="267"/>
      <c r="AO66" s="267">
        <f t="shared" si="144"/>
        <v>3510</v>
      </c>
      <c r="AP66" s="267"/>
      <c r="AQ66" s="267"/>
      <c r="AR66" s="267"/>
      <c r="AS66" s="267"/>
      <c r="AT66" s="267"/>
      <c r="AU66" s="267">
        <f>I66/13</f>
        <v>270</v>
      </c>
      <c r="AV66" s="267"/>
      <c r="AW66" s="267"/>
      <c r="AX66" s="267"/>
      <c r="AY66" s="267"/>
      <c r="AZ66" s="267"/>
      <c r="BA66" s="267"/>
      <c r="BB66" s="267"/>
      <c r="BC66" s="267"/>
      <c r="BD66" s="267"/>
      <c r="BE66" s="267"/>
      <c r="BF66" s="267"/>
      <c r="BG66" s="267"/>
      <c r="BH66" s="267"/>
      <c r="BI66" s="267"/>
      <c r="BJ66" s="269">
        <f t="shared" ref="BJ66:BR66" si="167">$I66*BJ$2</f>
        <v>429.609374999999</v>
      </c>
      <c r="BK66" s="269">
        <f t="shared" si="167"/>
        <v>429.609374999999</v>
      </c>
      <c r="BL66" s="269">
        <f t="shared" si="167"/>
        <v>429.609374999999</v>
      </c>
      <c r="BM66" s="269">
        <f t="shared" si="167"/>
        <v>429.609374999999</v>
      </c>
      <c r="BN66" s="269">
        <f t="shared" si="167"/>
        <v>429.609374999999</v>
      </c>
      <c r="BO66" s="269">
        <f t="shared" si="167"/>
        <v>429.609374999999</v>
      </c>
      <c r="BP66" s="269">
        <f t="shared" si="167"/>
        <v>429.609374999999</v>
      </c>
      <c r="BQ66" s="269">
        <f t="shared" si="167"/>
        <v>429.609374999999</v>
      </c>
      <c r="BR66" s="269">
        <f t="shared" si="167"/>
        <v>73.1249999999999</v>
      </c>
      <c r="BT66" s="60">
        <f t="shared" ref="BT66:CB66" si="168">BT65-BJ66</f>
        <v>90080.6953125</v>
      </c>
      <c r="BU66" s="60">
        <f t="shared" si="168"/>
        <v>90080.6953125</v>
      </c>
      <c r="BV66" s="60">
        <f t="shared" si="168"/>
        <v>90080.6953125</v>
      </c>
      <c r="BW66" s="60">
        <f t="shared" si="168"/>
        <v>90080.6953125</v>
      </c>
      <c r="BX66" s="60">
        <f t="shared" si="168"/>
        <v>90080.6953125</v>
      </c>
      <c r="BY66" s="60">
        <f t="shared" si="168"/>
        <v>90080.6953125</v>
      </c>
      <c r="BZ66" s="60">
        <f t="shared" si="168"/>
        <v>90080.6953125</v>
      </c>
      <c r="CA66" s="60">
        <f t="shared" si="168"/>
        <v>90080.6953125</v>
      </c>
      <c r="CB66" s="60">
        <f t="shared" si="168"/>
        <v>15284.4375</v>
      </c>
    </row>
    <row r="67" s="234" customFormat="1" ht="27" hidden="1" customHeight="1" spans="1:80">
      <c r="A67" s="236">
        <v>45756</v>
      </c>
      <c r="B67" s="237" t="s">
        <v>460</v>
      </c>
      <c r="C67" s="238" t="s">
        <v>396</v>
      </c>
      <c r="D67" s="239">
        <v>4500162622</v>
      </c>
      <c r="E67" s="238" t="s">
        <v>461</v>
      </c>
      <c r="F67" s="237" t="s">
        <v>462</v>
      </c>
      <c r="G67" s="240" t="s">
        <v>463</v>
      </c>
      <c r="H67" s="237" t="s">
        <v>464</v>
      </c>
      <c r="I67" s="247">
        <v>540</v>
      </c>
      <c r="J67" s="247">
        <v>27</v>
      </c>
      <c r="K67" s="247">
        <v>54</v>
      </c>
      <c r="L67" s="247">
        <f t="shared" si="24"/>
        <v>10</v>
      </c>
      <c r="M67" s="248">
        <v>45804</v>
      </c>
      <c r="N67" s="248">
        <v>45803</v>
      </c>
      <c r="O67" s="212"/>
      <c r="P67" s="212" t="s">
        <v>224</v>
      </c>
      <c r="Q67" s="212" t="s">
        <v>465</v>
      </c>
      <c r="R67" s="212">
        <v>45761</v>
      </c>
      <c r="S67" s="212" t="s">
        <v>80</v>
      </c>
      <c r="T67" s="212" t="s">
        <v>80</v>
      </c>
      <c r="U67" s="212"/>
      <c r="V67" s="259" t="s">
        <v>466</v>
      </c>
      <c r="W67" s="248" t="s">
        <v>467</v>
      </c>
      <c r="X67" s="260">
        <v>0.9779</v>
      </c>
      <c r="Y67" s="247">
        <f t="shared" si="154"/>
        <v>528.066</v>
      </c>
      <c r="Z67" s="248"/>
      <c r="AA67" s="259">
        <v>540</v>
      </c>
      <c r="AB67" s="259">
        <f t="shared" si="6"/>
        <v>0</v>
      </c>
      <c r="AC67" s="212" t="s">
        <v>80</v>
      </c>
      <c r="AD67" s="212" t="s">
        <v>114</v>
      </c>
      <c r="AE67" s="248" t="s">
        <v>463</v>
      </c>
      <c r="AF67" s="248" t="s">
        <v>115</v>
      </c>
      <c r="AG67" s="267">
        <f t="shared" si="142"/>
        <v>540</v>
      </c>
      <c r="AH67" s="267">
        <f t="shared" si="143"/>
        <v>540</v>
      </c>
      <c r="AJ67" s="267"/>
      <c r="AK67" s="267">
        <f>I67</f>
        <v>540</v>
      </c>
      <c r="AL67" s="267"/>
      <c r="AM67" s="267"/>
      <c r="AN67" s="267"/>
      <c r="AO67" s="267">
        <f t="shared" si="144"/>
        <v>540</v>
      </c>
      <c r="AP67" s="267"/>
      <c r="AQ67" s="267">
        <f>I67/27</f>
        <v>20</v>
      </c>
      <c r="AR67" s="267"/>
      <c r="AS67" s="267"/>
      <c r="AT67" s="267"/>
      <c r="AU67" s="267"/>
      <c r="AV67" s="267"/>
      <c r="AW67" s="267"/>
      <c r="AX67" s="267"/>
      <c r="AY67" s="267"/>
      <c r="AZ67" s="267"/>
      <c r="BA67" s="267"/>
      <c r="BB67" s="267"/>
      <c r="BC67" s="267"/>
      <c r="BD67" s="267"/>
      <c r="BE67" s="267"/>
      <c r="BF67" s="267"/>
      <c r="BG67" s="267"/>
      <c r="BH67" s="267"/>
      <c r="BI67" s="267"/>
      <c r="BJ67" s="269">
        <f t="shared" ref="BJ67:BR67" si="169">$I67*BJ$2</f>
        <v>66.0937499999998</v>
      </c>
      <c r="BK67" s="269">
        <f t="shared" si="169"/>
        <v>66.0937499999998</v>
      </c>
      <c r="BL67" s="269">
        <f t="shared" si="169"/>
        <v>66.0937499999998</v>
      </c>
      <c r="BM67" s="269">
        <f t="shared" si="169"/>
        <v>66.0937499999998</v>
      </c>
      <c r="BN67" s="269">
        <f t="shared" si="169"/>
        <v>66.0937499999998</v>
      </c>
      <c r="BO67" s="269">
        <f t="shared" si="169"/>
        <v>66.0937499999998</v>
      </c>
      <c r="BP67" s="269">
        <f t="shared" si="169"/>
        <v>66.0937499999998</v>
      </c>
      <c r="BQ67" s="269">
        <f t="shared" si="169"/>
        <v>66.0937499999998</v>
      </c>
      <c r="BR67" s="269">
        <f t="shared" si="169"/>
        <v>11.25</v>
      </c>
      <c r="BT67" s="60">
        <f t="shared" ref="BT67:CB67" si="170">BT66-BJ67</f>
        <v>90014.6015625</v>
      </c>
      <c r="BU67" s="60">
        <f t="shared" si="170"/>
        <v>90014.6015625</v>
      </c>
      <c r="BV67" s="60">
        <f t="shared" si="170"/>
        <v>90014.6015625</v>
      </c>
      <c r="BW67" s="60">
        <f t="shared" si="170"/>
        <v>90014.6015625</v>
      </c>
      <c r="BX67" s="60">
        <f t="shared" si="170"/>
        <v>90014.6015625</v>
      </c>
      <c r="BY67" s="60">
        <f t="shared" si="170"/>
        <v>90014.6015625</v>
      </c>
      <c r="BZ67" s="60">
        <f t="shared" si="170"/>
        <v>90014.6015625</v>
      </c>
      <c r="CA67" s="60">
        <f t="shared" si="170"/>
        <v>90014.6015625</v>
      </c>
      <c r="CB67" s="60">
        <f t="shared" si="170"/>
        <v>15273.1875</v>
      </c>
    </row>
    <row r="68" s="234" customFormat="1" ht="27" hidden="1" customHeight="1" spans="1:80">
      <c r="A68" s="236">
        <v>45771</v>
      </c>
      <c r="B68" s="237" t="s">
        <v>468</v>
      </c>
      <c r="C68" s="238" t="s">
        <v>129</v>
      </c>
      <c r="D68" s="239">
        <v>4500164783</v>
      </c>
      <c r="E68" s="238">
        <v>5200006663</v>
      </c>
      <c r="F68" s="237" t="s">
        <v>469</v>
      </c>
      <c r="G68" s="240" t="s">
        <v>470</v>
      </c>
      <c r="H68" s="237" t="s">
        <v>132</v>
      </c>
      <c r="I68" s="247">
        <v>1458</v>
      </c>
      <c r="J68" s="247">
        <v>0</v>
      </c>
      <c r="K68" s="247">
        <v>27</v>
      </c>
      <c r="L68" s="247">
        <f t="shared" si="24"/>
        <v>54</v>
      </c>
      <c r="M68" s="248">
        <v>45804</v>
      </c>
      <c r="N68" s="248">
        <v>45803</v>
      </c>
      <c r="O68" s="212"/>
      <c r="P68" s="212" t="s">
        <v>107</v>
      </c>
      <c r="Q68" s="212" t="s">
        <v>425</v>
      </c>
      <c r="R68" s="212">
        <v>45772</v>
      </c>
      <c r="S68" s="212" t="s">
        <v>80</v>
      </c>
      <c r="T68" s="212" t="s">
        <v>80</v>
      </c>
      <c r="U68" s="212"/>
      <c r="V68" s="259" t="s">
        <v>471</v>
      </c>
      <c r="W68" s="248" t="s">
        <v>472</v>
      </c>
      <c r="X68" s="260">
        <v>0.7581</v>
      </c>
      <c r="Y68" s="247">
        <f t="shared" si="154"/>
        <v>1105.3098</v>
      </c>
      <c r="Z68" s="248"/>
      <c r="AA68" s="259">
        <f>1458</f>
        <v>1458</v>
      </c>
      <c r="AB68" s="259">
        <f t="shared" si="6"/>
        <v>0</v>
      </c>
      <c r="AC68" s="212" t="s">
        <v>113</v>
      </c>
      <c r="AD68" s="212" t="s">
        <v>114</v>
      </c>
      <c r="AE68" s="248" t="s">
        <v>434</v>
      </c>
      <c r="AF68" s="248" t="s">
        <v>115</v>
      </c>
      <c r="AG68" s="267">
        <f t="shared" si="142"/>
        <v>1458</v>
      </c>
      <c r="AH68" s="267">
        <f t="shared" si="143"/>
        <v>1458</v>
      </c>
      <c r="AJ68" s="267"/>
      <c r="AK68" s="267"/>
      <c r="AL68" s="267">
        <f t="shared" ref="AL68:AL70" si="171">I68</f>
        <v>1458</v>
      </c>
      <c r="AM68" s="267"/>
      <c r="AN68" s="267"/>
      <c r="AO68" s="267">
        <f t="shared" si="144"/>
        <v>1458</v>
      </c>
      <c r="AP68" s="267"/>
      <c r="AQ68" s="267"/>
      <c r="AR68" s="267">
        <f t="shared" ref="AR68:AR73" si="172">I68/27</f>
        <v>54</v>
      </c>
      <c r="AS68" s="267"/>
      <c r="AT68" s="267"/>
      <c r="AU68" s="267"/>
      <c r="AV68" s="267"/>
      <c r="AW68" s="267"/>
      <c r="AX68" s="267"/>
      <c r="AY68" s="267"/>
      <c r="AZ68" s="267"/>
      <c r="BA68" s="267"/>
      <c r="BB68" s="267"/>
      <c r="BC68" s="267"/>
      <c r="BD68" s="267"/>
      <c r="BE68" s="267"/>
      <c r="BF68" s="267"/>
      <c r="BG68" s="267"/>
      <c r="BH68" s="267"/>
      <c r="BI68" s="267"/>
      <c r="BJ68" s="269">
        <f t="shared" ref="BJ68:BR68" si="173">$I68*BJ$2</f>
        <v>178.453125</v>
      </c>
      <c r="BK68" s="269">
        <f t="shared" si="173"/>
        <v>178.453125</v>
      </c>
      <c r="BL68" s="269">
        <f t="shared" si="173"/>
        <v>178.453125</v>
      </c>
      <c r="BM68" s="269">
        <f t="shared" si="173"/>
        <v>178.453125</v>
      </c>
      <c r="BN68" s="269">
        <f t="shared" si="173"/>
        <v>178.453125</v>
      </c>
      <c r="BO68" s="269">
        <f t="shared" si="173"/>
        <v>178.453125</v>
      </c>
      <c r="BP68" s="269">
        <f t="shared" si="173"/>
        <v>178.453125</v>
      </c>
      <c r="BQ68" s="269">
        <f t="shared" si="173"/>
        <v>178.453125</v>
      </c>
      <c r="BR68" s="269">
        <f t="shared" si="173"/>
        <v>30.375</v>
      </c>
      <c r="BT68" s="60">
        <f t="shared" ref="BT68:CB68" si="174">BT67-BJ68</f>
        <v>89836.1484375</v>
      </c>
      <c r="BU68" s="60">
        <f t="shared" si="174"/>
        <v>89836.1484375</v>
      </c>
      <c r="BV68" s="60">
        <f t="shared" si="174"/>
        <v>89836.1484375</v>
      </c>
      <c r="BW68" s="60">
        <f t="shared" si="174"/>
        <v>89836.1484375</v>
      </c>
      <c r="BX68" s="60">
        <f t="shared" si="174"/>
        <v>89836.1484375</v>
      </c>
      <c r="BY68" s="60">
        <f t="shared" si="174"/>
        <v>89836.1484375</v>
      </c>
      <c r="BZ68" s="60">
        <f t="shared" si="174"/>
        <v>89836.1484375</v>
      </c>
      <c r="CA68" s="60">
        <f t="shared" si="174"/>
        <v>89836.1484375</v>
      </c>
      <c r="CB68" s="60">
        <f t="shared" si="174"/>
        <v>15242.8125</v>
      </c>
    </row>
    <row r="69" s="234" customFormat="1" ht="27" hidden="1" customHeight="1" spans="1:80">
      <c r="A69" s="236">
        <v>45765</v>
      </c>
      <c r="B69" s="237" t="s">
        <v>473</v>
      </c>
      <c r="C69" s="238" t="s">
        <v>474</v>
      </c>
      <c r="D69" s="239">
        <v>4500164226</v>
      </c>
      <c r="E69" s="238" t="s">
        <v>475</v>
      </c>
      <c r="F69" s="237" t="s">
        <v>476</v>
      </c>
      <c r="G69" s="240" t="s">
        <v>131</v>
      </c>
      <c r="H69" s="237" t="s">
        <v>132</v>
      </c>
      <c r="I69" s="247">
        <v>729</v>
      </c>
      <c r="J69" s="247">
        <v>0</v>
      </c>
      <c r="K69" s="247">
        <v>27</v>
      </c>
      <c r="L69" s="247">
        <f t="shared" si="24"/>
        <v>27</v>
      </c>
      <c r="M69" s="248">
        <v>45811</v>
      </c>
      <c r="N69" s="248">
        <v>45807</v>
      </c>
      <c r="O69" s="212" t="s">
        <v>477</v>
      </c>
      <c r="P69" s="212" t="s">
        <v>224</v>
      </c>
      <c r="Q69" s="212" t="s">
        <v>478</v>
      </c>
      <c r="R69" s="212">
        <v>45772</v>
      </c>
      <c r="S69" s="212" t="s">
        <v>80</v>
      </c>
      <c r="T69" s="212" t="s">
        <v>479</v>
      </c>
      <c r="U69" s="212"/>
      <c r="V69" s="259" t="s">
        <v>480</v>
      </c>
      <c r="W69" s="248" t="s">
        <v>459</v>
      </c>
      <c r="X69" s="260">
        <v>0.7792</v>
      </c>
      <c r="Y69" s="247">
        <f t="shared" si="154"/>
        <v>568.0368</v>
      </c>
      <c r="Z69" s="248"/>
      <c r="AA69" s="259">
        <v>729</v>
      </c>
      <c r="AB69" s="259">
        <f t="shared" si="6"/>
        <v>0</v>
      </c>
      <c r="AC69" s="212" t="s">
        <v>113</v>
      </c>
      <c r="AD69" s="212" t="s">
        <v>114</v>
      </c>
      <c r="AE69" s="248" t="s">
        <v>434</v>
      </c>
      <c r="AF69" s="248" t="s">
        <v>115</v>
      </c>
      <c r="AG69" s="267">
        <f t="shared" si="142"/>
        <v>729</v>
      </c>
      <c r="AH69" s="267">
        <f t="shared" si="143"/>
        <v>729</v>
      </c>
      <c r="AJ69" s="267"/>
      <c r="AK69" s="267"/>
      <c r="AL69" s="267">
        <f t="shared" si="171"/>
        <v>729</v>
      </c>
      <c r="AM69" s="267"/>
      <c r="AN69" s="267"/>
      <c r="AO69" s="267">
        <f t="shared" si="144"/>
        <v>729</v>
      </c>
      <c r="AP69" s="267"/>
      <c r="AQ69" s="267"/>
      <c r="AR69" s="267">
        <f t="shared" si="172"/>
        <v>27</v>
      </c>
      <c r="AS69" s="267"/>
      <c r="AT69" s="267"/>
      <c r="AU69" s="267"/>
      <c r="AV69" s="267"/>
      <c r="AW69" s="267"/>
      <c r="AX69" s="267"/>
      <c r="AY69" s="267"/>
      <c r="AZ69" s="267"/>
      <c r="BA69" s="267"/>
      <c r="BB69" s="267"/>
      <c r="BC69" s="267"/>
      <c r="BD69" s="267"/>
      <c r="BE69" s="267"/>
      <c r="BF69" s="267"/>
      <c r="BG69" s="267"/>
      <c r="BH69" s="267"/>
      <c r="BI69" s="267"/>
      <c r="BJ69" s="269">
        <f t="shared" ref="BJ69:BR69" si="175">$I69*BJ$2</f>
        <v>89.2265624999998</v>
      </c>
      <c r="BK69" s="269">
        <f t="shared" si="175"/>
        <v>89.2265624999998</v>
      </c>
      <c r="BL69" s="269">
        <f t="shared" si="175"/>
        <v>89.2265624999998</v>
      </c>
      <c r="BM69" s="269">
        <f t="shared" si="175"/>
        <v>89.2265624999998</v>
      </c>
      <c r="BN69" s="269">
        <f t="shared" si="175"/>
        <v>89.2265624999998</v>
      </c>
      <c r="BO69" s="269">
        <f t="shared" si="175"/>
        <v>89.2265624999998</v>
      </c>
      <c r="BP69" s="269">
        <f t="shared" si="175"/>
        <v>89.2265624999998</v>
      </c>
      <c r="BQ69" s="269">
        <f t="shared" si="175"/>
        <v>89.2265624999998</v>
      </c>
      <c r="BR69" s="269">
        <f t="shared" si="175"/>
        <v>15.1875</v>
      </c>
      <c r="BT69" s="60">
        <f t="shared" ref="BT69:CB69" si="176">BT68-BJ69</f>
        <v>89746.921875</v>
      </c>
      <c r="BU69" s="60">
        <f t="shared" si="176"/>
        <v>89746.921875</v>
      </c>
      <c r="BV69" s="60">
        <f t="shared" si="176"/>
        <v>89746.921875</v>
      </c>
      <c r="BW69" s="60">
        <f t="shared" si="176"/>
        <v>89746.921875</v>
      </c>
      <c r="BX69" s="60">
        <f t="shared" si="176"/>
        <v>89746.921875</v>
      </c>
      <c r="BY69" s="60">
        <f t="shared" si="176"/>
        <v>89746.921875</v>
      </c>
      <c r="BZ69" s="60">
        <f t="shared" si="176"/>
        <v>89746.921875</v>
      </c>
      <c r="CA69" s="60">
        <f t="shared" si="176"/>
        <v>89746.921875</v>
      </c>
      <c r="CB69" s="60">
        <f t="shared" si="176"/>
        <v>15227.625</v>
      </c>
    </row>
    <row r="70" s="234" customFormat="1" ht="27" hidden="1" customHeight="1" spans="1:80">
      <c r="A70" s="236">
        <v>45765</v>
      </c>
      <c r="B70" s="237" t="s">
        <v>473</v>
      </c>
      <c r="C70" s="238" t="s">
        <v>474</v>
      </c>
      <c r="D70" s="239">
        <v>4500164226</v>
      </c>
      <c r="E70" s="238" t="s">
        <v>475</v>
      </c>
      <c r="F70" s="237" t="s">
        <v>481</v>
      </c>
      <c r="G70" s="240" t="s">
        <v>424</v>
      </c>
      <c r="H70" s="237" t="s">
        <v>174</v>
      </c>
      <c r="I70" s="247">
        <v>462</v>
      </c>
      <c r="J70" s="247">
        <v>0</v>
      </c>
      <c r="K70" s="247">
        <v>33</v>
      </c>
      <c r="L70" s="247">
        <f t="shared" si="24"/>
        <v>14</v>
      </c>
      <c r="M70" s="248">
        <v>45811</v>
      </c>
      <c r="N70" s="248">
        <v>45807</v>
      </c>
      <c r="O70" s="212" t="s">
        <v>477</v>
      </c>
      <c r="P70" s="212" t="s">
        <v>224</v>
      </c>
      <c r="Q70" s="212" t="s">
        <v>478</v>
      </c>
      <c r="R70" s="212">
        <v>45772</v>
      </c>
      <c r="S70" s="212" t="s">
        <v>80</v>
      </c>
      <c r="T70" s="212" t="s">
        <v>482</v>
      </c>
      <c r="U70" s="212"/>
      <c r="V70" s="259" t="s">
        <v>483</v>
      </c>
      <c r="W70" s="248" t="s">
        <v>459</v>
      </c>
      <c r="X70" s="260">
        <v>38.3485</v>
      </c>
      <c r="Y70" s="247">
        <f>X70*L70</f>
        <v>536.879</v>
      </c>
      <c r="Z70" s="248"/>
      <c r="AA70" s="259">
        <v>462</v>
      </c>
      <c r="AB70" s="259">
        <f t="shared" si="6"/>
        <v>0</v>
      </c>
      <c r="AC70" s="212" t="s">
        <v>113</v>
      </c>
      <c r="AD70" s="212" t="s">
        <v>114</v>
      </c>
      <c r="AE70" s="240" t="s">
        <v>484</v>
      </c>
      <c r="AF70" s="248" t="s">
        <v>115</v>
      </c>
      <c r="AG70" s="267">
        <f t="shared" si="142"/>
        <v>462</v>
      </c>
      <c r="AH70" s="267">
        <f t="shared" si="143"/>
        <v>462</v>
      </c>
      <c r="AJ70" s="267"/>
      <c r="AK70" s="267"/>
      <c r="AL70" s="267">
        <f t="shared" si="171"/>
        <v>462</v>
      </c>
      <c r="AM70" s="267"/>
      <c r="AN70" s="267"/>
      <c r="AO70" s="267">
        <f t="shared" si="144"/>
        <v>462</v>
      </c>
      <c r="AP70" s="267"/>
      <c r="AQ70" s="267"/>
      <c r="AR70" s="267"/>
      <c r="AS70" s="267"/>
      <c r="AT70" s="267"/>
      <c r="AU70" s="267"/>
      <c r="AV70" s="267"/>
      <c r="AW70" s="267"/>
      <c r="AX70" s="267"/>
      <c r="AY70" s="267"/>
      <c r="AZ70" s="267"/>
      <c r="BA70" s="267"/>
      <c r="BB70" s="267"/>
      <c r="BC70" s="267"/>
      <c r="BD70" s="267">
        <f>I70/33</f>
        <v>14</v>
      </c>
      <c r="BE70" s="267">
        <f>BD70</f>
        <v>14</v>
      </c>
      <c r="BF70" s="267"/>
      <c r="BG70" s="267"/>
      <c r="BH70" s="267"/>
      <c r="BI70" s="267"/>
      <c r="BJ70" s="269">
        <f t="shared" ref="BJ70:BR70" si="177">$I70*BJ$2</f>
        <v>56.5468749999998</v>
      </c>
      <c r="BK70" s="269">
        <f t="shared" si="177"/>
        <v>56.5468749999998</v>
      </c>
      <c r="BL70" s="269">
        <f t="shared" si="177"/>
        <v>56.5468749999998</v>
      </c>
      <c r="BM70" s="269">
        <f t="shared" si="177"/>
        <v>56.5468749999998</v>
      </c>
      <c r="BN70" s="269">
        <f t="shared" si="177"/>
        <v>56.5468749999998</v>
      </c>
      <c r="BO70" s="269">
        <f t="shared" si="177"/>
        <v>56.5468749999998</v>
      </c>
      <c r="BP70" s="269">
        <f t="shared" si="177"/>
        <v>56.5468749999998</v>
      </c>
      <c r="BQ70" s="269">
        <f t="shared" si="177"/>
        <v>56.5468749999998</v>
      </c>
      <c r="BR70" s="269">
        <f t="shared" si="177"/>
        <v>9.62499999999999</v>
      </c>
      <c r="BT70" s="60">
        <f t="shared" ref="BT70:CB70" si="178">BT69-BJ70</f>
        <v>89690.375</v>
      </c>
      <c r="BU70" s="60">
        <f t="shared" si="178"/>
        <v>89690.375</v>
      </c>
      <c r="BV70" s="60">
        <f t="shared" si="178"/>
        <v>89690.375</v>
      </c>
      <c r="BW70" s="60">
        <f t="shared" si="178"/>
        <v>89690.375</v>
      </c>
      <c r="BX70" s="60">
        <f t="shared" si="178"/>
        <v>89690.375</v>
      </c>
      <c r="BY70" s="60">
        <f t="shared" si="178"/>
        <v>89690.375</v>
      </c>
      <c r="BZ70" s="60">
        <f t="shared" si="178"/>
        <v>89690.375</v>
      </c>
      <c r="CA70" s="60">
        <f t="shared" si="178"/>
        <v>89690.375</v>
      </c>
      <c r="CB70" s="60">
        <f t="shared" si="178"/>
        <v>15218</v>
      </c>
    </row>
    <row r="71" s="235" customFormat="1" ht="27" hidden="1" customHeight="1" spans="1:80">
      <c r="A71" s="241">
        <v>45701</v>
      </c>
      <c r="B71" s="242" t="s">
        <v>169</v>
      </c>
      <c r="C71" s="243" t="s">
        <v>170</v>
      </c>
      <c r="D71" s="244">
        <v>4500157534</v>
      </c>
      <c r="E71" s="252" t="s">
        <v>485</v>
      </c>
      <c r="F71" s="242" t="s">
        <v>486</v>
      </c>
      <c r="G71" s="245" t="s">
        <v>152</v>
      </c>
      <c r="H71" s="242" t="s">
        <v>153</v>
      </c>
      <c r="I71" s="250">
        <v>156</v>
      </c>
      <c r="J71" s="250">
        <v>0</v>
      </c>
      <c r="K71" s="250">
        <v>13</v>
      </c>
      <c r="L71" s="250">
        <f t="shared" si="24"/>
        <v>12</v>
      </c>
      <c r="M71" s="251">
        <v>45731</v>
      </c>
      <c r="N71" s="251">
        <v>45813</v>
      </c>
      <c r="O71" s="252"/>
      <c r="P71" s="252" t="s">
        <v>224</v>
      </c>
      <c r="Q71" s="252" t="s">
        <v>487</v>
      </c>
      <c r="R71" s="252" t="s">
        <v>488</v>
      </c>
      <c r="S71" s="252" t="s">
        <v>191</v>
      </c>
      <c r="T71" s="252" t="s">
        <v>489</v>
      </c>
      <c r="U71" s="252"/>
      <c r="V71" s="261" t="s">
        <v>490</v>
      </c>
      <c r="W71" s="251" t="s">
        <v>178</v>
      </c>
      <c r="X71" s="260">
        <v>0.7812</v>
      </c>
      <c r="Y71" s="250">
        <f t="shared" ref="Y71:Y75" si="179">X71*I71</f>
        <v>121.8672</v>
      </c>
      <c r="Z71" s="266"/>
      <c r="AA71" s="261">
        <v>156</v>
      </c>
      <c r="AB71" s="261">
        <f t="shared" si="6"/>
        <v>0</v>
      </c>
      <c r="AC71" s="252" t="s">
        <v>113</v>
      </c>
      <c r="AD71" s="252" t="s">
        <v>491</v>
      </c>
      <c r="AE71" s="251" t="s">
        <v>152</v>
      </c>
      <c r="AF71" s="251" t="s">
        <v>115</v>
      </c>
      <c r="AG71" s="268"/>
      <c r="AH71" s="268"/>
      <c r="AI71" s="268"/>
      <c r="AJ71" s="268"/>
      <c r="AK71" s="268"/>
      <c r="AL71" s="268"/>
      <c r="AM71" s="268"/>
      <c r="AN71" s="268"/>
      <c r="AO71" s="268"/>
      <c r="AP71" s="268"/>
      <c r="AQ71" s="268"/>
      <c r="AR71" s="268"/>
      <c r="AS71" s="268"/>
      <c r="AT71" s="268"/>
      <c r="AU71" s="268"/>
      <c r="AV71" s="268"/>
      <c r="AW71" s="268"/>
      <c r="AX71" s="268"/>
      <c r="AY71" s="268"/>
      <c r="AZ71" s="268"/>
      <c r="BA71" s="268"/>
      <c r="BB71" s="268"/>
      <c r="BC71" s="268"/>
      <c r="BD71" s="268"/>
      <c r="BE71" s="268"/>
      <c r="BF71" s="268"/>
      <c r="BG71" s="268"/>
      <c r="BH71" s="268"/>
      <c r="BI71" s="268"/>
      <c r="BJ71" s="60">
        <f t="shared" ref="BJ71:BR71" si="180">$I71*BJ$2</f>
        <v>19.0937499999999</v>
      </c>
      <c r="BK71" s="60">
        <f t="shared" si="180"/>
        <v>19.0937499999999</v>
      </c>
      <c r="BL71" s="60">
        <f t="shared" si="180"/>
        <v>19.0937499999999</v>
      </c>
      <c r="BM71" s="60">
        <f t="shared" si="180"/>
        <v>19.0937499999999</v>
      </c>
      <c r="BN71" s="60">
        <f t="shared" si="180"/>
        <v>19.0937499999999</v>
      </c>
      <c r="BO71" s="60">
        <f t="shared" si="180"/>
        <v>19.0937499999999</v>
      </c>
      <c r="BP71" s="60">
        <f t="shared" si="180"/>
        <v>19.0937499999999</v>
      </c>
      <c r="BQ71" s="60">
        <f t="shared" si="180"/>
        <v>19.0937499999999</v>
      </c>
      <c r="BR71" s="60">
        <f t="shared" si="180"/>
        <v>3.24999999999999</v>
      </c>
      <c r="BT71" s="60">
        <f t="shared" ref="BT71:CB71" si="181">BT70-BJ71</f>
        <v>89671.28125</v>
      </c>
      <c r="BU71" s="60">
        <f t="shared" si="181"/>
        <v>89671.28125</v>
      </c>
      <c r="BV71" s="60">
        <f t="shared" si="181"/>
        <v>89671.28125</v>
      </c>
      <c r="BW71" s="60">
        <f t="shared" si="181"/>
        <v>89671.28125</v>
      </c>
      <c r="BX71" s="60">
        <f t="shared" si="181"/>
        <v>89671.28125</v>
      </c>
      <c r="BY71" s="60">
        <f t="shared" si="181"/>
        <v>89671.28125</v>
      </c>
      <c r="BZ71" s="60">
        <f t="shared" si="181"/>
        <v>89671.28125</v>
      </c>
      <c r="CA71" s="60">
        <f t="shared" si="181"/>
        <v>89671.28125</v>
      </c>
      <c r="CB71" s="60">
        <f t="shared" si="181"/>
        <v>15214.75</v>
      </c>
    </row>
    <row r="72" s="235" customFormat="1" ht="27" hidden="1" customHeight="1" spans="1:87">
      <c r="A72" s="241">
        <v>45775</v>
      </c>
      <c r="B72" s="242" t="s">
        <v>492</v>
      </c>
      <c r="C72" s="243" t="s">
        <v>493</v>
      </c>
      <c r="D72" s="244">
        <v>4500164939</v>
      </c>
      <c r="E72" s="243" t="s">
        <v>494</v>
      </c>
      <c r="F72" s="242" t="s">
        <v>495</v>
      </c>
      <c r="G72" s="245" t="s">
        <v>188</v>
      </c>
      <c r="H72" s="242" t="s">
        <v>120</v>
      </c>
      <c r="I72" s="250">
        <v>744</v>
      </c>
      <c r="J72" s="250">
        <v>0</v>
      </c>
      <c r="K72" s="250">
        <v>12</v>
      </c>
      <c r="L72" s="250">
        <f t="shared" si="24"/>
        <v>62</v>
      </c>
      <c r="M72" s="251">
        <v>45806</v>
      </c>
      <c r="N72" s="251">
        <v>45811</v>
      </c>
      <c r="O72" s="252"/>
      <c r="P72" s="252" t="s">
        <v>224</v>
      </c>
      <c r="Q72" s="252" t="s">
        <v>496</v>
      </c>
      <c r="R72" s="252">
        <v>45777</v>
      </c>
      <c r="S72" s="252" t="s">
        <v>191</v>
      </c>
      <c r="T72" s="252" t="s">
        <v>497</v>
      </c>
      <c r="U72" s="252"/>
      <c r="V72" s="261" t="s">
        <v>498</v>
      </c>
      <c r="W72" s="251" t="s">
        <v>194</v>
      </c>
      <c r="X72" s="260">
        <v>1.8228</v>
      </c>
      <c r="Y72" s="250">
        <f t="shared" si="179"/>
        <v>1356.1632</v>
      </c>
      <c r="Z72" s="251"/>
      <c r="AA72" s="261">
        <v>744</v>
      </c>
      <c r="AB72" s="261">
        <f t="shared" ref="AB72:AB104" si="182">AA72-I72</f>
        <v>0</v>
      </c>
      <c r="AC72" s="252" t="s">
        <v>113</v>
      </c>
      <c r="AD72" s="252" t="s">
        <v>114</v>
      </c>
      <c r="AE72" s="251" t="s">
        <v>188</v>
      </c>
      <c r="AF72" s="251" t="s">
        <v>115</v>
      </c>
      <c r="AG72" s="268">
        <f>I72*2</f>
        <v>1488</v>
      </c>
      <c r="AH72" s="268">
        <f>I72*2</f>
        <v>1488</v>
      </c>
      <c r="AJ72" s="268"/>
      <c r="AK72" s="268"/>
      <c r="AL72" s="268">
        <f>I72*2</f>
        <v>1488</v>
      </c>
      <c r="AM72" s="268"/>
      <c r="AN72" s="268"/>
      <c r="AO72" s="268">
        <f>I72*2</f>
        <v>1488</v>
      </c>
      <c r="AP72" s="268"/>
      <c r="AQ72" s="268"/>
      <c r="AR72" s="268"/>
      <c r="AS72" s="268"/>
      <c r="AT72" s="268"/>
      <c r="AU72" s="268"/>
      <c r="AV72" s="268"/>
      <c r="AW72" s="268"/>
      <c r="AX72" s="268"/>
      <c r="AY72" s="268"/>
      <c r="AZ72" s="268"/>
      <c r="BA72" s="268"/>
      <c r="BB72" s="268"/>
      <c r="BC72" s="268"/>
      <c r="BD72" s="268"/>
      <c r="BE72" s="268"/>
      <c r="BF72" s="268">
        <f>I72</f>
        <v>744</v>
      </c>
      <c r="BG72" s="268">
        <f>I72</f>
        <v>744</v>
      </c>
      <c r="BH72" s="268"/>
      <c r="BI72" s="268"/>
      <c r="BJ72" s="60">
        <f t="shared" ref="BJ72:BR72" si="183">$I72*BJ$2*2</f>
        <v>182.124999999999</v>
      </c>
      <c r="BK72" s="60">
        <f t="shared" si="183"/>
        <v>182.124999999999</v>
      </c>
      <c r="BL72" s="60">
        <f t="shared" si="183"/>
        <v>182.124999999999</v>
      </c>
      <c r="BM72" s="60">
        <f t="shared" si="183"/>
        <v>182.124999999999</v>
      </c>
      <c r="BN72" s="60">
        <f t="shared" si="183"/>
        <v>182.124999999999</v>
      </c>
      <c r="BO72" s="60">
        <f t="shared" si="183"/>
        <v>182.124999999999</v>
      </c>
      <c r="BP72" s="60">
        <f t="shared" si="183"/>
        <v>182.124999999999</v>
      </c>
      <c r="BQ72" s="60">
        <f t="shared" si="183"/>
        <v>182.124999999999</v>
      </c>
      <c r="BR72" s="60">
        <f t="shared" si="183"/>
        <v>31</v>
      </c>
      <c r="BT72" s="60">
        <f t="shared" ref="BT72:CB72" si="184">BT71-BJ72</f>
        <v>89489.15625</v>
      </c>
      <c r="BU72" s="60">
        <f t="shared" si="184"/>
        <v>89489.15625</v>
      </c>
      <c r="BV72" s="60">
        <f t="shared" si="184"/>
        <v>89489.15625</v>
      </c>
      <c r="BW72" s="60">
        <f t="shared" si="184"/>
        <v>89489.15625</v>
      </c>
      <c r="BX72" s="60">
        <f t="shared" si="184"/>
        <v>89489.15625</v>
      </c>
      <c r="BY72" s="60">
        <f t="shared" si="184"/>
        <v>89489.15625</v>
      </c>
      <c r="BZ72" s="60">
        <f t="shared" si="184"/>
        <v>89489.15625</v>
      </c>
      <c r="CA72" s="60">
        <f t="shared" si="184"/>
        <v>89489.15625</v>
      </c>
      <c r="CB72" s="60">
        <f t="shared" si="184"/>
        <v>15183.75</v>
      </c>
      <c r="CD72" s="282" t="s">
        <v>499</v>
      </c>
      <c r="CH72" s="235">
        <f>CH94-I72</f>
        <v>8752</v>
      </c>
      <c r="CI72" s="235">
        <f>CI94-I72</f>
        <v>3752</v>
      </c>
    </row>
    <row r="73" s="235" customFormat="1" ht="27" hidden="1" customHeight="1" spans="1:80">
      <c r="A73" s="241">
        <v>45740</v>
      </c>
      <c r="B73" s="242" t="s">
        <v>500</v>
      </c>
      <c r="C73" s="243" t="s">
        <v>129</v>
      </c>
      <c r="D73" s="244">
        <v>4500161168</v>
      </c>
      <c r="E73" s="243">
        <v>10349100</v>
      </c>
      <c r="F73" s="242" t="s">
        <v>501</v>
      </c>
      <c r="G73" s="245" t="s">
        <v>78</v>
      </c>
      <c r="H73" s="242" t="s">
        <v>79</v>
      </c>
      <c r="I73" s="250">
        <v>2754</v>
      </c>
      <c r="J73" s="250">
        <v>0</v>
      </c>
      <c r="K73" s="250">
        <v>54</v>
      </c>
      <c r="L73" s="250">
        <f t="shared" si="24"/>
        <v>51</v>
      </c>
      <c r="M73" s="251">
        <v>45807</v>
      </c>
      <c r="N73" s="251">
        <v>45811</v>
      </c>
      <c r="O73" s="252"/>
      <c r="P73" s="212" t="s">
        <v>107</v>
      </c>
      <c r="Q73" s="252" t="s">
        <v>502</v>
      </c>
      <c r="R73" s="252">
        <v>45772</v>
      </c>
      <c r="S73" s="252" t="s">
        <v>80</v>
      </c>
      <c r="T73" s="252" t="s">
        <v>503</v>
      </c>
      <c r="U73" s="252" t="s">
        <v>156</v>
      </c>
      <c r="V73" s="261" t="s">
        <v>504</v>
      </c>
      <c r="W73" s="266" t="s">
        <v>505</v>
      </c>
      <c r="X73" s="260">
        <v>0.7913</v>
      </c>
      <c r="Y73" s="250">
        <f t="shared" si="179"/>
        <v>2179.2402</v>
      </c>
      <c r="Z73" s="251"/>
      <c r="AA73" s="261">
        <v>2754</v>
      </c>
      <c r="AB73" s="261">
        <f t="shared" si="182"/>
        <v>0</v>
      </c>
      <c r="AC73" s="252" t="s">
        <v>113</v>
      </c>
      <c r="AD73" s="252" t="s">
        <v>114</v>
      </c>
      <c r="AE73" s="251" t="s">
        <v>78</v>
      </c>
      <c r="AF73" s="251" t="s">
        <v>115</v>
      </c>
      <c r="AG73" s="268">
        <f t="shared" ref="AG73:AG93" si="185">I73</f>
        <v>2754</v>
      </c>
      <c r="AH73" s="268">
        <f t="shared" ref="AH73:AH93" si="186">I73</f>
        <v>2754</v>
      </c>
      <c r="AI73" s="268"/>
      <c r="AJ73" s="268"/>
      <c r="AL73" s="268">
        <f t="shared" ref="AL73:AL76" si="187">I73</f>
        <v>2754</v>
      </c>
      <c r="AM73" s="268"/>
      <c r="AN73" s="268"/>
      <c r="AO73" s="268">
        <f t="shared" ref="AO73:AO84" si="188">I73</f>
        <v>2754</v>
      </c>
      <c r="AP73" s="268"/>
      <c r="AQ73" s="268"/>
      <c r="AR73" s="268">
        <f t="shared" si="172"/>
        <v>102</v>
      </c>
      <c r="AS73" s="268"/>
      <c r="AT73" s="268"/>
      <c r="AU73" s="268"/>
      <c r="AV73" s="268"/>
      <c r="AW73" s="268"/>
      <c r="AX73" s="268"/>
      <c r="AY73" s="268"/>
      <c r="AZ73" s="268"/>
      <c r="BA73" s="268"/>
      <c r="BB73" s="268"/>
      <c r="BC73" s="268"/>
      <c r="BD73" s="268"/>
      <c r="BE73" s="268"/>
      <c r="BF73" s="268"/>
      <c r="BG73" s="268"/>
      <c r="BH73" s="268"/>
      <c r="BI73" s="268"/>
      <c r="BJ73" s="269">
        <f t="shared" ref="BJ73:BR73" si="189">$I73*BJ$2</f>
        <v>337.078124999999</v>
      </c>
      <c r="BK73" s="269">
        <f t="shared" si="189"/>
        <v>337.078124999999</v>
      </c>
      <c r="BL73" s="269">
        <f t="shared" si="189"/>
        <v>337.078124999999</v>
      </c>
      <c r="BM73" s="269">
        <f t="shared" si="189"/>
        <v>337.078124999999</v>
      </c>
      <c r="BN73" s="269">
        <f t="shared" si="189"/>
        <v>337.078124999999</v>
      </c>
      <c r="BO73" s="269">
        <f t="shared" si="189"/>
        <v>337.078124999999</v>
      </c>
      <c r="BP73" s="269">
        <f t="shared" si="189"/>
        <v>337.078124999999</v>
      </c>
      <c r="BQ73" s="269">
        <f t="shared" si="189"/>
        <v>337.078124999999</v>
      </c>
      <c r="BR73" s="269">
        <f t="shared" si="189"/>
        <v>57.3749999999999</v>
      </c>
      <c r="BT73" s="60">
        <f t="shared" ref="BT73:CB73" si="190">BT72-BJ73</f>
        <v>89152.078125</v>
      </c>
      <c r="BU73" s="60">
        <f t="shared" si="190"/>
        <v>89152.078125</v>
      </c>
      <c r="BV73" s="60">
        <f t="shared" si="190"/>
        <v>89152.078125</v>
      </c>
      <c r="BW73" s="60">
        <f t="shared" si="190"/>
        <v>89152.078125</v>
      </c>
      <c r="BX73" s="60">
        <f t="shared" si="190"/>
        <v>89152.078125</v>
      </c>
      <c r="BY73" s="60">
        <f t="shared" si="190"/>
        <v>89152.078125</v>
      </c>
      <c r="BZ73" s="60">
        <f t="shared" si="190"/>
        <v>89152.078125</v>
      </c>
      <c r="CA73" s="60">
        <f t="shared" si="190"/>
        <v>89152.078125</v>
      </c>
      <c r="CB73" s="60">
        <f t="shared" si="190"/>
        <v>15126.375</v>
      </c>
    </row>
    <row r="74" s="235" customFormat="1" ht="27" hidden="1" customHeight="1" spans="1:80">
      <c r="A74" s="241">
        <v>45776</v>
      </c>
      <c r="B74" s="242" t="s">
        <v>506</v>
      </c>
      <c r="C74" s="243" t="s">
        <v>389</v>
      </c>
      <c r="D74" s="244">
        <v>4500165393</v>
      </c>
      <c r="E74" s="243" t="s">
        <v>507</v>
      </c>
      <c r="F74" s="242" t="s">
        <v>508</v>
      </c>
      <c r="G74" s="245" t="s">
        <v>152</v>
      </c>
      <c r="H74" s="242" t="s">
        <v>153</v>
      </c>
      <c r="I74" s="250">
        <v>2314</v>
      </c>
      <c r="J74" s="250">
        <v>0</v>
      </c>
      <c r="K74" s="250">
        <v>13</v>
      </c>
      <c r="L74" s="250">
        <f t="shared" si="24"/>
        <v>178</v>
      </c>
      <c r="M74" s="251">
        <v>45807</v>
      </c>
      <c r="N74" s="251">
        <v>45811</v>
      </c>
      <c r="O74" s="252"/>
      <c r="P74" s="252" t="s">
        <v>107</v>
      </c>
      <c r="Q74" s="252" t="s">
        <v>509</v>
      </c>
      <c r="R74" s="252">
        <v>45777</v>
      </c>
      <c r="S74" s="252" t="s">
        <v>80</v>
      </c>
      <c r="T74" s="252" t="s">
        <v>510</v>
      </c>
      <c r="U74" s="252" t="s">
        <v>511</v>
      </c>
      <c r="V74" s="261" t="s">
        <v>512</v>
      </c>
      <c r="W74" s="251" t="s">
        <v>513</v>
      </c>
      <c r="X74" s="260">
        <v>0.7931</v>
      </c>
      <c r="Y74" s="250">
        <f t="shared" si="179"/>
        <v>1835.2334</v>
      </c>
      <c r="Z74" s="251"/>
      <c r="AA74" s="261">
        <v>2314</v>
      </c>
      <c r="AB74" s="261">
        <f t="shared" si="182"/>
        <v>0</v>
      </c>
      <c r="AC74" s="252" t="s">
        <v>113</v>
      </c>
      <c r="AD74" s="252" t="s">
        <v>114</v>
      </c>
      <c r="AE74" s="251" t="s">
        <v>319</v>
      </c>
      <c r="AF74" s="251" t="s">
        <v>115</v>
      </c>
      <c r="AG74" s="268">
        <f t="shared" si="185"/>
        <v>2314</v>
      </c>
      <c r="AH74" s="268">
        <f t="shared" si="186"/>
        <v>2314</v>
      </c>
      <c r="AJ74" s="268"/>
      <c r="AK74" s="268"/>
      <c r="AL74" s="268">
        <f t="shared" si="187"/>
        <v>2314</v>
      </c>
      <c r="AM74" s="268"/>
      <c r="AN74" s="268"/>
      <c r="AO74" s="268">
        <f t="shared" si="188"/>
        <v>2314</v>
      </c>
      <c r="AP74" s="268"/>
      <c r="AQ74" s="268"/>
      <c r="AR74" s="268"/>
      <c r="AS74" s="268"/>
      <c r="AT74" s="268"/>
      <c r="AU74" s="268">
        <f>I74/13</f>
        <v>178</v>
      </c>
      <c r="AV74" s="268"/>
      <c r="AW74" s="268"/>
      <c r="AX74" s="268"/>
      <c r="AY74" s="268"/>
      <c r="AZ74" s="268"/>
      <c r="BA74" s="268"/>
      <c r="BB74" s="268"/>
      <c r="BC74" s="268"/>
      <c r="BD74" s="268"/>
      <c r="BE74" s="268"/>
      <c r="BF74" s="268"/>
      <c r="BG74" s="268"/>
      <c r="BH74" s="268"/>
      <c r="BI74" s="268"/>
      <c r="BJ74" s="60">
        <f t="shared" ref="BJ74:BR74" si="191">$I74*BJ$2</f>
        <v>283.223958333333</v>
      </c>
      <c r="BK74" s="60">
        <f t="shared" si="191"/>
        <v>283.223958333333</v>
      </c>
      <c r="BL74" s="60">
        <f t="shared" si="191"/>
        <v>283.223958333333</v>
      </c>
      <c r="BM74" s="60">
        <f t="shared" si="191"/>
        <v>283.223958333333</v>
      </c>
      <c r="BN74" s="60">
        <f t="shared" si="191"/>
        <v>283.223958333333</v>
      </c>
      <c r="BO74" s="60">
        <f t="shared" si="191"/>
        <v>283.223958333333</v>
      </c>
      <c r="BP74" s="60">
        <f t="shared" si="191"/>
        <v>283.223958333333</v>
      </c>
      <c r="BQ74" s="60">
        <f t="shared" si="191"/>
        <v>283.223958333333</v>
      </c>
      <c r="BR74" s="60">
        <f t="shared" si="191"/>
        <v>48.2083333333333</v>
      </c>
      <c r="BT74" s="60">
        <f t="shared" ref="BT74:CB74" si="192">BT73-BJ74</f>
        <v>88868.8541666667</v>
      </c>
      <c r="BU74" s="60">
        <f t="shared" si="192"/>
        <v>88868.8541666667</v>
      </c>
      <c r="BV74" s="60">
        <f t="shared" si="192"/>
        <v>88868.8541666667</v>
      </c>
      <c r="BW74" s="60">
        <f t="shared" si="192"/>
        <v>88868.8541666667</v>
      </c>
      <c r="BX74" s="60">
        <f t="shared" si="192"/>
        <v>88868.8541666667</v>
      </c>
      <c r="BY74" s="60">
        <f t="shared" si="192"/>
        <v>88868.8541666667</v>
      </c>
      <c r="BZ74" s="60">
        <f t="shared" si="192"/>
        <v>88868.8541666667</v>
      </c>
      <c r="CA74" s="60">
        <f t="shared" si="192"/>
        <v>88868.8541666667</v>
      </c>
      <c r="CB74" s="60">
        <f t="shared" si="192"/>
        <v>15078.1666666667</v>
      </c>
    </row>
    <row r="75" s="235" customFormat="1" ht="27" hidden="1" customHeight="1" spans="1:80">
      <c r="A75" s="241">
        <v>45763</v>
      </c>
      <c r="B75" s="242" t="s">
        <v>514</v>
      </c>
      <c r="C75" s="243" t="s">
        <v>448</v>
      </c>
      <c r="D75" s="244">
        <v>4500163205</v>
      </c>
      <c r="E75" s="243">
        <v>14675</v>
      </c>
      <c r="F75" s="242" t="s">
        <v>515</v>
      </c>
      <c r="G75" s="245" t="s">
        <v>131</v>
      </c>
      <c r="H75" s="242" t="s">
        <v>132</v>
      </c>
      <c r="I75" s="250">
        <v>135</v>
      </c>
      <c r="J75" s="250">
        <v>0</v>
      </c>
      <c r="K75" s="250">
        <v>27</v>
      </c>
      <c r="L75" s="250">
        <f t="shared" si="24"/>
        <v>5</v>
      </c>
      <c r="M75" s="251">
        <v>45811</v>
      </c>
      <c r="N75" s="251">
        <v>45811</v>
      </c>
      <c r="O75" s="252"/>
      <c r="P75" s="252" t="s">
        <v>224</v>
      </c>
      <c r="Q75" s="252" t="s">
        <v>378</v>
      </c>
      <c r="R75" s="252">
        <v>45763</v>
      </c>
      <c r="S75" s="252" t="s">
        <v>80</v>
      </c>
      <c r="T75" s="252" t="s">
        <v>516</v>
      </c>
      <c r="U75" s="252"/>
      <c r="V75" s="261" t="s">
        <v>517</v>
      </c>
      <c r="W75" s="251" t="s">
        <v>454</v>
      </c>
      <c r="X75" s="260">
        <v>0.7792</v>
      </c>
      <c r="Y75" s="250">
        <f t="shared" si="179"/>
        <v>105.192</v>
      </c>
      <c r="Z75" s="251"/>
      <c r="AA75" s="261">
        <v>135</v>
      </c>
      <c r="AB75" s="261">
        <f t="shared" si="182"/>
        <v>0</v>
      </c>
      <c r="AC75" s="279" t="s">
        <v>113</v>
      </c>
      <c r="AD75" s="252" t="s">
        <v>114</v>
      </c>
      <c r="AE75" s="251" t="s">
        <v>434</v>
      </c>
      <c r="AF75" s="251" t="s">
        <v>115</v>
      </c>
      <c r="AG75" s="268">
        <f t="shared" si="185"/>
        <v>135</v>
      </c>
      <c r="AH75" s="268"/>
      <c r="AI75" s="235">
        <f>I75</f>
        <v>135</v>
      </c>
      <c r="AJ75" s="268"/>
      <c r="AK75" s="268"/>
      <c r="AL75" s="268">
        <f t="shared" si="187"/>
        <v>135</v>
      </c>
      <c r="AM75" s="268"/>
      <c r="AN75" s="268"/>
      <c r="AO75" s="268">
        <f t="shared" si="188"/>
        <v>135</v>
      </c>
      <c r="AP75" s="268"/>
      <c r="AQ75" s="268"/>
      <c r="AR75" s="268">
        <f>I75/27</f>
        <v>5</v>
      </c>
      <c r="AS75" s="268"/>
      <c r="AT75" s="268"/>
      <c r="AU75" s="268"/>
      <c r="AV75" s="268"/>
      <c r="AW75" s="268"/>
      <c r="AX75" s="268"/>
      <c r="AY75" s="268"/>
      <c r="AZ75" s="268"/>
      <c r="BA75" s="268"/>
      <c r="BB75" s="268"/>
      <c r="BC75" s="268"/>
      <c r="BD75" s="268"/>
      <c r="BE75" s="268"/>
      <c r="BF75" s="268"/>
      <c r="BG75" s="268"/>
      <c r="BH75" s="268"/>
      <c r="BI75" s="268"/>
      <c r="BJ75" s="60">
        <f t="shared" ref="BJ75:BR75" si="193">$I75*BJ$2</f>
        <v>16.5234375</v>
      </c>
      <c r="BK75" s="60">
        <f t="shared" si="193"/>
        <v>16.5234375</v>
      </c>
      <c r="BL75" s="60">
        <f t="shared" si="193"/>
        <v>16.5234375</v>
      </c>
      <c r="BM75" s="60">
        <f t="shared" si="193"/>
        <v>16.5234375</v>
      </c>
      <c r="BN75" s="60">
        <f t="shared" si="193"/>
        <v>16.5234375</v>
      </c>
      <c r="BO75" s="60">
        <f t="shared" si="193"/>
        <v>16.5234375</v>
      </c>
      <c r="BP75" s="60">
        <f t="shared" si="193"/>
        <v>16.5234375</v>
      </c>
      <c r="BQ75" s="60">
        <f t="shared" si="193"/>
        <v>16.5234375</v>
      </c>
      <c r="BR75" s="60">
        <f t="shared" si="193"/>
        <v>2.8125</v>
      </c>
      <c r="BT75" s="60">
        <f t="shared" ref="BT75:CB75" si="194">BT74-BJ75</f>
        <v>88852.3307291667</v>
      </c>
      <c r="BU75" s="60">
        <f t="shared" si="194"/>
        <v>88852.3307291667</v>
      </c>
      <c r="BV75" s="60">
        <f t="shared" si="194"/>
        <v>88852.3307291667</v>
      </c>
      <c r="BW75" s="60">
        <f t="shared" si="194"/>
        <v>88852.3307291667</v>
      </c>
      <c r="BX75" s="60">
        <f t="shared" si="194"/>
        <v>88852.3307291667</v>
      </c>
      <c r="BY75" s="60">
        <f t="shared" si="194"/>
        <v>88852.3307291667</v>
      </c>
      <c r="BZ75" s="60">
        <f t="shared" si="194"/>
        <v>88852.3307291667</v>
      </c>
      <c r="CA75" s="60">
        <f t="shared" si="194"/>
        <v>88852.3307291667</v>
      </c>
      <c r="CB75" s="60">
        <f t="shared" si="194"/>
        <v>15075.3541666667</v>
      </c>
    </row>
    <row r="76" s="235" customFormat="1" ht="27" hidden="1" customHeight="1" spans="1:80">
      <c r="A76" s="241">
        <v>45771</v>
      </c>
      <c r="B76" s="242" t="s">
        <v>514</v>
      </c>
      <c r="C76" s="243" t="s">
        <v>448</v>
      </c>
      <c r="D76" s="244">
        <v>4500163205</v>
      </c>
      <c r="E76" s="243">
        <v>14675</v>
      </c>
      <c r="F76" s="242" t="s">
        <v>518</v>
      </c>
      <c r="G76" s="245" t="s">
        <v>424</v>
      </c>
      <c r="H76" s="242" t="s">
        <v>174</v>
      </c>
      <c r="I76" s="250">
        <v>165</v>
      </c>
      <c r="J76" s="250">
        <v>0</v>
      </c>
      <c r="K76" s="250">
        <v>33</v>
      </c>
      <c r="L76" s="250">
        <f t="shared" si="24"/>
        <v>5</v>
      </c>
      <c r="M76" s="251">
        <v>45811</v>
      </c>
      <c r="N76" s="251">
        <v>45811</v>
      </c>
      <c r="O76" s="252"/>
      <c r="P76" s="252" t="s">
        <v>224</v>
      </c>
      <c r="Q76" s="252" t="s">
        <v>378</v>
      </c>
      <c r="R76" s="252">
        <v>45763</v>
      </c>
      <c r="S76" s="252" t="s">
        <v>80</v>
      </c>
      <c r="T76" s="252" t="s">
        <v>516</v>
      </c>
      <c r="U76" s="252"/>
      <c r="V76" s="261" t="s">
        <v>519</v>
      </c>
      <c r="W76" s="251" t="s">
        <v>454</v>
      </c>
      <c r="X76" s="260">
        <v>38.3485</v>
      </c>
      <c r="Y76" s="250">
        <f t="shared" ref="Y76:Y80" si="195">X76*L76</f>
        <v>191.7425</v>
      </c>
      <c r="Z76" s="251"/>
      <c r="AA76" s="261">
        <v>165</v>
      </c>
      <c r="AB76" s="261">
        <f t="shared" si="182"/>
        <v>0</v>
      </c>
      <c r="AC76" s="253"/>
      <c r="AD76" s="252" t="s">
        <v>114</v>
      </c>
      <c r="AE76" s="245" t="s">
        <v>484</v>
      </c>
      <c r="AF76" s="251" t="s">
        <v>115</v>
      </c>
      <c r="AG76" s="268">
        <f t="shared" si="185"/>
        <v>165</v>
      </c>
      <c r="AH76" s="268">
        <f t="shared" si="186"/>
        <v>165</v>
      </c>
      <c r="AJ76" s="268"/>
      <c r="AK76" s="268"/>
      <c r="AL76" s="268">
        <f t="shared" si="187"/>
        <v>165</v>
      </c>
      <c r="AM76" s="268"/>
      <c r="AN76" s="268"/>
      <c r="AO76" s="268">
        <f t="shared" si="188"/>
        <v>165</v>
      </c>
      <c r="AP76" s="268"/>
      <c r="AQ76" s="268"/>
      <c r="AR76" s="268"/>
      <c r="AS76" s="268"/>
      <c r="AT76" s="268"/>
      <c r="AU76" s="268"/>
      <c r="AV76" s="268"/>
      <c r="AW76" s="268"/>
      <c r="AX76" s="268"/>
      <c r="AY76" s="268"/>
      <c r="AZ76" s="268"/>
      <c r="BA76" s="268"/>
      <c r="BB76" s="268"/>
      <c r="BC76" s="268"/>
      <c r="BD76" s="268">
        <f>I76/33</f>
        <v>5</v>
      </c>
      <c r="BE76" s="268">
        <f>BD76</f>
        <v>5</v>
      </c>
      <c r="BF76" s="268"/>
      <c r="BG76" s="268"/>
      <c r="BH76" s="268"/>
      <c r="BI76" s="268"/>
      <c r="BJ76" s="60">
        <f t="shared" ref="BJ76:BR76" si="196">$I76*BJ$2</f>
        <v>20.1953124999999</v>
      </c>
      <c r="BK76" s="60">
        <f t="shared" si="196"/>
        <v>20.1953124999999</v>
      </c>
      <c r="BL76" s="60">
        <f t="shared" si="196"/>
        <v>20.1953124999999</v>
      </c>
      <c r="BM76" s="60">
        <f t="shared" si="196"/>
        <v>20.1953124999999</v>
      </c>
      <c r="BN76" s="60">
        <f t="shared" si="196"/>
        <v>20.1953124999999</v>
      </c>
      <c r="BO76" s="60">
        <f t="shared" si="196"/>
        <v>20.1953124999999</v>
      </c>
      <c r="BP76" s="60">
        <f t="shared" si="196"/>
        <v>20.1953124999999</v>
      </c>
      <c r="BQ76" s="60">
        <f t="shared" si="196"/>
        <v>20.1953124999999</v>
      </c>
      <c r="BR76" s="60">
        <f t="shared" si="196"/>
        <v>3.43749999999999</v>
      </c>
      <c r="BT76" s="60">
        <f t="shared" ref="BT76:CB76" si="197">BT75-BJ76</f>
        <v>88832.1354166667</v>
      </c>
      <c r="BU76" s="60">
        <f t="shared" si="197"/>
        <v>88832.1354166667</v>
      </c>
      <c r="BV76" s="60">
        <f t="shared" si="197"/>
        <v>88832.1354166667</v>
      </c>
      <c r="BW76" s="60">
        <f t="shared" si="197"/>
        <v>88832.1354166667</v>
      </c>
      <c r="BX76" s="60">
        <f t="shared" si="197"/>
        <v>88832.1354166667</v>
      </c>
      <c r="BY76" s="60">
        <f t="shared" si="197"/>
        <v>88832.1354166667</v>
      </c>
      <c r="BZ76" s="60">
        <f t="shared" si="197"/>
        <v>88832.1354166667</v>
      </c>
      <c r="CA76" s="60">
        <f t="shared" si="197"/>
        <v>88832.1354166667</v>
      </c>
      <c r="CB76" s="60">
        <f t="shared" si="197"/>
        <v>15071.9166666667</v>
      </c>
    </row>
    <row r="77" s="234" customFormat="1" ht="27" hidden="1" customHeight="1" spans="1:82">
      <c r="A77" s="236">
        <v>45775</v>
      </c>
      <c r="B77" s="237" t="s">
        <v>520</v>
      </c>
      <c r="C77" s="238" t="s">
        <v>521</v>
      </c>
      <c r="D77" s="239" t="s">
        <v>522</v>
      </c>
      <c r="E77" s="238" t="s">
        <v>523</v>
      </c>
      <c r="F77" s="237"/>
      <c r="G77" s="240" t="s">
        <v>524</v>
      </c>
      <c r="H77" s="237" t="s">
        <v>525</v>
      </c>
      <c r="I77" s="247">
        <v>4944</v>
      </c>
      <c r="J77" s="247">
        <v>0</v>
      </c>
      <c r="K77" s="247">
        <v>24</v>
      </c>
      <c r="L77" s="247">
        <f t="shared" si="24"/>
        <v>206</v>
      </c>
      <c r="M77" s="248">
        <v>45811</v>
      </c>
      <c r="N77" s="248">
        <v>45815</v>
      </c>
      <c r="O77" s="212" t="s">
        <v>526</v>
      </c>
      <c r="P77" s="212" t="s">
        <v>107</v>
      </c>
      <c r="Q77" s="212" t="s">
        <v>527</v>
      </c>
      <c r="R77" s="212" t="s">
        <v>528</v>
      </c>
      <c r="S77" s="212" t="s">
        <v>80</v>
      </c>
      <c r="T77" s="212" t="s">
        <v>529</v>
      </c>
      <c r="U77" s="212"/>
      <c r="V77" s="259" t="s">
        <v>530</v>
      </c>
      <c r="W77" s="248" t="s">
        <v>531</v>
      </c>
      <c r="X77" s="260">
        <v>0.8</v>
      </c>
      <c r="Y77" s="247">
        <f t="shared" ref="Y77:Y90" si="198">X77*I77</f>
        <v>3955.2</v>
      </c>
      <c r="Z77" s="248" t="s">
        <v>532</v>
      </c>
      <c r="AA77" s="259">
        <v>4944</v>
      </c>
      <c r="AB77" s="261">
        <f t="shared" si="182"/>
        <v>0</v>
      </c>
      <c r="AC77" s="280" t="s">
        <v>113</v>
      </c>
      <c r="AD77" s="212" t="s">
        <v>114</v>
      </c>
      <c r="AE77" s="248" t="s">
        <v>533</v>
      </c>
      <c r="AF77" s="248" t="s">
        <v>115</v>
      </c>
      <c r="AG77" s="267">
        <f t="shared" si="185"/>
        <v>4944</v>
      </c>
      <c r="AH77" s="267">
        <f t="shared" si="186"/>
        <v>4944</v>
      </c>
      <c r="AJ77" s="267"/>
      <c r="AK77" s="267">
        <f t="shared" ref="AK77:AK83" si="199">I77</f>
        <v>4944</v>
      </c>
      <c r="AL77" s="267"/>
      <c r="AM77" s="267"/>
      <c r="AO77" s="267">
        <f t="shared" si="188"/>
        <v>4944</v>
      </c>
      <c r="AP77" s="267"/>
      <c r="AQ77" s="267"/>
      <c r="AR77" s="267"/>
      <c r="AS77" s="267"/>
      <c r="AT77" s="267"/>
      <c r="AU77" s="267"/>
      <c r="AV77" s="267"/>
      <c r="AW77" s="267"/>
      <c r="AX77" s="267"/>
      <c r="AY77" s="267"/>
      <c r="AZ77" s="267"/>
      <c r="BA77" s="267"/>
      <c r="BB77" s="267"/>
      <c r="BC77" s="267"/>
      <c r="BD77" s="267"/>
      <c r="BE77" s="267"/>
      <c r="BF77" s="267"/>
      <c r="BG77" s="267"/>
      <c r="BH77" s="267"/>
      <c r="BI77" s="267"/>
      <c r="BJ77" s="269">
        <f t="shared" ref="BJ77:BR77" si="200">$I77*BJ$2</f>
        <v>605.124999999998</v>
      </c>
      <c r="BK77" s="269">
        <f t="shared" si="200"/>
        <v>605.124999999998</v>
      </c>
      <c r="BL77" s="269">
        <f t="shared" si="200"/>
        <v>605.124999999998</v>
      </c>
      <c r="BM77" s="269">
        <f t="shared" si="200"/>
        <v>605.124999999998</v>
      </c>
      <c r="BN77" s="269">
        <f t="shared" si="200"/>
        <v>605.124999999998</v>
      </c>
      <c r="BO77" s="269">
        <f t="shared" si="200"/>
        <v>605.124999999998</v>
      </c>
      <c r="BP77" s="269">
        <f t="shared" si="200"/>
        <v>605.124999999998</v>
      </c>
      <c r="BQ77" s="269">
        <f t="shared" si="200"/>
        <v>605.124999999998</v>
      </c>
      <c r="BR77" s="269">
        <f t="shared" si="200"/>
        <v>103</v>
      </c>
      <c r="BT77" s="60">
        <f t="shared" ref="BT77:CB77" si="201">BT76-BJ77</f>
        <v>88227.0104166667</v>
      </c>
      <c r="BU77" s="60">
        <f t="shared" si="201"/>
        <v>88227.0104166667</v>
      </c>
      <c r="BV77" s="60">
        <f t="shared" si="201"/>
        <v>88227.0104166667</v>
      </c>
      <c r="BW77" s="60">
        <f t="shared" si="201"/>
        <v>88227.0104166667</v>
      </c>
      <c r="BX77" s="60">
        <f t="shared" si="201"/>
        <v>88227.0104166667</v>
      </c>
      <c r="BY77" s="60">
        <f t="shared" si="201"/>
        <v>88227.0104166667</v>
      </c>
      <c r="BZ77" s="60">
        <f t="shared" si="201"/>
        <v>88227.0104166667</v>
      </c>
      <c r="CA77" s="60">
        <f t="shared" si="201"/>
        <v>88227.0104166667</v>
      </c>
      <c r="CB77" s="60">
        <f t="shared" si="201"/>
        <v>14968.9166666667</v>
      </c>
      <c r="CD77" s="271"/>
    </row>
    <row r="78" s="234" customFormat="1" ht="27" hidden="1" customHeight="1" spans="1:82">
      <c r="A78" s="236">
        <v>45775</v>
      </c>
      <c r="B78" s="237" t="s">
        <v>520</v>
      </c>
      <c r="C78" s="238" t="s">
        <v>521</v>
      </c>
      <c r="D78" s="239" t="s">
        <v>522</v>
      </c>
      <c r="E78" s="238" t="s">
        <v>523</v>
      </c>
      <c r="F78" s="237"/>
      <c r="G78" s="240" t="s">
        <v>524</v>
      </c>
      <c r="H78" s="237" t="s">
        <v>525</v>
      </c>
      <c r="I78" s="247">
        <v>7168</v>
      </c>
      <c r="J78" s="247">
        <v>0</v>
      </c>
      <c r="K78" s="247">
        <v>24</v>
      </c>
      <c r="L78" s="247">
        <f t="shared" ref="L78:L141" si="202">I78/K78</f>
        <v>298.666666666667</v>
      </c>
      <c r="M78" s="248">
        <v>45811</v>
      </c>
      <c r="N78" s="248">
        <v>45815</v>
      </c>
      <c r="O78" s="212" t="s">
        <v>526</v>
      </c>
      <c r="P78" s="212" t="s">
        <v>107</v>
      </c>
      <c r="Q78" s="212" t="s">
        <v>527</v>
      </c>
      <c r="R78" s="212" t="s">
        <v>528</v>
      </c>
      <c r="S78" s="212" t="s">
        <v>80</v>
      </c>
      <c r="T78" s="212" t="s">
        <v>529</v>
      </c>
      <c r="U78" s="212"/>
      <c r="V78" s="259" t="s">
        <v>530</v>
      </c>
      <c r="W78" s="248" t="s">
        <v>531</v>
      </c>
      <c r="X78" s="260">
        <v>0.8</v>
      </c>
      <c r="Y78" s="247">
        <f t="shared" si="198"/>
        <v>5734.4</v>
      </c>
      <c r="Z78" s="248" t="s">
        <v>532</v>
      </c>
      <c r="AA78" s="259">
        <v>7168</v>
      </c>
      <c r="AB78" s="261">
        <f t="shared" si="182"/>
        <v>0</v>
      </c>
      <c r="AC78" s="254"/>
      <c r="AD78" s="212" t="s">
        <v>114</v>
      </c>
      <c r="AE78" s="248" t="s">
        <v>533</v>
      </c>
      <c r="AF78" s="248" t="s">
        <v>115</v>
      </c>
      <c r="AG78" s="267">
        <f t="shared" si="185"/>
        <v>7168</v>
      </c>
      <c r="AH78" s="267">
        <f t="shared" si="186"/>
        <v>7168</v>
      </c>
      <c r="AJ78" s="267"/>
      <c r="AK78" s="267">
        <f t="shared" si="199"/>
        <v>7168</v>
      </c>
      <c r="AL78" s="267"/>
      <c r="AM78" s="267"/>
      <c r="AO78" s="267">
        <f t="shared" si="188"/>
        <v>7168</v>
      </c>
      <c r="AP78" s="267"/>
      <c r="AQ78" s="267"/>
      <c r="AR78" s="267"/>
      <c r="AS78" s="267"/>
      <c r="AT78" s="267"/>
      <c r="AU78" s="267"/>
      <c r="AV78" s="267"/>
      <c r="AW78" s="267"/>
      <c r="AX78" s="267"/>
      <c r="AY78" s="267"/>
      <c r="AZ78" s="267"/>
      <c r="BA78" s="267"/>
      <c r="BB78" s="267"/>
      <c r="BC78" s="267"/>
      <c r="BD78" s="267"/>
      <c r="BE78" s="267"/>
      <c r="BF78" s="267"/>
      <c r="BG78" s="267"/>
      <c r="BH78" s="267"/>
      <c r="BI78" s="267"/>
      <c r="BJ78" s="269">
        <f t="shared" ref="BJ78:BR78" si="203">$I78*BJ$2</f>
        <v>877.333333333331</v>
      </c>
      <c r="BK78" s="269">
        <f t="shared" si="203"/>
        <v>877.333333333331</v>
      </c>
      <c r="BL78" s="269">
        <f t="shared" si="203"/>
        <v>877.333333333331</v>
      </c>
      <c r="BM78" s="269">
        <f t="shared" si="203"/>
        <v>877.333333333331</v>
      </c>
      <c r="BN78" s="269">
        <f t="shared" si="203"/>
        <v>877.333333333331</v>
      </c>
      <c r="BO78" s="269">
        <f t="shared" si="203"/>
        <v>877.333333333331</v>
      </c>
      <c r="BP78" s="269">
        <f t="shared" si="203"/>
        <v>877.333333333331</v>
      </c>
      <c r="BQ78" s="269">
        <f t="shared" si="203"/>
        <v>877.333333333331</v>
      </c>
      <c r="BR78" s="269">
        <f t="shared" si="203"/>
        <v>149.333333333333</v>
      </c>
      <c r="BT78" s="60">
        <f t="shared" ref="BT78:CB78" si="204">BT77-BJ78</f>
        <v>87349.6770833334</v>
      </c>
      <c r="BU78" s="60">
        <f t="shared" si="204"/>
        <v>87349.6770833334</v>
      </c>
      <c r="BV78" s="60">
        <f t="shared" si="204"/>
        <v>87349.6770833334</v>
      </c>
      <c r="BW78" s="60">
        <f t="shared" si="204"/>
        <v>87349.6770833334</v>
      </c>
      <c r="BX78" s="60">
        <f t="shared" si="204"/>
        <v>87349.6770833334</v>
      </c>
      <c r="BY78" s="60">
        <f t="shared" si="204"/>
        <v>87349.6770833334</v>
      </c>
      <c r="BZ78" s="60">
        <f t="shared" si="204"/>
        <v>87349.6770833334</v>
      </c>
      <c r="CA78" s="60">
        <f t="shared" si="204"/>
        <v>87349.6770833334</v>
      </c>
      <c r="CB78" s="60">
        <f t="shared" si="204"/>
        <v>14819.5833333333</v>
      </c>
      <c r="CD78" s="271"/>
    </row>
    <row r="79" s="235" customFormat="1" ht="27" hidden="1" customHeight="1" spans="1:82">
      <c r="A79" s="241">
        <v>45775</v>
      </c>
      <c r="B79" s="242" t="s">
        <v>326</v>
      </c>
      <c r="C79" s="243" t="s">
        <v>117</v>
      </c>
      <c r="D79" s="244">
        <v>4500162784</v>
      </c>
      <c r="E79" s="243" t="s">
        <v>534</v>
      </c>
      <c r="F79" s="242" t="s">
        <v>535</v>
      </c>
      <c r="G79" s="245" t="s">
        <v>258</v>
      </c>
      <c r="H79" s="242" t="s">
        <v>259</v>
      </c>
      <c r="I79" s="250">
        <v>1152</v>
      </c>
      <c r="J79" s="250">
        <v>0</v>
      </c>
      <c r="K79" s="250">
        <v>1152</v>
      </c>
      <c r="L79" s="250">
        <f t="shared" si="202"/>
        <v>1</v>
      </c>
      <c r="M79" s="251">
        <v>45811</v>
      </c>
      <c r="N79" s="251">
        <v>45815</v>
      </c>
      <c r="O79" s="252" t="s">
        <v>536</v>
      </c>
      <c r="P79" s="252" t="s">
        <v>224</v>
      </c>
      <c r="Q79" s="252" t="s">
        <v>537</v>
      </c>
      <c r="R79" s="252" t="s">
        <v>331</v>
      </c>
      <c r="S79" s="252" t="s">
        <v>191</v>
      </c>
      <c r="T79" s="252" t="s">
        <v>538</v>
      </c>
      <c r="U79" s="252"/>
      <c r="V79" s="261" t="s">
        <v>539</v>
      </c>
      <c r="W79" s="251" t="s">
        <v>265</v>
      </c>
      <c r="X79" s="260">
        <v>555.88</v>
      </c>
      <c r="Y79" s="250">
        <f t="shared" si="195"/>
        <v>555.88</v>
      </c>
      <c r="Z79" s="251" t="s">
        <v>540</v>
      </c>
      <c r="AA79" s="261">
        <v>1152</v>
      </c>
      <c r="AB79" s="261">
        <f t="shared" si="182"/>
        <v>0</v>
      </c>
      <c r="AC79" s="252"/>
      <c r="AD79" s="252" t="s">
        <v>114</v>
      </c>
      <c r="AE79" s="251" t="s">
        <v>258</v>
      </c>
      <c r="AF79" s="251" t="s">
        <v>115</v>
      </c>
      <c r="AG79" s="268">
        <f t="shared" si="185"/>
        <v>1152</v>
      </c>
      <c r="AH79" s="268">
        <f t="shared" si="186"/>
        <v>1152</v>
      </c>
      <c r="AJ79" s="268"/>
      <c r="AK79" s="268">
        <f t="shared" si="199"/>
        <v>1152</v>
      </c>
      <c r="AL79" s="268"/>
      <c r="AM79" s="268"/>
      <c r="AO79" s="268">
        <f t="shared" si="188"/>
        <v>1152</v>
      </c>
      <c r="AP79" s="268"/>
      <c r="AQ79" s="268"/>
      <c r="AR79" s="268"/>
      <c r="AS79" s="268"/>
      <c r="AT79" s="268"/>
      <c r="AU79" s="268"/>
      <c r="AV79" s="268">
        <f>I79/12</f>
        <v>96</v>
      </c>
      <c r="AW79" s="268"/>
      <c r="AX79" s="268"/>
      <c r="AY79" s="268"/>
      <c r="AZ79" s="268"/>
      <c r="BA79" s="268"/>
      <c r="BB79" s="268"/>
      <c r="BC79" s="268"/>
      <c r="BD79" s="268"/>
      <c r="BE79" s="268"/>
      <c r="BF79" s="268"/>
      <c r="BG79" s="268"/>
      <c r="BH79" s="268"/>
      <c r="BI79" s="268"/>
      <c r="BJ79" s="60">
        <f t="shared" ref="BJ79:BR79" si="205">$I79*BJ$2</f>
        <v>141</v>
      </c>
      <c r="BK79" s="60">
        <f t="shared" si="205"/>
        <v>141</v>
      </c>
      <c r="BL79" s="60">
        <f t="shared" si="205"/>
        <v>141</v>
      </c>
      <c r="BM79" s="60">
        <f t="shared" si="205"/>
        <v>141</v>
      </c>
      <c r="BN79" s="60">
        <f t="shared" si="205"/>
        <v>141</v>
      </c>
      <c r="BO79" s="60">
        <f t="shared" si="205"/>
        <v>141</v>
      </c>
      <c r="BP79" s="60">
        <f t="shared" si="205"/>
        <v>141</v>
      </c>
      <c r="BQ79" s="60">
        <f t="shared" si="205"/>
        <v>141</v>
      </c>
      <c r="BR79" s="60">
        <f t="shared" si="205"/>
        <v>24</v>
      </c>
      <c r="BT79" s="60">
        <f t="shared" ref="BT79:CB79" si="206">BT78-BJ79</f>
        <v>87208.6770833334</v>
      </c>
      <c r="BU79" s="60">
        <f t="shared" si="206"/>
        <v>87208.6770833334</v>
      </c>
      <c r="BV79" s="60">
        <f t="shared" si="206"/>
        <v>87208.6770833334</v>
      </c>
      <c r="BW79" s="60">
        <f t="shared" si="206"/>
        <v>87208.6770833334</v>
      </c>
      <c r="BX79" s="60">
        <f t="shared" si="206"/>
        <v>87208.6770833334</v>
      </c>
      <c r="BY79" s="60">
        <f t="shared" si="206"/>
        <v>87208.6770833334</v>
      </c>
      <c r="BZ79" s="60">
        <f t="shared" si="206"/>
        <v>87208.6770833334</v>
      </c>
      <c r="CA79" s="60">
        <f t="shared" si="206"/>
        <v>87208.6770833334</v>
      </c>
      <c r="CB79" s="60">
        <f t="shared" si="206"/>
        <v>14795.5833333333</v>
      </c>
      <c r="CD79" s="282"/>
    </row>
    <row r="80" s="235" customFormat="1" ht="27" hidden="1" customHeight="1" spans="1:82">
      <c r="A80" s="241">
        <v>45775</v>
      </c>
      <c r="B80" s="242" t="s">
        <v>326</v>
      </c>
      <c r="C80" s="243" t="s">
        <v>117</v>
      </c>
      <c r="D80" s="244">
        <v>4500162784</v>
      </c>
      <c r="E80" s="243" t="s">
        <v>541</v>
      </c>
      <c r="F80" s="242" t="s">
        <v>542</v>
      </c>
      <c r="G80" s="245" t="s">
        <v>258</v>
      </c>
      <c r="H80" s="242" t="s">
        <v>259</v>
      </c>
      <c r="I80" s="250">
        <v>1152</v>
      </c>
      <c r="J80" s="250">
        <v>0</v>
      </c>
      <c r="K80" s="250">
        <v>1152</v>
      </c>
      <c r="L80" s="250">
        <f t="shared" si="202"/>
        <v>1</v>
      </c>
      <c r="M80" s="251">
        <v>45811</v>
      </c>
      <c r="N80" s="251">
        <v>45815</v>
      </c>
      <c r="O80" s="252" t="s">
        <v>536</v>
      </c>
      <c r="P80" s="252" t="s">
        <v>224</v>
      </c>
      <c r="Q80" s="252" t="s">
        <v>543</v>
      </c>
      <c r="R80" s="252" t="s">
        <v>331</v>
      </c>
      <c r="S80" s="252" t="s">
        <v>191</v>
      </c>
      <c r="T80" s="252" t="s">
        <v>538</v>
      </c>
      <c r="U80" s="252"/>
      <c r="V80" s="261" t="s">
        <v>539</v>
      </c>
      <c r="W80" s="251" t="s">
        <v>265</v>
      </c>
      <c r="X80" s="260">
        <v>555.88</v>
      </c>
      <c r="Y80" s="250">
        <f t="shared" si="195"/>
        <v>555.88</v>
      </c>
      <c r="Z80" s="251" t="s">
        <v>544</v>
      </c>
      <c r="AA80" s="261">
        <v>1152</v>
      </c>
      <c r="AB80" s="261">
        <f t="shared" si="182"/>
        <v>0</v>
      </c>
      <c r="AC80" s="252"/>
      <c r="AD80" s="252" t="s">
        <v>114</v>
      </c>
      <c r="AE80" s="251" t="s">
        <v>258</v>
      </c>
      <c r="AF80" s="251" t="s">
        <v>115</v>
      </c>
      <c r="AG80" s="268">
        <f t="shared" si="185"/>
        <v>1152</v>
      </c>
      <c r="AH80" s="268">
        <f t="shared" si="186"/>
        <v>1152</v>
      </c>
      <c r="AJ80" s="268"/>
      <c r="AK80" s="268">
        <f t="shared" si="199"/>
        <v>1152</v>
      </c>
      <c r="AL80" s="268"/>
      <c r="AM80" s="268"/>
      <c r="AO80" s="268">
        <f t="shared" si="188"/>
        <v>1152</v>
      </c>
      <c r="AP80" s="268"/>
      <c r="AQ80" s="268"/>
      <c r="AR80" s="268"/>
      <c r="AS80" s="268"/>
      <c r="AT80" s="268"/>
      <c r="AU80" s="268"/>
      <c r="AV80" s="268">
        <f>I80/12</f>
        <v>96</v>
      </c>
      <c r="AW80" s="268"/>
      <c r="AX80" s="268"/>
      <c r="AY80" s="268"/>
      <c r="AZ80" s="268"/>
      <c r="BA80" s="268"/>
      <c r="BB80" s="268"/>
      <c r="BC80" s="268"/>
      <c r="BD80" s="268"/>
      <c r="BE80" s="268"/>
      <c r="BF80" s="268"/>
      <c r="BG80" s="268"/>
      <c r="BH80" s="268"/>
      <c r="BI80" s="268"/>
      <c r="BJ80" s="60">
        <f t="shared" ref="BJ80:BR80" si="207">$I80*BJ$2</f>
        <v>141</v>
      </c>
      <c r="BK80" s="60">
        <f t="shared" si="207"/>
        <v>141</v>
      </c>
      <c r="BL80" s="60">
        <f t="shared" si="207"/>
        <v>141</v>
      </c>
      <c r="BM80" s="60">
        <f t="shared" si="207"/>
        <v>141</v>
      </c>
      <c r="BN80" s="60">
        <f t="shared" si="207"/>
        <v>141</v>
      </c>
      <c r="BO80" s="60">
        <f t="shared" si="207"/>
        <v>141</v>
      </c>
      <c r="BP80" s="60">
        <f t="shared" si="207"/>
        <v>141</v>
      </c>
      <c r="BQ80" s="60">
        <f t="shared" si="207"/>
        <v>141</v>
      </c>
      <c r="BR80" s="60">
        <f t="shared" si="207"/>
        <v>24</v>
      </c>
      <c r="BT80" s="60">
        <f t="shared" ref="BT80:CB80" si="208">BT79-BJ80</f>
        <v>87067.6770833334</v>
      </c>
      <c r="BU80" s="60">
        <f t="shared" si="208"/>
        <v>87067.6770833334</v>
      </c>
      <c r="BV80" s="60">
        <f t="shared" si="208"/>
        <v>87067.6770833334</v>
      </c>
      <c r="BW80" s="60">
        <f t="shared" si="208"/>
        <v>87067.6770833334</v>
      </c>
      <c r="BX80" s="60">
        <f t="shared" si="208"/>
        <v>87067.6770833334</v>
      </c>
      <c r="BY80" s="60">
        <f t="shared" si="208"/>
        <v>87067.6770833334</v>
      </c>
      <c r="BZ80" s="60">
        <f t="shared" si="208"/>
        <v>87067.6770833334</v>
      </c>
      <c r="CA80" s="60">
        <f t="shared" si="208"/>
        <v>87067.6770833334</v>
      </c>
      <c r="CB80" s="60">
        <f t="shared" si="208"/>
        <v>14771.5833333333</v>
      </c>
      <c r="CD80" s="282"/>
    </row>
    <row r="81" s="235" customFormat="1" ht="27" hidden="1" customHeight="1" spans="1:80">
      <c r="A81" s="241">
        <v>45774</v>
      </c>
      <c r="B81" s="242" t="s">
        <v>545</v>
      </c>
      <c r="C81" s="243" t="s">
        <v>117</v>
      </c>
      <c r="D81" s="244">
        <v>4500165209</v>
      </c>
      <c r="E81" s="243" t="s">
        <v>546</v>
      </c>
      <c r="F81" s="242" t="s">
        <v>547</v>
      </c>
      <c r="G81" s="245" t="s">
        <v>78</v>
      </c>
      <c r="H81" s="242" t="s">
        <v>79</v>
      </c>
      <c r="I81" s="250">
        <v>5130</v>
      </c>
      <c r="J81" s="250">
        <v>0</v>
      </c>
      <c r="K81" s="250">
        <v>54</v>
      </c>
      <c r="L81" s="250">
        <f t="shared" si="202"/>
        <v>95</v>
      </c>
      <c r="M81" s="251">
        <v>45817</v>
      </c>
      <c r="N81" s="251">
        <v>45815</v>
      </c>
      <c r="O81" s="252"/>
      <c r="P81" s="252" t="s">
        <v>107</v>
      </c>
      <c r="Q81" s="252" t="s">
        <v>548</v>
      </c>
      <c r="R81" s="252">
        <v>45784</v>
      </c>
      <c r="S81" s="252" t="s">
        <v>80</v>
      </c>
      <c r="T81" s="252" t="s">
        <v>80</v>
      </c>
      <c r="U81" s="252"/>
      <c r="V81" s="261" t="s">
        <v>549</v>
      </c>
      <c r="W81" s="251" t="s">
        <v>406</v>
      </c>
      <c r="X81" s="260">
        <v>0.4715</v>
      </c>
      <c r="Y81" s="250">
        <f t="shared" si="198"/>
        <v>2418.795</v>
      </c>
      <c r="Z81" s="251" t="s">
        <v>550</v>
      </c>
      <c r="AA81" s="261">
        <f>5076+54</f>
        <v>5130</v>
      </c>
      <c r="AB81" s="261">
        <f t="shared" si="182"/>
        <v>0</v>
      </c>
      <c r="AC81" s="252" t="s">
        <v>80</v>
      </c>
      <c r="AD81" s="252" t="s">
        <v>114</v>
      </c>
      <c r="AE81" s="251" t="s">
        <v>78</v>
      </c>
      <c r="AF81" s="251" t="s">
        <v>115</v>
      </c>
      <c r="AG81" s="268">
        <f t="shared" si="185"/>
        <v>5130</v>
      </c>
      <c r="AH81" s="268">
        <f t="shared" si="186"/>
        <v>5130</v>
      </c>
      <c r="AI81" s="268"/>
      <c r="AJ81" s="268"/>
      <c r="AK81" s="268">
        <f t="shared" si="199"/>
        <v>5130</v>
      </c>
      <c r="AL81" s="268"/>
      <c r="AM81" s="268"/>
      <c r="AN81" s="268"/>
      <c r="AO81" s="268">
        <f t="shared" si="188"/>
        <v>5130</v>
      </c>
      <c r="AP81" s="268"/>
      <c r="AQ81" s="268">
        <f t="shared" ref="AQ81:AQ83" si="209">I81/27</f>
        <v>190</v>
      </c>
      <c r="AR81" s="268"/>
      <c r="AS81" s="268"/>
      <c r="AT81" s="268"/>
      <c r="AU81" s="268"/>
      <c r="AV81" s="268"/>
      <c r="AW81" s="268"/>
      <c r="AX81" s="268"/>
      <c r="AY81" s="268"/>
      <c r="AZ81" s="268"/>
      <c r="BA81" s="268"/>
      <c r="BB81" s="268"/>
      <c r="BC81" s="268"/>
      <c r="BD81" s="268"/>
      <c r="BE81" s="268"/>
      <c r="BF81" s="268"/>
      <c r="BG81" s="268"/>
      <c r="BH81" s="268"/>
      <c r="BI81" s="268"/>
      <c r="BJ81" s="269">
        <f t="shared" ref="BJ81:BR81" si="210">$I81*BJ$2</f>
        <v>627.890624999998</v>
      </c>
      <c r="BK81" s="269">
        <f t="shared" si="210"/>
        <v>627.890624999998</v>
      </c>
      <c r="BL81" s="269">
        <f t="shared" si="210"/>
        <v>627.890624999998</v>
      </c>
      <c r="BM81" s="269">
        <f t="shared" si="210"/>
        <v>627.890624999998</v>
      </c>
      <c r="BN81" s="269">
        <f t="shared" si="210"/>
        <v>627.890624999998</v>
      </c>
      <c r="BO81" s="269">
        <f t="shared" si="210"/>
        <v>627.890624999998</v>
      </c>
      <c r="BP81" s="269">
        <f t="shared" si="210"/>
        <v>627.890624999998</v>
      </c>
      <c r="BQ81" s="269">
        <f t="shared" si="210"/>
        <v>627.890624999998</v>
      </c>
      <c r="BR81" s="269">
        <f t="shared" si="210"/>
        <v>106.875</v>
      </c>
      <c r="BT81" s="60">
        <f t="shared" ref="BT81:CB81" si="211">BT80-BJ81</f>
        <v>86439.7864583334</v>
      </c>
      <c r="BU81" s="60">
        <f t="shared" si="211"/>
        <v>86439.7864583334</v>
      </c>
      <c r="BV81" s="60">
        <f t="shared" si="211"/>
        <v>86439.7864583334</v>
      </c>
      <c r="BW81" s="60">
        <f t="shared" si="211"/>
        <v>86439.7864583334</v>
      </c>
      <c r="BX81" s="60">
        <f t="shared" si="211"/>
        <v>86439.7864583334</v>
      </c>
      <c r="BY81" s="60">
        <f t="shared" si="211"/>
        <v>86439.7864583334</v>
      </c>
      <c r="BZ81" s="60">
        <f t="shared" si="211"/>
        <v>86439.7864583334</v>
      </c>
      <c r="CA81" s="60">
        <f t="shared" si="211"/>
        <v>86439.7864583334</v>
      </c>
      <c r="CB81" s="60">
        <f t="shared" si="211"/>
        <v>14664.7083333333</v>
      </c>
    </row>
    <row r="82" s="235" customFormat="1" ht="27" hidden="1" customHeight="1" spans="1:80">
      <c r="A82" s="241">
        <v>45774</v>
      </c>
      <c r="B82" s="242" t="s">
        <v>545</v>
      </c>
      <c r="C82" s="243" t="s">
        <v>117</v>
      </c>
      <c r="D82" s="244">
        <v>4500165209</v>
      </c>
      <c r="E82" s="243" t="s">
        <v>551</v>
      </c>
      <c r="F82" s="242" t="s">
        <v>552</v>
      </c>
      <c r="G82" s="245" t="s">
        <v>78</v>
      </c>
      <c r="H82" s="242" t="s">
        <v>79</v>
      </c>
      <c r="I82" s="250">
        <v>270</v>
      </c>
      <c r="J82" s="250">
        <v>0</v>
      </c>
      <c r="K82" s="250">
        <v>54</v>
      </c>
      <c r="L82" s="250">
        <f t="shared" si="202"/>
        <v>5</v>
      </c>
      <c r="M82" s="251">
        <v>45817</v>
      </c>
      <c r="N82" s="251">
        <v>45815</v>
      </c>
      <c r="O82" s="252"/>
      <c r="P82" s="252" t="s">
        <v>107</v>
      </c>
      <c r="Q82" s="252" t="s">
        <v>548</v>
      </c>
      <c r="R82" s="252">
        <v>45784</v>
      </c>
      <c r="S82" s="252" t="s">
        <v>80</v>
      </c>
      <c r="T82" s="252" t="s">
        <v>80</v>
      </c>
      <c r="U82" s="252"/>
      <c r="V82" s="261" t="s">
        <v>549</v>
      </c>
      <c r="W82" s="251" t="s">
        <v>406</v>
      </c>
      <c r="X82" s="260">
        <v>0.478</v>
      </c>
      <c r="Y82" s="250">
        <f t="shared" si="198"/>
        <v>129.06</v>
      </c>
      <c r="Z82" s="251" t="s">
        <v>550</v>
      </c>
      <c r="AA82" s="261">
        <v>270</v>
      </c>
      <c r="AB82" s="261">
        <f t="shared" si="182"/>
        <v>0</v>
      </c>
      <c r="AC82" s="252" t="s">
        <v>80</v>
      </c>
      <c r="AD82" s="252" t="s">
        <v>114</v>
      </c>
      <c r="AE82" s="251" t="s">
        <v>78</v>
      </c>
      <c r="AF82" s="251" t="s">
        <v>115</v>
      </c>
      <c r="AG82" s="268">
        <f t="shared" si="185"/>
        <v>270</v>
      </c>
      <c r="AH82" s="268">
        <f t="shared" si="186"/>
        <v>270</v>
      </c>
      <c r="AI82" s="268"/>
      <c r="AJ82" s="268"/>
      <c r="AK82" s="268">
        <f t="shared" si="199"/>
        <v>270</v>
      </c>
      <c r="AL82" s="268"/>
      <c r="AM82" s="268"/>
      <c r="AN82" s="268"/>
      <c r="AO82" s="268">
        <f t="shared" si="188"/>
        <v>270</v>
      </c>
      <c r="AP82" s="268"/>
      <c r="AQ82" s="268">
        <f t="shared" si="209"/>
        <v>10</v>
      </c>
      <c r="AR82" s="268"/>
      <c r="AS82" s="268"/>
      <c r="AT82" s="268"/>
      <c r="AU82" s="268"/>
      <c r="AV82" s="268"/>
      <c r="AW82" s="268"/>
      <c r="AX82" s="268"/>
      <c r="AY82" s="268"/>
      <c r="AZ82" s="268"/>
      <c r="BA82" s="268"/>
      <c r="BB82" s="268"/>
      <c r="BC82" s="268"/>
      <c r="BD82" s="268"/>
      <c r="BE82" s="268"/>
      <c r="BF82" s="268"/>
      <c r="BG82" s="268"/>
      <c r="BH82" s="268"/>
      <c r="BI82" s="268"/>
      <c r="BJ82" s="269">
        <f t="shared" ref="BJ82:BR82" si="212">$I82*BJ$2</f>
        <v>33.0468749999999</v>
      </c>
      <c r="BK82" s="269">
        <f t="shared" si="212"/>
        <v>33.0468749999999</v>
      </c>
      <c r="BL82" s="269">
        <f t="shared" si="212"/>
        <v>33.0468749999999</v>
      </c>
      <c r="BM82" s="269">
        <f t="shared" si="212"/>
        <v>33.0468749999999</v>
      </c>
      <c r="BN82" s="269">
        <f t="shared" si="212"/>
        <v>33.0468749999999</v>
      </c>
      <c r="BO82" s="269">
        <f t="shared" si="212"/>
        <v>33.0468749999999</v>
      </c>
      <c r="BP82" s="269">
        <f t="shared" si="212"/>
        <v>33.0468749999999</v>
      </c>
      <c r="BQ82" s="269">
        <f t="shared" si="212"/>
        <v>33.0468749999999</v>
      </c>
      <c r="BR82" s="269">
        <f t="shared" si="212"/>
        <v>5.62499999999999</v>
      </c>
      <c r="BT82" s="60">
        <f t="shared" ref="BT82:CB82" si="213">BT81-BJ82</f>
        <v>86406.7395833334</v>
      </c>
      <c r="BU82" s="60">
        <f t="shared" si="213"/>
        <v>86406.7395833334</v>
      </c>
      <c r="BV82" s="60">
        <f t="shared" si="213"/>
        <v>86406.7395833334</v>
      </c>
      <c r="BW82" s="60">
        <f t="shared" si="213"/>
        <v>86406.7395833334</v>
      </c>
      <c r="BX82" s="60">
        <f t="shared" si="213"/>
        <v>86406.7395833334</v>
      </c>
      <c r="BY82" s="60">
        <f t="shared" si="213"/>
        <v>86406.7395833334</v>
      </c>
      <c r="BZ82" s="60">
        <f t="shared" si="213"/>
        <v>86406.7395833334</v>
      </c>
      <c r="CA82" s="60">
        <f t="shared" si="213"/>
        <v>86406.7395833334</v>
      </c>
      <c r="CB82" s="60">
        <f t="shared" si="213"/>
        <v>14659.0833333333</v>
      </c>
    </row>
    <row r="83" s="235" customFormat="1" ht="27" hidden="1" customHeight="1" spans="1:80">
      <c r="A83" s="241">
        <v>45774</v>
      </c>
      <c r="B83" s="242" t="s">
        <v>545</v>
      </c>
      <c r="C83" s="243" t="s">
        <v>117</v>
      </c>
      <c r="D83" s="244">
        <v>4500165209</v>
      </c>
      <c r="E83" s="243" t="s">
        <v>553</v>
      </c>
      <c r="F83" s="242" t="s">
        <v>554</v>
      </c>
      <c r="G83" s="245" t="s">
        <v>78</v>
      </c>
      <c r="H83" s="242" t="s">
        <v>79</v>
      </c>
      <c r="I83" s="250">
        <v>648</v>
      </c>
      <c r="J83" s="250">
        <v>0</v>
      </c>
      <c r="K83" s="250">
        <v>54</v>
      </c>
      <c r="L83" s="250">
        <f t="shared" si="202"/>
        <v>12</v>
      </c>
      <c r="M83" s="251">
        <v>45817</v>
      </c>
      <c r="N83" s="251">
        <v>45815</v>
      </c>
      <c r="O83" s="252"/>
      <c r="P83" s="252" t="s">
        <v>107</v>
      </c>
      <c r="Q83" s="252" t="s">
        <v>548</v>
      </c>
      <c r="R83" s="252">
        <v>45784</v>
      </c>
      <c r="S83" s="252" t="s">
        <v>80</v>
      </c>
      <c r="T83" s="252" t="s">
        <v>80</v>
      </c>
      <c r="U83" s="252"/>
      <c r="V83" s="261" t="s">
        <v>549</v>
      </c>
      <c r="W83" s="251" t="s">
        <v>406</v>
      </c>
      <c r="X83" s="260">
        <v>0.478</v>
      </c>
      <c r="Y83" s="250">
        <f t="shared" si="198"/>
        <v>309.744</v>
      </c>
      <c r="Z83" s="251" t="s">
        <v>550</v>
      </c>
      <c r="AA83" s="261">
        <v>648</v>
      </c>
      <c r="AB83" s="261">
        <f t="shared" si="182"/>
        <v>0</v>
      </c>
      <c r="AC83" s="252" t="s">
        <v>80</v>
      </c>
      <c r="AD83" s="252" t="s">
        <v>114</v>
      </c>
      <c r="AE83" s="251" t="s">
        <v>78</v>
      </c>
      <c r="AF83" s="251" t="s">
        <v>115</v>
      </c>
      <c r="AG83" s="268">
        <f t="shared" si="185"/>
        <v>648</v>
      </c>
      <c r="AH83" s="268">
        <f t="shared" si="186"/>
        <v>648</v>
      </c>
      <c r="AI83" s="268"/>
      <c r="AJ83" s="268"/>
      <c r="AK83" s="268">
        <f t="shared" si="199"/>
        <v>648</v>
      </c>
      <c r="AL83" s="268"/>
      <c r="AM83" s="268"/>
      <c r="AN83" s="268"/>
      <c r="AO83" s="268">
        <f t="shared" si="188"/>
        <v>648</v>
      </c>
      <c r="AP83" s="268"/>
      <c r="AQ83" s="268">
        <f t="shared" si="209"/>
        <v>24</v>
      </c>
      <c r="AR83" s="268"/>
      <c r="AS83" s="268"/>
      <c r="AT83" s="268"/>
      <c r="AU83" s="268"/>
      <c r="AV83" s="268"/>
      <c r="AW83" s="268"/>
      <c r="AX83" s="268"/>
      <c r="AY83" s="268"/>
      <c r="AZ83" s="268"/>
      <c r="BA83" s="268"/>
      <c r="BB83" s="268"/>
      <c r="BC83" s="268"/>
      <c r="BD83" s="268"/>
      <c r="BE83" s="268"/>
      <c r="BF83" s="268"/>
      <c r="BG83" s="268"/>
      <c r="BH83" s="268"/>
      <c r="BI83" s="268"/>
      <c r="BJ83" s="269">
        <f t="shared" ref="BJ83:BR83" si="214">$I83*BJ$2</f>
        <v>79.3124999999998</v>
      </c>
      <c r="BK83" s="269">
        <f t="shared" si="214"/>
        <v>79.3124999999998</v>
      </c>
      <c r="BL83" s="269">
        <f t="shared" si="214"/>
        <v>79.3124999999998</v>
      </c>
      <c r="BM83" s="269">
        <f t="shared" si="214"/>
        <v>79.3124999999998</v>
      </c>
      <c r="BN83" s="269">
        <f t="shared" si="214"/>
        <v>79.3124999999998</v>
      </c>
      <c r="BO83" s="269">
        <f t="shared" si="214"/>
        <v>79.3124999999998</v>
      </c>
      <c r="BP83" s="269">
        <f t="shared" si="214"/>
        <v>79.3124999999998</v>
      </c>
      <c r="BQ83" s="269">
        <f t="shared" si="214"/>
        <v>79.3124999999998</v>
      </c>
      <c r="BR83" s="269">
        <f t="shared" si="214"/>
        <v>13.5</v>
      </c>
      <c r="BT83" s="60">
        <f t="shared" ref="BT83:CB83" si="215">BT82-BJ83</f>
        <v>86327.4270833334</v>
      </c>
      <c r="BU83" s="60">
        <f t="shared" si="215"/>
        <v>86327.4270833334</v>
      </c>
      <c r="BV83" s="60">
        <f t="shared" si="215"/>
        <v>86327.4270833334</v>
      </c>
      <c r="BW83" s="60">
        <f t="shared" si="215"/>
        <v>86327.4270833334</v>
      </c>
      <c r="BX83" s="60">
        <f t="shared" si="215"/>
        <v>86327.4270833334</v>
      </c>
      <c r="BY83" s="60">
        <f t="shared" si="215"/>
        <v>86327.4270833334</v>
      </c>
      <c r="BZ83" s="60">
        <f t="shared" si="215"/>
        <v>86327.4270833334</v>
      </c>
      <c r="CA83" s="60">
        <f t="shared" si="215"/>
        <v>86327.4270833334</v>
      </c>
      <c r="CB83" s="60">
        <f t="shared" si="215"/>
        <v>14645.5833333333</v>
      </c>
    </row>
    <row r="84" s="235" customFormat="1" ht="27" hidden="1" customHeight="1" spans="1:80">
      <c r="A84" s="241">
        <v>45777</v>
      </c>
      <c r="B84" s="242" t="s">
        <v>555</v>
      </c>
      <c r="C84" s="243" t="s">
        <v>311</v>
      </c>
      <c r="D84" s="244" t="s">
        <v>556</v>
      </c>
      <c r="E84" s="243" t="s">
        <v>557</v>
      </c>
      <c r="F84" s="242"/>
      <c r="G84" s="245" t="s">
        <v>558</v>
      </c>
      <c r="H84" s="242" t="s">
        <v>559</v>
      </c>
      <c r="I84" s="250">
        <v>1530</v>
      </c>
      <c r="J84" s="250">
        <v>0</v>
      </c>
      <c r="K84" s="250">
        <v>30</v>
      </c>
      <c r="L84" s="250">
        <f t="shared" si="202"/>
        <v>51</v>
      </c>
      <c r="M84" s="251">
        <v>45818</v>
      </c>
      <c r="N84" s="251">
        <v>45817</v>
      </c>
      <c r="O84" s="252"/>
      <c r="P84" s="252" t="s">
        <v>224</v>
      </c>
      <c r="Q84" s="252" t="s">
        <v>560</v>
      </c>
      <c r="R84" s="252" t="s">
        <v>528</v>
      </c>
      <c r="S84" s="252" t="s">
        <v>80</v>
      </c>
      <c r="T84" s="252" t="s">
        <v>561</v>
      </c>
      <c r="U84" s="252" t="s">
        <v>156</v>
      </c>
      <c r="V84" s="261" t="s">
        <v>562</v>
      </c>
      <c r="W84" s="251" t="s">
        <v>563</v>
      </c>
      <c r="X84" s="260">
        <v>0.8</v>
      </c>
      <c r="Y84" s="250">
        <f t="shared" si="198"/>
        <v>1224</v>
      </c>
      <c r="Z84" s="251"/>
      <c r="AA84" s="261">
        <v>1530</v>
      </c>
      <c r="AB84" s="261">
        <f t="shared" si="182"/>
        <v>0</v>
      </c>
      <c r="AC84" s="252" t="s">
        <v>113</v>
      </c>
      <c r="AD84" s="252" t="s">
        <v>114</v>
      </c>
      <c r="AE84" s="251" t="s">
        <v>558</v>
      </c>
      <c r="AF84" s="251" t="s">
        <v>115</v>
      </c>
      <c r="AG84" s="268">
        <f t="shared" si="185"/>
        <v>1530</v>
      </c>
      <c r="AH84" s="268">
        <f t="shared" si="186"/>
        <v>1530</v>
      </c>
      <c r="AI84" s="268"/>
      <c r="AJ84" s="268"/>
      <c r="AK84" s="268"/>
      <c r="AL84" s="268">
        <f>I84</f>
        <v>1530</v>
      </c>
      <c r="AM84" s="268"/>
      <c r="AN84" s="268"/>
      <c r="AO84" s="268">
        <f t="shared" si="188"/>
        <v>1530</v>
      </c>
      <c r="AP84" s="268"/>
      <c r="AQ84" s="268"/>
      <c r="AR84" s="268"/>
      <c r="AS84" s="268"/>
      <c r="AT84" s="268"/>
      <c r="AU84" s="268"/>
      <c r="AV84" s="268"/>
      <c r="AW84" s="268"/>
      <c r="AX84" s="268"/>
      <c r="AY84" s="268"/>
      <c r="AZ84" s="268"/>
      <c r="BA84" s="268"/>
      <c r="BB84" s="268"/>
      <c r="BC84" s="268"/>
      <c r="BD84" s="268"/>
      <c r="BE84" s="268"/>
      <c r="BF84" s="268"/>
      <c r="BG84" s="268"/>
      <c r="BH84" s="268"/>
      <c r="BI84" s="268"/>
      <c r="BJ84" s="60">
        <f t="shared" ref="BJ84:BR84" si="216">$I84*BJ$2</f>
        <v>187.265624999999</v>
      </c>
      <c r="BK84" s="60">
        <f t="shared" si="216"/>
        <v>187.265624999999</v>
      </c>
      <c r="BL84" s="60">
        <f t="shared" si="216"/>
        <v>187.265624999999</v>
      </c>
      <c r="BM84" s="60">
        <f t="shared" si="216"/>
        <v>187.265624999999</v>
      </c>
      <c r="BN84" s="60">
        <f t="shared" si="216"/>
        <v>187.265624999999</v>
      </c>
      <c r="BO84" s="60">
        <f t="shared" si="216"/>
        <v>187.265624999999</v>
      </c>
      <c r="BP84" s="60">
        <f t="shared" si="216"/>
        <v>187.265624999999</v>
      </c>
      <c r="BQ84" s="60">
        <f t="shared" si="216"/>
        <v>187.265624999999</v>
      </c>
      <c r="BR84" s="60">
        <f t="shared" si="216"/>
        <v>31.875</v>
      </c>
      <c r="BT84" s="60">
        <f t="shared" ref="BT84:CB84" si="217">BT83-BJ84</f>
        <v>86140.1614583334</v>
      </c>
      <c r="BU84" s="60">
        <f t="shared" si="217"/>
        <v>86140.1614583334</v>
      </c>
      <c r="BV84" s="60">
        <f t="shared" si="217"/>
        <v>86140.1614583334</v>
      </c>
      <c r="BW84" s="60">
        <f t="shared" si="217"/>
        <v>86140.1614583334</v>
      </c>
      <c r="BX84" s="60">
        <f t="shared" si="217"/>
        <v>86140.1614583334</v>
      </c>
      <c r="BY84" s="60">
        <f t="shared" si="217"/>
        <v>86140.1614583334</v>
      </c>
      <c r="BZ84" s="60">
        <f t="shared" si="217"/>
        <v>86140.1614583334</v>
      </c>
      <c r="CA84" s="60">
        <f t="shared" si="217"/>
        <v>86140.1614583334</v>
      </c>
      <c r="CB84" s="60">
        <f t="shared" si="217"/>
        <v>14613.7083333333</v>
      </c>
    </row>
    <row r="85" s="235" customFormat="1" ht="27" hidden="1" customHeight="1" spans="1:80">
      <c r="A85" s="241">
        <v>45744</v>
      </c>
      <c r="B85" s="242" t="s">
        <v>564</v>
      </c>
      <c r="C85" s="243" t="s">
        <v>117</v>
      </c>
      <c r="D85" s="244">
        <v>4500161803</v>
      </c>
      <c r="E85" s="243" t="s">
        <v>565</v>
      </c>
      <c r="F85" s="242" t="s">
        <v>566</v>
      </c>
      <c r="G85" s="245" t="s">
        <v>152</v>
      </c>
      <c r="H85" s="242" t="s">
        <v>153</v>
      </c>
      <c r="I85" s="250">
        <v>2249</v>
      </c>
      <c r="J85" s="250">
        <v>0</v>
      </c>
      <c r="K85" s="250">
        <v>13</v>
      </c>
      <c r="L85" s="250">
        <f t="shared" si="202"/>
        <v>173</v>
      </c>
      <c r="M85" s="251">
        <v>45819</v>
      </c>
      <c r="N85" s="251">
        <v>45817</v>
      </c>
      <c r="O85" s="251"/>
      <c r="P85" s="253" t="s">
        <v>107</v>
      </c>
      <c r="Q85" s="252" t="s">
        <v>567</v>
      </c>
      <c r="R85" s="252">
        <v>45748</v>
      </c>
      <c r="S85" s="252" t="s">
        <v>80</v>
      </c>
      <c r="T85" s="252" t="s">
        <v>80</v>
      </c>
      <c r="U85" s="252"/>
      <c r="V85" s="261" t="s">
        <v>568</v>
      </c>
      <c r="W85" s="251" t="s">
        <v>569</v>
      </c>
      <c r="X85" s="260">
        <v>0.7931</v>
      </c>
      <c r="Y85" s="250">
        <f t="shared" si="198"/>
        <v>1783.6819</v>
      </c>
      <c r="Z85" s="251" t="s">
        <v>570</v>
      </c>
      <c r="AA85" s="261">
        <v>2249</v>
      </c>
      <c r="AB85" s="261">
        <f t="shared" si="182"/>
        <v>0</v>
      </c>
      <c r="AC85" s="252" t="s">
        <v>80</v>
      </c>
      <c r="AD85" s="252" t="s">
        <v>114</v>
      </c>
      <c r="AE85" s="251" t="s">
        <v>152</v>
      </c>
      <c r="AF85" s="251" t="s">
        <v>115</v>
      </c>
      <c r="AG85" s="268">
        <f t="shared" si="185"/>
        <v>2249</v>
      </c>
      <c r="AH85" s="268">
        <f t="shared" si="186"/>
        <v>2249</v>
      </c>
      <c r="AI85" s="268"/>
      <c r="AJ85" s="268"/>
      <c r="AK85" s="268">
        <f t="shared" ref="AK85:AK92" si="218">I85</f>
        <v>2249</v>
      </c>
      <c r="AL85" s="268"/>
      <c r="AM85" s="268"/>
      <c r="AN85" s="268">
        <f>I85</f>
        <v>2249</v>
      </c>
      <c r="AO85" s="268"/>
      <c r="AP85" s="268"/>
      <c r="AQ85" s="268"/>
      <c r="AR85" s="268"/>
      <c r="AS85" s="268"/>
      <c r="AT85" s="268">
        <f t="shared" ref="AT85:AT90" si="219">I85/13</f>
        <v>173</v>
      </c>
      <c r="AU85" s="268"/>
      <c r="AV85" s="268"/>
      <c r="AW85" s="268"/>
      <c r="AX85" s="268"/>
      <c r="AY85" s="268"/>
      <c r="AZ85" s="268"/>
      <c r="BA85" s="268"/>
      <c r="BB85" s="268"/>
      <c r="BC85" s="268"/>
      <c r="BD85" s="268"/>
      <c r="BE85" s="268"/>
      <c r="BF85" s="268"/>
      <c r="BG85" s="268"/>
      <c r="BH85" s="268"/>
      <c r="BI85" s="268"/>
      <c r="BJ85" s="60">
        <f t="shared" ref="BJ85:BR85" si="220">$I85*BJ$2</f>
        <v>275.268229166666</v>
      </c>
      <c r="BK85" s="60">
        <f t="shared" si="220"/>
        <v>275.268229166666</v>
      </c>
      <c r="BL85" s="60">
        <f t="shared" si="220"/>
        <v>275.268229166666</v>
      </c>
      <c r="BM85" s="60">
        <f t="shared" si="220"/>
        <v>275.268229166666</v>
      </c>
      <c r="BN85" s="60">
        <f t="shared" si="220"/>
        <v>275.268229166666</v>
      </c>
      <c r="BO85" s="60">
        <f t="shared" si="220"/>
        <v>275.268229166666</v>
      </c>
      <c r="BP85" s="60">
        <f t="shared" si="220"/>
        <v>275.268229166666</v>
      </c>
      <c r="BQ85" s="60">
        <f t="shared" si="220"/>
        <v>275.268229166666</v>
      </c>
      <c r="BR85" s="60">
        <f t="shared" si="220"/>
        <v>46.8541666666666</v>
      </c>
      <c r="BT85" s="60">
        <f t="shared" ref="BT85:CB85" si="221">BT84-BJ85</f>
        <v>85864.8932291667</v>
      </c>
      <c r="BU85" s="60">
        <f t="shared" si="221"/>
        <v>85864.8932291667</v>
      </c>
      <c r="BV85" s="60">
        <f t="shared" si="221"/>
        <v>85864.8932291667</v>
      </c>
      <c r="BW85" s="60">
        <f t="shared" si="221"/>
        <v>85864.8932291667</v>
      </c>
      <c r="BX85" s="60">
        <f t="shared" si="221"/>
        <v>85864.8932291667</v>
      </c>
      <c r="BY85" s="60">
        <f t="shared" si="221"/>
        <v>85864.8932291667</v>
      </c>
      <c r="BZ85" s="60">
        <f t="shared" si="221"/>
        <v>85864.8932291667</v>
      </c>
      <c r="CA85" s="60">
        <f t="shared" si="221"/>
        <v>85864.8932291667</v>
      </c>
      <c r="CB85" s="60">
        <f t="shared" si="221"/>
        <v>14566.8541666667</v>
      </c>
    </row>
    <row r="86" s="235" customFormat="1" ht="27" hidden="1" customHeight="1" spans="1:80">
      <c r="A86" s="241">
        <v>45744</v>
      </c>
      <c r="B86" s="242" t="s">
        <v>564</v>
      </c>
      <c r="C86" s="243" t="s">
        <v>117</v>
      </c>
      <c r="D86" s="244">
        <v>4500161694</v>
      </c>
      <c r="E86" s="243">
        <v>216888483</v>
      </c>
      <c r="F86" s="242" t="s">
        <v>571</v>
      </c>
      <c r="G86" s="245" t="s">
        <v>152</v>
      </c>
      <c r="H86" s="242" t="s">
        <v>153</v>
      </c>
      <c r="I86" s="250">
        <v>1209</v>
      </c>
      <c r="J86" s="250">
        <v>0</v>
      </c>
      <c r="K86" s="250">
        <v>13</v>
      </c>
      <c r="L86" s="250">
        <f t="shared" si="202"/>
        <v>93</v>
      </c>
      <c r="M86" s="251">
        <v>45819</v>
      </c>
      <c r="N86" s="251">
        <v>45815</v>
      </c>
      <c r="O86" s="252"/>
      <c r="P86" s="253" t="s">
        <v>107</v>
      </c>
      <c r="Q86" s="252" t="s">
        <v>567</v>
      </c>
      <c r="R86" s="252">
        <v>45748</v>
      </c>
      <c r="S86" s="252" t="s">
        <v>80</v>
      </c>
      <c r="T86" s="252" t="s">
        <v>80</v>
      </c>
      <c r="U86" s="252"/>
      <c r="V86" s="261" t="s">
        <v>568</v>
      </c>
      <c r="W86" s="251" t="s">
        <v>569</v>
      </c>
      <c r="X86" s="260">
        <v>0.83</v>
      </c>
      <c r="Y86" s="250">
        <f t="shared" si="198"/>
        <v>1003.47</v>
      </c>
      <c r="Z86" s="251" t="s">
        <v>572</v>
      </c>
      <c r="AA86" s="261">
        <v>1209</v>
      </c>
      <c r="AB86" s="261">
        <f t="shared" si="182"/>
        <v>0</v>
      </c>
      <c r="AC86" s="252" t="s">
        <v>80</v>
      </c>
      <c r="AD86" s="252" t="s">
        <v>114</v>
      </c>
      <c r="AE86" s="251" t="s">
        <v>152</v>
      </c>
      <c r="AF86" s="251" t="s">
        <v>115</v>
      </c>
      <c r="AG86" s="268">
        <f t="shared" si="185"/>
        <v>1209</v>
      </c>
      <c r="AH86" s="268">
        <f t="shared" si="186"/>
        <v>1209</v>
      </c>
      <c r="AI86" s="268"/>
      <c r="AJ86" s="268"/>
      <c r="AK86" s="268">
        <f t="shared" si="218"/>
        <v>1209</v>
      </c>
      <c r="AL86" s="268"/>
      <c r="AM86" s="268"/>
      <c r="AN86" s="268">
        <f>I86</f>
        <v>1209</v>
      </c>
      <c r="AO86" s="268"/>
      <c r="AP86" s="268"/>
      <c r="AQ86" s="268"/>
      <c r="AR86" s="268"/>
      <c r="AS86" s="268"/>
      <c r="AT86" s="268">
        <f t="shared" si="219"/>
        <v>93</v>
      </c>
      <c r="AU86" s="268"/>
      <c r="AV86" s="268"/>
      <c r="AW86" s="268"/>
      <c r="AX86" s="268"/>
      <c r="AY86" s="268"/>
      <c r="AZ86" s="268"/>
      <c r="BA86" s="268"/>
      <c r="BB86" s="268"/>
      <c r="BC86" s="268"/>
      <c r="BD86" s="268"/>
      <c r="BE86" s="268"/>
      <c r="BF86" s="268"/>
      <c r="BG86" s="268"/>
      <c r="BH86" s="268"/>
      <c r="BI86" s="268"/>
      <c r="BJ86" s="60">
        <f t="shared" ref="BJ86:BR86" si="222">$I86*BJ$2</f>
        <v>147.9765625</v>
      </c>
      <c r="BK86" s="60">
        <f t="shared" si="222"/>
        <v>147.9765625</v>
      </c>
      <c r="BL86" s="60">
        <f t="shared" si="222"/>
        <v>147.9765625</v>
      </c>
      <c r="BM86" s="60">
        <f t="shared" si="222"/>
        <v>147.9765625</v>
      </c>
      <c r="BN86" s="60">
        <f t="shared" si="222"/>
        <v>147.9765625</v>
      </c>
      <c r="BO86" s="60">
        <f t="shared" si="222"/>
        <v>147.9765625</v>
      </c>
      <c r="BP86" s="60">
        <f t="shared" si="222"/>
        <v>147.9765625</v>
      </c>
      <c r="BQ86" s="60">
        <f t="shared" si="222"/>
        <v>147.9765625</v>
      </c>
      <c r="BR86" s="60">
        <f t="shared" si="222"/>
        <v>25.1875</v>
      </c>
      <c r="BT86" s="60">
        <f t="shared" ref="BT86:CB86" si="223">BT85-BJ86</f>
        <v>85716.9166666667</v>
      </c>
      <c r="BU86" s="60">
        <f t="shared" si="223"/>
        <v>85716.9166666667</v>
      </c>
      <c r="BV86" s="60">
        <f t="shared" si="223"/>
        <v>85716.9166666667</v>
      </c>
      <c r="BW86" s="60">
        <f t="shared" si="223"/>
        <v>85716.9166666667</v>
      </c>
      <c r="BX86" s="60">
        <f t="shared" si="223"/>
        <v>85716.9166666667</v>
      </c>
      <c r="BY86" s="60">
        <f t="shared" si="223"/>
        <v>85716.9166666667</v>
      </c>
      <c r="BZ86" s="60">
        <f t="shared" si="223"/>
        <v>85716.9166666667</v>
      </c>
      <c r="CA86" s="60">
        <f t="shared" si="223"/>
        <v>85716.9166666667</v>
      </c>
      <c r="CB86" s="60">
        <f t="shared" si="223"/>
        <v>14541.6666666667</v>
      </c>
    </row>
    <row r="87" s="235" customFormat="1" ht="27" hidden="1" customHeight="1" spans="1:80">
      <c r="A87" s="241">
        <v>45757</v>
      </c>
      <c r="B87" s="242" t="s">
        <v>573</v>
      </c>
      <c r="C87" s="243" t="s">
        <v>574</v>
      </c>
      <c r="D87" s="244">
        <v>4500162850</v>
      </c>
      <c r="E87" s="243">
        <v>6000056637</v>
      </c>
      <c r="F87" s="242" t="s">
        <v>575</v>
      </c>
      <c r="G87" s="245" t="s">
        <v>78</v>
      </c>
      <c r="H87" s="242" t="s">
        <v>79</v>
      </c>
      <c r="I87" s="250">
        <v>486</v>
      </c>
      <c r="J87" s="250">
        <v>0</v>
      </c>
      <c r="K87" s="250">
        <v>54</v>
      </c>
      <c r="L87" s="250">
        <f t="shared" si="202"/>
        <v>9</v>
      </c>
      <c r="M87" s="251">
        <v>45821</v>
      </c>
      <c r="N87" s="251">
        <v>45819</v>
      </c>
      <c r="O87" s="252" t="s">
        <v>576</v>
      </c>
      <c r="P87" s="252" t="s">
        <v>224</v>
      </c>
      <c r="Q87" s="252" t="s">
        <v>577</v>
      </c>
      <c r="R87" s="252" t="s">
        <v>578</v>
      </c>
      <c r="S87" s="252" t="s">
        <v>191</v>
      </c>
      <c r="T87" s="252" t="s">
        <v>579</v>
      </c>
      <c r="U87" s="252"/>
      <c r="V87" s="261" t="s">
        <v>580</v>
      </c>
      <c r="W87" s="251" t="s">
        <v>581</v>
      </c>
      <c r="X87" s="260">
        <v>0.7967</v>
      </c>
      <c r="Y87" s="250">
        <f t="shared" si="198"/>
        <v>387.1962</v>
      </c>
      <c r="Z87" s="251"/>
      <c r="AA87" s="261">
        <v>486</v>
      </c>
      <c r="AB87" s="45">
        <f t="shared" si="182"/>
        <v>0</v>
      </c>
      <c r="AC87" s="252"/>
      <c r="AD87" s="252" t="s">
        <v>114</v>
      </c>
      <c r="AE87" s="251" t="s">
        <v>230</v>
      </c>
      <c r="AF87" s="251" t="s">
        <v>115</v>
      </c>
      <c r="AG87" s="268">
        <f t="shared" si="185"/>
        <v>486</v>
      </c>
      <c r="AH87" s="268">
        <f t="shared" si="186"/>
        <v>486</v>
      </c>
      <c r="AI87" s="268"/>
      <c r="AJ87" s="268"/>
      <c r="AK87" s="268"/>
      <c r="AL87" s="268">
        <f>I87</f>
        <v>486</v>
      </c>
      <c r="AM87" s="268"/>
      <c r="AN87" s="268"/>
      <c r="AO87" s="268">
        <f t="shared" ref="AO87:AO93" si="224">I87</f>
        <v>486</v>
      </c>
      <c r="AP87" s="268"/>
      <c r="AQ87" s="268"/>
      <c r="AR87" s="268">
        <f>I87/27</f>
        <v>18</v>
      </c>
      <c r="AS87" s="268"/>
      <c r="AT87" s="268"/>
      <c r="AU87" s="268"/>
      <c r="AV87" s="268"/>
      <c r="AW87" s="268"/>
      <c r="AX87" s="268"/>
      <c r="AY87" s="268"/>
      <c r="AZ87" s="268"/>
      <c r="BA87" s="268"/>
      <c r="BB87" s="268"/>
      <c r="BC87" s="268"/>
      <c r="BD87" s="268"/>
      <c r="BE87" s="268"/>
      <c r="BF87" s="268"/>
      <c r="BG87" s="268"/>
      <c r="BH87" s="268"/>
      <c r="BI87" s="268"/>
      <c r="BJ87" s="269">
        <f t="shared" ref="BJ87:BR87" si="225">$I87*BJ$2</f>
        <v>59.4843749999998</v>
      </c>
      <c r="BK87" s="269">
        <f t="shared" si="225"/>
        <v>59.4843749999998</v>
      </c>
      <c r="BL87" s="269">
        <f t="shared" si="225"/>
        <v>59.4843749999998</v>
      </c>
      <c r="BM87" s="269">
        <f t="shared" si="225"/>
        <v>59.4843749999998</v>
      </c>
      <c r="BN87" s="269">
        <f t="shared" si="225"/>
        <v>59.4843749999998</v>
      </c>
      <c r="BO87" s="269">
        <f t="shared" si="225"/>
        <v>59.4843749999998</v>
      </c>
      <c r="BP87" s="269">
        <f t="shared" si="225"/>
        <v>59.4843749999998</v>
      </c>
      <c r="BQ87" s="269">
        <f t="shared" si="225"/>
        <v>59.4843749999998</v>
      </c>
      <c r="BR87" s="269">
        <f t="shared" si="225"/>
        <v>10.125</v>
      </c>
      <c r="BT87" s="60">
        <f t="shared" ref="BT87:CB87" si="226">BT86-BJ87</f>
        <v>85657.4322916667</v>
      </c>
      <c r="BU87" s="60">
        <f t="shared" si="226"/>
        <v>85657.4322916667</v>
      </c>
      <c r="BV87" s="60">
        <f t="shared" si="226"/>
        <v>85657.4322916667</v>
      </c>
      <c r="BW87" s="60">
        <f t="shared" si="226"/>
        <v>85657.4322916667</v>
      </c>
      <c r="BX87" s="60">
        <f t="shared" si="226"/>
        <v>85657.4322916667</v>
      </c>
      <c r="BY87" s="60">
        <f t="shared" si="226"/>
        <v>85657.4322916667</v>
      </c>
      <c r="BZ87" s="60">
        <f t="shared" si="226"/>
        <v>85657.4322916667</v>
      </c>
      <c r="CA87" s="60">
        <f t="shared" si="226"/>
        <v>85657.4322916667</v>
      </c>
      <c r="CB87" s="60">
        <f t="shared" si="226"/>
        <v>14531.5416666667</v>
      </c>
    </row>
    <row r="88" s="235" customFormat="1" ht="27" hidden="1" customHeight="1" spans="1:80">
      <c r="A88" s="241">
        <v>45758</v>
      </c>
      <c r="B88" s="242" t="s">
        <v>582</v>
      </c>
      <c r="C88" s="243" t="s">
        <v>117</v>
      </c>
      <c r="D88" s="244">
        <v>4500163428</v>
      </c>
      <c r="E88" s="243" t="s">
        <v>583</v>
      </c>
      <c r="F88" s="242" t="s">
        <v>584</v>
      </c>
      <c r="G88" s="245" t="s">
        <v>152</v>
      </c>
      <c r="H88" s="242" t="s">
        <v>153</v>
      </c>
      <c r="I88" s="250">
        <v>2600</v>
      </c>
      <c r="J88" s="250">
        <v>0</v>
      </c>
      <c r="K88" s="250">
        <v>13</v>
      </c>
      <c r="L88" s="250">
        <f t="shared" si="202"/>
        <v>200</v>
      </c>
      <c r="M88" s="251">
        <v>45824</v>
      </c>
      <c r="N88" s="251">
        <v>45822</v>
      </c>
      <c r="O88" s="252"/>
      <c r="P88" s="252" t="s">
        <v>107</v>
      </c>
      <c r="Q88" s="252" t="s">
        <v>585</v>
      </c>
      <c r="R88" s="252">
        <v>45758</v>
      </c>
      <c r="S88" s="252" t="s">
        <v>80</v>
      </c>
      <c r="T88" s="252" t="s">
        <v>80</v>
      </c>
      <c r="U88" s="252"/>
      <c r="V88" s="261" t="s">
        <v>586</v>
      </c>
      <c r="W88" s="266" t="s">
        <v>587</v>
      </c>
      <c r="X88" s="260">
        <v>0.7931</v>
      </c>
      <c r="Y88" s="250">
        <f t="shared" si="198"/>
        <v>2062.06</v>
      </c>
      <c r="Z88" s="251" t="s">
        <v>588</v>
      </c>
      <c r="AA88" s="261">
        <f>2470+130</f>
        <v>2600</v>
      </c>
      <c r="AB88" s="45">
        <f t="shared" si="182"/>
        <v>0</v>
      </c>
      <c r="AC88" s="252" t="s">
        <v>80</v>
      </c>
      <c r="AD88" s="252" t="s">
        <v>114</v>
      </c>
      <c r="AE88" s="251" t="s">
        <v>152</v>
      </c>
      <c r="AF88" s="251" t="s">
        <v>115</v>
      </c>
      <c r="AG88" s="268">
        <f t="shared" si="185"/>
        <v>2600</v>
      </c>
      <c r="AH88" s="268">
        <f t="shared" si="186"/>
        <v>2600</v>
      </c>
      <c r="AI88" s="268"/>
      <c r="AJ88" s="268"/>
      <c r="AK88" s="268">
        <f t="shared" si="218"/>
        <v>2600</v>
      </c>
      <c r="AL88" s="268"/>
      <c r="AM88" s="268"/>
      <c r="AN88" s="268"/>
      <c r="AO88" s="268">
        <f t="shared" si="224"/>
        <v>2600</v>
      </c>
      <c r="AP88" s="268"/>
      <c r="AQ88" s="268"/>
      <c r="AR88" s="268"/>
      <c r="AS88" s="268"/>
      <c r="AT88" s="268">
        <f t="shared" si="219"/>
        <v>200</v>
      </c>
      <c r="AU88" s="268"/>
      <c r="AV88" s="268"/>
      <c r="AW88" s="268"/>
      <c r="AX88" s="268"/>
      <c r="AY88" s="268"/>
      <c r="AZ88" s="268"/>
      <c r="BA88" s="268"/>
      <c r="BB88" s="268"/>
      <c r="BC88" s="268"/>
      <c r="BD88" s="268"/>
      <c r="BE88" s="268"/>
      <c r="BF88" s="268"/>
      <c r="BG88" s="268"/>
      <c r="BH88" s="268"/>
      <c r="BI88" s="268"/>
      <c r="BJ88" s="60">
        <f t="shared" ref="BJ88:BR88" si="227">$I88*BJ$2</f>
        <v>318.229166666666</v>
      </c>
      <c r="BK88" s="60">
        <f t="shared" si="227"/>
        <v>318.229166666666</v>
      </c>
      <c r="BL88" s="60">
        <f t="shared" si="227"/>
        <v>318.229166666666</v>
      </c>
      <c r="BM88" s="60">
        <f t="shared" si="227"/>
        <v>318.229166666666</v>
      </c>
      <c r="BN88" s="60">
        <f t="shared" si="227"/>
        <v>318.229166666666</v>
      </c>
      <c r="BO88" s="60">
        <f t="shared" si="227"/>
        <v>318.229166666666</v>
      </c>
      <c r="BP88" s="60">
        <f t="shared" si="227"/>
        <v>318.229166666666</v>
      </c>
      <c r="BQ88" s="60">
        <f t="shared" si="227"/>
        <v>318.229166666666</v>
      </c>
      <c r="BR88" s="60">
        <f t="shared" si="227"/>
        <v>54.1666666666666</v>
      </c>
      <c r="BT88" s="60">
        <f t="shared" ref="BT88:CB88" si="228">BT87-BJ88</f>
        <v>85339.203125</v>
      </c>
      <c r="BU88" s="60">
        <f t="shared" si="228"/>
        <v>85339.203125</v>
      </c>
      <c r="BV88" s="60">
        <f t="shared" si="228"/>
        <v>85339.203125</v>
      </c>
      <c r="BW88" s="60">
        <f t="shared" si="228"/>
        <v>85339.203125</v>
      </c>
      <c r="BX88" s="60">
        <f t="shared" si="228"/>
        <v>85339.203125</v>
      </c>
      <c r="BY88" s="60">
        <f t="shared" si="228"/>
        <v>85339.203125</v>
      </c>
      <c r="BZ88" s="60">
        <f t="shared" si="228"/>
        <v>85339.203125</v>
      </c>
      <c r="CA88" s="60">
        <f t="shared" si="228"/>
        <v>85339.203125</v>
      </c>
      <c r="CB88" s="60">
        <f t="shared" si="228"/>
        <v>14477.375</v>
      </c>
    </row>
    <row r="89" s="235" customFormat="1" ht="27" hidden="1" customHeight="1" spans="1:80">
      <c r="A89" s="241">
        <v>45758</v>
      </c>
      <c r="B89" s="242" t="s">
        <v>582</v>
      </c>
      <c r="C89" s="243" t="s">
        <v>117</v>
      </c>
      <c r="D89" s="244">
        <v>4500163428</v>
      </c>
      <c r="E89" s="243" t="s">
        <v>589</v>
      </c>
      <c r="F89" s="242" t="s">
        <v>590</v>
      </c>
      <c r="G89" s="245" t="s">
        <v>152</v>
      </c>
      <c r="H89" s="242" t="s">
        <v>153</v>
      </c>
      <c r="I89" s="250">
        <v>4680</v>
      </c>
      <c r="J89" s="250">
        <v>0</v>
      </c>
      <c r="K89" s="250">
        <v>13</v>
      </c>
      <c r="L89" s="250">
        <f t="shared" si="202"/>
        <v>360</v>
      </c>
      <c r="M89" s="251">
        <v>45824</v>
      </c>
      <c r="N89" s="251">
        <v>45822</v>
      </c>
      <c r="O89" s="252"/>
      <c r="P89" s="252" t="s">
        <v>107</v>
      </c>
      <c r="Q89" s="252" t="s">
        <v>585</v>
      </c>
      <c r="R89" s="252">
        <v>45758</v>
      </c>
      <c r="S89" s="252" t="s">
        <v>80</v>
      </c>
      <c r="T89" s="252" t="s">
        <v>80</v>
      </c>
      <c r="U89" s="252"/>
      <c r="V89" s="261" t="s">
        <v>586</v>
      </c>
      <c r="W89" s="266" t="s">
        <v>587</v>
      </c>
      <c r="X89" s="260">
        <v>0.7931</v>
      </c>
      <c r="Y89" s="250">
        <f t="shared" si="198"/>
        <v>3711.708</v>
      </c>
      <c r="Z89" s="251" t="s">
        <v>591</v>
      </c>
      <c r="AA89" s="261">
        <f>4667+13</f>
        <v>4680</v>
      </c>
      <c r="AB89" s="45">
        <f t="shared" si="182"/>
        <v>0</v>
      </c>
      <c r="AC89" s="252" t="s">
        <v>80</v>
      </c>
      <c r="AD89" s="252" t="s">
        <v>114</v>
      </c>
      <c r="AE89" s="251" t="s">
        <v>152</v>
      </c>
      <c r="AF89" s="251" t="s">
        <v>115</v>
      </c>
      <c r="AG89" s="268">
        <f t="shared" si="185"/>
        <v>4680</v>
      </c>
      <c r="AH89" s="268">
        <f t="shared" si="186"/>
        <v>4680</v>
      </c>
      <c r="AI89" s="268"/>
      <c r="AJ89" s="268"/>
      <c r="AK89" s="268">
        <f t="shared" si="218"/>
        <v>4680</v>
      </c>
      <c r="AL89" s="268"/>
      <c r="AM89" s="268"/>
      <c r="AN89" s="268"/>
      <c r="AO89" s="268">
        <f t="shared" si="224"/>
        <v>4680</v>
      </c>
      <c r="AP89" s="268"/>
      <c r="AQ89" s="268"/>
      <c r="AR89" s="268"/>
      <c r="AS89" s="268"/>
      <c r="AT89" s="268">
        <f t="shared" si="219"/>
        <v>360</v>
      </c>
      <c r="AU89" s="268"/>
      <c r="AV89" s="268"/>
      <c r="AW89" s="268"/>
      <c r="AX89" s="268"/>
      <c r="AY89" s="268"/>
      <c r="AZ89" s="268"/>
      <c r="BA89" s="268"/>
      <c r="BB89" s="268"/>
      <c r="BC89" s="268"/>
      <c r="BD89" s="268"/>
      <c r="BE89" s="268"/>
      <c r="BF89" s="268"/>
      <c r="BG89" s="268"/>
      <c r="BH89" s="268"/>
      <c r="BI89" s="268"/>
      <c r="BJ89" s="60">
        <f t="shared" ref="BJ89:BR89" si="229">$I89*BJ$2</f>
        <v>572.812499999998</v>
      </c>
      <c r="BK89" s="60">
        <f t="shared" si="229"/>
        <v>572.812499999998</v>
      </c>
      <c r="BL89" s="60">
        <f t="shared" si="229"/>
        <v>572.812499999998</v>
      </c>
      <c r="BM89" s="60">
        <f t="shared" si="229"/>
        <v>572.812499999998</v>
      </c>
      <c r="BN89" s="60">
        <f t="shared" si="229"/>
        <v>572.812499999998</v>
      </c>
      <c r="BO89" s="60">
        <f t="shared" si="229"/>
        <v>572.812499999998</v>
      </c>
      <c r="BP89" s="60">
        <f t="shared" si="229"/>
        <v>572.812499999998</v>
      </c>
      <c r="BQ89" s="60">
        <f t="shared" si="229"/>
        <v>572.812499999998</v>
      </c>
      <c r="BR89" s="60">
        <f t="shared" si="229"/>
        <v>97.4999999999998</v>
      </c>
      <c r="BT89" s="60">
        <f t="shared" ref="BT89:CB89" si="230">BT88-BJ89</f>
        <v>84766.390625</v>
      </c>
      <c r="BU89" s="60">
        <f t="shared" si="230"/>
        <v>84766.390625</v>
      </c>
      <c r="BV89" s="60">
        <f t="shared" si="230"/>
        <v>84766.390625</v>
      </c>
      <c r="BW89" s="60">
        <f t="shared" si="230"/>
        <v>84766.390625</v>
      </c>
      <c r="BX89" s="60">
        <f t="shared" si="230"/>
        <v>84766.390625</v>
      </c>
      <c r="BY89" s="60">
        <f t="shared" si="230"/>
        <v>84766.390625</v>
      </c>
      <c r="BZ89" s="60">
        <f t="shared" si="230"/>
        <v>84766.390625</v>
      </c>
      <c r="CA89" s="60">
        <f t="shared" si="230"/>
        <v>84766.390625</v>
      </c>
      <c r="CB89" s="60">
        <f t="shared" si="230"/>
        <v>14379.875</v>
      </c>
    </row>
    <row r="90" s="234" customFormat="1" ht="27" hidden="1" customHeight="1" spans="1:82">
      <c r="A90" s="236">
        <v>45777</v>
      </c>
      <c r="B90" s="237" t="s">
        <v>592</v>
      </c>
      <c r="C90" s="238" t="s">
        <v>593</v>
      </c>
      <c r="D90" s="239">
        <v>4500165462</v>
      </c>
      <c r="E90" s="238" t="s">
        <v>594</v>
      </c>
      <c r="F90" s="237" t="s">
        <v>595</v>
      </c>
      <c r="G90" s="240" t="s">
        <v>94</v>
      </c>
      <c r="H90" s="237" t="s">
        <v>211</v>
      </c>
      <c r="I90" s="247">
        <v>1040</v>
      </c>
      <c r="J90" s="247">
        <v>0</v>
      </c>
      <c r="K90" s="247">
        <v>52</v>
      </c>
      <c r="L90" s="247">
        <f t="shared" si="202"/>
        <v>20</v>
      </c>
      <c r="M90" s="248">
        <v>45812</v>
      </c>
      <c r="N90" s="248">
        <v>45815</v>
      </c>
      <c r="O90" s="212"/>
      <c r="P90" s="212" t="s">
        <v>224</v>
      </c>
      <c r="Q90" s="212" t="s">
        <v>596</v>
      </c>
      <c r="R90" s="212">
        <v>45786</v>
      </c>
      <c r="S90" s="212" t="s">
        <v>80</v>
      </c>
      <c r="T90" s="212" t="s">
        <v>597</v>
      </c>
      <c r="U90" s="212"/>
      <c r="V90" s="259" t="s">
        <v>598</v>
      </c>
      <c r="W90" s="248" t="s">
        <v>599</v>
      </c>
      <c r="X90" s="260">
        <v>0.7855</v>
      </c>
      <c r="Y90" s="247">
        <f t="shared" si="198"/>
        <v>816.92</v>
      </c>
      <c r="Z90" s="248"/>
      <c r="AA90" s="259">
        <v>1040</v>
      </c>
      <c r="AB90" s="259">
        <f t="shared" si="182"/>
        <v>0</v>
      </c>
      <c r="AC90" s="212" t="s">
        <v>113</v>
      </c>
      <c r="AD90" s="212" t="s">
        <v>114</v>
      </c>
      <c r="AE90" s="248" t="s">
        <v>94</v>
      </c>
      <c r="AF90" s="248" t="s">
        <v>115</v>
      </c>
      <c r="AG90" s="267">
        <f t="shared" si="185"/>
        <v>1040</v>
      </c>
      <c r="AH90" s="267">
        <f t="shared" si="186"/>
        <v>1040</v>
      </c>
      <c r="AJ90" s="267"/>
      <c r="AK90" s="267">
        <f t="shared" si="218"/>
        <v>1040</v>
      </c>
      <c r="AL90" s="267"/>
      <c r="AM90" s="267"/>
      <c r="AO90" s="267">
        <f t="shared" si="224"/>
        <v>1040</v>
      </c>
      <c r="AP90" s="267"/>
      <c r="AQ90" s="267"/>
      <c r="AR90" s="267"/>
      <c r="AS90" s="267"/>
      <c r="AT90" s="267">
        <f t="shared" si="219"/>
        <v>80</v>
      </c>
      <c r="AU90" s="267"/>
      <c r="AV90" s="267"/>
      <c r="AW90" s="267"/>
      <c r="AX90" s="267"/>
      <c r="AY90" s="267"/>
      <c r="AZ90" s="267"/>
      <c r="BA90" s="267"/>
      <c r="BB90" s="267"/>
      <c r="BC90" s="267"/>
      <c r="BD90" s="267"/>
      <c r="BE90" s="267"/>
      <c r="BF90" s="267"/>
      <c r="BG90" s="267"/>
      <c r="BH90" s="267"/>
      <c r="BI90" s="267"/>
      <c r="BJ90" s="269">
        <f t="shared" ref="BJ90:BR90" si="231">$I90*BJ$2</f>
        <v>127.291666666666</v>
      </c>
      <c r="BK90" s="269">
        <f t="shared" si="231"/>
        <v>127.291666666666</v>
      </c>
      <c r="BL90" s="269">
        <f t="shared" si="231"/>
        <v>127.291666666666</v>
      </c>
      <c r="BM90" s="269">
        <f t="shared" si="231"/>
        <v>127.291666666666</v>
      </c>
      <c r="BN90" s="269">
        <f t="shared" si="231"/>
        <v>127.291666666666</v>
      </c>
      <c r="BO90" s="269">
        <f t="shared" si="231"/>
        <v>127.291666666666</v>
      </c>
      <c r="BP90" s="269">
        <f t="shared" si="231"/>
        <v>127.291666666666</v>
      </c>
      <c r="BQ90" s="269">
        <f t="shared" si="231"/>
        <v>127.291666666666</v>
      </c>
      <c r="BR90" s="269">
        <f t="shared" si="231"/>
        <v>21.6666666666666</v>
      </c>
      <c r="BT90" s="60">
        <f t="shared" ref="BT90:CB90" si="232">BT89-BJ90</f>
        <v>84639.0989583333</v>
      </c>
      <c r="BU90" s="60">
        <f t="shared" si="232"/>
        <v>84639.0989583333</v>
      </c>
      <c r="BV90" s="60">
        <f t="shared" si="232"/>
        <v>84639.0989583333</v>
      </c>
      <c r="BW90" s="60">
        <f t="shared" si="232"/>
        <v>84639.0989583333</v>
      </c>
      <c r="BX90" s="60">
        <f t="shared" si="232"/>
        <v>84639.0989583333</v>
      </c>
      <c r="BY90" s="60">
        <f t="shared" si="232"/>
        <v>84639.0989583333</v>
      </c>
      <c r="BZ90" s="60">
        <f t="shared" si="232"/>
        <v>84639.0989583333</v>
      </c>
      <c r="CA90" s="60">
        <f t="shared" si="232"/>
        <v>84639.0989583333</v>
      </c>
      <c r="CB90" s="60">
        <f t="shared" si="232"/>
        <v>14358.2083333333</v>
      </c>
      <c r="CD90" s="271"/>
    </row>
    <row r="91" s="235" customFormat="1" ht="27" hidden="1" customHeight="1" spans="1:80">
      <c r="A91" s="241">
        <v>45792</v>
      </c>
      <c r="B91" s="242" t="s">
        <v>600</v>
      </c>
      <c r="C91" s="243" t="s">
        <v>117</v>
      </c>
      <c r="D91" s="244">
        <v>4500166538</v>
      </c>
      <c r="E91" s="303" t="s">
        <v>601</v>
      </c>
      <c r="F91" s="242" t="s">
        <v>602</v>
      </c>
      <c r="G91" s="245" t="s">
        <v>258</v>
      </c>
      <c r="H91" s="242" t="s">
        <v>259</v>
      </c>
      <c r="I91" s="250">
        <v>1152</v>
      </c>
      <c r="J91" s="250">
        <v>0</v>
      </c>
      <c r="K91" s="250">
        <v>1152</v>
      </c>
      <c r="L91" s="250">
        <f t="shared" si="202"/>
        <v>1</v>
      </c>
      <c r="M91" s="251">
        <v>45817</v>
      </c>
      <c r="N91" s="251">
        <v>45815</v>
      </c>
      <c r="O91" s="252" t="s">
        <v>603</v>
      </c>
      <c r="P91" s="252" t="s">
        <v>107</v>
      </c>
      <c r="Q91" s="252" t="s">
        <v>604</v>
      </c>
      <c r="R91" s="252" t="s">
        <v>331</v>
      </c>
      <c r="S91" s="252" t="s">
        <v>191</v>
      </c>
      <c r="T91" s="252" t="s">
        <v>605</v>
      </c>
      <c r="U91" s="252"/>
      <c r="V91" s="261" t="s">
        <v>606</v>
      </c>
      <c r="W91" s="251" t="s">
        <v>607</v>
      </c>
      <c r="X91" s="260">
        <v>555.88</v>
      </c>
      <c r="Y91" s="250">
        <f>X91*L91</f>
        <v>555.88</v>
      </c>
      <c r="Z91" s="251" t="s">
        <v>608</v>
      </c>
      <c r="AA91" s="261">
        <f>1092+60</f>
        <v>1152</v>
      </c>
      <c r="AB91" s="45">
        <f t="shared" si="182"/>
        <v>0</v>
      </c>
      <c r="AC91" s="252"/>
      <c r="AD91" s="252" t="s">
        <v>114</v>
      </c>
      <c r="AE91" s="251" t="s">
        <v>258</v>
      </c>
      <c r="AF91" s="251" t="s">
        <v>115</v>
      </c>
      <c r="AG91" s="268">
        <f t="shared" si="185"/>
        <v>1152</v>
      </c>
      <c r="AH91" s="268">
        <f t="shared" si="186"/>
        <v>1152</v>
      </c>
      <c r="AI91" s="268"/>
      <c r="AJ91" s="268"/>
      <c r="AK91" s="268">
        <f t="shared" si="218"/>
        <v>1152</v>
      </c>
      <c r="AL91" s="268"/>
      <c r="AM91" s="268"/>
      <c r="AN91" s="268"/>
      <c r="AO91" s="268">
        <f t="shared" si="224"/>
        <v>1152</v>
      </c>
      <c r="AP91" s="268"/>
      <c r="AQ91" s="268"/>
      <c r="AR91" s="268"/>
      <c r="AS91" s="268"/>
      <c r="AT91" s="268"/>
      <c r="AU91" s="268"/>
      <c r="AV91" s="268">
        <f>I91/12</f>
        <v>96</v>
      </c>
      <c r="AW91" s="268"/>
      <c r="AX91" s="268"/>
      <c r="AY91" s="268"/>
      <c r="AZ91" s="268"/>
      <c r="BA91" s="268"/>
      <c r="BB91" s="268"/>
      <c r="BC91" s="268"/>
      <c r="BD91" s="268"/>
      <c r="BE91" s="268"/>
      <c r="BF91" s="268"/>
      <c r="BG91" s="268"/>
      <c r="BH91" s="268"/>
      <c r="BI91" s="268"/>
      <c r="BJ91" s="60">
        <f t="shared" ref="BJ91:BR91" si="233">$I91*BJ$2</f>
        <v>141</v>
      </c>
      <c r="BK91" s="60">
        <f t="shared" si="233"/>
        <v>141</v>
      </c>
      <c r="BL91" s="60">
        <f t="shared" si="233"/>
        <v>141</v>
      </c>
      <c r="BM91" s="60">
        <f t="shared" si="233"/>
        <v>141</v>
      </c>
      <c r="BN91" s="60">
        <f t="shared" si="233"/>
        <v>141</v>
      </c>
      <c r="BO91" s="60">
        <f t="shared" si="233"/>
        <v>141</v>
      </c>
      <c r="BP91" s="60">
        <f t="shared" si="233"/>
        <v>141</v>
      </c>
      <c r="BQ91" s="60">
        <f t="shared" si="233"/>
        <v>141</v>
      </c>
      <c r="BR91" s="60">
        <f t="shared" si="233"/>
        <v>24</v>
      </c>
      <c r="BT91" s="60">
        <f t="shared" ref="BT91:CB91" si="234">BT90-BJ91</f>
        <v>84498.0989583333</v>
      </c>
      <c r="BU91" s="60">
        <f t="shared" si="234"/>
        <v>84498.0989583333</v>
      </c>
      <c r="BV91" s="60">
        <f t="shared" si="234"/>
        <v>84498.0989583333</v>
      </c>
      <c r="BW91" s="60">
        <f t="shared" si="234"/>
        <v>84498.0989583333</v>
      </c>
      <c r="BX91" s="60">
        <f t="shared" si="234"/>
        <v>84498.0989583333</v>
      </c>
      <c r="BY91" s="60">
        <f t="shared" si="234"/>
        <v>84498.0989583333</v>
      </c>
      <c r="BZ91" s="60">
        <f t="shared" si="234"/>
        <v>84498.0989583333</v>
      </c>
      <c r="CA91" s="60">
        <f t="shared" si="234"/>
        <v>84498.0989583333</v>
      </c>
      <c r="CB91" s="60">
        <f t="shared" si="234"/>
        <v>14334.2083333333</v>
      </c>
    </row>
    <row r="92" s="235" customFormat="1" ht="27" hidden="1" customHeight="1" spans="1:80">
      <c r="A92" s="241">
        <v>45775</v>
      </c>
      <c r="B92" s="242" t="s">
        <v>326</v>
      </c>
      <c r="C92" s="243" t="s">
        <v>117</v>
      </c>
      <c r="D92" s="244">
        <v>4500162798</v>
      </c>
      <c r="E92" s="243" t="s">
        <v>609</v>
      </c>
      <c r="F92" s="242" t="s">
        <v>610</v>
      </c>
      <c r="G92" s="245" t="s">
        <v>258</v>
      </c>
      <c r="H92" s="242" t="s">
        <v>259</v>
      </c>
      <c r="I92" s="250">
        <v>1152</v>
      </c>
      <c r="J92" s="250">
        <v>0</v>
      </c>
      <c r="K92" s="250">
        <v>1152</v>
      </c>
      <c r="L92" s="250">
        <f t="shared" si="202"/>
        <v>1</v>
      </c>
      <c r="M92" s="251">
        <v>45819</v>
      </c>
      <c r="N92" s="251">
        <v>45817</v>
      </c>
      <c r="O92" s="252" t="s">
        <v>611</v>
      </c>
      <c r="P92" s="252" t="s">
        <v>107</v>
      </c>
      <c r="Q92" s="252" t="s">
        <v>604</v>
      </c>
      <c r="R92" s="252" t="s">
        <v>331</v>
      </c>
      <c r="S92" s="252" t="s">
        <v>191</v>
      </c>
      <c r="T92" s="252" t="s">
        <v>538</v>
      </c>
      <c r="U92" s="252"/>
      <c r="V92" s="261" t="s">
        <v>539</v>
      </c>
      <c r="W92" s="251" t="s">
        <v>265</v>
      </c>
      <c r="X92" s="260">
        <v>555.88</v>
      </c>
      <c r="Y92" s="250">
        <f>X92*L92</f>
        <v>555.88</v>
      </c>
      <c r="Z92" s="251" t="s">
        <v>612</v>
      </c>
      <c r="AA92" s="261">
        <v>1152</v>
      </c>
      <c r="AB92" s="45">
        <f t="shared" si="182"/>
        <v>0</v>
      </c>
      <c r="AC92" s="252"/>
      <c r="AD92" s="252" t="s">
        <v>114</v>
      </c>
      <c r="AE92" s="251" t="s">
        <v>258</v>
      </c>
      <c r="AF92" s="251" t="s">
        <v>115</v>
      </c>
      <c r="AG92" s="268">
        <f t="shared" si="185"/>
        <v>1152</v>
      </c>
      <c r="AH92" s="268">
        <f t="shared" si="186"/>
        <v>1152</v>
      </c>
      <c r="AI92" s="268"/>
      <c r="AJ92" s="268"/>
      <c r="AK92" s="268">
        <f t="shared" si="218"/>
        <v>1152</v>
      </c>
      <c r="AL92" s="268"/>
      <c r="AM92" s="268"/>
      <c r="AN92" s="268"/>
      <c r="AO92" s="268">
        <f t="shared" si="224"/>
        <v>1152</v>
      </c>
      <c r="AP92" s="268"/>
      <c r="AQ92" s="268"/>
      <c r="AR92" s="268"/>
      <c r="AS92" s="268"/>
      <c r="AT92" s="268"/>
      <c r="AU92" s="268"/>
      <c r="AV92" s="268">
        <f>I92/12</f>
        <v>96</v>
      </c>
      <c r="AW92" s="268"/>
      <c r="AX92" s="268"/>
      <c r="AY92" s="268"/>
      <c r="AZ92" s="268"/>
      <c r="BA92" s="268"/>
      <c r="BB92" s="268"/>
      <c r="BC92" s="268"/>
      <c r="BD92" s="268"/>
      <c r="BE92" s="268"/>
      <c r="BF92" s="268"/>
      <c r="BG92" s="268"/>
      <c r="BH92" s="268"/>
      <c r="BI92" s="268"/>
      <c r="BJ92" s="60">
        <f t="shared" ref="BJ92:BR92" si="235">$I92*BJ$2</f>
        <v>141</v>
      </c>
      <c r="BK92" s="60">
        <f t="shared" si="235"/>
        <v>141</v>
      </c>
      <c r="BL92" s="60">
        <f t="shared" si="235"/>
        <v>141</v>
      </c>
      <c r="BM92" s="60">
        <f t="shared" si="235"/>
        <v>141</v>
      </c>
      <c r="BN92" s="60">
        <f t="shared" si="235"/>
        <v>141</v>
      </c>
      <c r="BO92" s="60">
        <f t="shared" si="235"/>
        <v>141</v>
      </c>
      <c r="BP92" s="60">
        <f t="shared" si="235"/>
        <v>141</v>
      </c>
      <c r="BQ92" s="60">
        <f t="shared" si="235"/>
        <v>141</v>
      </c>
      <c r="BR92" s="60">
        <f t="shared" si="235"/>
        <v>24</v>
      </c>
      <c r="BT92" s="60">
        <f t="shared" ref="BT92:CB92" si="236">BT91-BJ92</f>
        <v>84357.0989583333</v>
      </c>
      <c r="BU92" s="60">
        <f t="shared" si="236"/>
        <v>84357.0989583333</v>
      </c>
      <c r="BV92" s="60">
        <f t="shared" si="236"/>
        <v>84357.0989583333</v>
      </c>
      <c r="BW92" s="60">
        <f t="shared" si="236"/>
        <v>84357.0989583333</v>
      </c>
      <c r="BX92" s="60">
        <f t="shared" si="236"/>
        <v>84357.0989583333</v>
      </c>
      <c r="BY92" s="60">
        <f t="shared" si="236"/>
        <v>84357.0989583333</v>
      </c>
      <c r="BZ92" s="60">
        <f t="shared" si="236"/>
        <v>84357.0989583333</v>
      </c>
      <c r="CA92" s="60">
        <f t="shared" si="236"/>
        <v>84357.0989583333</v>
      </c>
      <c r="CB92" s="60">
        <f t="shared" si="236"/>
        <v>14310.2083333333</v>
      </c>
    </row>
    <row r="93" s="234" customFormat="1" ht="27" hidden="1" customHeight="1" spans="1:80">
      <c r="A93" s="236">
        <v>45785</v>
      </c>
      <c r="B93" s="237" t="s">
        <v>613</v>
      </c>
      <c r="C93" s="238" t="s">
        <v>614</v>
      </c>
      <c r="D93" s="239">
        <v>4500165739</v>
      </c>
      <c r="E93" s="238" t="s">
        <v>615</v>
      </c>
      <c r="F93" s="237" t="s">
        <v>616</v>
      </c>
      <c r="G93" s="240" t="s">
        <v>94</v>
      </c>
      <c r="H93" s="237" t="s">
        <v>211</v>
      </c>
      <c r="I93" s="247">
        <v>2444</v>
      </c>
      <c r="J93" s="247">
        <v>0</v>
      </c>
      <c r="K93" s="247">
        <v>52</v>
      </c>
      <c r="L93" s="247">
        <f t="shared" si="202"/>
        <v>47</v>
      </c>
      <c r="M93" s="248">
        <v>45821</v>
      </c>
      <c r="N93" s="272">
        <v>45817</v>
      </c>
      <c r="O93" s="212"/>
      <c r="P93" s="212" t="s">
        <v>224</v>
      </c>
      <c r="Q93" s="212" t="s">
        <v>617</v>
      </c>
      <c r="R93" s="212">
        <v>45786</v>
      </c>
      <c r="S93" s="212" t="s">
        <v>80</v>
      </c>
      <c r="T93" s="212" t="s">
        <v>618</v>
      </c>
      <c r="U93" s="212"/>
      <c r="V93" s="259" t="s">
        <v>619</v>
      </c>
      <c r="W93" s="248" t="s">
        <v>620</v>
      </c>
      <c r="X93" s="260">
        <v>0.8186</v>
      </c>
      <c r="Y93" s="247">
        <f t="shared" ref="Y93:Y96" si="237">X93*I93</f>
        <v>2000.6584</v>
      </c>
      <c r="Z93" s="248"/>
      <c r="AA93" s="259">
        <v>2444</v>
      </c>
      <c r="AB93" s="259">
        <f t="shared" si="182"/>
        <v>0</v>
      </c>
      <c r="AC93" s="212" t="s">
        <v>113</v>
      </c>
      <c r="AD93" s="212" t="s">
        <v>114</v>
      </c>
      <c r="AE93" s="248" t="s">
        <v>414</v>
      </c>
      <c r="AF93" s="248" t="s">
        <v>115</v>
      </c>
      <c r="AG93" s="267">
        <f t="shared" si="185"/>
        <v>2444</v>
      </c>
      <c r="AH93" s="267">
        <f t="shared" si="186"/>
        <v>2444</v>
      </c>
      <c r="AI93" s="267"/>
      <c r="AJ93" s="267"/>
      <c r="AK93" s="267"/>
      <c r="AL93" s="267">
        <f t="shared" ref="AL93:AL96" si="238">I93</f>
        <v>2444</v>
      </c>
      <c r="AM93" s="267"/>
      <c r="AN93" s="267"/>
      <c r="AO93" s="267">
        <f t="shared" si="224"/>
        <v>2444</v>
      </c>
      <c r="AP93" s="267"/>
      <c r="AQ93" s="267"/>
      <c r="AR93" s="267"/>
      <c r="AS93" s="267"/>
      <c r="AT93" s="267"/>
      <c r="AU93" s="267">
        <f>I93/13</f>
        <v>188</v>
      </c>
      <c r="AV93" s="267"/>
      <c r="AW93" s="267"/>
      <c r="AX93" s="267"/>
      <c r="AY93" s="267"/>
      <c r="AZ93" s="267"/>
      <c r="BA93" s="267"/>
      <c r="BB93" s="267"/>
      <c r="BC93" s="267"/>
      <c r="BD93" s="267"/>
      <c r="BE93" s="267"/>
      <c r="BF93" s="267"/>
      <c r="BG93" s="267"/>
      <c r="BH93" s="267"/>
      <c r="BI93" s="267"/>
      <c r="BJ93" s="269">
        <f t="shared" ref="BJ93:BR93" si="239">$I93*BJ$2</f>
        <v>299.135416666666</v>
      </c>
      <c r="BK93" s="269">
        <f t="shared" si="239"/>
        <v>299.135416666666</v>
      </c>
      <c r="BL93" s="269">
        <f t="shared" si="239"/>
        <v>299.135416666666</v>
      </c>
      <c r="BM93" s="269">
        <f t="shared" si="239"/>
        <v>299.135416666666</v>
      </c>
      <c r="BN93" s="269">
        <f t="shared" si="239"/>
        <v>299.135416666666</v>
      </c>
      <c r="BO93" s="269">
        <f t="shared" si="239"/>
        <v>299.135416666666</v>
      </c>
      <c r="BP93" s="269">
        <f t="shared" si="239"/>
        <v>299.135416666666</v>
      </c>
      <c r="BQ93" s="269">
        <f t="shared" si="239"/>
        <v>299.135416666666</v>
      </c>
      <c r="BR93" s="269">
        <f t="shared" si="239"/>
        <v>50.9166666666666</v>
      </c>
      <c r="BT93" s="60">
        <f t="shared" ref="BT93:CB93" si="240">BT92-BJ93</f>
        <v>84057.9635416667</v>
      </c>
      <c r="BU93" s="60">
        <f t="shared" si="240"/>
        <v>84057.9635416667</v>
      </c>
      <c r="BV93" s="60">
        <f t="shared" si="240"/>
        <v>84057.9635416667</v>
      </c>
      <c r="BW93" s="60">
        <f t="shared" si="240"/>
        <v>84057.9635416667</v>
      </c>
      <c r="BX93" s="60">
        <f t="shared" si="240"/>
        <v>84057.9635416667</v>
      </c>
      <c r="BY93" s="60">
        <f t="shared" si="240"/>
        <v>84057.9635416667</v>
      </c>
      <c r="BZ93" s="60">
        <f t="shared" si="240"/>
        <v>84057.9635416667</v>
      </c>
      <c r="CA93" s="60">
        <f t="shared" si="240"/>
        <v>84057.9635416667</v>
      </c>
      <c r="CB93" s="60">
        <f t="shared" si="240"/>
        <v>14259.2916666667</v>
      </c>
    </row>
    <row r="94" s="234" customFormat="1" ht="27" hidden="1" customHeight="1" spans="1:87">
      <c r="A94" s="236">
        <v>45765</v>
      </c>
      <c r="B94" s="237" t="s">
        <v>621</v>
      </c>
      <c r="C94" s="238" t="s">
        <v>396</v>
      </c>
      <c r="D94" s="239">
        <v>4500164250</v>
      </c>
      <c r="E94" s="238" t="s">
        <v>622</v>
      </c>
      <c r="F94" s="237" t="s">
        <v>623</v>
      </c>
      <c r="G94" s="240" t="s">
        <v>188</v>
      </c>
      <c r="H94" s="237" t="s">
        <v>120</v>
      </c>
      <c r="I94" s="247">
        <v>504</v>
      </c>
      <c r="J94" s="247">
        <v>0</v>
      </c>
      <c r="K94" s="247">
        <v>12</v>
      </c>
      <c r="L94" s="247">
        <f t="shared" si="202"/>
        <v>42</v>
      </c>
      <c r="M94" s="248">
        <v>45814</v>
      </c>
      <c r="N94" s="248">
        <v>45815</v>
      </c>
      <c r="O94" s="212"/>
      <c r="P94" s="212" t="s">
        <v>224</v>
      </c>
      <c r="Q94" s="212" t="s">
        <v>624</v>
      </c>
      <c r="R94" s="212" t="s">
        <v>190</v>
      </c>
      <c r="S94" s="212" t="s">
        <v>191</v>
      </c>
      <c r="T94" s="212" t="s">
        <v>625</v>
      </c>
      <c r="U94" s="212"/>
      <c r="V94" s="259" t="s">
        <v>626</v>
      </c>
      <c r="W94" s="248" t="s">
        <v>194</v>
      </c>
      <c r="X94" s="260">
        <v>1.8626</v>
      </c>
      <c r="Y94" s="247">
        <f t="shared" si="237"/>
        <v>938.7504</v>
      </c>
      <c r="Z94" s="248"/>
      <c r="AA94" s="259">
        <v>504</v>
      </c>
      <c r="AB94" s="259">
        <f t="shared" si="182"/>
        <v>0</v>
      </c>
      <c r="AC94" s="212"/>
      <c r="AD94" s="212" t="s">
        <v>114</v>
      </c>
      <c r="AE94" s="248" t="s">
        <v>188</v>
      </c>
      <c r="AF94" s="248" t="s">
        <v>115</v>
      </c>
      <c r="AG94" s="267">
        <f>I94*2</f>
        <v>1008</v>
      </c>
      <c r="AH94" s="267">
        <f>I94*2</f>
        <v>1008</v>
      </c>
      <c r="AJ94" s="267"/>
      <c r="AK94" s="267"/>
      <c r="AL94" s="267">
        <f>I94*2</f>
        <v>1008</v>
      </c>
      <c r="AM94" s="267"/>
      <c r="AO94" s="267">
        <f>I94*2</f>
        <v>1008</v>
      </c>
      <c r="AP94" s="267"/>
      <c r="AQ94" s="267"/>
      <c r="AR94" s="267"/>
      <c r="AS94" s="267"/>
      <c r="AT94" s="267"/>
      <c r="AU94" s="267"/>
      <c r="AV94" s="267"/>
      <c r="AW94" s="267"/>
      <c r="AX94" s="267"/>
      <c r="AY94" s="267"/>
      <c r="AZ94" s="267"/>
      <c r="BA94" s="267"/>
      <c r="BB94" s="267"/>
      <c r="BC94" s="267"/>
      <c r="BD94" s="267"/>
      <c r="BE94" s="267"/>
      <c r="BF94" s="267">
        <f>I94</f>
        <v>504</v>
      </c>
      <c r="BG94" s="267">
        <f>I94</f>
        <v>504</v>
      </c>
      <c r="BH94" s="267"/>
      <c r="BI94" s="267"/>
      <c r="BJ94" s="269">
        <f t="shared" ref="BJ94:BR94" si="241">$I94*BJ$2*2</f>
        <v>123.375</v>
      </c>
      <c r="BK94" s="269">
        <f t="shared" si="241"/>
        <v>123.375</v>
      </c>
      <c r="BL94" s="269">
        <f t="shared" si="241"/>
        <v>123.375</v>
      </c>
      <c r="BM94" s="269">
        <f t="shared" si="241"/>
        <v>123.375</v>
      </c>
      <c r="BN94" s="269">
        <f t="shared" si="241"/>
        <v>123.375</v>
      </c>
      <c r="BO94" s="269">
        <f t="shared" si="241"/>
        <v>123.375</v>
      </c>
      <c r="BP94" s="269">
        <f t="shared" si="241"/>
        <v>123.375</v>
      </c>
      <c r="BQ94" s="269">
        <f t="shared" si="241"/>
        <v>123.375</v>
      </c>
      <c r="BR94" s="269">
        <f t="shared" si="241"/>
        <v>21</v>
      </c>
      <c r="BT94" s="60">
        <f t="shared" ref="BT94:CB94" si="242">BT93-BJ94</f>
        <v>83934.5885416667</v>
      </c>
      <c r="BU94" s="60">
        <f t="shared" si="242"/>
        <v>83934.5885416667</v>
      </c>
      <c r="BV94" s="60">
        <f t="shared" si="242"/>
        <v>83934.5885416667</v>
      </c>
      <c r="BW94" s="60">
        <f t="shared" si="242"/>
        <v>83934.5885416667</v>
      </c>
      <c r="BX94" s="60">
        <f t="shared" si="242"/>
        <v>83934.5885416667</v>
      </c>
      <c r="BY94" s="60">
        <f t="shared" si="242"/>
        <v>83934.5885416667</v>
      </c>
      <c r="BZ94" s="60">
        <f t="shared" si="242"/>
        <v>83934.5885416667</v>
      </c>
      <c r="CA94" s="60">
        <f t="shared" si="242"/>
        <v>83934.5885416667</v>
      </c>
      <c r="CB94" s="60">
        <f t="shared" si="242"/>
        <v>14238.2916666667</v>
      </c>
      <c r="CD94" s="271" t="s">
        <v>499</v>
      </c>
      <c r="CE94" s="234">
        <v>10000</v>
      </c>
      <c r="CF94" s="234">
        <v>5000</v>
      </c>
      <c r="CH94" s="234">
        <f>CE94-I94</f>
        <v>9496</v>
      </c>
      <c r="CI94" s="234">
        <f>CF94-I94</f>
        <v>4496</v>
      </c>
    </row>
    <row r="95" s="234" customFormat="1" ht="27" hidden="1" customHeight="1" spans="1:80">
      <c r="A95" s="236">
        <v>45786</v>
      </c>
      <c r="B95" s="237" t="s">
        <v>627</v>
      </c>
      <c r="C95" s="238" t="s">
        <v>574</v>
      </c>
      <c r="D95" s="239">
        <v>4500165810</v>
      </c>
      <c r="E95" s="238"/>
      <c r="F95" s="237" t="s">
        <v>628</v>
      </c>
      <c r="G95" s="240" t="s">
        <v>78</v>
      </c>
      <c r="H95" s="237" t="s">
        <v>79</v>
      </c>
      <c r="I95" s="247">
        <v>7236</v>
      </c>
      <c r="J95" s="247">
        <v>0</v>
      </c>
      <c r="K95" s="247">
        <v>54</v>
      </c>
      <c r="L95" s="247">
        <f t="shared" si="202"/>
        <v>134</v>
      </c>
      <c r="M95" s="248">
        <v>45820</v>
      </c>
      <c r="N95" s="272">
        <v>45817</v>
      </c>
      <c r="O95" s="212"/>
      <c r="P95" s="212" t="s">
        <v>107</v>
      </c>
      <c r="Q95" s="212" t="s">
        <v>629</v>
      </c>
      <c r="R95" s="212">
        <v>45790</v>
      </c>
      <c r="S95" s="212" t="s">
        <v>80</v>
      </c>
      <c r="T95" s="212" t="s">
        <v>630</v>
      </c>
      <c r="U95" s="212"/>
      <c r="V95" s="259" t="s">
        <v>631</v>
      </c>
      <c r="W95" s="248" t="s">
        <v>632</v>
      </c>
      <c r="X95" s="260">
        <v>0.7687</v>
      </c>
      <c r="Y95" s="247">
        <f t="shared" si="237"/>
        <v>5562.3132</v>
      </c>
      <c r="Z95" s="281" t="s">
        <v>633</v>
      </c>
      <c r="AA95" s="259">
        <v>7236</v>
      </c>
      <c r="AB95" s="259">
        <f t="shared" si="182"/>
        <v>0</v>
      </c>
      <c r="AC95" s="212" t="s">
        <v>113</v>
      </c>
      <c r="AD95" s="212" t="s">
        <v>114</v>
      </c>
      <c r="AE95" s="248" t="s">
        <v>230</v>
      </c>
      <c r="AF95" s="248" t="s">
        <v>115</v>
      </c>
      <c r="AG95" s="267">
        <f t="shared" ref="AG95:AG114" si="243">I95</f>
        <v>7236</v>
      </c>
      <c r="AH95" s="267">
        <f t="shared" ref="AH95:AH103" si="244">I95</f>
        <v>7236</v>
      </c>
      <c r="AI95" s="267"/>
      <c r="AJ95" s="267"/>
      <c r="AK95" s="267"/>
      <c r="AL95" s="267">
        <f t="shared" si="238"/>
        <v>7236</v>
      </c>
      <c r="AM95" s="267"/>
      <c r="AO95" s="267">
        <f t="shared" ref="AO95:AO105" si="245">I95</f>
        <v>7236</v>
      </c>
      <c r="AP95" s="267"/>
      <c r="AQ95" s="267"/>
      <c r="AR95" s="267">
        <f>I95/27</f>
        <v>268</v>
      </c>
      <c r="AS95" s="267"/>
      <c r="AT95" s="267"/>
      <c r="AU95" s="267"/>
      <c r="AV95" s="267"/>
      <c r="AW95" s="267"/>
      <c r="AX95" s="267"/>
      <c r="AY95" s="267"/>
      <c r="AZ95" s="267"/>
      <c r="BA95" s="267"/>
      <c r="BB95" s="267"/>
      <c r="BC95" s="267"/>
      <c r="BD95" s="267"/>
      <c r="BE95" s="267"/>
      <c r="BF95" s="267"/>
      <c r="BG95" s="267"/>
      <c r="BH95" s="267"/>
      <c r="BI95" s="267"/>
      <c r="BJ95" s="269">
        <f t="shared" ref="BJ95:BR95" si="246">$I95*BJ$2</f>
        <v>885.656249999998</v>
      </c>
      <c r="BK95" s="269">
        <f t="shared" si="246"/>
        <v>885.656249999998</v>
      </c>
      <c r="BL95" s="269">
        <f t="shared" si="246"/>
        <v>885.656249999998</v>
      </c>
      <c r="BM95" s="269">
        <f t="shared" si="246"/>
        <v>885.656249999998</v>
      </c>
      <c r="BN95" s="269">
        <f t="shared" si="246"/>
        <v>885.656249999998</v>
      </c>
      <c r="BO95" s="269">
        <f t="shared" si="246"/>
        <v>885.656249999998</v>
      </c>
      <c r="BP95" s="269">
        <f t="shared" si="246"/>
        <v>885.656249999998</v>
      </c>
      <c r="BQ95" s="269">
        <f t="shared" si="246"/>
        <v>885.656249999998</v>
      </c>
      <c r="BR95" s="269">
        <f t="shared" si="246"/>
        <v>150.75</v>
      </c>
      <c r="BT95" s="60">
        <f t="shared" ref="BT95:CB95" si="247">BT94-BJ95</f>
        <v>83048.9322916667</v>
      </c>
      <c r="BU95" s="60">
        <f t="shared" si="247"/>
        <v>83048.9322916667</v>
      </c>
      <c r="BV95" s="60">
        <f t="shared" si="247"/>
        <v>83048.9322916667</v>
      </c>
      <c r="BW95" s="60">
        <f t="shared" si="247"/>
        <v>83048.9322916667</v>
      </c>
      <c r="BX95" s="60">
        <f t="shared" si="247"/>
        <v>83048.9322916667</v>
      </c>
      <c r="BY95" s="60">
        <f t="shared" si="247"/>
        <v>83048.9322916667</v>
      </c>
      <c r="BZ95" s="60">
        <f t="shared" si="247"/>
        <v>83048.9322916667</v>
      </c>
      <c r="CA95" s="60">
        <f t="shared" si="247"/>
        <v>83048.9322916667</v>
      </c>
      <c r="CB95" s="60">
        <f t="shared" si="247"/>
        <v>14087.5416666667</v>
      </c>
    </row>
    <row r="96" s="234" customFormat="1" ht="27" hidden="1" customHeight="1" spans="1:80">
      <c r="A96" s="236">
        <v>45758</v>
      </c>
      <c r="B96" s="237" t="s">
        <v>634</v>
      </c>
      <c r="C96" s="238" t="s">
        <v>574</v>
      </c>
      <c r="D96" s="239">
        <v>4500163238</v>
      </c>
      <c r="E96" s="238"/>
      <c r="F96" s="237" t="s">
        <v>635</v>
      </c>
      <c r="G96" s="240" t="s">
        <v>78</v>
      </c>
      <c r="H96" s="237" t="s">
        <v>79</v>
      </c>
      <c r="I96" s="247">
        <v>540</v>
      </c>
      <c r="J96" s="247">
        <v>0</v>
      </c>
      <c r="K96" s="247">
        <v>54</v>
      </c>
      <c r="L96" s="247">
        <f t="shared" si="202"/>
        <v>10</v>
      </c>
      <c r="M96" s="248">
        <v>45821</v>
      </c>
      <c r="N96" s="272">
        <v>45817</v>
      </c>
      <c r="O96" s="212"/>
      <c r="P96" s="212" t="s">
        <v>224</v>
      </c>
      <c r="Q96" s="212" t="s">
        <v>636</v>
      </c>
      <c r="R96" s="212">
        <v>45786</v>
      </c>
      <c r="S96" s="212" t="s">
        <v>80</v>
      </c>
      <c r="T96" s="212" t="s">
        <v>637</v>
      </c>
      <c r="U96" s="212"/>
      <c r="V96" s="259" t="s">
        <v>638</v>
      </c>
      <c r="W96" s="248" t="s">
        <v>581</v>
      </c>
      <c r="X96" s="260">
        <v>0.7967</v>
      </c>
      <c r="Y96" s="247">
        <f t="shared" si="237"/>
        <v>430.218</v>
      </c>
      <c r="Z96" s="248"/>
      <c r="AA96" s="259">
        <v>540</v>
      </c>
      <c r="AB96" s="259">
        <f t="shared" si="182"/>
        <v>0</v>
      </c>
      <c r="AC96" s="212" t="s">
        <v>113</v>
      </c>
      <c r="AD96" s="212" t="s">
        <v>114</v>
      </c>
      <c r="AE96" s="248" t="s">
        <v>230</v>
      </c>
      <c r="AF96" s="248" t="s">
        <v>115</v>
      </c>
      <c r="AG96" s="267">
        <f t="shared" si="243"/>
        <v>540</v>
      </c>
      <c r="AH96" s="267">
        <f t="shared" si="244"/>
        <v>540</v>
      </c>
      <c r="AI96" s="267"/>
      <c r="AJ96" s="267"/>
      <c r="AK96" s="267"/>
      <c r="AL96" s="267">
        <f t="shared" si="238"/>
        <v>540</v>
      </c>
      <c r="AM96" s="267"/>
      <c r="AN96" s="267"/>
      <c r="AO96" s="267">
        <f t="shared" si="245"/>
        <v>540</v>
      </c>
      <c r="AP96" s="267"/>
      <c r="AQ96" s="267"/>
      <c r="AR96" s="267">
        <f>I96/27</f>
        <v>20</v>
      </c>
      <c r="AS96" s="267"/>
      <c r="AT96" s="267"/>
      <c r="AU96" s="267"/>
      <c r="AV96" s="267"/>
      <c r="AW96" s="267"/>
      <c r="AX96" s="267"/>
      <c r="AY96" s="267"/>
      <c r="AZ96" s="267"/>
      <c r="BA96" s="267"/>
      <c r="BB96" s="267"/>
      <c r="BC96" s="267"/>
      <c r="BD96" s="267"/>
      <c r="BE96" s="267"/>
      <c r="BF96" s="267"/>
      <c r="BG96" s="267"/>
      <c r="BH96" s="267"/>
      <c r="BI96" s="267"/>
      <c r="BJ96" s="269">
        <f t="shared" ref="BJ96:BR96" si="248">$I96*BJ$2</f>
        <v>66.0937499999998</v>
      </c>
      <c r="BK96" s="269">
        <f t="shared" si="248"/>
        <v>66.0937499999998</v>
      </c>
      <c r="BL96" s="269">
        <f t="shared" si="248"/>
        <v>66.0937499999998</v>
      </c>
      <c r="BM96" s="269">
        <f t="shared" si="248"/>
        <v>66.0937499999998</v>
      </c>
      <c r="BN96" s="269">
        <f t="shared" si="248"/>
        <v>66.0937499999998</v>
      </c>
      <c r="BO96" s="269">
        <f t="shared" si="248"/>
        <v>66.0937499999998</v>
      </c>
      <c r="BP96" s="269">
        <f t="shared" si="248"/>
        <v>66.0937499999998</v>
      </c>
      <c r="BQ96" s="269">
        <f t="shared" si="248"/>
        <v>66.0937499999998</v>
      </c>
      <c r="BR96" s="269">
        <f t="shared" si="248"/>
        <v>11.25</v>
      </c>
      <c r="BT96" s="60">
        <f t="shared" ref="BT96:CB96" si="249">BT95-BJ96</f>
        <v>82982.8385416667</v>
      </c>
      <c r="BU96" s="60">
        <f t="shared" si="249"/>
        <v>82982.8385416667</v>
      </c>
      <c r="BV96" s="60">
        <f t="shared" si="249"/>
        <v>82982.8385416667</v>
      </c>
      <c r="BW96" s="60">
        <f t="shared" si="249"/>
        <v>82982.8385416667</v>
      </c>
      <c r="BX96" s="60">
        <f t="shared" si="249"/>
        <v>82982.8385416667</v>
      </c>
      <c r="BY96" s="60">
        <f t="shared" si="249"/>
        <v>82982.8385416667</v>
      </c>
      <c r="BZ96" s="60">
        <f t="shared" si="249"/>
        <v>82982.8385416667</v>
      </c>
      <c r="CA96" s="60">
        <f t="shared" si="249"/>
        <v>82982.8385416667</v>
      </c>
      <c r="CB96" s="60">
        <f t="shared" si="249"/>
        <v>14076.2916666667</v>
      </c>
    </row>
    <row r="97" s="234" customFormat="1" ht="27" hidden="1" customHeight="1" spans="1:80">
      <c r="A97" s="236">
        <v>45775</v>
      </c>
      <c r="B97" s="237" t="s">
        <v>326</v>
      </c>
      <c r="C97" s="238" t="s">
        <v>117</v>
      </c>
      <c r="D97" s="239">
        <v>4500162823</v>
      </c>
      <c r="E97" s="238" t="s">
        <v>639</v>
      </c>
      <c r="F97" s="237" t="s">
        <v>640</v>
      </c>
      <c r="G97" s="240" t="s">
        <v>258</v>
      </c>
      <c r="H97" s="237" t="s">
        <v>259</v>
      </c>
      <c r="I97" s="247">
        <v>1152</v>
      </c>
      <c r="J97" s="247">
        <v>0</v>
      </c>
      <c r="K97" s="247">
        <v>1152</v>
      </c>
      <c r="L97" s="247">
        <f t="shared" si="202"/>
        <v>1</v>
      </c>
      <c r="M97" s="248">
        <v>45825</v>
      </c>
      <c r="N97" s="248">
        <v>45821</v>
      </c>
      <c r="O97" s="212" t="s">
        <v>641</v>
      </c>
      <c r="P97" s="212" t="s">
        <v>107</v>
      </c>
      <c r="Q97" s="212" t="s">
        <v>642</v>
      </c>
      <c r="R97" s="212" t="s">
        <v>331</v>
      </c>
      <c r="S97" s="212" t="s">
        <v>191</v>
      </c>
      <c r="T97" s="212" t="s">
        <v>538</v>
      </c>
      <c r="U97" s="212"/>
      <c r="V97" s="259" t="s">
        <v>539</v>
      </c>
      <c r="W97" s="248" t="s">
        <v>265</v>
      </c>
      <c r="X97" s="260">
        <v>555.88</v>
      </c>
      <c r="Y97" s="247">
        <f t="shared" ref="Y97:Y99" si="250">X97*L97</f>
        <v>555.88</v>
      </c>
      <c r="Z97" s="248" t="s">
        <v>643</v>
      </c>
      <c r="AA97" s="259">
        <f>1152</f>
        <v>1152</v>
      </c>
      <c r="AB97" s="259">
        <f t="shared" si="182"/>
        <v>0</v>
      </c>
      <c r="AC97" s="212"/>
      <c r="AD97" s="212" t="s">
        <v>114</v>
      </c>
      <c r="AE97" s="248" t="s">
        <v>258</v>
      </c>
      <c r="AF97" s="248" t="s">
        <v>115</v>
      </c>
      <c r="AG97" s="267">
        <f t="shared" si="243"/>
        <v>1152</v>
      </c>
      <c r="AH97" s="267">
        <f t="shared" si="244"/>
        <v>1152</v>
      </c>
      <c r="AI97" s="267"/>
      <c r="AJ97" s="267"/>
      <c r="AK97" s="267">
        <f t="shared" ref="AK97:AK102" si="251">I97</f>
        <v>1152</v>
      </c>
      <c r="AL97" s="267"/>
      <c r="AM97" s="267"/>
      <c r="AN97" s="267"/>
      <c r="AO97" s="267">
        <f t="shared" si="245"/>
        <v>1152</v>
      </c>
      <c r="AP97" s="267"/>
      <c r="AQ97" s="267"/>
      <c r="AR97" s="267"/>
      <c r="AS97" s="267"/>
      <c r="AT97" s="267"/>
      <c r="AU97" s="267"/>
      <c r="AV97" s="267">
        <f t="shared" ref="AV97:AV99" si="252">I97/12</f>
        <v>96</v>
      </c>
      <c r="AW97" s="267"/>
      <c r="AX97" s="267"/>
      <c r="AY97" s="267"/>
      <c r="AZ97" s="267"/>
      <c r="BA97" s="267"/>
      <c r="BB97" s="267"/>
      <c r="BC97" s="267"/>
      <c r="BD97" s="267"/>
      <c r="BE97" s="267"/>
      <c r="BF97" s="267"/>
      <c r="BG97" s="267"/>
      <c r="BH97" s="267"/>
      <c r="BI97" s="267"/>
      <c r="BJ97" s="269">
        <f t="shared" ref="BJ97:BR97" si="253">$I97*BJ$2</f>
        <v>141</v>
      </c>
      <c r="BK97" s="269">
        <f t="shared" si="253"/>
        <v>141</v>
      </c>
      <c r="BL97" s="269">
        <f t="shared" si="253"/>
        <v>141</v>
      </c>
      <c r="BM97" s="269">
        <f t="shared" si="253"/>
        <v>141</v>
      </c>
      <c r="BN97" s="269">
        <f t="shared" si="253"/>
        <v>141</v>
      </c>
      <c r="BO97" s="269">
        <f t="shared" si="253"/>
        <v>141</v>
      </c>
      <c r="BP97" s="269">
        <f t="shared" si="253"/>
        <v>141</v>
      </c>
      <c r="BQ97" s="269">
        <f t="shared" si="253"/>
        <v>141</v>
      </c>
      <c r="BR97" s="269">
        <f t="shared" si="253"/>
        <v>24</v>
      </c>
      <c r="BT97" s="60">
        <f t="shared" ref="BT97:CB97" si="254">BT96-BJ97</f>
        <v>82841.8385416667</v>
      </c>
      <c r="BU97" s="60">
        <f t="shared" si="254"/>
        <v>82841.8385416667</v>
      </c>
      <c r="BV97" s="60">
        <f t="shared" si="254"/>
        <v>82841.8385416667</v>
      </c>
      <c r="BW97" s="60">
        <f t="shared" si="254"/>
        <v>82841.8385416667</v>
      </c>
      <c r="BX97" s="60">
        <f t="shared" si="254"/>
        <v>82841.8385416667</v>
      </c>
      <c r="BY97" s="60">
        <f t="shared" si="254"/>
        <v>82841.8385416667</v>
      </c>
      <c r="BZ97" s="60">
        <f t="shared" si="254"/>
        <v>82841.8385416667</v>
      </c>
      <c r="CA97" s="60">
        <f t="shared" si="254"/>
        <v>82841.8385416667</v>
      </c>
      <c r="CB97" s="60">
        <f t="shared" si="254"/>
        <v>14052.2916666667</v>
      </c>
    </row>
    <row r="98" s="234" customFormat="1" ht="27" hidden="1" customHeight="1" spans="1:80">
      <c r="A98" s="236">
        <v>45775</v>
      </c>
      <c r="B98" s="237" t="s">
        <v>326</v>
      </c>
      <c r="C98" s="238" t="s">
        <v>117</v>
      </c>
      <c r="D98" s="239">
        <v>4500162823</v>
      </c>
      <c r="E98" s="238" t="s">
        <v>644</v>
      </c>
      <c r="F98" s="237" t="s">
        <v>645</v>
      </c>
      <c r="G98" s="240" t="s">
        <v>258</v>
      </c>
      <c r="H98" s="237" t="s">
        <v>259</v>
      </c>
      <c r="I98" s="247">
        <v>1152</v>
      </c>
      <c r="J98" s="247">
        <v>0</v>
      </c>
      <c r="K98" s="247">
        <v>1152</v>
      </c>
      <c r="L98" s="247">
        <f t="shared" si="202"/>
        <v>1</v>
      </c>
      <c r="M98" s="248">
        <v>45825</v>
      </c>
      <c r="N98" s="248">
        <v>45821</v>
      </c>
      <c r="O98" s="212" t="s">
        <v>646</v>
      </c>
      <c r="P98" s="212" t="s">
        <v>107</v>
      </c>
      <c r="Q98" s="212" t="s">
        <v>647</v>
      </c>
      <c r="R98" s="212" t="s">
        <v>331</v>
      </c>
      <c r="S98" s="212" t="s">
        <v>191</v>
      </c>
      <c r="T98" s="212" t="s">
        <v>538</v>
      </c>
      <c r="U98" s="212"/>
      <c r="V98" s="259" t="s">
        <v>539</v>
      </c>
      <c r="W98" s="248" t="s">
        <v>265</v>
      </c>
      <c r="X98" s="260">
        <v>555.88</v>
      </c>
      <c r="Y98" s="247">
        <f t="shared" si="250"/>
        <v>555.88</v>
      </c>
      <c r="Z98" s="248" t="s">
        <v>648</v>
      </c>
      <c r="AA98" s="259">
        <f>1116+36</f>
        <v>1152</v>
      </c>
      <c r="AB98" s="259">
        <f t="shared" si="182"/>
        <v>0</v>
      </c>
      <c r="AC98" s="212"/>
      <c r="AD98" s="212" t="s">
        <v>114</v>
      </c>
      <c r="AE98" s="248" t="s">
        <v>258</v>
      </c>
      <c r="AF98" s="248" t="s">
        <v>115</v>
      </c>
      <c r="AG98" s="267">
        <f t="shared" si="243"/>
        <v>1152</v>
      </c>
      <c r="AH98" s="267">
        <f t="shared" si="244"/>
        <v>1152</v>
      </c>
      <c r="AI98" s="267"/>
      <c r="AJ98" s="267"/>
      <c r="AK98" s="267">
        <f t="shared" si="251"/>
        <v>1152</v>
      </c>
      <c r="AL98" s="267"/>
      <c r="AM98" s="267"/>
      <c r="AN98" s="267"/>
      <c r="AO98" s="267">
        <f t="shared" si="245"/>
        <v>1152</v>
      </c>
      <c r="AP98" s="267"/>
      <c r="AQ98" s="267"/>
      <c r="AR98" s="267"/>
      <c r="AS98" s="267"/>
      <c r="AT98" s="267"/>
      <c r="AU98" s="267"/>
      <c r="AV98" s="267">
        <f t="shared" si="252"/>
        <v>96</v>
      </c>
      <c r="AW98" s="267"/>
      <c r="AX98" s="267"/>
      <c r="AY98" s="267"/>
      <c r="AZ98" s="267"/>
      <c r="BA98" s="267"/>
      <c r="BB98" s="267"/>
      <c r="BC98" s="267"/>
      <c r="BD98" s="267"/>
      <c r="BE98" s="267"/>
      <c r="BF98" s="267"/>
      <c r="BG98" s="267"/>
      <c r="BH98" s="267"/>
      <c r="BI98" s="267"/>
      <c r="BJ98" s="269">
        <f t="shared" ref="BJ98:BR98" si="255">$I98*BJ$2</f>
        <v>141</v>
      </c>
      <c r="BK98" s="269">
        <f t="shared" si="255"/>
        <v>141</v>
      </c>
      <c r="BL98" s="269">
        <f t="shared" si="255"/>
        <v>141</v>
      </c>
      <c r="BM98" s="269">
        <f t="shared" si="255"/>
        <v>141</v>
      </c>
      <c r="BN98" s="269">
        <f t="shared" si="255"/>
        <v>141</v>
      </c>
      <c r="BO98" s="269">
        <f t="shared" si="255"/>
        <v>141</v>
      </c>
      <c r="BP98" s="269">
        <f t="shared" si="255"/>
        <v>141</v>
      </c>
      <c r="BQ98" s="269">
        <f t="shared" si="255"/>
        <v>141</v>
      </c>
      <c r="BR98" s="269">
        <f t="shared" si="255"/>
        <v>24</v>
      </c>
      <c r="BT98" s="60">
        <f t="shared" ref="BT98:CB98" si="256">BT97-BJ98</f>
        <v>82700.8385416667</v>
      </c>
      <c r="BU98" s="60">
        <f t="shared" si="256"/>
        <v>82700.8385416667</v>
      </c>
      <c r="BV98" s="60">
        <f t="shared" si="256"/>
        <v>82700.8385416667</v>
      </c>
      <c r="BW98" s="60">
        <f t="shared" si="256"/>
        <v>82700.8385416667</v>
      </c>
      <c r="BX98" s="60">
        <f t="shared" si="256"/>
        <v>82700.8385416667</v>
      </c>
      <c r="BY98" s="60">
        <f t="shared" si="256"/>
        <v>82700.8385416667</v>
      </c>
      <c r="BZ98" s="60">
        <f t="shared" si="256"/>
        <v>82700.8385416667</v>
      </c>
      <c r="CA98" s="60">
        <f t="shared" si="256"/>
        <v>82700.8385416667</v>
      </c>
      <c r="CB98" s="60">
        <f t="shared" si="256"/>
        <v>14028.2916666667</v>
      </c>
    </row>
    <row r="99" s="234" customFormat="1" ht="27" hidden="1" customHeight="1" spans="1:80">
      <c r="A99" s="236">
        <v>45775</v>
      </c>
      <c r="B99" s="237" t="s">
        <v>326</v>
      </c>
      <c r="C99" s="238" t="s">
        <v>117</v>
      </c>
      <c r="D99" s="239">
        <v>4500162823</v>
      </c>
      <c r="E99" s="238" t="s">
        <v>649</v>
      </c>
      <c r="F99" s="237" t="s">
        <v>650</v>
      </c>
      <c r="G99" s="240" t="s">
        <v>258</v>
      </c>
      <c r="H99" s="237" t="s">
        <v>259</v>
      </c>
      <c r="I99" s="247">
        <v>1152</v>
      </c>
      <c r="J99" s="247">
        <v>0</v>
      </c>
      <c r="K99" s="247">
        <v>1152</v>
      </c>
      <c r="L99" s="247">
        <f t="shared" si="202"/>
        <v>1</v>
      </c>
      <c r="M99" s="248">
        <v>45825</v>
      </c>
      <c r="N99" s="248">
        <v>45821</v>
      </c>
      <c r="O99" s="212" t="s">
        <v>646</v>
      </c>
      <c r="P99" s="212" t="s">
        <v>107</v>
      </c>
      <c r="Q99" s="212" t="s">
        <v>642</v>
      </c>
      <c r="R99" s="212" t="s">
        <v>331</v>
      </c>
      <c r="S99" s="212" t="s">
        <v>191</v>
      </c>
      <c r="T99" s="212" t="s">
        <v>538</v>
      </c>
      <c r="U99" s="212"/>
      <c r="V99" s="259" t="s">
        <v>539</v>
      </c>
      <c r="W99" s="248" t="s">
        <v>265</v>
      </c>
      <c r="X99" s="260">
        <v>555.88</v>
      </c>
      <c r="Y99" s="247">
        <f t="shared" si="250"/>
        <v>555.88</v>
      </c>
      <c r="Z99" s="248" t="s">
        <v>651</v>
      </c>
      <c r="AA99" s="259">
        <f>1140+12</f>
        <v>1152</v>
      </c>
      <c r="AB99" s="259">
        <f t="shared" si="182"/>
        <v>0</v>
      </c>
      <c r="AC99" s="212"/>
      <c r="AD99" s="212" t="s">
        <v>114</v>
      </c>
      <c r="AE99" s="248" t="s">
        <v>258</v>
      </c>
      <c r="AF99" s="248" t="s">
        <v>115</v>
      </c>
      <c r="AG99" s="267">
        <f t="shared" si="243"/>
        <v>1152</v>
      </c>
      <c r="AH99" s="267">
        <f t="shared" si="244"/>
        <v>1152</v>
      </c>
      <c r="AI99" s="267"/>
      <c r="AJ99" s="267"/>
      <c r="AK99" s="267">
        <f t="shared" si="251"/>
        <v>1152</v>
      </c>
      <c r="AL99" s="267"/>
      <c r="AM99" s="267"/>
      <c r="AN99" s="267"/>
      <c r="AO99" s="267">
        <f t="shared" si="245"/>
        <v>1152</v>
      </c>
      <c r="AP99" s="267"/>
      <c r="AQ99" s="267"/>
      <c r="AR99" s="267"/>
      <c r="AS99" s="267"/>
      <c r="AT99" s="267"/>
      <c r="AU99" s="267"/>
      <c r="AV99" s="267">
        <f t="shared" si="252"/>
        <v>96</v>
      </c>
      <c r="AW99" s="267"/>
      <c r="AX99" s="267"/>
      <c r="AY99" s="267"/>
      <c r="AZ99" s="267"/>
      <c r="BA99" s="267"/>
      <c r="BB99" s="267"/>
      <c r="BC99" s="267"/>
      <c r="BD99" s="267"/>
      <c r="BE99" s="267"/>
      <c r="BF99" s="267"/>
      <c r="BG99" s="267"/>
      <c r="BH99" s="267"/>
      <c r="BI99" s="267"/>
      <c r="BJ99" s="269">
        <f t="shared" ref="BJ99:BR99" si="257">$I99*BJ$2</f>
        <v>141</v>
      </c>
      <c r="BK99" s="269">
        <f t="shared" si="257"/>
        <v>141</v>
      </c>
      <c r="BL99" s="269">
        <f t="shared" si="257"/>
        <v>141</v>
      </c>
      <c r="BM99" s="269">
        <f t="shared" si="257"/>
        <v>141</v>
      </c>
      <c r="BN99" s="269">
        <f t="shared" si="257"/>
        <v>141</v>
      </c>
      <c r="BO99" s="269">
        <f t="shared" si="257"/>
        <v>141</v>
      </c>
      <c r="BP99" s="269">
        <f t="shared" si="257"/>
        <v>141</v>
      </c>
      <c r="BQ99" s="269">
        <f t="shared" si="257"/>
        <v>141</v>
      </c>
      <c r="BR99" s="269">
        <f t="shared" si="257"/>
        <v>24</v>
      </c>
      <c r="BT99" s="60">
        <f t="shared" ref="BT99:CB99" si="258">BT98-BJ99</f>
        <v>82559.8385416667</v>
      </c>
      <c r="BU99" s="60">
        <f t="shared" si="258"/>
        <v>82559.8385416667</v>
      </c>
      <c r="BV99" s="60">
        <f t="shared" si="258"/>
        <v>82559.8385416667</v>
      </c>
      <c r="BW99" s="60">
        <f t="shared" si="258"/>
        <v>82559.8385416667</v>
      </c>
      <c r="BX99" s="60">
        <f t="shared" si="258"/>
        <v>82559.8385416667</v>
      </c>
      <c r="BY99" s="60">
        <f t="shared" si="258"/>
        <v>82559.8385416667</v>
      </c>
      <c r="BZ99" s="60">
        <f t="shared" si="258"/>
        <v>82559.8385416667</v>
      </c>
      <c r="CA99" s="60">
        <f t="shared" si="258"/>
        <v>82559.8385416667</v>
      </c>
      <c r="CB99" s="60">
        <f t="shared" si="258"/>
        <v>14004.2916666667</v>
      </c>
    </row>
    <row r="100" s="234" customFormat="1" ht="27" hidden="1" customHeight="1" spans="1:80">
      <c r="A100" s="236">
        <v>45772</v>
      </c>
      <c r="B100" s="237" t="s">
        <v>652</v>
      </c>
      <c r="C100" s="238" t="s">
        <v>521</v>
      </c>
      <c r="D100" s="239">
        <v>4500164723</v>
      </c>
      <c r="E100" s="238"/>
      <c r="F100" s="237" t="s">
        <v>653</v>
      </c>
      <c r="G100" s="240" t="s">
        <v>94</v>
      </c>
      <c r="H100" s="237" t="s">
        <v>211</v>
      </c>
      <c r="I100" s="247">
        <v>624</v>
      </c>
      <c r="J100" s="247">
        <v>0</v>
      </c>
      <c r="K100" s="247">
        <v>52</v>
      </c>
      <c r="L100" s="247">
        <f t="shared" si="202"/>
        <v>12</v>
      </c>
      <c r="M100" s="248">
        <v>45828</v>
      </c>
      <c r="N100" s="248">
        <v>45824</v>
      </c>
      <c r="O100" s="212"/>
      <c r="P100" s="212" t="s">
        <v>224</v>
      </c>
      <c r="Q100" s="212" t="s">
        <v>654</v>
      </c>
      <c r="R100" s="212">
        <v>45772</v>
      </c>
      <c r="S100" s="212" t="s">
        <v>80</v>
      </c>
      <c r="T100" s="212" t="s">
        <v>655</v>
      </c>
      <c r="U100" s="212"/>
      <c r="V100" s="259" t="s">
        <v>656</v>
      </c>
      <c r="W100" s="248" t="s">
        <v>657</v>
      </c>
      <c r="X100" s="260">
        <v>0.8094</v>
      </c>
      <c r="Y100" s="247">
        <f t="shared" ref="Y100:Y109" si="259">X100*I100</f>
        <v>505.0656</v>
      </c>
      <c r="Z100" s="248"/>
      <c r="AA100" s="259">
        <v>624</v>
      </c>
      <c r="AB100" s="259">
        <f t="shared" si="182"/>
        <v>0</v>
      </c>
      <c r="AC100" s="212" t="s">
        <v>113</v>
      </c>
      <c r="AD100" s="212" t="s">
        <v>114</v>
      </c>
      <c r="AE100" s="248" t="s">
        <v>94</v>
      </c>
      <c r="AF100" s="248" t="s">
        <v>115</v>
      </c>
      <c r="AG100" s="267">
        <f t="shared" si="243"/>
        <v>624</v>
      </c>
      <c r="AH100" s="267">
        <f t="shared" si="244"/>
        <v>624</v>
      </c>
      <c r="AI100" s="267"/>
      <c r="AJ100" s="267"/>
      <c r="AK100" s="267">
        <f t="shared" si="251"/>
        <v>624</v>
      </c>
      <c r="AL100" s="267"/>
      <c r="AM100" s="267"/>
      <c r="AN100" s="267"/>
      <c r="AO100" s="267">
        <f t="shared" si="245"/>
        <v>624</v>
      </c>
      <c r="AP100" s="267"/>
      <c r="AQ100" s="267"/>
      <c r="AR100" s="267"/>
      <c r="AS100" s="267"/>
      <c r="AT100" s="267">
        <f t="shared" ref="AT100:AT102" si="260">I100/13</f>
        <v>48</v>
      </c>
      <c r="AU100" s="267"/>
      <c r="AV100" s="267"/>
      <c r="AW100" s="267"/>
      <c r="AX100" s="267"/>
      <c r="AY100" s="267"/>
      <c r="AZ100" s="267"/>
      <c r="BA100" s="267"/>
      <c r="BB100" s="267"/>
      <c r="BC100" s="267"/>
      <c r="BD100" s="267"/>
      <c r="BE100" s="267"/>
      <c r="BF100" s="267"/>
      <c r="BG100" s="267"/>
      <c r="BH100" s="267"/>
      <c r="BI100" s="267"/>
      <c r="BJ100" s="269">
        <f t="shared" ref="BJ100:BR100" si="261">$I100*BJ$2</f>
        <v>76.3749999999998</v>
      </c>
      <c r="BK100" s="269">
        <f t="shared" si="261"/>
        <v>76.3749999999998</v>
      </c>
      <c r="BL100" s="269">
        <f t="shared" si="261"/>
        <v>76.3749999999998</v>
      </c>
      <c r="BM100" s="269">
        <f t="shared" si="261"/>
        <v>76.3749999999998</v>
      </c>
      <c r="BN100" s="269">
        <f t="shared" si="261"/>
        <v>76.3749999999998</v>
      </c>
      <c r="BO100" s="269">
        <f t="shared" si="261"/>
        <v>76.3749999999998</v>
      </c>
      <c r="BP100" s="269">
        <f t="shared" si="261"/>
        <v>76.3749999999998</v>
      </c>
      <c r="BQ100" s="269">
        <f t="shared" si="261"/>
        <v>76.3749999999998</v>
      </c>
      <c r="BR100" s="269">
        <f t="shared" si="261"/>
        <v>13</v>
      </c>
      <c r="BT100" s="60">
        <f t="shared" ref="BT100:CB100" si="262">BT99-BJ100</f>
        <v>82483.4635416667</v>
      </c>
      <c r="BU100" s="60">
        <f t="shared" si="262"/>
        <v>82483.4635416667</v>
      </c>
      <c r="BV100" s="60">
        <f t="shared" si="262"/>
        <v>82483.4635416667</v>
      </c>
      <c r="BW100" s="60">
        <f t="shared" si="262"/>
        <v>82483.4635416667</v>
      </c>
      <c r="BX100" s="60">
        <f t="shared" si="262"/>
        <v>82483.4635416667</v>
      </c>
      <c r="BY100" s="60">
        <f t="shared" si="262"/>
        <v>82483.4635416667</v>
      </c>
      <c r="BZ100" s="60">
        <f t="shared" si="262"/>
        <v>82483.4635416667</v>
      </c>
      <c r="CA100" s="60">
        <f t="shared" si="262"/>
        <v>82483.4635416667</v>
      </c>
      <c r="CB100" s="60">
        <f t="shared" si="262"/>
        <v>13991.2916666667</v>
      </c>
    </row>
    <row r="101" s="234" customFormat="1" ht="27" hidden="1" customHeight="1" spans="1:80">
      <c r="A101" s="236">
        <v>45790</v>
      </c>
      <c r="B101" s="237" t="s">
        <v>658</v>
      </c>
      <c r="C101" s="238" t="s">
        <v>396</v>
      </c>
      <c r="D101" s="239">
        <v>4500159668</v>
      </c>
      <c r="E101" s="238" t="s">
        <v>659</v>
      </c>
      <c r="F101" s="237" t="s">
        <v>660</v>
      </c>
      <c r="G101" s="240" t="s">
        <v>94</v>
      </c>
      <c r="H101" s="237" t="s">
        <v>211</v>
      </c>
      <c r="I101" s="247">
        <v>5980</v>
      </c>
      <c r="J101" s="247">
        <v>0</v>
      </c>
      <c r="K101" s="247">
        <v>52</v>
      </c>
      <c r="L101" s="247">
        <f t="shared" si="202"/>
        <v>115</v>
      </c>
      <c r="M101" s="248">
        <v>45828</v>
      </c>
      <c r="N101" s="248">
        <v>45824</v>
      </c>
      <c r="O101" s="212"/>
      <c r="P101" s="212" t="s">
        <v>107</v>
      </c>
      <c r="Q101" s="212" t="s">
        <v>661</v>
      </c>
      <c r="R101" s="212">
        <v>45790</v>
      </c>
      <c r="S101" s="212" t="s">
        <v>80</v>
      </c>
      <c r="T101" s="212" t="s">
        <v>80</v>
      </c>
      <c r="U101" s="212"/>
      <c r="V101" s="259" t="s">
        <v>662</v>
      </c>
      <c r="W101" s="248" t="s">
        <v>663</v>
      </c>
      <c r="X101" s="260">
        <v>0.7986</v>
      </c>
      <c r="Y101" s="247">
        <f t="shared" si="259"/>
        <v>4775.628</v>
      </c>
      <c r="Z101" s="248"/>
      <c r="AA101" s="259">
        <f>5980</f>
        <v>5980</v>
      </c>
      <c r="AB101" s="259">
        <f t="shared" si="182"/>
        <v>0</v>
      </c>
      <c r="AC101" s="212" t="s">
        <v>80</v>
      </c>
      <c r="AD101" s="212" t="s">
        <v>114</v>
      </c>
      <c r="AE101" s="248" t="s">
        <v>94</v>
      </c>
      <c r="AF101" s="248" t="s">
        <v>115</v>
      </c>
      <c r="AG101" s="267">
        <f t="shared" si="243"/>
        <v>5980</v>
      </c>
      <c r="AH101" s="267">
        <f t="shared" si="244"/>
        <v>5980</v>
      </c>
      <c r="AI101" s="267"/>
      <c r="AJ101" s="267"/>
      <c r="AK101" s="267">
        <f t="shared" si="251"/>
        <v>5980</v>
      </c>
      <c r="AL101" s="267"/>
      <c r="AM101" s="267"/>
      <c r="AN101" s="267"/>
      <c r="AO101" s="267">
        <f t="shared" si="245"/>
        <v>5980</v>
      </c>
      <c r="AP101" s="267"/>
      <c r="AQ101" s="267"/>
      <c r="AR101" s="267"/>
      <c r="AS101" s="267"/>
      <c r="AT101" s="267">
        <f t="shared" si="260"/>
        <v>460</v>
      </c>
      <c r="AU101" s="267"/>
      <c r="AV101" s="267"/>
      <c r="AW101" s="267"/>
      <c r="AX101" s="267"/>
      <c r="AY101" s="267"/>
      <c r="AZ101" s="267"/>
      <c r="BA101" s="267"/>
      <c r="BB101" s="267"/>
      <c r="BC101" s="267"/>
      <c r="BD101" s="267"/>
      <c r="BE101" s="267"/>
      <c r="BF101" s="267"/>
      <c r="BG101" s="267"/>
      <c r="BH101" s="267"/>
      <c r="BI101" s="267"/>
      <c r="BJ101" s="269">
        <f t="shared" ref="BJ101:BR101" si="263">$I101*BJ$2</f>
        <v>731.927083333331</v>
      </c>
      <c r="BK101" s="269">
        <f t="shared" si="263"/>
        <v>731.927083333331</v>
      </c>
      <c r="BL101" s="269">
        <f t="shared" si="263"/>
        <v>731.927083333331</v>
      </c>
      <c r="BM101" s="269">
        <f t="shared" si="263"/>
        <v>731.927083333331</v>
      </c>
      <c r="BN101" s="269">
        <f t="shared" si="263"/>
        <v>731.927083333331</v>
      </c>
      <c r="BO101" s="269">
        <f t="shared" si="263"/>
        <v>731.927083333331</v>
      </c>
      <c r="BP101" s="269">
        <f t="shared" si="263"/>
        <v>731.927083333331</v>
      </c>
      <c r="BQ101" s="269">
        <f t="shared" si="263"/>
        <v>731.927083333331</v>
      </c>
      <c r="BR101" s="269">
        <f t="shared" si="263"/>
        <v>124.583333333333</v>
      </c>
      <c r="BT101" s="60">
        <f t="shared" ref="BT101:CB101" si="264">BT100-BJ101</f>
        <v>81751.5364583333</v>
      </c>
      <c r="BU101" s="60">
        <f t="shared" si="264"/>
        <v>81751.5364583333</v>
      </c>
      <c r="BV101" s="60">
        <f t="shared" si="264"/>
        <v>81751.5364583333</v>
      </c>
      <c r="BW101" s="60">
        <f t="shared" si="264"/>
        <v>81751.5364583333</v>
      </c>
      <c r="BX101" s="60">
        <f t="shared" si="264"/>
        <v>81751.5364583333</v>
      </c>
      <c r="BY101" s="60">
        <f t="shared" si="264"/>
        <v>81751.5364583333</v>
      </c>
      <c r="BZ101" s="60">
        <f t="shared" si="264"/>
        <v>81751.5364583333</v>
      </c>
      <c r="CA101" s="60">
        <f t="shared" si="264"/>
        <v>81751.5364583333</v>
      </c>
      <c r="CB101" s="60">
        <f t="shared" si="264"/>
        <v>13866.7083333333</v>
      </c>
    </row>
    <row r="102" s="234" customFormat="1" ht="27" hidden="1" customHeight="1" spans="1:80">
      <c r="A102" s="236">
        <v>45790</v>
      </c>
      <c r="B102" s="237" t="s">
        <v>658</v>
      </c>
      <c r="C102" s="238" t="s">
        <v>396</v>
      </c>
      <c r="D102" s="239">
        <v>4500161780</v>
      </c>
      <c r="E102" s="238" t="s">
        <v>664</v>
      </c>
      <c r="F102" s="237" t="s">
        <v>665</v>
      </c>
      <c r="G102" s="240" t="s">
        <v>94</v>
      </c>
      <c r="H102" s="237" t="s">
        <v>211</v>
      </c>
      <c r="I102" s="247">
        <v>7956</v>
      </c>
      <c r="J102" s="247">
        <v>0</v>
      </c>
      <c r="K102" s="247">
        <v>52</v>
      </c>
      <c r="L102" s="247">
        <f t="shared" si="202"/>
        <v>153</v>
      </c>
      <c r="M102" s="248">
        <v>45828</v>
      </c>
      <c r="N102" s="248">
        <v>45824</v>
      </c>
      <c r="O102" s="212"/>
      <c r="P102" s="212" t="s">
        <v>107</v>
      </c>
      <c r="Q102" s="212" t="s">
        <v>647</v>
      </c>
      <c r="R102" s="212">
        <v>45790</v>
      </c>
      <c r="S102" s="212" t="s">
        <v>80</v>
      </c>
      <c r="T102" s="212" t="s">
        <v>80</v>
      </c>
      <c r="U102" s="212"/>
      <c r="V102" s="259" t="s">
        <v>666</v>
      </c>
      <c r="W102" s="248" t="s">
        <v>663</v>
      </c>
      <c r="X102" s="260">
        <v>0.7986</v>
      </c>
      <c r="Y102" s="247">
        <f t="shared" si="259"/>
        <v>6353.6616</v>
      </c>
      <c r="Z102" s="248"/>
      <c r="AA102" s="259">
        <f>3744+2444+1768</f>
        <v>7956</v>
      </c>
      <c r="AB102" s="259">
        <f t="shared" si="182"/>
        <v>0</v>
      </c>
      <c r="AC102" s="212" t="s">
        <v>80</v>
      </c>
      <c r="AD102" s="212" t="s">
        <v>114</v>
      </c>
      <c r="AE102" s="248" t="s">
        <v>94</v>
      </c>
      <c r="AF102" s="248" t="s">
        <v>115</v>
      </c>
      <c r="AG102" s="267">
        <f t="shared" si="243"/>
        <v>7956</v>
      </c>
      <c r="AH102" s="267">
        <f t="shared" si="244"/>
        <v>7956</v>
      </c>
      <c r="AI102" s="267"/>
      <c r="AJ102" s="267"/>
      <c r="AK102" s="267">
        <f t="shared" si="251"/>
        <v>7956</v>
      </c>
      <c r="AL102" s="267"/>
      <c r="AM102" s="267"/>
      <c r="AN102" s="267"/>
      <c r="AO102" s="267">
        <f t="shared" si="245"/>
        <v>7956</v>
      </c>
      <c r="AP102" s="267"/>
      <c r="AQ102" s="267"/>
      <c r="AR102" s="267"/>
      <c r="AS102" s="267"/>
      <c r="AT102" s="267">
        <f t="shared" si="260"/>
        <v>612</v>
      </c>
      <c r="AU102" s="267"/>
      <c r="AV102" s="267"/>
      <c r="AW102" s="267"/>
      <c r="AX102" s="267"/>
      <c r="AY102" s="267"/>
      <c r="AZ102" s="267"/>
      <c r="BA102" s="267"/>
      <c r="BB102" s="267"/>
      <c r="BC102" s="267"/>
      <c r="BD102" s="267"/>
      <c r="BE102" s="267"/>
      <c r="BF102" s="267"/>
      <c r="BG102" s="267"/>
      <c r="BH102" s="267"/>
      <c r="BI102" s="267"/>
      <c r="BJ102" s="269">
        <f t="shared" ref="BJ102:BR102" si="265">$I102*BJ$2</f>
        <v>973.781249999997</v>
      </c>
      <c r="BK102" s="269">
        <f t="shared" si="265"/>
        <v>973.781249999997</v>
      </c>
      <c r="BL102" s="269">
        <f t="shared" si="265"/>
        <v>973.781249999997</v>
      </c>
      <c r="BM102" s="269">
        <f t="shared" si="265"/>
        <v>973.781249999997</v>
      </c>
      <c r="BN102" s="269">
        <f t="shared" si="265"/>
        <v>973.781249999997</v>
      </c>
      <c r="BO102" s="269">
        <f t="shared" si="265"/>
        <v>973.781249999997</v>
      </c>
      <c r="BP102" s="269">
        <f t="shared" si="265"/>
        <v>973.781249999997</v>
      </c>
      <c r="BQ102" s="269">
        <f t="shared" si="265"/>
        <v>973.781249999997</v>
      </c>
      <c r="BR102" s="269">
        <f t="shared" si="265"/>
        <v>165.75</v>
      </c>
      <c r="BT102" s="60">
        <f t="shared" ref="BT102:CB102" si="266">BT101-BJ102</f>
        <v>80777.7552083333</v>
      </c>
      <c r="BU102" s="60">
        <f t="shared" si="266"/>
        <v>80777.7552083333</v>
      </c>
      <c r="BV102" s="60">
        <f t="shared" si="266"/>
        <v>80777.7552083333</v>
      </c>
      <c r="BW102" s="60">
        <f t="shared" si="266"/>
        <v>80777.7552083333</v>
      </c>
      <c r="BX102" s="60">
        <f t="shared" si="266"/>
        <v>80777.7552083333</v>
      </c>
      <c r="BY102" s="60">
        <f t="shared" si="266"/>
        <v>80777.7552083333</v>
      </c>
      <c r="BZ102" s="60">
        <f t="shared" si="266"/>
        <v>80777.7552083333</v>
      </c>
      <c r="CA102" s="60">
        <f t="shared" si="266"/>
        <v>80777.7552083333</v>
      </c>
      <c r="CB102" s="60">
        <f t="shared" si="266"/>
        <v>13700.9583333333</v>
      </c>
    </row>
    <row r="103" s="234" customFormat="1" ht="27" hidden="1" customHeight="1" spans="1:80">
      <c r="A103" s="236">
        <v>45791</v>
      </c>
      <c r="B103" s="237" t="s">
        <v>667</v>
      </c>
      <c r="C103" s="238" t="s">
        <v>129</v>
      </c>
      <c r="D103" s="239">
        <v>4500166352</v>
      </c>
      <c r="E103" s="238">
        <v>247116</v>
      </c>
      <c r="F103" s="237" t="s">
        <v>668</v>
      </c>
      <c r="G103" s="240" t="s">
        <v>86</v>
      </c>
      <c r="H103" s="237" t="s">
        <v>87</v>
      </c>
      <c r="I103" s="247">
        <v>1440</v>
      </c>
      <c r="J103" s="247">
        <v>0</v>
      </c>
      <c r="K103" s="247">
        <v>24</v>
      </c>
      <c r="L103" s="247">
        <f t="shared" si="202"/>
        <v>60</v>
      </c>
      <c r="M103" s="248">
        <v>45826</v>
      </c>
      <c r="N103" s="248">
        <v>45826</v>
      </c>
      <c r="O103" s="212"/>
      <c r="P103" s="212" t="s">
        <v>224</v>
      </c>
      <c r="Q103" s="212" t="s">
        <v>661</v>
      </c>
      <c r="R103" s="212">
        <v>45798</v>
      </c>
      <c r="S103" s="212" t="s">
        <v>80</v>
      </c>
      <c r="T103" s="212" t="s">
        <v>669</v>
      </c>
      <c r="U103" s="212"/>
      <c r="V103" s="259" t="s">
        <v>670</v>
      </c>
      <c r="W103" s="248" t="s">
        <v>671</v>
      </c>
      <c r="X103" s="260">
        <v>0.7509</v>
      </c>
      <c r="Y103" s="247">
        <f t="shared" si="259"/>
        <v>1081.296</v>
      </c>
      <c r="Z103" s="248"/>
      <c r="AA103" s="259">
        <v>1440</v>
      </c>
      <c r="AB103" s="259">
        <f t="shared" si="182"/>
        <v>0</v>
      </c>
      <c r="AC103" s="212"/>
      <c r="AD103" s="212" t="s">
        <v>114</v>
      </c>
      <c r="AE103" s="248" t="s">
        <v>672</v>
      </c>
      <c r="AF103" s="248" t="s">
        <v>115</v>
      </c>
      <c r="AG103" s="267">
        <f t="shared" si="243"/>
        <v>1440</v>
      </c>
      <c r="AH103" s="267">
        <f t="shared" si="244"/>
        <v>1440</v>
      </c>
      <c r="AI103" s="267"/>
      <c r="AJ103" s="267"/>
      <c r="AK103" s="267"/>
      <c r="AL103" s="267">
        <f t="shared" ref="AL103:AL105" si="267">I103</f>
        <v>1440</v>
      </c>
      <c r="AM103" s="267"/>
      <c r="AN103" s="267"/>
      <c r="AO103" s="267">
        <f t="shared" si="245"/>
        <v>1440</v>
      </c>
      <c r="AP103" s="267"/>
      <c r="AQ103" s="267"/>
      <c r="AR103" s="267"/>
      <c r="AS103" s="267"/>
      <c r="AT103" s="267"/>
      <c r="AU103" s="267"/>
      <c r="AV103" s="267"/>
      <c r="AW103" s="267"/>
      <c r="AX103" s="267"/>
      <c r="AY103" s="267"/>
      <c r="AZ103" s="267"/>
      <c r="BA103" s="267"/>
      <c r="BB103" s="267"/>
      <c r="BC103" s="267"/>
      <c r="BD103" s="267"/>
      <c r="BE103" s="267"/>
      <c r="BF103" s="267"/>
      <c r="BG103" s="267"/>
      <c r="BH103" s="267"/>
      <c r="BI103" s="267"/>
      <c r="BJ103" s="269">
        <f t="shared" ref="BJ103:BR103" si="268">$I103*BJ$2</f>
        <v>176.25</v>
      </c>
      <c r="BK103" s="269">
        <f t="shared" si="268"/>
        <v>176.25</v>
      </c>
      <c r="BL103" s="269">
        <f t="shared" si="268"/>
        <v>176.25</v>
      </c>
      <c r="BM103" s="269">
        <f t="shared" si="268"/>
        <v>176.25</v>
      </c>
      <c r="BN103" s="269">
        <f t="shared" si="268"/>
        <v>176.25</v>
      </c>
      <c r="BO103" s="269">
        <f t="shared" si="268"/>
        <v>176.25</v>
      </c>
      <c r="BP103" s="269">
        <f t="shared" si="268"/>
        <v>176.25</v>
      </c>
      <c r="BQ103" s="269">
        <f t="shared" si="268"/>
        <v>176.25</v>
      </c>
      <c r="BR103" s="269">
        <f t="shared" si="268"/>
        <v>30</v>
      </c>
      <c r="BT103" s="60">
        <f t="shared" ref="BT103:CB103" si="269">BT102-BJ103</f>
        <v>80601.5052083333</v>
      </c>
      <c r="BU103" s="60">
        <f t="shared" si="269"/>
        <v>80601.5052083333</v>
      </c>
      <c r="BV103" s="60">
        <f t="shared" si="269"/>
        <v>80601.5052083333</v>
      </c>
      <c r="BW103" s="60">
        <f t="shared" si="269"/>
        <v>80601.5052083333</v>
      </c>
      <c r="BX103" s="60">
        <f t="shared" si="269"/>
        <v>80601.5052083333</v>
      </c>
      <c r="BY103" s="60">
        <f t="shared" si="269"/>
        <v>80601.5052083333</v>
      </c>
      <c r="BZ103" s="60">
        <f t="shared" si="269"/>
        <v>80601.5052083333</v>
      </c>
      <c r="CA103" s="60">
        <f t="shared" si="269"/>
        <v>80601.5052083333</v>
      </c>
      <c r="CB103" s="60">
        <f t="shared" si="269"/>
        <v>13670.9583333333</v>
      </c>
    </row>
    <row r="104" s="234" customFormat="1" ht="27" hidden="1" customHeight="1" spans="1:80">
      <c r="A104" s="236">
        <v>45793</v>
      </c>
      <c r="B104" s="237" t="s">
        <v>673</v>
      </c>
      <c r="C104" s="238" t="s">
        <v>389</v>
      </c>
      <c r="D104" s="239">
        <v>4500166007</v>
      </c>
      <c r="E104" s="238">
        <v>3501527806</v>
      </c>
      <c r="F104" s="237" t="s">
        <v>674</v>
      </c>
      <c r="G104" s="240" t="s">
        <v>152</v>
      </c>
      <c r="H104" s="237" t="s">
        <v>153</v>
      </c>
      <c r="I104" s="247">
        <v>1287</v>
      </c>
      <c r="J104" s="247">
        <v>0</v>
      </c>
      <c r="K104" s="247">
        <v>13</v>
      </c>
      <c r="L104" s="247">
        <f t="shared" si="202"/>
        <v>99</v>
      </c>
      <c r="M104" s="248">
        <v>45831</v>
      </c>
      <c r="N104" s="248">
        <v>45827</v>
      </c>
      <c r="O104" s="212" t="s">
        <v>675</v>
      </c>
      <c r="P104" s="212" t="s">
        <v>224</v>
      </c>
      <c r="Q104" s="212" t="s">
        <v>676</v>
      </c>
      <c r="R104" s="212">
        <v>45798</v>
      </c>
      <c r="S104" s="212" t="s">
        <v>80</v>
      </c>
      <c r="T104" s="212" t="s">
        <v>677</v>
      </c>
      <c r="U104" s="212"/>
      <c r="V104" s="259" t="s">
        <v>678</v>
      </c>
      <c r="W104" s="248" t="s">
        <v>679</v>
      </c>
      <c r="X104" s="260">
        <v>0.7758</v>
      </c>
      <c r="Y104" s="247">
        <f t="shared" si="259"/>
        <v>998.4546</v>
      </c>
      <c r="Z104" s="248" t="s">
        <v>680</v>
      </c>
      <c r="AA104" s="259">
        <v>1287</v>
      </c>
      <c r="AB104" s="259">
        <f t="shared" si="182"/>
        <v>0</v>
      </c>
      <c r="AC104" s="212" t="s">
        <v>681</v>
      </c>
      <c r="AD104" s="212" t="s">
        <v>114</v>
      </c>
      <c r="AE104" s="248" t="s">
        <v>319</v>
      </c>
      <c r="AF104" s="248" t="s">
        <v>115</v>
      </c>
      <c r="AG104" s="267">
        <f t="shared" si="243"/>
        <v>1287</v>
      </c>
      <c r="AH104" s="267"/>
      <c r="AI104" s="267">
        <f>I104</f>
        <v>1287</v>
      </c>
      <c r="AJ104" s="267"/>
      <c r="AK104" s="267"/>
      <c r="AL104" s="267">
        <f t="shared" si="267"/>
        <v>1287</v>
      </c>
      <c r="AM104" s="267"/>
      <c r="AN104" s="267"/>
      <c r="AO104" s="267">
        <f t="shared" si="245"/>
        <v>1287</v>
      </c>
      <c r="AP104" s="267"/>
      <c r="AQ104" s="267"/>
      <c r="AR104" s="267"/>
      <c r="AS104" s="267"/>
      <c r="AT104" s="267"/>
      <c r="AU104" s="267">
        <f>I104/13</f>
        <v>99</v>
      </c>
      <c r="AV104" s="267"/>
      <c r="AW104" s="267"/>
      <c r="AX104" s="267"/>
      <c r="AY104" s="267"/>
      <c r="AZ104" s="267"/>
      <c r="BA104" s="267"/>
      <c r="BB104" s="267"/>
      <c r="BC104" s="267"/>
      <c r="BD104" s="267"/>
      <c r="BE104" s="267"/>
      <c r="BF104" s="267"/>
      <c r="BG104" s="267"/>
      <c r="BH104" s="267"/>
      <c r="BI104" s="267"/>
      <c r="BJ104" s="269">
        <f t="shared" ref="BJ104:BR104" si="270">$I104*BJ$2</f>
        <v>157.5234375</v>
      </c>
      <c r="BK104" s="269">
        <f t="shared" si="270"/>
        <v>157.5234375</v>
      </c>
      <c r="BL104" s="269">
        <f t="shared" si="270"/>
        <v>157.5234375</v>
      </c>
      <c r="BM104" s="269">
        <f t="shared" si="270"/>
        <v>157.5234375</v>
      </c>
      <c r="BN104" s="269">
        <f t="shared" si="270"/>
        <v>157.5234375</v>
      </c>
      <c r="BO104" s="269">
        <f t="shared" si="270"/>
        <v>157.5234375</v>
      </c>
      <c r="BP104" s="269">
        <f t="shared" si="270"/>
        <v>157.5234375</v>
      </c>
      <c r="BQ104" s="269">
        <f t="shared" si="270"/>
        <v>157.5234375</v>
      </c>
      <c r="BR104" s="269">
        <f t="shared" si="270"/>
        <v>26.8125</v>
      </c>
      <c r="BT104" s="60">
        <f t="shared" ref="BT104:CB104" si="271">BT103-BJ104</f>
        <v>80443.9817708333</v>
      </c>
      <c r="BU104" s="60">
        <f t="shared" si="271"/>
        <v>80443.9817708333</v>
      </c>
      <c r="BV104" s="60">
        <f t="shared" si="271"/>
        <v>80443.9817708333</v>
      </c>
      <c r="BW104" s="60">
        <f t="shared" si="271"/>
        <v>80443.9817708333</v>
      </c>
      <c r="BX104" s="60">
        <f t="shared" si="271"/>
        <v>80443.9817708333</v>
      </c>
      <c r="BY104" s="60">
        <f t="shared" si="271"/>
        <v>80443.9817708333</v>
      </c>
      <c r="BZ104" s="60">
        <f t="shared" si="271"/>
        <v>80443.9817708333</v>
      </c>
      <c r="CA104" s="60">
        <f t="shared" si="271"/>
        <v>80443.9817708333</v>
      </c>
      <c r="CB104" s="60">
        <f t="shared" si="271"/>
        <v>13644.1458333333</v>
      </c>
    </row>
    <row r="105" s="234" customFormat="1" ht="27" hidden="1" customHeight="1" spans="1:80">
      <c r="A105" s="236">
        <v>45786</v>
      </c>
      <c r="B105" s="237" t="s">
        <v>682</v>
      </c>
      <c r="C105" s="238" t="s">
        <v>574</v>
      </c>
      <c r="D105" s="239">
        <v>4500165792</v>
      </c>
      <c r="E105" s="238"/>
      <c r="F105" s="237" t="s">
        <v>683</v>
      </c>
      <c r="G105" s="240" t="s">
        <v>78</v>
      </c>
      <c r="H105" s="237" t="s">
        <v>79</v>
      </c>
      <c r="I105" s="247">
        <v>648</v>
      </c>
      <c r="J105" s="247">
        <v>0</v>
      </c>
      <c r="K105" s="247">
        <v>54</v>
      </c>
      <c r="L105" s="247">
        <f t="shared" si="202"/>
        <v>12</v>
      </c>
      <c r="M105" s="248">
        <v>45818</v>
      </c>
      <c r="N105" s="248">
        <v>45828</v>
      </c>
      <c r="O105" s="212"/>
      <c r="P105" s="212" t="s">
        <v>224</v>
      </c>
      <c r="Q105" s="212" t="s">
        <v>684</v>
      </c>
      <c r="R105" s="212">
        <v>45790</v>
      </c>
      <c r="S105" s="212" t="s">
        <v>80</v>
      </c>
      <c r="T105" s="212" t="s">
        <v>685</v>
      </c>
      <c r="U105" s="212"/>
      <c r="V105" s="259" t="s">
        <v>686</v>
      </c>
      <c r="W105" s="248" t="s">
        <v>687</v>
      </c>
      <c r="X105" s="260">
        <v>0.7967</v>
      </c>
      <c r="Y105" s="247">
        <f t="shared" si="259"/>
        <v>516.2616</v>
      </c>
      <c r="Z105" s="248"/>
      <c r="AA105" s="259">
        <v>648</v>
      </c>
      <c r="AB105" s="212"/>
      <c r="AC105" s="212" t="s">
        <v>113</v>
      </c>
      <c r="AD105" s="212" t="s">
        <v>114</v>
      </c>
      <c r="AE105" s="248" t="s">
        <v>230</v>
      </c>
      <c r="AF105" s="248" t="s">
        <v>115</v>
      </c>
      <c r="AG105" s="267">
        <f t="shared" si="243"/>
        <v>648</v>
      </c>
      <c r="AH105" s="267">
        <f t="shared" ref="AH105:AH114" si="272">I105</f>
        <v>648</v>
      </c>
      <c r="AI105" s="267"/>
      <c r="AJ105" s="267"/>
      <c r="AK105" s="267"/>
      <c r="AL105" s="267">
        <f t="shared" si="267"/>
        <v>648</v>
      </c>
      <c r="AM105" s="267"/>
      <c r="AN105" s="267"/>
      <c r="AO105" s="267">
        <f t="shared" si="245"/>
        <v>648</v>
      </c>
      <c r="AP105" s="267"/>
      <c r="AQ105" s="267"/>
      <c r="AR105" s="267">
        <f>I105/27</f>
        <v>24</v>
      </c>
      <c r="AS105" s="267"/>
      <c r="AT105" s="267"/>
      <c r="AU105" s="267"/>
      <c r="AV105" s="267"/>
      <c r="AW105" s="267"/>
      <c r="AX105" s="267"/>
      <c r="AY105" s="267"/>
      <c r="AZ105" s="267"/>
      <c r="BA105" s="267"/>
      <c r="BB105" s="267"/>
      <c r="BC105" s="267"/>
      <c r="BD105" s="267"/>
      <c r="BE105" s="267"/>
      <c r="BF105" s="267"/>
      <c r="BG105" s="267"/>
      <c r="BH105" s="267"/>
      <c r="BI105" s="267"/>
      <c r="BJ105" s="269">
        <f t="shared" ref="BJ105:BR105" si="273">$I105*BJ$2</f>
        <v>79.3124999999998</v>
      </c>
      <c r="BK105" s="269">
        <f t="shared" si="273"/>
        <v>79.3124999999998</v>
      </c>
      <c r="BL105" s="269">
        <f t="shared" si="273"/>
        <v>79.3124999999998</v>
      </c>
      <c r="BM105" s="269">
        <f t="shared" si="273"/>
        <v>79.3124999999998</v>
      </c>
      <c r="BN105" s="269">
        <f t="shared" si="273"/>
        <v>79.3124999999998</v>
      </c>
      <c r="BO105" s="269">
        <f t="shared" si="273"/>
        <v>79.3124999999998</v>
      </c>
      <c r="BP105" s="269">
        <f t="shared" si="273"/>
        <v>79.3124999999998</v>
      </c>
      <c r="BQ105" s="269">
        <f t="shared" si="273"/>
        <v>79.3124999999998</v>
      </c>
      <c r="BR105" s="269">
        <f t="shared" si="273"/>
        <v>13.5</v>
      </c>
      <c r="BT105" s="60">
        <f t="shared" ref="BT105:CB105" si="274">BT104-BJ105</f>
        <v>80364.6692708333</v>
      </c>
      <c r="BU105" s="60">
        <f t="shared" si="274"/>
        <v>80364.6692708333</v>
      </c>
      <c r="BV105" s="60">
        <f t="shared" si="274"/>
        <v>80364.6692708333</v>
      </c>
      <c r="BW105" s="60">
        <f t="shared" si="274"/>
        <v>80364.6692708333</v>
      </c>
      <c r="BX105" s="60">
        <f t="shared" si="274"/>
        <v>80364.6692708333</v>
      </c>
      <c r="BY105" s="60">
        <f t="shared" si="274"/>
        <v>80364.6692708333</v>
      </c>
      <c r="BZ105" s="60">
        <f t="shared" si="274"/>
        <v>80364.6692708333</v>
      </c>
      <c r="CA105" s="60">
        <f t="shared" si="274"/>
        <v>80364.6692708333</v>
      </c>
      <c r="CB105" s="60">
        <f t="shared" si="274"/>
        <v>13630.6458333333</v>
      </c>
    </row>
    <row r="106" s="234" customFormat="1" ht="27" hidden="1" customHeight="1" spans="1:80">
      <c r="A106" s="236">
        <v>45785</v>
      </c>
      <c r="B106" s="237" t="s">
        <v>688</v>
      </c>
      <c r="C106" s="238" t="s">
        <v>689</v>
      </c>
      <c r="D106" s="239">
        <v>4500165636</v>
      </c>
      <c r="E106" s="238">
        <v>5000001870</v>
      </c>
      <c r="F106" s="237" t="s">
        <v>690</v>
      </c>
      <c r="G106" s="240" t="s">
        <v>152</v>
      </c>
      <c r="H106" s="237" t="s">
        <v>153</v>
      </c>
      <c r="I106" s="247">
        <v>2509</v>
      </c>
      <c r="J106" s="247">
        <v>0</v>
      </c>
      <c r="K106" s="247">
        <v>13</v>
      </c>
      <c r="L106" s="247">
        <f t="shared" si="202"/>
        <v>193</v>
      </c>
      <c r="M106" s="248">
        <v>45828</v>
      </c>
      <c r="N106" s="248">
        <v>45829</v>
      </c>
      <c r="O106" s="212"/>
      <c r="P106" s="212" t="s">
        <v>107</v>
      </c>
      <c r="Q106" s="212" t="s">
        <v>691</v>
      </c>
      <c r="R106" s="212" t="s">
        <v>692</v>
      </c>
      <c r="S106" s="212" t="s">
        <v>80</v>
      </c>
      <c r="T106" s="212" t="s">
        <v>693</v>
      </c>
      <c r="U106" s="212" t="s">
        <v>156</v>
      </c>
      <c r="V106" s="259" t="s">
        <v>694</v>
      </c>
      <c r="W106" s="248" t="s">
        <v>695</v>
      </c>
      <c r="X106" s="260">
        <v>0.7704</v>
      </c>
      <c r="Y106" s="247">
        <f t="shared" si="259"/>
        <v>1932.9336</v>
      </c>
      <c r="Z106" s="248"/>
      <c r="AA106" s="259">
        <v>2509</v>
      </c>
      <c r="AB106" s="259">
        <f t="shared" ref="AB106:AB169" si="275">AA106-I106</f>
        <v>0</v>
      </c>
      <c r="AC106" s="212" t="s">
        <v>113</v>
      </c>
      <c r="AD106" s="212" t="s">
        <v>114</v>
      </c>
      <c r="AE106" s="248" t="s">
        <v>696</v>
      </c>
      <c r="AF106" s="248" t="s">
        <v>115</v>
      </c>
      <c r="AG106" s="267">
        <f t="shared" si="243"/>
        <v>2509</v>
      </c>
      <c r="AH106" s="267">
        <f t="shared" si="272"/>
        <v>2509</v>
      </c>
      <c r="AI106" s="267"/>
      <c r="AJ106" s="267"/>
      <c r="AK106" s="267">
        <f t="shared" ref="AK106:AK113" si="276">I106</f>
        <v>2509</v>
      </c>
      <c r="AL106" s="267"/>
      <c r="AM106" s="267"/>
      <c r="AN106" s="267"/>
      <c r="AO106" s="267"/>
      <c r="AP106" s="267">
        <f t="shared" ref="AP106:AP109" si="277">I106</f>
        <v>2509</v>
      </c>
      <c r="AQ106" s="267"/>
      <c r="AR106" s="267"/>
      <c r="AS106" s="267"/>
      <c r="AT106" s="267">
        <f t="shared" ref="AT106:AT113" si="278">I106/13</f>
        <v>193</v>
      </c>
      <c r="AU106" s="267"/>
      <c r="AV106" s="267"/>
      <c r="AW106" s="267"/>
      <c r="AX106" s="267"/>
      <c r="AY106" s="267"/>
      <c r="AZ106" s="267"/>
      <c r="BA106" s="267"/>
      <c r="BB106" s="267"/>
      <c r="BC106" s="267"/>
      <c r="BD106" s="267"/>
      <c r="BE106" s="267"/>
      <c r="BF106" s="267"/>
      <c r="BG106" s="267"/>
      <c r="BH106" s="267"/>
      <c r="BI106" s="267"/>
      <c r="BJ106" s="269">
        <f t="shared" ref="BJ106:BR106" si="279">$I106*BJ$2</f>
        <v>307.091145833332</v>
      </c>
      <c r="BK106" s="269">
        <f t="shared" si="279"/>
        <v>307.091145833332</v>
      </c>
      <c r="BL106" s="269">
        <f t="shared" si="279"/>
        <v>307.091145833332</v>
      </c>
      <c r="BM106" s="269">
        <f t="shared" si="279"/>
        <v>307.091145833332</v>
      </c>
      <c r="BN106" s="269">
        <f t="shared" si="279"/>
        <v>307.091145833332</v>
      </c>
      <c r="BO106" s="269">
        <f t="shared" si="279"/>
        <v>307.091145833332</v>
      </c>
      <c r="BP106" s="269">
        <f t="shared" si="279"/>
        <v>307.091145833332</v>
      </c>
      <c r="BQ106" s="269">
        <f t="shared" si="279"/>
        <v>307.091145833332</v>
      </c>
      <c r="BR106" s="269">
        <f t="shared" si="279"/>
        <v>52.2708333333333</v>
      </c>
      <c r="BT106" s="60">
        <f t="shared" ref="BT106:CB106" si="280">BT105-BJ106</f>
        <v>80057.578125</v>
      </c>
      <c r="BU106" s="60">
        <f t="shared" si="280"/>
        <v>80057.578125</v>
      </c>
      <c r="BV106" s="60">
        <f t="shared" si="280"/>
        <v>80057.578125</v>
      </c>
      <c r="BW106" s="60">
        <f t="shared" si="280"/>
        <v>80057.578125</v>
      </c>
      <c r="BX106" s="60">
        <f t="shared" si="280"/>
        <v>80057.578125</v>
      </c>
      <c r="BY106" s="60">
        <f t="shared" si="280"/>
        <v>80057.578125</v>
      </c>
      <c r="BZ106" s="60">
        <f t="shared" si="280"/>
        <v>80057.578125</v>
      </c>
      <c r="CA106" s="60">
        <f t="shared" si="280"/>
        <v>80057.578125</v>
      </c>
      <c r="CB106" s="60">
        <f t="shared" si="280"/>
        <v>13578.375</v>
      </c>
    </row>
    <row r="107" s="234" customFormat="1" ht="27" hidden="1" customHeight="1" spans="1:80">
      <c r="A107" s="236">
        <v>45785</v>
      </c>
      <c r="B107" s="237" t="s">
        <v>688</v>
      </c>
      <c r="C107" s="238" t="s">
        <v>689</v>
      </c>
      <c r="D107" s="239">
        <v>4500165636</v>
      </c>
      <c r="E107" s="238">
        <v>5000001870</v>
      </c>
      <c r="F107" s="237" t="s">
        <v>697</v>
      </c>
      <c r="G107" s="240" t="s">
        <v>152</v>
      </c>
      <c r="H107" s="237" t="s">
        <v>153</v>
      </c>
      <c r="I107" s="247">
        <v>130</v>
      </c>
      <c r="J107" s="247">
        <v>0</v>
      </c>
      <c r="K107" s="247">
        <v>13</v>
      </c>
      <c r="L107" s="247">
        <f t="shared" si="202"/>
        <v>10</v>
      </c>
      <c r="M107" s="248">
        <v>45828</v>
      </c>
      <c r="N107" s="248">
        <v>45829</v>
      </c>
      <c r="O107" s="212"/>
      <c r="P107" s="212" t="s">
        <v>107</v>
      </c>
      <c r="Q107" s="212" t="s">
        <v>691</v>
      </c>
      <c r="R107" s="212" t="s">
        <v>692</v>
      </c>
      <c r="S107" s="212" t="s">
        <v>80</v>
      </c>
      <c r="T107" s="212" t="s">
        <v>693</v>
      </c>
      <c r="U107" s="212"/>
      <c r="V107" s="259" t="s">
        <v>694</v>
      </c>
      <c r="W107" s="248" t="s">
        <v>695</v>
      </c>
      <c r="X107" s="260">
        <v>0.7704</v>
      </c>
      <c r="Y107" s="247">
        <f t="shared" si="259"/>
        <v>100.152</v>
      </c>
      <c r="Z107" s="248"/>
      <c r="AA107" s="259">
        <v>130</v>
      </c>
      <c r="AB107" s="259">
        <f t="shared" si="275"/>
        <v>0</v>
      </c>
      <c r="AC107" s="212" t="s">
        <v>113</v>
      </c>
      <c r="AD107" s="212" t="s">
        <v>114</v>
      </c>
      <c r="AE107" s="248" t="s">
        <v>696</v>
      </c>
      <c r="AF107" s="248" t="s">
        <v>115</v>
      </c>
      <c r="AG107" s="267">
        <f t="shared" si="243"/>
        <v>130</v>
      </c>
      <c r="AH107" s="267">
        <f t="shared" si="272"/>
        <v>130</v>
      </c>
      <c r="AI107" s="267"/>
      <c r="AJ107" s="267"/>
      <c r="AK107" s="267">
        <f t="shared" si="276"/>
        <v>130</v>
      </c>
      <c r="AL107" s="267"/>
      <c r="AM107" s="267"/>
      <c r="AN107" s="267"/>
      <c r="AO107" s="267"/>
      <c r="AP107" s="267">
        <f t="shared" si="277"/>
        <v>130</v>
      </c>
      <c r="AQ107" s="267"/>
      <c r="AR107" s="267"/>
      <c r="AS107" s="267"/>
      <c r="AT107" s="267">
        <f t="shared" si="278"/>
        <v>10</v>
      </c>
      <c r="AU107" s="267"/>
      <c r="AV107" s="267"/>
      <c r="AW107" s="267"/>
      <c r="AX107" s="267"/>
      <c r="AY107" s="267"/>
      <c r="AZ107" s="267"/>
      <c r="BA107" s="267"/>
      <c r="BB107" s="267"/>
      <c r="BC107" s="267"/>
      <c r="BD107" s="267"/>
      <c r="BE107" s="267"/>
      <c r="BF107" s="267"/>
      <c r="BG107" s="267"/>
      <c r="BH107" s="267"/>
      <c r="BI107" s="267"/>
      <c r="BJ107" s="269">
        <f t="shared" ref="BJ107:BR107" si="281">$I107*BJ$2</f>
        <v>15.9114583333333</v>
      </c>
      <c r="BK107" s="269">
        <f t="shared" si="281"/>
        <v>15.9114583333333</v>
      </c>
      <c r="BL107" s="269">
        <f t="shared" si="281"/>
        <v>15.9114583333333</v>
      </c>
      <c r="BM107" s="269">
        <f t="shared" si="281"/>
        <v>15.9114583333333</v>
      </c>
      <c r="BN107" s="269">
        <f t="shared" si="281"/>
        <v>15.9114583333333</v>
      </c>
      <c r="BO107" s="269">
        <f t="shared" si="281"/>
        <v>15.9114583333333</v>
      </c>
      <c r="BP107" s="269">
        <f t="shared" si="281"/>
        <v>15.9114583333333</v>
      </c>
      <c r="BQ107" s="269">
        <f t="shared" si="281"/>
        <v>15.9114583333333</v>
      </c>
      <c r="BR107" s="269">
        <f t="shared" si="281"/>
        <v>2.70833333333333</v>
      </c>
      <c r="BT107" s="60">
        <f t="shared" ref="BT107:CB107" si="282">BT106-BJ107</f>
        <v>80041.6666666667</v>
      </c>
      <c r="BU107" s="60">
        <f t="shared" si="282"/>
        <v>80041.6666666667</v>
      </c>
      <c r="BV107" s="60">
        <f t="shared" si="282"/>
        <v>80041.6666666667</v>
      </c>
      <c r="BW107" s="60">
        <f t="shared" si="282"/>
        <v>80041.6666666667</v>
      </c>
      <c r="BX107" s="60">
        <f t="shared" si="282"/>
        <v>80041.6666666667</v>
      </c>
      <c r="BY107" s="60">
        <f t="shared" si="282"/>
        <v>80041.6666666667</v>
      </c>
      <c r="BZ107" s="60">
        <f t="shared" si="282"/>
        <v>80041.6666666667</v>
      </c>
      <c r="CA107" s="60">
        <f t="shared" si="282"/>
        <v>80041.6666666667</v>
      </c>
      <c r="CB107" s="60">
        <f t="shared" si="282"/>
        <v>13575.6666666667</v>
      </c>
    </row>
    <row r="108" s="234" customFormat="1" ht="27" hidden="1" customHeight="1" spans="1:80">
      <c r="A108" s="236">
        <v>45785</v>
      </c>
      <c r="B108" s="237" t="s">
        <v>688</v>
      </c>
      <c r="C108" s="238" t="s">
        <v>689</v>
      </c>
      <c r="D108" s="239">
        <v>4500165636</v>
      </c>
      <c r="E108" s="238">
        <v>5000001870</v>
      </c>
      <c r="F108" s="237" t="s">
        <v>698</v>
      </c>
      <c r="G108" s="240" t="s">
        <v>152</v>
      </c>
      <c r="H108" s="237" t="s">
        <v>153</v>
      </c>
      <c r="I108" s="247">
        <v>2600</v>
      </c>
      <c r="J108" s="247">
        <v>0</v>
      </c>
      <c r="K108" s="247">
        <v>13</v>
      </c>
      <c r="L108" s="247">
        <f t="shared" si="202"/>
        <v>200</v>
      </c>
      <c r="M108" s="248">
        <v>45828</v>
      </c>
      <c r="N108" s="248">
        <v>45829</v>
      </c>
      <c r="O108" s="212"/>
      <c r="P108" s="212" t="s">
        <v>107</v>
      </c>
      <c r="Q108" s="212" t="s">
        <v>691</v>
      </c>
      <c r="R108" s="212" t="s">
        <v>692</v>
      </c>
      <c r="S108" s="212" t="s">
        <v>80</v>
      </c>
      <c r="T108" s="212" t="s">
        <v>693</v>
      </c>
      <c r="U108" s="212"/>
      <c r="V108" s="259" t="s">
        <v>694</v>
      </c>
      <c r="W108" s="248" t="s">
        <v>695</v>
      </c>
      <c r="X108" s="260">
        <v>0.7704</v>
      </c>
      <c r="Y108" s="247">
        <f t="shared" si="259"/>
        <v>2003.04</v>
      </c>
      <c r="Z108" s="248"/>
      <c r="AA108" s="259">
        <f>2535+65</f>
        <v>2600</v>
      </c>
      <c r="AB108" s="259">
        <f t="shared" si="275"/>
        <v>0</v>
      </c>
      <c r="AC108" s="212" t="s">
        <v>113</v>
      </c>
      <c r="AD108" s="212" t="s">
        <v>114</v>
      </c>
      <c r="AE108" s="248" t="s">
        <v>696</v>
      </c>
      <c r="AF108" s="248" t="s">
        <v>115</v>
      </c>
      <c r="AG108" s="267">
        <f t="shared" si="243"/>
        <v>2600</v>
      </c>
      <c r="AH108" s="267">
        <f t="shared" si="272"/>
        <v>2600</v>
      </c>
      <c r="AI108" s="267"/>
      <c r="AJ108" s="267"/>
      <c r="AK108" s="267">
        <f t="shared" si="276"/>
        <v>2600</v>
      </c>
      <c r="AL108" s="267"/>
      <c r="AM108" s="267"/>
      <c r="AN108" s="267"/>
      <c r="AO108" s="267"/>
      <c r="AP108" s="267">
        <f t="shared" si="277"/>
        <v>2600</v>
      </c>
      <c r="AQ108" s="267"/>
      <c r="AR108" s="267"/>
      <c r="AS108" s="267"/>
      <c r="AT108" s="267">
        <f t="shared" si="278"/>
        <v>200</v>
      </c>
      <c r="AU108" s="267"/>
      <c r="AV108" s="267"/>
      <c r="AW108" s="267"/>
      <c r="AX108" s="267"/>
      <c r="AY108" s="267"/>
      <c r="AZ108" s="267"/>
      <c r="BA108" s="267"/>
      <c r="BB108" s="267"/>
      <c r="BC108" s="267"/>
      <c r="BD108" s="267"/>
      <c r="BE108" s="267"/>
      <c r="BF108" s="267"/>
      <c r="BG108" s="267"/>
      <c r="BH108" s="267"/>
      <c r="BI108" s="267"/>
      <c r="BJ108" s="269">
        <f t="shared" ref="BJ108:BR108" si="283">$I108*BJ$2</f>
        <v>318.229166666666</v>
      </c>
      <c r="BK108" s="269">
        <f t="shared" si="283"/>
        <v>318.229166666666</v>
      </c>
      <c r="BL108" s="269">
        <f t="shared" si="283"/>
        <v>318.229166666666</v>
      </c>
      <c r="BM108" s="269">
        <f t="shared" si="283"/>
        <v>318.229166666666</v>
      </c>
      <c r="BN108" s="269">
        <f t="shared" si="283"/>
        <v>318.229166666666</v>
      </c>
      <c r="BO108" s="269">
        <f t="shared" si="283"/>
        <v>318.229166666666</v>
      </c>
      <c r="BP108" s="269">
        <f t="shared" si="283"/>
        <v>318.229166666666</v>
      </c>
      <c r="BQ108" s="269">
        <f t="shared" si="283"/>
        <v>318.229166666666</v>
      </c>
      <c r="BR108" s="269">
        <f t="shared" si="283"/>
        <v>54.1666666666666</v>
      </c>
      <c r="BT108" s="60">
        <f t="shared" ref="BT108:CB108" si="284">BT107-BJ108</f>
        <v>79723.4375</v>
      </c>
      <c r="BU108" s="60">
        <f t="shared" si="284"/>
        <v>79723.4375</v>
      </c>
      <c r="BV108" s="60">
        <f t="shared" si="284"/>
        <v>79723.4375</v>
      </c>
      <c r="BW108" s="60">
        <f t="shared" si="284"/>
        <v>79723.4375</v>
      </c>
      <c r="BX108" s="60">
        <f t="shared" si="284"/>
        <v>79723.4375</v>
      </c>
      <c r="BY108" s="60">
        <f t="shared" si="284"/>
        <v>79723.4375</v>
      </c>
      <c r="BZ108" s="60">
        <f t="shared" si="284"/>
        <v>79723.4375</v>
      </c>
      <c r="CA108" s="60">
        <f t="shared" si="284"/>
        <v>79723.4375</v>
      </c>
      <c r="CB108" s="60">
        <f t="shared" si="284"/>
        <v>13521.5</v>
      </c>
    </row>
    <row r="109" s="234" customFormat="1" ht="27" hidden="1" customHeight="1" spans="1:80">
      <c r="A109" s="236">
        <v>45792</v>
      </c>
      <c r="B109" s="237" t="s">
        <v>699</v>
      </c>
      <c r="C109" s="238" t="s">
        <v>689</v>
      </c>
      <c r="D109" s="239">
        <v>4500165636</v>
      </c>
      <c r="E109" s="238">
        <v>5000001870</v>
      </c>
      <c r="F109" s="237" t="s">
        <v>700</v>
      </c>
      <c r="G109" s="240" t="s">
        <v>152</v>
      </c>
      <c r="H109" s="237" t="s">
        <v>153</v>
      </c>
      <c r="I109" s="247">
        <v>1300</v>
      </c>
      <c r="J109" s="247">
        <v>0</v>
      </c>
      <c r="K109" s="247">
        <v>13</v>
      </c>
      <c r="L109" s="247">
        <f t="shared" si="202"/>
        <v>100</v>
      </c>
      <c r="M109" s="248">
        <v>45828</v>
      </c>
      <c r="N109" s="248">
        <v>45829</v>
      </c>
      <c r="O109" s="212"/>
      <c r="P109" s="212" t="s">
        <v>107</v>
      </c>
      <c r="Q109" s="212" t="s">
        <v>691</v>
      </c>
      <c r="R109" s="212" t="s">
        <v>692</v>
      </c>
      <c r="S109" s="212" t="s">
        <v>80</v>
      </c>
      <c r="T109" s="212" t="s">
        <v>693</v>
      </c>
      <c r="U109" s="212"/>
      <c r="V109" s="259" t="s">
        <v>694</v>
      </c>
      <c r="W109" s="248" t="s">
        <v>695</v>
      </c>
      <c r="X109" s="260">
        <v>0.7704</v>
      </c>
      <c r="Y109" s="247">
        <f t="shared" si="259"/>
        <v>1001.52</v>
      </c>
      <c r="Z109" s="248"/>
      <c r="AA109" s="259">
        <v>1300</v>
      </c>
      <c r="AB109" s="259">
        <f t="shared" si="275"/>
        <v>0</v>
      </c>
      <c r="AC109" s="212" t="s">
        <v>113</v>
      </c>
      <c r="AD109" s="212" t="s">
        <v>114</v>
      </c>
      <c r="AE109" s="248" t="s">
        <v>696</v>
      </c>
      <c r="AF109" s="248" t="s">
        <v>115</v>
      </c>
      <c r="AG109" s="267">
        <f t="shared" si="243"/>
        <v>1300</v>
      </c>
      <c r="AH109" s="267">
        <f t="shared" si="272"/>
        <v>1300</v>
      </c>
      <c r="AI109" s="267"/>
      <c r="AJ109" s="267"/>
      <c r="AK109" s="267">
        <f t="shared" si="276"/>
        <v>1300</v>
      </c>
      <c r="AL109" s="267"/>
      <c r="AM109" s="267"/>
      <c r="AN109" s="267"/>
      <c r="AO109" s="267"/>
      <c r="AP109" s="267">
        <f t="shared" si="277"/>
        <v>1300</v>
      </c>
      <c r="AQ109" s="267"/>
      <c r="AR109" s="267"/>
      <c r="AS109" s="267"/>
      <c r="AT109" s="267">
        <f t="shared" si="278"/>
        <v>100</v>
      </c>
      <c r="AU109" s="267"/>
      <c r="AV109" s="267"/>
      <c r="AW109" s="267"/>
      <c r="AX109" s="267"/>
      <c r="AY109" s="267"/>
      <c r="AZ109" s="267"/>
      <c r="BA109" s="267"/>
      <c r="BB109" s="267"/>
      <c r="BC109" s="267"/>
      <c r="BD109" s="267"/>
      <c r="BE109" s="267"/>
      <c r="BF109" s="267"/>
      <c r="BG109" s="267"/>
      <c r="BH109" s="267"/>
      <c r="BI109" s="267"/>
      <c r="BJ109" s="269">
        <f t="shared" ref="BJ109:BR109" si="285">$I109*BJ$2</f>
        <v>159.114583333333</v>
      </c>
      <c r="BK109" s="269">
        <f t="shared" si="285"/>
        <v>159.114583333333</v>
      </c>
      <c r="BL109" s="269">
        <f t="shared" si="285"/>
        <v>159.114583333333</v>
      </c>
      <c r="BM109" s="269">
        <f t="shared" si="285"/>
        <v>159.114583333333</v>
      </c>
      <c r="BN109" s="269">
        <f t="shared" si="285"/>
        <v>159.114583333333</v>
      </c>
      <c r="BO109" s="269">
        <f t="shared" si="285"/>
        <v>159.114583333333</v>
      </c>
      <c r="BP109" s="269">
        <f t="shared" si="285"/>
        <v>159.114583333333</v>
      </c>
      <c r="BQ109" s="269">
        <f t="shared" si="285"/>
        <v>159.114583333333</v>
      </c>
      <c r="BR109" s="269">
        <f t="shared" si="285"/>
        <v>27.0833333333333</v>
      </c>
      <c r="BT109" s="60">
        <f t="shared" ref="BT109:CB109" si="286">BT108-BJ109</f>
        <v>79564.3229166667</v>
      </c>
      <c r="BU109" s="60">
        <f t="shared" si="286"/>
        <v>79564.3229166667</v>
      </c>
      <c r="BV109" s="60">
        <f t="shared" si="286"/>
        <v>79564.3229166667</v>
      </c>
      <c r="BW109" s="60">
        <f t="shared" si="286"/>
        <v>79564.3229166667</v>
      </c>
      <c r="BX109" s="60">
        <f t="shared" si="286"/>
        <v>79564.3229166667</v>
      </c>
      <c r="BY109" s="60">
        <f t="shared" si="286"/>
        <v>79564.3229166667</v>
      </c>
      <c r="BZ109" s="60">
        <f t="shared" si="286"/>
        <v>79564.3229166667</v>
      </c>
      <c r="CA109" s="60">
        <f t="shared" si="286"/>
        <v>79564.3229166667</v>
      </c>
      <c r="CB109" s="60">
        <f t="shared" si="286"/>
        <v>13494.4166666667</v>
      </c>
    </row>
    <row r="110" s="234" customFormat="1" ht="27" hidden="1" customHeight="1" spans="1:80">
      <c r="A110" s="236">
        <v>45754</v>
      </c>
      <c r="B110" s="237" t="s">
        <v>701</v>
      </c>
      <c r="C110" s="238" t="s">
        <v>396</v>
      </c>
      <c r="D110" s="239">
        <v>4500162761</v>
      </c>
      <c r="E110" s="238">
        <v>2950866847</v>
      </c>
      <c r="F110" s="237" t="s">
        <v>702</v>
      </c>
      <c r="G110" s="240" t="s">
        <v>703</v>
      </c>
      <c r="H110" s="237" t="s">
        <v>704</v>
      </c>
      <c r="I110" s="247">
        <v>4160</v>
      </c>
      <c r="J110" s="247">
        <v>0</v>
      </c>
      <c r="K110" s="247">
        <v>1040</v>
      </c>
      <c r="L110" s="247">
        <f t="shared" si="202"/>
        <v>4</v>
      </c>
      <c r="M110" s="248">
        <v>45831</v>
      </c>
      <c r="N110" s="248">
        <v>45827</v>
      </c>
      <c r="O110" s="212"/>
      <c r="P110" s="212" t="s">
        <v>107</v>
      </c>
      <c r="Q110" s="212" t="s">
        <v>705</v>
      </c>
      <c r="R110" s="212">
        <v>45802</v>
      </c>
      <c r="S110" s="212" t="s">
        <v>80</v>
      </c>
      <c r="T110" s="212" t="s">
        <v>706</v>
      </c>
      <c r="U110" s="37"/>
      <c r="V110" s="259" t="s">
        <v>707</v>
      </c>
      <c r="W110" s="248" t="s">
        <v>467</v>
      </c>
      <c r="X110" s="46">
        <v>830.6645</v>
      </c>
      <c r="Y110" s="247">
        <f>X110*L110</f>
        <v>3322.658</v>
      </c>
      <c r="Z110" s="248"/>
      <c r="AA110" s="259">
        <v>4160</v>
      </c>
      <c r="AB110" s="259">
        <f t="shared" si="275"/>
        <v>0</v>
      </c>
      <c r="AC110" s="212"/>
      <c r="AD110" s="212" t="s">
        <v>114</v>
      </c>
      <c r="AE110" s="248" t="s">
        <v>703</v>
      </c>
      <c r="AF110" s="248" t="s">
        <v>115</v>
      </c>
      <c r="AG110" s="267">
        <f t="shared" si="243"/>
        <v>4160</v>
      </c>
      <c r="AH110" s="267">
        <f t="shared" si="272"/>
        <v>4160</v>
      </c>
      <c r="AI110" s="267"/>
      <c r="AJ110" s="267"/>
      <c r="AK110" s="267">
        <f t="shared" si="276"/>
        <v>4160</v>
      </c>
      <c r="AL110" s="267"/>
      <c r="AM110" s="267"/>
      <c r="AN110" s="267"/>
      <c r="AO110" s="267">
        <f t="shared" ref="AO110:AO114" si="287">I110</f>
        <v>4160</v>
      </c>
      <c r="AP110" s="267"/>
      <c r="AQ110" s="267"/>
      <c r="AR110" s="267"/>
      <c r="AS110" s="267"/>
      <c r="AT110" s="267">
        <f t="shared" si="278"/>
        <v>320</v>
      </c>
      <c r="AU110" s="267"/>
      <c r="AV110" s="267"/>
      <c r="AW110" s="267"/>
      <c r="AX110" s="267"/>
      <c r="AY110" s="267"/>
      <c r="AZ110" s="267"/>
      <c r="BA110" s="267"/>
      <c r="BB110" s="267"/>
      <c r="BC110" s="267"/>
      <c r="BD110" s="267"/>
      <c r="BE110" s="267"/>
      <c r="BF110" s="267"/>
      <c r="BG110" s="267"/>
      <c r="BH110" s="267"/>
      <c r="BI110" s="267"/>
      <c r="BJ110" s="269">
        <f t="shared" ref="BJ110:BR110" si="288">$I110*BJ$2</f>
        <v>509.166666666665</v>
      </c>
      <c r="BK110" s="269">
        <f t="shared" si="288"/>
        <v>509.166666666665</v>
      </c>
      <c r="BL110" s="269">
        <f t="shared" si="288"/>
        <v>509.166666666665</v>
      </c>
      <c r="BM110" s="269">
        <f t="shared" si="288"/>
        <v>509.166666666665</v>
      </c>
      <c r="BN110" s="269">
        <f t="shared" si="288"/>
        <v>509.166666666665</v>
      </c>
      <c r="BO110" s="269">
        <f t="shared" si="288"/>
        <v>509.166666666665</v>
      </c>
      <c r="BP110" s="269">
        <f t="shared" si="288"/>
        <v>509.166666666665</v>
      </c>
      <c r="BQ110" s="269">
        <f t="shared" si="288"/>
        <v>509.166666666665</v>
      </c>
      <c r="BR110" s="269">
        <f t="shared" si="288"/>
        <v>86.6666666666665</v>
      </c>
      <c r="BT110" s="60">
        <f t="shared" ref="BT110:CB110" si="289">BT109-BJ110</f>
        <v>79055.15625</v>
      </c>
      <c r="BU110" s="60">
        <f t="shared" si="289"/>
        <v>79055.15625</v>
      </c>
      <c r="BV110" s="60">
        <f t="shared" si="289"/>
        <v>79055.15625</v>
      </c>
      <c r="BW110" s="60">
        <f t="shared" si="289"/>
        <v>79055.15625</v>
      </c>
      <c r="BX110" s="60">
        <f t="shared" si="289"/>
        <v>79055.15625</v>
      </c>
      <c r="BY110" s="60">
        <f t="shared" si="289"/>
        <v>79055.15625</v>
      </c>
      <c r="BZ110" s="60">
        <f t="shared" si="289"/>
        <v>79055.15625</v>
      </c>
      <c r="CA110" s="60">
        <f t="shared" si="289"/>
        <v>79055.15625</v>
      </c>
      <c r="CB110" s="60">
        <f t="shared" si="289"/>
        <v>13407.75</v>
      </c>
    </row>
    <row r="111" s="234" customFormat="1" ht="27" hidden="1" customHeight="1" spans="1:80">
      <c r="A111" s="236">
        <v>45762</v>
      </c>
      <c r="B111" s="237" t="s">
        <v>701</v>
      </c>
      <c r="C111" s="238" t="s">
        <v>396</v>
      </c>
      <c r="D111" s="239">
        <v>4500163740</v>
      </c>
      <c r="E111" s="238">
        <v>2950866847</v>
      </c>
      <c r="F111" s="237" t="s">
        <v>708</v>
      </c>
      <c r="G111" s="240" t="s">
        <v>703</v>
      </c>
      <c r="H111" s="237" t="s">
        <v>704</v>
      </c>
      <c r="I111" s="247">
        <v>1040</v>
      </c>
      <c r="J111" s="247">
        <v>0</v>
      </c>
      <c r="K111" s="247">
        <v>1040</v>
      </c>
      <c r="L111" s="247">
        <f t="shared" si="202"/>
        <v>1</v>
      </c>
      <c r="M111" s="248">
        <v>45831</v>
      </c>
      <c r="N111" s="248">
        <v>45827</v>
      </c>
      <c r="O111" s="212"/>
      <c r="P111" s="212" t="s">
        <v>107</v>
      </c>
      <c r="Q111" s="212" t="s">
        <v>705</v>
      </c>
      <c r="R111" s="212">
        <v>45802</v>
      </c>
      <c r="S111" s="212" t="s">
        <v>80</v>
      </c>
      <c r="T111" s="212" t="s">
        <v>706</v>
      </c>
      <c r="U111" s="212"/>
      <c r="V111" s="259" t="s">
        <v>709</v>
      </c>
      <c r="W111" s="248" t="s">
        <v>467</v>
      </c>
      <c r="X111" s="46">
        <v>830.6645</v>
      </c>
      <c r="Y111" s="247">
        <f>X111*L111</f>
        <v>830.6645</v>
      </c>
      <c r="Z111" s="248"/>
      <c r="AA111" s="259">
        <v>1040</v>
      </c>
      <c r="AB111" s="259">
        <f t="shared" si="275"/>
        <v>0</v>
      </c>
      <c r="AC111" s="212"/>
      <c r="AD111" s="212" t="s">
        <v>114</v>
      </c>
      <c r="AE111" s="248" t="s">
        <v>703</v>
      </c>
      <c r="AF111" s="248" t="s">
        <v>115</v>
      </c>
      <c r="AG111" s="267">
        <f t="shared" si="243"/>
        <v>1040</v>
      </c>
      <c r="AH111" s="267">
        <f t="shared" si="272"/>
        <v>1040</v>
      </c>
      <c r="AJ111" s="267"/>
      <c r="AK111" s="267">
        <f t="shared" si="276"/>
        <v>1040</v>
      </c>
      <c r="AL111" s="267"/>
      <c r="AM111" s="267"/>
      <c r="AN111" s="267"/>
      <c r="AO111" s="267">
        <f t="shared" si="287"/>
        <v>1040</v>
      </c>
      <c r="AP111" s="267"/>
      <c r="AQ111" s="267"/>
      <c r="AR111" s="267"/>
      <c r="AS111" s="267"/>
      <c r="AT111" s="267">
        <f t="shared" si="278"/>
        <v>80</v>
      </c>
      <c r="AU111" s="267"/>
      <c r="AV111" s="267"/>
      <c r="AW111" s="267"/>
      <c r="AX111" s="267"/>
      <c r="AY111" s="267"/>
      <c r="AZ111" s="267"/>
      <c r="BA111" s="267"/>
      <c r="BB111" s="267"/>
      <c r="BC111" s="267"/>
      <c r="BD111" s="267"/>
      <c r="BE111" s="267"/>
      <c r="BF111" s="267"/>
      <c r="BG111" s="267"/>
      <c r="BH111" s="267"/>
      <c r="BI111" s="267"/>
      <c r="BJ111" s="269">
        <f t="shared" ref="BJ111:BR111" si="290">$I111*BJ$2</f>
        <v>127.291666666666</v>
      </c>
      <c r="BK111" s="269">
        <f t="shared" si="290"/>
        <v>127.291666666666</v>
      </c>
      <c r="BL111" s="269">
        <f t="shared" si="290"/>
        <v>127.291666666666</v>
      </c>
      <c r="BM111" s="269">
        <f t="shared" si="290"/>
        <v>127.291666666666</v>
      </c>
      <c r="BN111" s="269">
        <f t="shared" si="290"/>
        <v>127.291666666666</v>
      </c>
      <c r="BO111" s="269">
        <f t="shared" si="290"/>
        <v>127.291666666666</v>
      </c>
      <c r="BP111" s="269">
        <f t="shared" si="290"/>
        <v>127.291666666666</v>
      </c>
      <c r="BQ111" s="269">
        <f t="shared" si="290"/>
        <v>127.291666666666</v>
      </c>
      <c r="BR111" s="269">
        <f t="shared" si="290"/>
        <v>21.6666666666666</v>
      </c>
      <c r="BT111" s="60">
        <f t="shared" ref="BT111:CB111" si="291">BT110-BJ111</f>
        <v>78927.8645833333</v>
      </c>
      <c r="BU111" s="60">
        <f t="shared" si="291"/>
        <v>78927.8645833333</v>
      </c>
      <c r="BV111" s="60">
        <f t="shared" si="291"/>
        <v>78927.8645833333</v>
      </c>
      <c r="BW111" s="60">
        <f t="shared" si="291"/>
        <v>78927.8645833333</v>
      </c>
      <c r="BX111" s="60">
        <f t="shared" si="291"/>
        <v>78927.8645833333</v>
      </c>
      <c r="BY111" s="60">
        <f t="shared" si="291"/>
        <v>78927.8645833333</v>
      </c>
      <c r="BZ111" s="60">
        <f t="shared" si="291"/>
        <v>78927.8645833333</v>
      </c>
      <c r="CA111" s="60">
        <f t="shared" si="291"/>
        <v>78927.8645833333</v>
      </c>
      <c r="CB111" s="60">
        <f t="shared" si="291"/>
        <v>13386.0833333333</v>
      </c>
    </row>
    <row r="112" s="234" customFormat="1" ht="27" hidden="1" customHeight="1" spans="1:80">
      <c r="A112" s="236">
        <v>45790</v>
      </c>
      <c r="B112" s="237" t="s">
        <v>710</v>
      </c>
      <c r="C112" s="238" t="s">
        <v>117</v>
      </c>
      <c r="D112" s="239">
        <v>4500166237</v>
      </c>
      <c r="E112" s="238" t="s">
        <v>711</v>
      </c>
      <c r="F112" s="237" t="s">
        <v>712</v>
      </c>
      <c r="G112" s="240" t="s">
        <v>152</v>
      </c>
      <c r="H112" s="237" t="s">
        <v>153</v>
      </c>
      <c r="I112" s="247">
        <v>611</v>
      </c>
      <c r="J112" s="247">
        <v>0</v>
      </c>
      <c r="K112" s="247">
        <v>13</v>
      </c>
      <c r="L112" s="247">
        <f t="shared" si="202"/>
        <v>47</v>
      </c>
      <c r="M112" s="248">
        <v>45831</v>
      </c>
      <c r="N112" s="248">
        <v>45829</v>
      </c>
      <c r="O112" s="212"/>
      <c r="P112" s="212" t="s">
        <v>224</v>
      </c>
      <c r="Q112" s="212" t="s">
        <v>647</v>
      </c>
      <c r="R112" s="212">
        <v>45799</v>
      </c>
      <c r="S112" s="212" t="s">
        <v>80</v>
      </c>
      <c r="T112" s="212" t="s">
        <v>80</v>
      </c>
      <c r="U112" s="212"/>
      <c r="V112" s="259" t="s">
        <v>713</v>
      </c>
      <c r="W112" s="248" t="s">
        <v>714</v>
      </c>
      <c r="X112" s="46">
        <v>0.4687</v>
      </c>
      <c r="Y112" s="247">
        <f t="shared" ref="Y112:Y132" si="292">X112*I112</f>
        <v>286.3757</v>
      </c>
      <c r="Z112" s="248" t="s">
        <v>715</v>
      </c>
      <c r="AA112" s="259">
        <v>611</v>
      </c>
      <c r="AB112" s="259">
        <f t="shared" si="275"/>
        <v>0</v>
      </c>
      <c r="AC112" s="212" t="s">
        <v>80</v>
      </c>
      <c r="AD112" s="212" t="s">
        <v>114</v>
      </c>
      <c r="AE112" s="248" t="s">
        <v>152</v>
      </c>
      <c r="AF112" s="248" t="s">
        <v>115</v>
      </c>
      <c r="AG112" s="267">
        <f t="shared" si="243"/>
        <v>611</v>
      </c>
      <c r="AH112" s="267">
        <f t="shared" si="272"/>
        <v>611</v>
      </c>
      <c r="AI112" s="267"/>
      <c r="AJ112" s="267"/>
      <c r="AK112" s="267">
        <f t="shared" si="276"/>
        <v>611</v>
      </c>
      <c r="AL112" s="267"/>
      <c r="AM112" s="267"/>
      <c r="AN112" s="267"/>
      <c r="AO112" s="267">
        <f t="shared" si="287"/>
        <v>611</v>
      </c>
      <c r="AP112" s="267"/>
      <c r="AQ112" s="267"/>
      <c r="AR112" s="267"/>
      <c r="AS112" s="267"/>
      <c r="AT112" s="267">
        <f t="shared" si="278"/>
        <v>47</v>
      </c>
      <c r="AU112" s="267"/>
      <c r="AV112" s="267"/>
      <c r="AW112" s="267"/>
      <c r="AX112" s="267"/>
      <c r="AY112" s="267"/>
      <c r="AZ112" s="267"/>
      <c r="BA112" s="267"/>
      <c r="BB112" s="267"/>
      <c r="BC112" s="267"/>
      <c r="BD112" s="267"/>
      <c r="BE112" s="267"/>
      <c r="BF112" s="267"/>
      <c r="BG112" s="267"/>
      <c r="BH112" s="267"/>
      <c r="BI112" s="267"/>
      <c r="BJ112" s="269">
        <f t="shared" ref="BJ112:BR112" si="293">$I112*BJ$2</f>
        <v>74.7838541666665</v>
      </c>
      <c r="BK112" s="269">
        <f t="shared" si="293"/>
        <v>74.7838541666665</v>
      </c>
      <c r="BL112" s="269">
        <f t="shared" si="293"/>
        <v>74.7838541666665</v>
      </c>
      <c r="BM112" s="269">
        <f t="shared" si="293"/>
        <v>74.7838541666665</v>
      </c>
      <c r="BN112" s="269">
        <f t="shared" si="293"/>
        <v>74.7838541666665</v>
      </c>
      <c r="BO112" s="269">
        <f t="shared" si="293"/>
        <v>74.7838541666665</v>
      </c>
      <c r="BP112" s="269">
        <f t="shared" si="293"/>
        <v>74.7838541666665</v>
      </c>
      <c r="BQ112" s="269">
        <f t="shared" si="293"/>
        <v>74.7838541666665</v>
      </c>
      <c r="BR112" s="269">
        <f t="shared" si="293"/>
        <v>12.7291666666666</v>
      </c>
      <c r="BT112" s="60">
        <f t="shared" ref="BT112:CB112" si="294">BT111-BJ112</f>
        <v>78853.0807291667</v>
      </c>
      <c r="BU112" s="60">
        <f t="shared" si="294"/>
        <v>78853.0807291667</v>
      </c>
      <c r="BV112" s="60">
        <f t="shared" si="294"/>
        <v>78853.0807291667</v>
      </c>
      <c r="BW112" s="60">
        <f t="shared" si="294"/>
        <v>78853.0807291667</v>
      </c>
      <c r="BX112" s="60">
        <f t="shared" si="294"/>
        <v>78853.0807291667</v>
      </c>
      <c r="BY112" s="60">
        <f t="shared" si="294"/>
        <v>78853.0807291667</v>
      </c>
      <c r="BZ112" s="60">
        <f t="shared" si="294"/>
        <v>78853.0807291667</v>
      </c>
      <c r="CA112" s="60">
        <f t="shared" si="294"/>
        <v>78853.0807291667</v>
      </c>
      <c r="CB112" s="60">
        <f t="shared" si="294"/>
        <v>13373.3541666667</v>
      </c>
    </row>
    <row r="113" s="234" customFormat="1" ht="27" hidden="1" customHeight="1" spans="1:80">
      <c r="A113" s="236">
        <v>45790</v>
      </c>
      <c r="B113" s="237" t="s">
        <v>710</v>
      </c>
      <c r="C113" s="238" t="s">
        <v>117</v>
      </c>
      <c r="D113" s="239">
        <v>4500166238</v>
      </c>
      <c r="E113" s="238">
        <v>217181377</v>
      </c>
      <c r="F113" s="237" t="s">
        <v>716</v>
      </c>
      <c r="G113" s="240" t="s">
        <v>152</v>
      </c>
      <c r="H113" s="237" t="s">
        <v>153</v>
      </c>
      <c r="I113" s="247">
        <v>403</v>
      </c>
      <c r="J113" s="247">
        <v>0</v>
      </c>
      <c r="K113" s="247">
        <v>13</v>
      </c>
      <c r="L113" s="247">
        <f t="shared" si="202"/>
        <v>31</v>
      </c>
      <c r="M113" s="248">
        <v>45831</v>
      </c>
      <c r="N113" s="248">
        <v>45829</v>
      </c>
      <c r="O113" s="212"/>
      <c r="P113" s="212" t="s">
        <v>224</v>
      </c>
      <c r="Q113" s="273" t="s">
        <v>629</v>
      </c>
      <c r="R113" s="212">
        <v>45799</v>
      </c>
      <c r="S113" s="212" t="s">
        <v>80</v>
      </c>
      <c r="T113" s="212" t="s">
        <v>80</v>
      </c>
      <c r="U113" s="212"/>
      <c r="V113" s="259" t="s">
        <v>713</v>
      </c>
      <c r="W113" s="248" t="s">
        <v>569</v>
      </c>
      <c r="X113" s="46">
        <v>0.4687</v>
      </c>
      <c r="Y113" s="247">
        <f t="shared" si="292"/>
        <v>188.8861</v>
      </c>
      <c r="Z113" s="248" t="s">
        <v>717</v>
      </c>
      <c r="AA113" s="259">
        <v>403</v>
      </c>
      <c r="AB113" s="259">
        <f t="shared" si="275"/>
        <v>0</v>
      </c>
      <c r="AC113" s="212" t="s">
        <v>80</v>
      </c>
      <c r="AD113" s="212" t="s">
        <v>114</v>
      </c>
      <c r="AE113" s="248" t="s">
        <v>152</v>
      </c>
      <c r="AF113" s="248" t="s">
        <v>115</v>
      </c>
      <c r="AG113" s="267">
        <f t="shared" si="243"/>
        <v>403</v>
      </c>
      <c r="AH113" s="267">
        <f t="shared" si="272"/>
        <v>403</v>
      </c>
      <c r="AI113" s="267"/>
      <c r="AJ113" s="267"/>
      <c r="AK113" s="267">
        <f t="shared" si="276"/>
        <v>403</v>
      </c>
      <c r="AL113" s="267"/>
      <c r="AM113" s="267"/>
      <c r="AN113" s="267"/>
      <c r="AO113" s="267">
        <f t="shared" si="287"/>
        <v>403</v>
      </c>
      <c r="AP113" s="267"/>
      <c r="AQ113" s="267"/>
      <c r="AR113" s="267"/>
      <c r="AS113" s="267"/>
      <c r="AT113" s="267">
        <f t="shared" si="278"/>
        <v>31</v>
      </c>
      <c r="AU113" s="267"/>
      <c r="AV113" s="267"/>
      <c r="AW113" s="267"/>
      <c r="AX113" s="267"/>
      <c r="AY113" s="267"/>
      <c r="AZ113" s="267"/>
      <c r="BA113" s="267"/>
      <c r="BB113" s="267"/>
      <c r="BC113" s="267"/>
      <c r="BD113" s="267"/>
      <c r="BE113" s="267"/>
      <c r="BF113" s="267"/>
      <c r="BG113" s="267"/>
      <c r="BH113" s="267"/>
      <c r="BI113" s="267"/>
      <c r="BJ113" s="269">
        <f t="shared" ref="BJ113:BR113" si="295">$I113*BJ$2</f>
        <v>49.3255208333332</v>
      </c>
      <c r="BK113" s="269">
        <f t="shared" si="295"/>
        <v>49.3255208333332</v>
      </c>
      <c r="BL113" s="269">
        <f t="shared" si="295"/>
        <v>49.3255208333332</v>
      </c>
      <c r="BM113" s="269">
        <f t="shared" si="295"/>
        <v>49.3255208333332</v>
      </c>
      <c r="BN113" s="269">
        <f t="shared" si="295"/>
        <v>49.3255208333332</v>
      </c>
      <c r="BO113" s="269">
        <f t="shared" si="295"/>
        <v>49.3255208333332</v>
      </c>
      <c r="BP113" s="269">
        <f t="shared" si="295"/>
        <v>49.3255208333332</v>
      </c>
      <c r="BQ113" s="269">
        <f t="shared" si="295"/>
        <v>49.3255208333332</v>
      </c>
      <c r="BR113" s="269">
        <f t="shared" si="295"/>
        <v>8.39583333333332</v>
      </c>
      <c r="BT113" s="60">
        <f t="shared" ref="BT113:CB113" si="296">BT112-BJ113</f>
        <v>78803.7552083333</v>
      </c>
      <c r="BU113" s="60">
        <f t="shared" si="296"/>
        <v>78803.7552083333</v>
      </c>
      <c r="BV113" s="60">
        <f t="shared" si="296"/>
        <v>78803.7552083333</v>
      </c>
      <c r="BW113" s="60">
        <f t="shared" si="296"/>
        <v>78803.7552083333</v>
      </c>
      <c r="BX113" s="60">
        <f t="shared" si="296"/>
        <v>78803.7552083333</v>
      </c>
      <c r="BY113" s="60">
        <f t="shared" si="296"/>
        <v>78803.7552083333</v>
      </c>
      <c r="BZ113" s="60">
        <f t="shared" si="296"/>
        <v>78803.7552083333</v>
      </c>
      <c r="CA113" s="60">
        <f t="shared" si="296"/>
        <v>78803.7552083333</v>
      </c>
      <c r="CB113" s="60">
        <f t="shared" si="296"/>
        <v>13364.9583333333</v>
      </c>
    </row>
    <row r="114" s="234" customFormat="1" ht="27" hidden="1" customHeight="1" spans="1:80">
      <c r="A114" s="236">
        <v>45799</v>
      </c>
      <c r="B114" s="237" t="s">
        <v>221</v>
      </c>
      <c r="C114" s="238" t="s">
        <v>222</v>
      </c>
      <c r="D114" s="239">
        <v>4500167533</v>
      </c>
      <c r="E114" s="238"/>
      <c r="F114" s="237" t="s">
        <v>718</v>
      </c>
      <c r="G114" s="240" t="s">
        <v>131</v>
      </c>
      <c r="H114" s="237" t="s">
        <v>132</v>
      </c>
      <c r="I114" s="247">
        <v>540</v>
      </c>
      <c r="J114" s="247">
        <v>0</v>
      </c>
      <c r="K114" s="247">
        <v>27</v>
      </c>
      <c r="L114" s="247">
        <f t="shared" si="202"/>
        <v>20</v>
      </c>
      <c r="M114" s="248">
        <v>45831</v>
      </c>
      <c r="N114" s="248">
        <v>45829</v>
      </c>
      <c r="O114" s="212"/>
      <c r="P114" s="212" t="s">
        <v>224</v>
      </c>
      <c r="Q114" s="212" t="s">
        <v>719</v>
      </c>
      <c r="R114" s="274">
        <v>45799</v>
      </c>
      <c r="S114" s="273" t="s">
        <v>80</v>
      </c>
      <c r="T114" s="273" t="s">
        <v>720</v>
      </c>
      <c r="U114" s="273"/>
      <c r="V114" s="259" t="s">
        <v>721</v>
      </c>
      <c r="W114" s="248" t="s">
        <v>228</v>
      </c>
      <c r="X114" s="260">
        <v>0.7792</v>
      </c>
      <c r="Y114" s="247">
        <f t="shared" si="292"/>
        <v>420.768</v>
      </c>
      <c r="Z114" s="248"/>
      <c r="AA114" s="259">
        <f>540</f>
        <v>540</v>
      </c>
      <c r="AB114" s="259">
        <f t="shared" si="275"/>
        <v>0</v>
      </c>
      <c r="AC114" s="212" t="s">
        <v>113</v>
      </c>
      <c r="AD114" s="212" t="s">
        <v>114</v>
      </c>
      <c r="AE114" s="248" t="s">
        <v>434</v>
      </c>
      <c r="AF114" s="248" t="s">
        <v>115</v>
      </c>
      <c r="AG114" s="267">
        <f t="shared" si="243"/>
        <v>540</v>
      </c>
      <c r="AH114" s="267">
        <f t="shared" si="272"/>
        <v>540</v>
      </c>
      <c r="AI114" s="267"/>
      <c r="AJ114" s="267"/>
      <c r="AK114" s="267"/>
      <c r="AL114" s="267">
        <f>I114</f>
        <v>540</v>
      </c>
      <c r="AM114" s="267"/>
      <c r="AN114" s="267"/>
      <c r="AO114" s="267">
        <f t="shared" si="287"/>
        <v>540</v>
      </c>
      <c r="AP114" s="267"/>
      <c r="AQ114" s="267"/>
      <c r="AR114" s="267">
        <f>I114/27</f>
        <v>20</v>
      </c>
      <c r="AS114" s="267"/>
      <c r="AT114" s="267"/>
      <c r="AU114" s="267"/>
      <c r="AV114" s="267"/>
      <c r="AW114" s="267"/>
      <c r="AX114" s="267"/>
      <c r="AY114" s="267"/>
      <c r="AZ114" s="267"/>
      <c r="BA114" s="267"/>
      <c r="BB114" s="267"/>
      <c r="BC114" s="267"/>
      <c r="BD114" s="267"/>
      <c r="BE114" s="267"/>
      <c r="BF114" s="267"/>
      <c r="BG114" s="267"/>
      <c r="BH114" s="267"/>
      <c r="BI114" s="267"/>
      <c r="BJ114" s="269">
        <f t="shared" ref="BJ114:BR114" si="297">$I114*BJ$2</f>
        <v>66.0937499999998</v>
      </c>
      <c r="BK114" s="269">
        <f t="shared" si="297"/>
        <v>66.0937499999998</v>
      </c>
      <c r="BL114" s="269">
        <f t="shared" si="297"/>
        <v>66.0937499999998</v>
      </c>
      <c r="BM114" s="269">
        <f t="shared" si="297"/>
        <v>66.0937499999998</v>
      </c>
      <c r="BN114" s="269">
        <f t="shared" si="297"/>
        <v>66.0937499999998</v>
      </c>
      <c r="BO114" s="269">
        <f t="shared" si="297"/>
        <v>66.0937499999998</v>
      </c>
      <c r="BP114" s="269">
        <f t="shared" si="297"/>
        <v>66.0937499999998</v>
      </c>
      <c r="BQ114" s="269">
        <f t="shared" si="297"/>
        <v>66.0937499999998</v>
      </c>
      <c r="BR114" s="269">
        <f t="shared" si="297"/>
        <v>11.25</v>
      </c>
      <c r="BT114" s="60">
        <f t="shared" ref="BT114:CB114" si="298">BT113-BJ114</f>
        <v>78737.6614583333</v>
      </c>
      <c r="BU114" s="60">
        <f t="shared" si="298"/>
        <v>78737.6614583333</v>
      </c>
      <c r="BV114" s="60">
        <f t="shared" si="298"/>
        <v>78737.6614583333</v>
      </c>
      <c r="BW114" s="60">
        <f t="shared" si="298"/>
        <v>78737.6614583333</v>
      </c>
      <c r="BX114" s="60">
        <f t="shared" si="298"/>
        <v>78737.6614583333</v>
      </c>
      <c r="BY114" s="60">
        <f t="shared" si="298"/>
        <v>78737.6614583333</v>
      </c>
      <c r="BZ114" s="60">
        <f t="shared" si="298"/>
        <v>78737.6614583333</v>
      </c>
      <c r="CA114" s="60">
        <f t="shared" si="298"/>
        <v>78737.6614583333</v>
      </c>
      <c r="CB114" s="60">
        <f t="shared" si="298"/>
        <v>13353.7083333333</v>
      </c>
    </row>
    <row r="115" s="234" customFormat="1" ht="27" hidden="1" customHeight="1" spans="1:87">
      <c r="A115" s="236">
        <v>45798</v>
      </c>
      <c r="B115" s="237" t="s">
        <v>722</v>
      </c>
      <c r="C115" s="238" t="s">
        <v>117</v>
      </c>
      <c r="D115" s="239">
        <v>4500167243</v>
      </c>
      <c r="E115" s="238" t="s">
        <v>723</v>
      </c>
      <c r="F115" s="237" t="s">
        <v>724</v>
      </c>
      <c r="G115" s="240" t="s">
        <v>188</v>
      </c>
      <c r="H115" s="237" t="s">
        <v>120</v>
      </c>
      <c r="I115" s="247">
        <v>1800</v>
      </c>
      <c r="J115" s="247">
        <v>0</v>
      </c>
      <c r="K115" s="247">
        <v>12</v>
      </c>
      <c r="L115" s="247">
        <f t="shared" si="202"/>
        <v>150</v>
      </c>
      <c r="M115" s="248">
        <v>45832</v>
      </c>
      <c r="N115" s="248">
        <v>45829</v>
      </c>
      <c r="O115" s="212"/>
      <c r="P115" s="212" t="s">
        <v>224</v>
      </c>
      <c r="Q115" s="212" t="s">
        <v>725</v>
      </c>
      <c r="R115" s="212">
        <v>45798</v>
      </c>
      <c r="S115" s="212" t="s">
        <v>80</v>
      </c>
      <c r="T115" s="212" t="s">
        <v>80</v>
      </c>
      <c r="U115" s="212"/>
      <c r="V115" s="259" t="s">
        <v>726</v>
      </c>
      <c r="W115" s="248" t="s">
        <v>727</v>
      </c>
      <c r="X115" s="260">
        <v>1.1176</v>
      </c>
      <c r="Y115" s="247">
        <f t="shared" si="292"/>
        <v>2011.68</v>
      </c>
      <c r="Z115" s="248" t="s">
        <v>728</v>
      </c>
      <c r="AA115" s="259">
        <v>1800</v>
      </c>
      <c r="AB115" s="259">
        <f t="shared" si="275"/>
        <v>0</v>
      </c>
      <c r="AC115" s="212" t="s">
        <v>80</v>
      </c>
      <c r="AD115" s="212" t="s">
        <v>114</v>
      </c>
      <c r="AE115" s="248" t="s">
        <v>188</v>
      </c>
      <c r="AF115" s="248" t="s">
        <v>115</v>
      </c>
      <c r="AG115" s="267">
        <f>I115*2</f>
        <v>3600</v>
      </c>
      <c r="AH115" s="267">
        <f>I115*2</f>
        <v>3600</v>
      </c>
      <c r="AI115" s="267"/>
      <c r="AJ115" s="267"/>
      <c r="AK115" s="267"/>
      <c r="AL115" s="267">
        <f>I115*2</f>
        <v>3600</v>
      </c>
      <c r="AM115" s="267"/>
      <c r="AN115" s="267"/>
      <c r="AO115" s="267">
        <f>I115*2</f>
        <v>3600</v>
      </c>
      <c r="AP115" s="267"/>
      <c r="AQ115" s="267"/>
      <c r="AR115" s="267"/>
      <c r="AS115" s="267"/>
      <c r="AT115" s="267"/>
      <c r="AU115" s="267"/>
      <c r="AV115" s="267"/>
      <c r="AW115" s="267"/>
      <c r="AX115" s="267"/>
      <c r="AY115" s="267"/>
      <c r="AZ115" s="267"/>
      <c r="BA115" s="267"/>
      <c r="BB115" s="267"/>
      <c r="BC115" s="267"/>
      <c r="BD115" s="267"/>
      <c r="BE115" s="267"/>
      <c r="BF115" s="267">
        <f>I115</f>
        <v>1800</v>
      </c>
      <c r="BG115" s="267">
        <f>I115</f>
        <v>1800</v>
      </c>
      <c r="BH115" s="267"/>
      <c r="BI115" s="267"/>
      <c r="BJ115" s="269">
        <f t="shared" ref="BJ115:BR115" si="299">$I115*BJ$2*2</f>
        <v>440.624999999999</v>
      </c>
      <c r="BK115" s="269">
        <f t="shared" si="299"/>
        <v>440.624999999999</v>
      </c>
      <c r="BL115" s="269">
        <f t="shared" si="299"/>
        <v>440.624999999999</v>
      </c>
      <c r="BM115" s="269">
        <f t="shared" si="299"/>
        <v>440.624999999999</v>
      </c>
      <c r="BN115" s="269">
        <f t="shared" si="299"/>
        <v>440.624999999999</v>
      </c>
      <c r="BO115" s="269">
        <f t="shared" si="299"/>
        <v>440.624999999999</v>
      </c>
      <c r="BP115" s="269">
        <f t="shared" si="299"/>
        <v>440.624999999999</v>
      </c>
      <c r="BQ115" s="269">
        <f t="shared" si="299"/>
        <v>440.624999999999</v>
      </c>
      <c r="BR115" s="269">
        <f t="shared" si="299"/>
        <v>74.9999999999999</v>
      </c>
      <c r="BT115" s="60">
        <f t="shared" ref="BT115:CB115" si="300">BT114-BJ115</f>
        <v>78297.0364583333</v>
      </c>
      <c r="BU115" s="60">
        <f t="shared" si="300"/>
        <v>78297.0364583333</v>
      </c>
      <c r="BV115" s="60">
        <f t="shared" si="300"/>
        <v>78297.0364583333</v>
      </c>
      <c r="BW115" s="60">
        <f t="shared" si="300"/>
        <v>78297.0364583333</v>
      </c>
      <c r="BX115" s="60">
        <f t="shared" si="300"/>
        <v>78297.0364583333</v>
      </c>
      <c r="BY115" s="60">
        <f t="shared" si="300"/>
        <v>78297.0364583333</v>
      </c>
      <c r="BZ115" s="60">
        <f t="shared" si="300"/>
        <v>78297.0364583333</v>
      </c>
      <c r="CA115" s="60">
        <f t="shared" si="300"/>
        <v>78297.0364583333</v>
      </c>
      <c r="CB115" s="60">
        <f t="shared" si="300"/>
        <v>13278.7083333333</v>
      </c>
      <c r="CD115" s="271" t="s">
        <v>499</v>
      </c>
      <c r="CH115" s="234">
        <f>CH94-I115</f>
        <v>7696</v>
      </c>
      <c r="CI115" s="234">
        <f>CI94-I115</f>
        <v>2696</v>
      </c>
    </row>
    <row r="116" s="234" customFormat="1" ht="27" hidden="1" customHeight="1" spans="1:80">
      <c r="A116" s="236">
        <v>45798</v>
      </c>
      <c r="B116" s="237" t="s">
        <v>729</v>
      </c>
      <c r="C116" s="238" t="s">
        <v>117</v>
      </c>
      <c r="D116" s="239">
        <v>4500167106</v>
      </c>
      <c r="E116" s="238" t="s">
        <v>730</v>
      </c>
      <c r="F116" s="237" t="s">
        <v>731</v>
      </c>
      <c r="G116" s="240" t="s">
        <v>152</v>
      </c>
      <c r="H116" s="237" t="s">
        <v>153</v>
      </c>
      <c r="I116" s="247">
        <v>10309</v>
      </c>
      <c r="J116" s="247">
        <v>0</v>
      </c>
      <c r="K116" s="247">
        <v>13</v>
      </c>
      <c r="L116" s="247">
        <f t="shared" si="202"/>
        <v>793</v>
      </c>
      <c r="M116" s="248">
        <v>45832</v>
      </c>
      <c r="N116" s="248">
        <v>45829</v>
      </c>
      <c r="O116" s="212" t="s">
        <v>732</v>
      </c>
      <c r="P116" s="212" t="s">
        <v>107</v>
      </c>
      <c r="Q116" s="212" t="s">
        <v>733</v>
      </c>
      <c r="R116" s="212">
        <v>45803</v>
      </c>
      <c r="S116" s="212" t="s">
        <v>80</v>
      </c>
      <c r="T116" s="212" t="s">
        <v>80</v>
      </c>
      <c r="U116" s="212" t="s">
        <v>156</v>
      </c>
      <c r="V116" s="259" t="s">
        <v>734</v>
      </c>
      <c r="W116" s="248" t="s">
        <v>735</v>
      </c>
      <c r="X116" s="260">
        <v>0.4694</v>
      </c>
      <c r="Y116" s="247">
        <f t="shared" si="292"/>
        <v>4839.0446</v>
      </c>
      <c r="Z116" s="248" t="s">
        <v>736</v>
      </c>
      <c r="AA116" s="259">
        <v>10309</v>
      </c>
      <c r="AB116" s="259">
        <f t="shared" si="275"/>
        <v>0</v>
      </c>
      <c r="AC116" s="212" t="s">
        <v>80</v>
      </c>
      <c r="AD116" s="212" t="s">
        <v>114</v>
      </c>
      <c r="AE116" s="248" t="s">
        <v>152</v>
      </c>
      <c r="AF116" s="248" t="s">
        <v>115</v>
      </c>
      <c r="AG116" s="267">
        <f t="shared" ref="AG116:AG136" si="301">I116</f>
        <v>10309</v>
      </c>
      <c r="AH116" s="267">
        <f t="shared" ref="AH116:AH122" si="302">I116</f>
        <v>10309</v>
      </c>
      <c r="AI116" s="267"/>
      <c r="AJ116" s="267"/>
      <c r="AK116" s="267">
        <f t="shared" ref="AK116:AK121" si="303">I116</f>
        <v>10309</v>
      </c>
      <c r="AL116" s="267"/>
      <c r="AM116" s="267"/>
      <c r="AN116" s="267"/>
      <c r="AO116" s="267">
        <f t="shared" ref="AO116:AO136" si="304">I116</f>
        <v>10309</v>
      </c>
      <c r="AP116" s="267"/>
      <c r="AQ116" s="267"/>
      <c r="AR116" s="267"/>
      <c r="AS116" s="267"/>
      <c r="AT116" s="267">
        <f t="shared" ref="AT116:AT121" si="305">I116/13</f>
        <v>793</v>
      </c>
      <c r="AU116" s="267"/>
      <c r="AV116" s="267"/>
      <c r="AW116" s="267"/>
      <c r="AX116" s="267"/>
      <c r="AY116" s="267"/>
      <c r="AZ116" s="267"/>
      <c r="BA116" s="267"/>
      <c r="BB116" s="267"/>
      <c r="BC116" s="267"/>
      <c r="BD116" s="267"/>
      <c r="BE116" s="267"/>
      <c r="BF116" s="267"/>
      <c r="BG116" s="267"/>
      <c r="BH116" s="267"/>
      <c r="BI116" s="267"/>
      <c r="BJ116" s="269">
        <f t="shared" ref="BJ116:BR116" si="306">$I116*BJ$2</f>
        <v>1261.77864583333</v>
      </c>
      <c r="BK116" s="269">
        <f t="shared" si="306"/>
        <v>1261.77864583333</v>
      </c>
      <c r="BL116" s="269">
        <f t="shared" si="306"/>
        <v>1261.77864583333</v>
      </c>
      <c r="BM116" s="269">
        <f t="shared" si="306"/>
        <v>1261.77864583333</v>
      </c>
      <c r="BN116" s="269">
        <f t="shared" si="306"/>
        <v>1261.77864583333</v>
      </c>
      <c r="BO116" s="269">
        <f t="shared" si="306"/>
        <v>1261.77864583333</v>
      </c>
      <c r="BP116" s="269">
        <f t="shared" si="306"/>
        <v>1261.77864583333</v>
      </c>
      <c r="BQ116" s="269">
        <f t="shared" si="306"/>
        <v>1261.77864583333</v>
      </c>
      <c r="BR116" s="269">
        <f t="shared" si="306"/>
        <v>214.770833333333</v>
      </c>
      <c r="BT116" s="60">
        <f t="shared" ref="BT116:CB116" si="307">BT115-BJ116</f>
        <v>77035.2578125</v>
      </c>
      <c r="BU116" s="60">
        <f t="shared" si="307"/>
        <v>77035.2578125</v>
      </c>
      <c r="BV116" s="60">
        <f t="shared" si="307"/>
        <v>77035.2578125</v>
      </c>
      <c r="BW116" s="60">
        <f t="shared" si="307"/>
        <v>77035.2578125</v>
      </c>
      <c r="BX116" s="60">
        <f t="shared" si="307"/>
        <v>77035.2578125</v>
      </c>
      <c r="BY116" s="60">
        <f t="shared" si="307"/>
        <v>77035.2578125</v>
      </c>
      <c r="BZ116" s="60">
        <f t="shared" si="307"/>
        <v>77035.2578125</v>
      </c>
      <c r="CA116" s="60">
        <f t="shared" si="307"/>
        <v>77035.2578125</v>
      </c>
      <c r="CB116" s="60">
        <f t="shared" si="307"/>
        <v>13063.9375</v>
      </c>
    </row>
    <row r="117" s="234" customFormat="1" ht="27" hidden="1" customHeight="1" spans="1:80">
      <c r="A117" s="236">
        <v>45777</v>
      </c>
      <c r="B117" s="237" t="s">
        <v>737</v>
      </c>
      <c r="C117" s="238" t="s">
        <v>738</v>
      </c>
      <c r="D117" s="239">
        <v>4500165516</v>
      </c>
      <c r="E117" s="304" t="s">
        <v>739</v>
      </c>
      <c r="F117" s="237" t="s">
        <v>740</v>
      </c>
      <c r="G117" s="240" t="s">
        <v>78</v>
      </c>
      <c r="H117" s="237" t="s">
        <v>79</v>
      </c>
      <c r="I117" s="247">
        <v>6642</v>
      </c>
      <c r="J117" s="247">
        <v>0</v>
      </c>
      <c r="K117" s="247">
        <v>54</v>
      </c>
      <c r="L117" s="247">
        <f t="shared" si="202"/>
        <v>123</v>
      </c>
      <c r="M117" s="248">
        <v>45833</v>
      </c>
      <c r="N117" s="248">
        <v>45829</v>
      </c>
      <c r="O117" s="273" t="s">
        <v>741</v>
      </c>
      <c r="P117" s="273" t="s">
        <v>107</v>
      </c>
      <c r="Q117" s="273" t="s">
        <v>742</v>
      </c>
      <c r="R117" s="273">
        <v>45803</v>
      </c>
      <c r="S117" s="275" t="s">
        <v>80</v>
      </c>
      <c r="T117" s="276" t="s">
        <v>743</v>
      </c>
      <c r="U117" s="273" t="s">
        <v>156</v>
      </c>
      <c r="V117" s="259" t="s">
        <v>744</v>
      </c>
      <c r="W117" s="248" t="s">
        <v>745</v>
      </c>
      <c r="X117" s="260">
        <v>0.7859</v>
      </c>
      <c r="Y117" s="247">
        <f t="shared" si="292"/>
        <v>5219.9478</v>
      </c>
      <c r="Z117" s="248" t="s">
        <v>746</v>
      </c>
      <c r="AA117" s="259">
        <v>6642</v>
      </c>
      <c r="AB117" s="259">
        <f t="shared" si="275"/>
        <v>0</v>
      </c>
      <c r="AC117" s="212" t="s">
        <v>113</v>
      </c>
      <c r="AD117" s="212" t="s">
        <v>114</v>
      </c>
      <c r="AE117" s="248" t="s">
        <v>78</v>
      </c>
      <c r="AF117" s="248" t="s">
        <v>115</v>
      </c>
      <c r="AG117" s="267">
        <f t="shared" si="301"/>
        <v>6642</v>
      </c>
      <c r="AH117" s="267">
        <f t="shared" si="302"/>
        <v>6642</v>
      </c>
      <c r="AI117" s="267"/>
      <c r="AJ117" s="267"/>
      <c r="AK117" s="267">
        <f t="shared" si="303"/>
        <v>6642</v>
      </c>
      <c r="AL117" s="267"/>
      <c r="AM117" s="267"/>
      <c r="AO117" s="267">
        <f t="shared" si="304"/>
        <v>6642</v>
      </c>
      <c r="AP117" s="267"/>
      <c r="AQ117" s="267">
        <f>I117/27</f>
        <v>246</v>
      </c>
      <c r="AR117" s="267"/>
      <c r="AS117" s="267"/>
      <c r="AT117" s="267"/>
      <c r="AU117" s="267"/>
      <c r="AV117" s="267"/>
      <c r="AW117" s="267"/>
      <c r="AX117" s="267"/>
      <c r="AY117" s="267"/>
      <c r="AZ117" s="267"/>
      <c r="BA117" s="267"/>
      <c r="BB117" s="267"/>
      <c r="BC117" s="267"/>
      <c r="BD117" s="267"/>
      <c r="BE117" s="267"/>
      <c r="BF117" s="267"/>
      <c r="BG117" s="267"/>
      <c r="BH117" s="267"/>
      <c r="BI117" s="267"/>
      <c r="BJ117" s="269">
        <f t="shared" ref="BJ117:BR117" si="308">$I117*BJ$2</f>
        <v>812.953124999998</v>
      </c>
      <c r="BK117" s="269">
        <f t="shared" si="308"/>
        <v>812.953124999998</v>
      </c>
      <c r="BL117" s="269">
        <f t="shared" si="308"/>
        <v>812.953124999998</v>
      </c>
      <c r="BM117" s="269">
        <f t="shared" si="308"/>
        <v>812.953124999998</v>
      </c>
      <c r="BN117" s="269">
        <f t="shared" si="308"/>
        <v>812.953124999998</v>
      </c>
      <c r="BO117" s="269">
        <f t="shared" si="308"/>
        <v>812.953124999998</v>
      </c>
      <c r="BP117" s="269">
        <f t="shared" si="308"/>
        <v>812.953124999998</v>
      </c>
      <c r="BQ117" s="269">
        <f t="shared" si="308"/>
        <v>812.953124999998</v>
      </c>
      <c r="BR117" s="269">
        <f t="shared" si="308"/>
        <v>138.375</v>
      </c>
      <c r="BT117" s="60">
        <f t="shared" ref="BT117:CB117" si="309">BT116-BJ117</f>
        <v>76222.3046875</v>
      </c>
      <c r="BU117" s="60">
        <f t="shared" si="309"/>
        <v>76222.3046875</v>
      </c>
      <c r="BV117" s="60">
        <f t="shared" si="309"/>
        <v>76222.3046875</v>
      </c>
      <c r="BW117" s="60">
        <f t="shared" si="309"/>
        <v>76222.3046875</v>
      </c>
      <c r="BX117" s="60">
        <f t="shared" si="309"/>
        <v>76222.3046875</v>
      </c>
      <c r="BY117" s="60">
        <f t="shared" si="309"/>
        <v>76222.3046875</v>
      </c>
      <c r="BZ117" s="60">
        <f t="shared" si="309"/>
        <v>76222.3046875</v>
      </c>
      <c r="CA117" s="60">
        <f t="shared" si="309"/>
        <v>76222.3046875</v>
      </c>
      <c r="CB117" s="60">
        <f t="shared" si="309"/>
        <v>12925.5625</v>
      </c>
    </row>
    <row r="118" s="234" customFormat="1" ht="27" hidden="1" customHeight="1" spans="1:80">
      <c r="A118" s="236">
        <v>45747</v>
      </c>
      <c r="B118" s="237" t="s">
        <v>747</v>
      </c>
      <c r="C118" s="238" t="s">
        <v>117</v>
      </c>
      <c r="D118" s="239">
        <v>4500161570</v>
      </c>
      <c r="E118" s="238" t="s">
        <v>748</v>
      </c>
      <c r="F118" s="237" t="s">
        <v>749</v>
      </c>
      <c r="G118" s="240" t="s">
        <v>152</v>
      </c>
      <c r="H118" s="237" t="s">
        <v>153</v>
      </c>
      <c r="I118" s="247">
        <v>52</v>
      </c>
      <c r="J118" s="247">
        <v>0</v>
      </c>
      <c r="K118" s="247">
        <v>13</v>
      </c>
      <c r="L118" s="247">
        <f t="shared" si="202"/>
        <v>4</v>
      </c>
      <c r="M118" s="248">
        <v>45833</v>
      </c>
      <c r="N118" s="248">
        <v>45831</v>
      </c>
      <c r="O118" s="212"/>
      <c r="P118" s="212" t="s">
        <v>224</v>
      </c>
      <c r="Q118" s="212" t="s">
        <v>750</v>
      </c>
      <c r="R118" s="212">
        <v>45800</v>
      </c>
      <c r="S118" s="212" t="s">
        <v>80</v>
      </c>
      <c r="T118" s="212" t="s">
        <v>80</v>
      </c>
      <c r="U118" s="212"/>
      <c r="V118" s="259" t="s">
        <v>751</v>
      </c>
      <c r="W118" s="248" t="s">
        <v>752</v>
      </c>
      <c r="X118" s="46">
        <v>0.8354</v>
      </c>
      <c r="Y118" s="247">
        <f t="shared" si="292"/>
        <v>43.4408</v>
      </c>
      <c r="Z118" s="248" t="s">
        <v>753</v>
      </c>
      <c r="AA118" s="259">
        <v>52</v>
      </c>
      <c r="AB118" s="259">
        <f t="shared" si="275"/>
        <v>0</v>
      </c>
      <c r="AC118" s="212" t="s">
        <v>80</v>
      </c>
      <c r="AD118" s="212" t="s">
        <v>114</v>
      </c>
      <c r="AE118" s="248" t="s">
        <v>152</v>
      </c>
      <c r="AF118" s="248" t="s">
        <v>115</v>
      </c>
      <c r="AG118" s="267">
        <f t="shared" si="301"/>
        <v>52</v>
      </c>
      <c r="AH118" s="267">
        <f t="shared" si="302"/>
        <v>52</v>
      </c>
      <c r="AI118" s="267"/>
      <c r="AJ118" s="267"/>
      <c r="AK118" s="267">
        <f t="shared" si="303"/>
        <v>52</v>
      </c>
      <c r="AL118" s="267"/>
      <c r="AM118" s="267"/>
      <c r="AN118" s="267"/>
      <c r="AO118" s="267">
        <f t="shared" si="304"/>
        <v>52</v>
      </c>
      <c r="AP118" s="267"/>
      <c r="AQ118" s="267"/>
      <c r="AR118" s="267"/>
      <c r="AS118" s="267"/>
      <c r="AT118" s="267">
        <f t="shared" si="305"/>
        <v>4</v>
      </c>
      <c r="AU118" s="267"/>
      <c r="AV118" s="267"/>
      <c r="AW118" s="267"/>
      <c r="AX118" s="267"/>
      <c r="AY118" s="267"/>
      <c r="AZ118" s="267"/>
      <c r="BA118" s="267"/>
      <c r="BB118" s="267"/>
      <c r="BC118" s="267"/>
      <c r="BD118" s="267"/>
      <c r="BE118" s="267"/>
      <c r="BF118" s="267"/>
      <c r="BG118" s="267"/>
      <c r="BH118" s="267"/>
      <c r="BI118" s="267"/>
      <c r="BJ118" s="269">
        <f t="shared" ref="BJ118:BR118" si="310">$I118*BJ$2</f>
        <v>6.36458333333332</v>
      </c>
      <c r="BK118" s="269">
        <f t="shared" si="310"/>
        <v>6.36458333333332</v>
      </c>
      <c r="BL118" s="269">
        <f t="shared" si="310"/>
        <v>6.36458333333332</v>
      </c>
      <c r="BM118" s="269">
        <f t="shared" si="310"/>
        <v>6.36458333333332</v>
      </c>
      <c r="BN118" s="269">
        <f t="shared" si="310"/>
        <v>6.36458333333332</v>
      </c>
      <c r="BO118" s="269">
        <f t="shared" si="310"/>
        <v>6.36458333333332</v>
      </c>
      <c r="BP118" s="269">
        <f t="shared" si="310"/>
        <v>6.36458333333332</v>
      </c>
      <c r="BQ118" s="269">
        <f t="shared" si="310"/>
        <v>6.36458333333332</v>
      </c>
      <c r="BR118" s="269">
        <f t="shared" si="310"/>
        <v>1.08333333333333</v>
      </c>
      <c r="BT118" s="60">
        <f t="shared" ref="BT118:CB118" si="311">BT117-BJ118</f>
        <v>76215.9401041667</v>
      </c>
      <c r="BU118" s="60">
        <f t="shared" si="311"/>
        <v>76215.9401041667</v>
      </c>
      <c r="BV118" s="60">
        <f t="shared" si="311"/>
        <v>76215.9401041667</v>
      </c>
      <c r="BW118" s="60">
        <f t="shared" si="311"/>
        <v>76215.9401041667</v>
      </c>
      <c r="BX118" s="60">
        <f t="shared" si="311"/>
        <v>76215.9401041667</v>
      </c>
      <c r="BY118" s="60">
        <f t="shared" si="311"/>
        <v>76215.9401041667</v>
      </c>
      <c r="BZ118" s="60">
        <f t="shared" si="311"/>
        <v>76215.9401041667</v>
      </c>
      <c r="CA118" s="60">
        <f t="shared" si="311"/>
        <v>76215.9401041667</v>
      </c>
      <c r="CB118" s="60">
        <f t="shared" si="311"/>
        <v>12924.4791666667</v>
      </c>
    </row>
    <row r="119" s="234" customFormat="1" ht="27" hidden="1" customHeight="1" spans="1:80">
      <c r="A119" s="236">
        <v>45747</v>
      </c>
      <c r="B119" s="237" t="s">
        <v>747</v>
      </c>
      <c r="C119" s="238" t="s">
        <v>117</v>
      </c>
      <c r="D119" s="239">
        <v>4500161570</v>
      </c>
      <c r="E119" s="238" t="s">
        <v>754</v>
      </c>
      <c r="F119" s="237" t="s">
        <v>755</v>
      </c>
      <c r="G119" s="240" t="s">
        <v>152</v>
      </c>
      <c r="H119" s="237" t="s">
        <v>153</v>
      </c>
      <c r="I119" s="247">
        <v>325</v>
      </c>
      <c r="J119" s="247">
        <v>0</v>
      </c>
      <c r="K119" s="247">
        <v>13</v>
      </c>
      <c r="L119" s="247">
        <f t="shared" si="202"/>
        <v>25</v>
      </c>
      <c r="M119" s="248">
        <v>45833</v>
      </c>
      <c r="N119" s="248">
        <v>45831</v>
      </c>
      <c r="O119" s="212"/>
      <c r="P119" s="212" t="s">
        <v>224</v>
      </c>
      <c r="Q119" s="212" t="s">
        <v>750</v>
      </c>
      <c r="R119" s="212">
        <v>45800</v>
      </c>
      <c r="S119" s="212" t="s">
        <v>80</v>
      </c>
      <c r="T119" s="212" t="s">
        <v>80</v>
      </c>
      <c r="U119" s="212"/>
      <c r="V119" s="259" t="s">
        <v>751</v>
      </c>
      <c r="W119" s="248" t="s">
        <v>752</v>
      </c>
      <c r="X119" s="46">
        <v>0.8354</v>
      </c>
      <c r="Y119" s="247">
        <f t="shared" si="292"/>
        <v>271.505</v>
      </c>
      <c r="Z119" s="248" t="s">
        <v>756</v>
      </c>
      <c r="AA119" s="259">
        <v>325</v>
      </c>
      <c r="AB119" s="259">
        <f t="shared" si="275"/>
        <v>0</v>
      </c>
      <c r="AC119" s="212" t="s">
        <v>80</v>
      </c>
      <c r="AD119" s="212" t="s">
        <v>114</v>
      </c>
      <c r="AE119" s="248" t="s">
        <v>152</v>
      </c>
      <c r="AF119" s="248" t="s">
        <v>115</v>
      </c>
      <c r="AG119" s="267">
        <f t="shared" si="301"/>
        <v>325</v>
      </c>
      <c r="AH119" s="267">
        <f t="shared" si="302"/>
        <v>325</v>
      </c>
      <c r="AI119" s="267"/>
      <c r="AJ119" s="267"/>
      <c r="AK119" s="267">
        <f t="shared" si="303"/>
        <v>325</v>
      </c>
      <c r="AL119" s="267"/>
      <c r="AM119" s="267"/>
      <c r="AN119" s="267"/>
      <c r="AO119" s="267">
        <f t="shared" si="304"/>
        <v>325</v>
      </c>
      <c r="AP119" s="267"/>
      <c r="AQ119" s="267"/>
      <c r="AR119" s="267"/>
      <c r="AS119" s="267"/>
      <c r="AT119" s="267">
        <f t="shared" si="305"/>
        <v>25</v>
      </c>
      <c r="AU119" s="267"/>
      <c r="AV119" s="267"/>
      <c r="AW119" s="267"/>
      <c r="AX119" s="267"/>
      <c r="AY119" s="267"/>
      <c r="AZ119" s="267"/>
      <c r="BA119" s="267"/>
      <c r="BB119" s="267"/>
      <c r="BC119" s="267"/>
      <c r="BD119" s="267"/>
      <c r="BE119" s="267"/>
      <c r="BF119" s="267"/>
      <c r="BG119" s="267"/>
      <c r="BH119" s="267"/>
      <c r="BI119" s="267"/>
      <c r="BJ119" s="269">
        <f t="shared" ref="BJ119:BR119" si="312">$I119*BJ$2</f>
        <v>39.7786458333332</v>
      </c>
      <c r="BK119" s="269">
        <f t="shared" si="312"/>
        <v>39.7786458333332</v>
      </c>
      <c r="BL119" s="269">
        <f t="shared" si="312"/>
        <v>39.7786458333332</v>
      </c>
      <c r="BM119" s="269">
        <f t="shared" si="312"/>
        <v>39.7786458333332</v>
      </c>
      <c r="BN119" s="269">
        <f t="shared" si="312"/>
        <v>39.7786458333332</v>
      </c>
      <c r="BO119" s="269">
        <f t="shared" si="312"/>
        <v>39.7786458333332</v>
      </c>
      <c r="BP119" s="269">
        <f t="shared" si="312"/>
        <v>39.7786458333332</v>
      </c>
      <c r="BQ119" s="269">
        <f t="shared" si="312"/>
        <v>39.7786458333332</v>
      </c>
      <c r="BR119" s="269">
        <f t="shared" si="312"/>
        <v>6.77083333333332</v>
      </c>
      <c r="BT119" s="60">
        <f t="shared" ref="BT119:CB119" si="313">BT118-BJ119</f>
        <v>76176.1614583334</v>
      </c>
      <c r="BU119" s="60">
        <f t="shared" si="313"/>
        <v>76176.1614583334</v>
      </c>
      <c r="BV119" s="60">
        <f t="shared" si="313"/>
        <v>76176.1614583334</v>
      </c>
      <c r="BW119" s="60">
        <f t="shared" si="313"/>
        <v>76176.1614583334</v>
      </c>
      <c r="BX119" s="60">
        <f t="shared" si="313"/>
        <v>76176.1614583334</v>
      </c>
      <c r="BY119" s="60">
        <f t="shared" si="313"/>
        <v>76176.1614583334</v>
      </c>
      <c r="BZ119" s="60">
        <f t="shared" si="313"/>
        <v>76176.1614583334</v>
      </c>
      <c r="CA119" s="60">
        <f t="shared" si="313"/>
        <v>76176.1614583334</v>
      </c>
      <c r="CB119" s="60">
        <f t="shared" si="313"/>
        <v>12917.7083333333</v>
      </c>
    </row>
    <row r="120" s="234" customFormat="1" ht="27" hidden="1" customHeight="1" spans="1:80">
      <c r="A120" s="236">
        <v>45747</v>
      </c>
      <c r="B120" s="237" t="s">
        <v>747</v>
      </c>
      <c r="C120" s="238" t="s">
        <v>117</v>
      </c>
      <c r="D120" s="239">
        <v>4500161570</v>
      </c>
      <c r="E120" s="238" t="s">
        <v>757</v>
      </c>
      <c r="F120" s="237" t="s">
        <v>758</v>
      </c>
      <c r="G120" s="240" t="s">
        <v>152</v>
      </c>
      <c r="H120" s="237" t="s">
        <v>153</v>
      </c>
      <c r="I120" s="247">
        <v>273</v>
      </c>
      <c r="J120" s="247">
        <v>0</v>
      </c>
      <c r="K120" s="247">
        <v>13</v>
      </c>
      <c r="L120" s="247">
        <f t="shared" si="202"/>
        <v>21</v>
      </c>
      <c r="M120" s="248">
        <v>45833</v>
      </c>
      <c r="N120" s="248">
        <v>45831</v>
      </c>
      <c r="O120" s="212"/>
      <c r="P120" s="212" t="s">
        <v>224</v>
      </c>
      <c r="Q120" s="212" t="s">
        <v>750</v>
      </c>
      <c r="R120" s="212">
        <v>45800</v>
      </c>
      <c r="S120" s="212" t="s">
        <v>80</v>
      </c>
      <c r="T120" s="212" t="s">
        <v>80</v>
      </c>
      <c r="U120" s="212"/>
      <c r="V120" s="259" t="s">
        <v>751</v>
      </c>
      <c r="W120" s="248" t="s">
        <v>752</v>
      </c>
      <c r="X120" s="46">
        <v>0.8354</v>
      </c>
      <c r="Y120" s="247">
        <f t="shared" si="292"/>
        <v>228.0642</v>
      </c>
      <c r="Z120" s="248" t="s">
        <v>753</v>
      </c>
      <c r="AA120" s="259">
        <v>273</v>
      </c>
      <c r="AB120" s="259">
        <f t="shared" si="275"/>
        <v>0</v>
      </c>
      <c r="AC120" s="212" t="s">
        <v>80</v>
      </c>
      <c r="AD120" s="212" t="s">
        <v>114</v>
      </c>
      <c r="AE120" s="248" t="s">
        <v>152</v>
      </c>
      <c r="AF120" s="248" t="s">
        <v>115</v>
      </c>
      <c r="AG120" s="267">
        <f t="shared" si="301"/>
        <v>273</v>
      </c>
      <c r="AH120" s="267">
        <f t="shared" si="302"/>
        <v>273</v>
      </c>
      <c r="AI120" s="267"/>
      <c r="AJ120" s="267"/>
      <c r="AK120" s="267">
        <f t="shared" si="303"/>
        <v>273</v>
      </c>
      <c r="AL120" s="267"/>
      <c r="AM120" s="267"/>
      <c r="AN120" s="267"/>
      <c r="AO120" s="267">
        <f t="shared" si="304"/>
        <v>273</v>
      </c>
      <c r="AP120" s="267"/>
      <c r="AQ120" s="267"/>
      <c r="AR120" s="267"/>
      <c r="AS120" s="267"/>
      <c r="AT120" s="267">
        <f t="shared" si="305"/>
        <v>21</v>
      </c>
      <c r="AU120" s="267"/>
      <c r="AV120" s="267"/>
      <c r="AW120" s="267"/>
      <c r="AX120" s="267"/>
      <c r="AY120" s="267"/>
      <c r="AZ120" s="267"/>
      <c r="BA120" s="267"/>
      <c r="BB120" s="267"/>
      <c r="BC120" s="267"/>
      <c r="BD120" s="267"/>
      <c r="BE120" s="267"/>
      <c r="BF120" s="267"/>
      <c r="BG120" s="267"/>
      <c r="BH120" s="267"/>
      <c r="BI120" s="267"/>
      <c r="BJ120" s="269">
        <f t="shared" ref="BJ120:BR120" si="314">$I120*BJ$2</f>
        <v>33.4140624999999</v>
      </c>
      <c r="BK120" s="269">
        <f t="shared" si="314"/>
        <v>33.4140624999999</v>
      </c>
      <c r="BL120" s="269">
        <f t="shared" si="314"/>
        <v>33.4140624999999</v>
      </c>
      <c r="BM120" s="269">
        <f t="shared" si="314"/>
        <v>33.4140624999999</v>
      </c>
      <c r="BN120" s="269">
        <f t="shared" si="314"/>
        <v>33.4140624999999</v>
      </c>
      <c r="BO120" s="269">
        <f t="shared" si="314"/>
        <v>33.4140624999999</v>
      </c>
      <c r="BP120" s="269">
        <f t="shared" si="314"/>
        <v>33.4140624999999</v>
      </c>
      <c r="BQ120" s="269">
        <f t="shared" si="314"/>
        <v>33.4140624999999</v>
      </c>
      <c r="BR120" s="269">
        <f t="shared" si="314"/>
        <v>5.68749999999999</v>
      </c>
      <c r="BT120" s="60">
        <f t="shared" ref="BT120:CB120" si="315">BT119-BJ120</f>
        <v>76142.7473958334</v>
      </c>
      <c r="BU120" s="60">
        <f t="shared" si="315"/>
        <v>76142.7473958334</v>
      </c>
      <c r="BV120" s="60">
        <f t="shared" si="315"/>
        <v>76142.7473958334</v>
      </c>
      <c r="BW120" s="60">
        <f t="shared" si="315"/>
        <v>76142.7473958334</v>
      </c>
      <c r="BX120" s="60">
        <f t="shared" si="315"/>
        <v>76142.7473958334</v>
      </c>
      <c r="BY120" s="60">
        <f t="shared" si="315"/>
        <v>76142.7473958334</v>
      </c>
      <c r="BZ120" s="60">
        <f t="shared" si="315"/>
        <v>76142.7473958334</v>
      </c>
      <c r="CA120" s="60">
        <f t="shared" si="315"/>
        <v>76142.7473958334</v>
      </c>
      <c r="CB120" s="60">
        <f t="shared" si="315"/>
        <v>12912.0208333333</v>
      </c>
    </row>
    <row r="121" s="234" customFormat="1" ht="27" hidden="1" customHeight="1" spans="1:80">
      <c r="A121" s="236">
        <v>45747</v>
      </c>
      <c r="B121" s="237" t="s">
        <v>747</v>
      </c>
      <c r="C121" s="238" t="s">
        <v>117</v>
      </c>
      <c r="D121" s="239">
        <v>4500161570</v>
      </c>
      <c r="E121" s="238" t="s">
        <v>759</v>
      </c>
      <c r="F121" s="237" t="s">
        <v>760</v>
      </c>
      <c r="G121" s="240" t="s">
        <v>152</v>
      </c>
      <c r="H121" s="237" t="s">
        <v>153</v>
      </c>
      <c r="I121" s="247">
        <v>182</v>
      </c>
      <c r="J121" s="247">
        <v>0</v>
      </c>
      <c r="K121" s="247">
        <v>13</v>
      </c>
      <c r="L121" s="247">
        <f t="shared" si="202"/>
        <v>14</v>
      </c>
      <c r="M121" s="248">
        <v>45833</v>
      </c>
      <c r="N121" s="248">
        <v>45831</v>
      </c>
      <c r="O121" s="212"/>
      <c r="P121" s="212" t="s">
        <v>224</v>
      </c>
      <c r="Q121" s="212" t="s">
        <v>750</v>
      </c>
      <c r="R121" s="212">
        <v>45800</v>
      </c>
      <c r="S121" s="212" t="s">
        <v>80</v>
      </c>
      <c r="T121" s="212" t="s">
        <v>80</v>
      </c>
      <c r="U121" s="212"/>
      <c r="V121" s="259" t="s">
        <v>751</v>
      </c>
      <c r="W121" s="248" t="s">
        <v>752</v>
      </c>
      <c r="X121" s="46">
        <v>0.8354</v>
      </c>
      <c r="Y121" s="247">
        <f t="shared" si="292"/>
        <v>152.0428</v>
      </c>
      <c r="Z121" s="248" t="s">
        <v>753</v>
      </c>
      <c r="AA121" s="259">
        <v>182</v>
      </c>
      <c r="AB121" s="259">
        <f t="shared" si="275"/>
        <v>0</v>
      </c>
      <c r="AC121" s="212" t="s">
        <v>80</v>
      </c>
      <c r="AD121" s="212" t="s">
        <v>114</v>
      </c>
      <c r="AE121" s="248" t="s">
        <v>152</v>
      </c>
      <c r="AF121" s="248" t="s">
        <v>115</v>
      </c>
      <c r="AG121" s="267">
        <f t="shared" si="301"/>
        <v>182</v>
      </c>
      <c r="AH121" s="267">
        <f t="shared" si="302"/>
        <v>182</v>
      </c>
      <c r="AI121" s="267"/>
      <c r="AJ121" s="267"/>
      <c r="AK121" s="267">
        <f t="shared" si="303"/>
        <v>182</v>
      </c>
      <c r="AL121" s="267"/>
      <c r="AM121" s="267"/>
      <c r="AN121" s="267"/>
      <c r="AO121" s="267">
        <f t="shared" si="304"/>
        <v>182</v>
      </c>
      <c r="AP121" s="267"/>
      <c r="AQ121" s="267"/>
      <c r="AR121" s="267"/>
      <c r="AS121" s="267"/>
      <c r="AT121" s="267">
        <f t="shared" si="305"/>
        <v>14</v>
      </c>
      <c r="AU121" s="267"/>
      <c r="AV121" s="267"/>
      <c r="AW121" s="267"/>
      <c r="AX121" s="267"/>
      <c r="AY121" s="267"/>
      <c r="AZ121" s="267"/>
      <c r="BA121" s="267"/>
      <c r="BB121" s="267"/>
      <c r="BC121" s="267"/>
      <c r="BD121" s="267"/>
      <c r="BE121" s="267"/>
      <c r="BF121" s="267"/>
      <c r="BG121" s="267"/>
      <c r="BH121" s="267"/>
      <c r="BI121" s="267"/>
      <c r="BJ121" s="269">
        <f t="shared" ref="BJ121:BR121" si="316">$I121*BJ$2</f>
        <v>22.2760416666666</v>
      </c>
      <c r="BK121" s="269">
        <f t="shared" si="316"/>
        <v>22.2760416666666</v>
      </c>
      <c r="BL121" s="269">
        <f t="shared" si="316"/>
        <v>22.2760416666666</v>
      </c>
      <c r="BM121" s="269">
        <f t="shared" si="316"/>
        <v>22.2760416666666</v>
      </c>
      <c r="BN121" s="269">
        <f t="shared" si="316"/>
        <v>22.2760416666666</v>
      </c>
      <c r="BO121" s="269">
        <f t="shared" si="316"/>
        <v>22.2760416666666</v>
      </c>
      <c r="BP121" s="269">
        <f t="shared" si="316"/>
        <v>22.2760416666666</v>
      </c>
      <c r="BQ121" s="269">
        <f t="shared" si="316"/>
        <v>22.2760416666666</v>
      </c>
      <c r="BR121" s="269">
        <f t="shared" si="316"/>
        <v>3.79166666666666</v>
      </c>
      <c r="BT121" s="60">
        <f t="shared" ref="BT121:CB121" si="317">BT120-BJ121</f>
        <v>76120.4713541667</v>
      </c>
      <c r="BU121" s="60">
        <f t="shared" si="317"/>
        <v>76120.4713541667</v>
      </c>
      <c r="BV121" s="60">
        <f t="shared" si="317"/>
        <v>76120.4713541667</v>
      </c>
      <c r="BW121" s="60">
        <f t="shared" si="317"/>
        <v>76120.4713541667</v>
      </c>
      <c r="BX121" s="60">
        <f t="shared" si="317"/>
        <v>76120.4713541667</v>
      </c>
      <c r="BY121" s="60">
        <f t="shared" si="317"/>
        <v>76120.4713541667</v>
      </c>
      <c r="BZ121" s="60">
        <f t="shared" si="317"/>
        <v>76120.4713541667</v>
      </c>
      <c r="CA121" s="60">
        <f t="shared" si="317"/>
        <v>76120.4713541667</v>
      </c>
      <c r="CB121" s="60">
        <f t="shared" si="317"/>
        <v>12908.2291666667</v>
      </c>
    </row>
    <row r="122" s="234" customFormat="1" ht="27" hidden="1" customHeight="1" spans="1:80">
      <c r="A122" s="236">
        <v>45792</v>
      </c>
      <c r="B122" s="237" t="s">
        <v>761</v>
      </c>
      <c r="C122" s="238" t="s">
        <v>129</v>
      </c>
      <c r="D122" s="239">
        <v>4500166480</v>
      </c>
      <c r="E122" s="238">
        <v>4400483986</v>
      </c>
      <c r="F122" s="237" t="s">
        <v>762</v>
      </c>
      <c r="G122" s="240" t="s">
        <v>131</v>
      </c>
      <c r="H122" s="237" t="s">
        <v>132</v>
      </c>
      <c r="I122" s="247">
        <v>4023</v>
      </c>
      <c r="J122" s="247">
        <v>0</v>
      </c>
      <c r="K122" s="247">
        <v>27</v>
      </c>
      <c r="L122" s="247">
        <f t="shared" si="202"/>
        <v>149</v>
      </c>
      <c r="M122" s="248">
        <v>45834</v>
      </c>
      <c r="N122" s="248">
        <v>45831</v>
      </c>
      <c r="O122" s="212"/>
      <c r="P122" s="212" t="s">
        <v>107</v>
      </c>
      <c r="Q122" s="212" t="s">
        <v>763</v>
      </c>
      <c r="R122" s="212">
        <v>45792</v>
      </c>
      <c r="S122" s="212" t="s">
        <v>80</v>
      </c>
      <c r="T122" s="212" t="s">
        <v>764</v>
      </c>
      <c r="U122" s="212"/>
      <c r="V122" s="259" t="s">
        <v>765</v>
      </c>
      <c r="W122" s="248" t="s">
        <v>766</v>
      </c>
      <c r="X122" s="260">
        <v>0.7581</v>
      </c>
      <c r="Y122" s="247">
        <f t="shared" si="292"/>
        <v>3049.8363</v>
      </c>
      <c r="Z122" s="248" t="s">
        <v>767</v>
      </c>
      <c r="AA122" s="259">
        <f>4023</f>
        <v>4023</v>
      </c>
      <c r="AB122" s="259">
        <f t="shared" si="275"/>
        <v>0</v>
      </c>
      <c r="AC122" s="212" t="s">
        <v>113</v>
      </c>
      <c r="AD122" s="212" t="s">
        <v>114</v>
      </c>
      <c r="AE122" s="248" t="s">
        <v>434</v>
      </c>
      <c r="AF122" s="248" t="s">
        <v>115</v>
      </c>
      <c r="AG122" s="267">
        <f t="shared" si="301"/>
        <v>4023</v>
      </c>
      <c r="AH122" s="267">
        <f t="shared" si="302"/>
        <v>4023</v>
      </c>
      <c r="AI122" s="267"/>
      <c r="AK122" s="267"/>
      <c r="AL122" s="267">
        <f t="shared" ref="AL122:AL124" si="318">I122</f>
        <v>4023</v>
      </c>
      <c r="AN122" s="267"/>
      <c r="AO122" s="267">
        <f t="shared" si="304"/>
        <v>4023</v>
      </c>
      <c r="AP122" s="267"/>
      <c r="AQ122" s="267"/>
      <c r="AS122" s="267">
        <f t="shared" ref="AS122:AS128" si="319">I122/27</f>
        <v>149</v>
      </c>
      <c r="AT122" s="267"/>
      <c r="AU122" s="267"/>
      <c r="AV122" s="267"/>
      <c r="AW122" s="267"/>
      <c r="AX122" s="267"/>
      <c r="AY122" s="267"/>
      <c r="AZ122" s="267"/>
      <c r="BA122" s="267"/>
      <c r="BB122" s="267"/>
      <c r="BC122" s="267"/>
      <c r="BD122" s="267"/>
      <c r="BE122" s="267"/>
      <c r="BF122" s="267"/>
      <c r="BG122" s="267"/>
      <c r="BH122" s="267"/>
      <c r="BI122" s="267"/>
      <c r="BJ122" s="269">
        <f t="shared" ref="BJ122:BR122" si="320">$I122*BJ$2</f>
        <v>492.398437499999</v>
      </c>
      <c r="BK122" s="269">
        <f t="shared" si="320"/>
        <v>492.398437499999</v>
      </c>
      <c r="BL122" s="269">
        <f t="shared" si="320"/>
        <v>492.398437499999</v>
      </c>
      <c r="BM122" s="269">
        <f t="shared" si="320"/>
        <v>492.398437499999</v>
      </c>
      <c r="BN122" s="269">
        <f t="shared" si="320"/>
        <v>492.398437499999</v>
      </c>
      <c r="BO122" s="269">
        <f t="shared" si="320"/>
        <v>492.398437499999</v>
      </c>
      <c r="BP122" s="269">
        <f t="shared" si="320"/>
        <v>492.398437499999</v>
      </c>
      <c r="BQ122" s="269">
        <f t="shared" si="320"/>
        <v>492.398437499999</v>
      </c>
      <c r="BR122" s="269">
        <f t="shared" si="320"/>
        <v>83.8124999999999</v>
      </c>
      <c r="BT122" s="60">
        <f t="shared" ref="BT122:CB122" si="321">BT121-BJ122</f>
        <v>75628.0729166667</v>
      </c>
      <c r="BU122" s="60">
        <f t="shared" si="321"/>
        <v>75628.0729166667</v>
      </c>
      <c r="BV122" s="60">
        <f t="shared" si="321"/>
        <v>75628.0729166667</v>
      </c>
      <c r="BW122" s="60">
        <f t="shared" si="321"/>
        <v>75628.0729166667</v>
      </c>
      <c r="BX122" s="60">
        <f t="shared" si="321"/>
        <v>75628.0729166667</v>
      </c>
      <c r="BY122" s="60">
        <f t="shared" si="321"/>
        <v>75628.0729166667</v>
      </c>
      <c r="BZ122" s="60">
        <f t="shared" si="321"/>
        <v>75628.0729166667</v>
      </c>
      <c r="CA122" s="60">
        <f t="shared" si="321"/>
        <v>75628.0729166667</v>
      </c>
      <c r="CB122" s="60">
        <f t="shared" si="321"/>
        <v>12824.4166666667</v>
      </c>
    </row>
    <row r="123" s="234" customFormat="1" ht="27" hidden="1" customHeight="1" spans="1:80">
      <c r="A123" s="236">
        <v>45798</v>
      </c>
      <c r="B123" s="237" t="s">
        <v>768</v>
      </c>
      <c r="C123" s="238" t="s">
        <v>769</v>
      </c>
      <c r="D123" s="239">
        <v>4500166269</v>
      </c>
      <c r="E123" s="238"/>
      <c r="F123" s="237" t="s">
        <v>770</v>
      </c>
      <c r="G123" s="240" t="s">
        <v>131</v>
      </c>
      <c r="H123" s="237" t="s">
        <v>132</v>
      </c>
      <c r="I123" s="247">
        <v>324</v>
      </c>
      <c r="J123" s="247">
        <v>0</v>
      </c>
      <c r="K123" s="247">
        <v>27</v>
      </c>
      <c r="L123" s="247">
        <f t="shared" si="202"/>
        <v>12</v>
      </c>
      <c r="M123" s="248">
        <v>45834</v>
      </c>
      <c r="N123" s="248">
        <v>45831</v>
      </c>
      <c r="O123" s="212"/>
      <c r="P123" s="212" t="s">
        <v>224</v>
      </c>
      <c r="Q123" s="277" t="s">
        <v>771</v>
      </c>
      <c r="R123" s="274">
        <v>45798</v>
      </c>
      <c r="S123" s="273" t="s">
        <v>80</v>
      </c>
      <c r="T123" s="278" t="s">
        <v>80</v>
      </c>
      <c r="U123" s="278"/>
      <c r="V123" s="259" t="s">
        <v>772</v>
      </c>
      <c r="W123" s="248" t="s">
        <v>454</v>
      </c>
      <c r="X123" s="260">
        <v>0.7792</v>
      </c>
      <c r="Y123" s="247">
        <f t="shared" si="292"/>
        <v>252.4608</v>
      </c>
      <c r="Z123" s="248" t="s">
        <v>773</v>
      </c>
      <c r="AA123" s="259">
        <v>324</v>
      </c>
      <c r="AB123" s="259">
        <f t="shared" si="275"/>
        <v>0</v>
      </c>
      <c r="AC123" s="212" t="s">
        <v>80</v>
      </c>
      <c r="AD123" s="212" t="s">
        <v>114</v>
      </c>
      <c r="AE123" s="248" t="s">
        <v>434</v>
      </c>
      <c r="AF123" s="248" t="s">
        <v>115</v>
      </c>
      <c r="AG123" s="267">
        <f t="shared" si="301"/>
        <v>324</v>
      </c>
      <c r="AH123" s="267"/>
      <c r="AI123" s="234">
        <f>I123</f>
        <v>324</v>
      </c>
      <c r="AJ123" s="267"/>
      <c r="AK123" s="267"/>
      <c r="AL123" s="267">
        <f t="shared" si="318"/>
        <v>324</v>
      </c>
      <c r="AN123" s="267"/>
      <c r="AO123" s="267">
        <f t="shared" si="304"/>
        <v>324</v>
      </c>
      <c r="AP123" s="267"/>
      <c r="AQ123" s="267"/>
      <c r="AS123" s="267">
        <f t="shared" si="319"/>
        <v>12</v>
      </c>
      <c r="AT123" s="267"/>
      <c r="AU123" s="267"/>
      <c r="AV123" s="267"/>
      <c r="AW123" s="267"/>
      <c r="AX123" s="267"/>
      <c r="AY123" s="267"/>
      <c r="AZ123" s="267"/>
      <c r="BA123" s="267"/>
      <c r="BB123" s="267"/>
      <c r="BC123" s="267"/>
      <c r="BD123" s="267"/>
      <c r="BE123" s="267"/>
      <c r="BF123" s="267"/>
      <c r="BG123" s="267"/>
      <c r="BH123" s="267"/>
      <c r="BI123" s="267"/>
      <c r="BJ123" s="269">
        <f t="shared" ref="BJ123:BR123" si="322">$I123*BJ$2</f>
        <v>39.6562499999999</v>
      </c>
      <c r="BK123" s="269">
        <f t="shared" si="322"/>
        <v>39.6562499999999</v>
      </c>
      <c r="BL123" s="269">
        <f t="shared" si="322"/>
        <v>39.6562499999999</v>
      </c>
      <c r="BM123" s="269">
        <f t="shared" si="322"/>
        <v>39.6562499999999</v>
      </c>
      <c r="BN123" s="269">
        <f t="shared" si="322"/>
        <v>39.6562499999999</v>
      </c>
      <c r="BO123" s="269">
        <f t="shared" si="322"/>
        <v>39.6562499999999</v>
      </c>
      <c r="BP123" s="269">
        <f t="shared" si="322"/>
        <v>39.6562499999999</v>
      </c>
      <c r="BQ123" s="269">
        <f t="shared" si="322"/>
        <v>39.6562499999999</v>
      </c>
      <c r="BR123" s="269">
        <f t="shared" si="322"/>
        <v>6.74999999999999</v>
      </c>
      <c r="BT123" s="60">
        <f t="shared" ref="BT123:CB123" si="323">BT122-BJ123</f>
        <v>75588.4166666667</v>
      </c>
      <c r="BU123" s="60">
        <f t="shared" si="323"/>
        <v>75588.4166666667</v>
      </c>
      <c r="BV123" s="60">
        <f t="shared" si="323"/>
        <v>75588.4166666667</v>
      </c>
      <c r="BW123" s="60">
        <f t="shared" si="323"/>
        <v>75588.4166666667</v>
      </c>
      <c r="BX123" s="60">
        <f t="shared" si="323"/>
        <v>75588.4166666667</v>
      </c>
      <c r="BY123" s="60">
        <f t="shared" si="323"/>
        <v>75588.4166666667</v>
      </c>
      <c r="BZ123" s="60">
        <f t="shared" si="323"/>
        <v>75588.4166666667</v>
      </c>
      <c r="CA123" s="60">
        <f t="shared" si="323"/>
        <v>75588.4166666667</v>
      </c>
      <c r="CB123" s="60">
        <f t="shared" si="323"/>
        <v>12817.6666666667</v>
      </c>
    </row>
    <row r="124" s="234" customFormat="1" ht="27" hidden="1" customHeight="1" spans="1:80">
      <c r="A124" s="236">
        <v>45789</v>
      </c>
      <c r="B124" s="237" t="s">
        <v>774</v>
      </c>
      <c r="C124" s="238" t="s">
        <v>389</v>
      </c>
      <c r="D124" s="239">
        <v>4500165973</v>
      </c>
      <c r="E124" s="238" t="s">
        <v>775</v>
      </c>
      <c r="F124" s="237" t="s">
        <v>776</v>
      </c>
      <c r="G124" s="240" t="s">
        <v>152</v>
      </c>
      <c r="H124" s="237" t="s">
        <v>153</v>
      </c>
      <c r="I124" s="247">
        <v>1326</v>
      </c>
      <c r="J124" s="247">
        <v>0</v>
      </c>
      <c r="K124" s="247">
        <v>13</v>
      </c>
      <c r="L124" s="247">
        <f t="shared" si="202"/>
        <v>102</v>
      </c>
      <c r="M124" s="248">
        <v>45835</v>
      </c>
      <c r="N124" s="248">
        <v>45831</v>
      </c>
      <c r="O124" s="212"/>
      <c r="P124" s="212" t="s">
        <v>224</v>
      </c>
      <c r="Q124" s="212" t="s">
        <v>719</v>
      </c>
      <c r="R124" s="212">
        <v>45796</v>
      </c>
      <c r="S124" s="212" t="s">
        <v>80</v>
      </c>
      <c r="T124" s="212" t="s">
        <v>777</v>
      </c>
      <c r="U124" s="212"/>
      <c r="V124" s="259" t="s">
        <v>778</v>
      </c>
      <c r="W124" s="248" t="s">
        <v>779</v>
      </c>
      <c r="X124" s="260">
        <v>0.7758</v>
      </c>
      <c r="Y124" s="247">
        <f t="shared" si="292"/>
        <v>1028.7108</v>
      </c>
      <c r="Z124" s="248"/>
      <c r="AA124" s="259">
        <v>1326</v>
      </c>
      <c r="AB124" s="259">
        <f t="shared" si="275"/>
        <v>0</v>
      </c>
      <c r="AC124" s="212" t="s">
        <v>113</v>
      </c>
      <c r="AD124" s="212" t="s">
        <v>114</v>
      </c>
      <c r="AE124" s="248" t="s">
        <v>319</v>
      </c>
      <c r="AF124" s="248" t="s">
        <v>115</v>
      </c>
      <c r="AG124" s="267">
        <f t="shared" si="301"/>
        <v>1326</v>
      </c>
      <c r="AH124" s="267"/>
      <c r="AI124" s="267">
        <f>I124</f>
        <v>1326</v>
      </c>
      <c r="AJ124" s="267"/>
      <c r="AK124" s="267"/>
      <c r="AL124" s="267">
        <f t="shared" si="318"/>
        <v>1326</v>
      </c>
      <c r="AM124" s="267"/>
      <c r="AN124" s="267"/>
      <c r="AO124" s="267">
        <f t="shared" si="304"/>
        <v>1326</v>
      </c>
      <c r="AP124" s="267"/>
      <c r="AQ124" s="267"/>
      <c r="AR124" s="267"/>
      <c r="AS124" s="267"/>
      <c r="AT124" s="267"/>
      <c r="AU124" s="267">
        <f>I124/13</f>
        <v>102</v>
      </c>
      <c r="AV124" s="267"/>
      <c r="AW124" s="267"/>
      <c r="AX124" s="267"/>
      <c r="AY124" s="267"/>
      <c r="AZ124" s="267"/>
      <c r="BA124" s="267"/>
      <c r="BB124" s="267"/>
      <c r="BC124" s="267"/>
      <c r="BD124" s="267"/>
      <c r="BE124" s="267"/>
      <c r="BF124" s="267"/>
      <c r="BG124" s="267"/>
      <c r="BH124" s="267"/>
      <c r="BI124" s="267"/>
      <c r="BJ124" s="269">
        <f t="shared" ref="BJ124:BR124" si="324">$I124*BJ$2</f>
        <v>162.296875</v>
      </c>
      <c r="BK124" s="269">
        <f t="shared" si="324"/>
        <v>162.296875</v>
      </c>
      <c r="BL124" s="269">
        <f t="shared" si="324"/>
        <v>162.296875</v>
      </c>
      <c r="BM124" s="269">
        <f t="shared" si="324"/>
        <v>162.296875</v>
      </c>
      <c r="BN124" s="269">
        <f t="shared" si="324"/>
        <v>162.296875</v>
      </c>
      <c r="BO124" s="269">
        <f t="shared" si="324"/>
        <v>162.296875</v>
      </c>
      <c r="BP124" s="269">
        <f t="shared" si="324"/>
        <v>162.296875</v>
      </c>
      <c r="BQ124" s="269">
        <f t="shared" si="324"/>
        <v>162.296875</v>
      </c>
      <c r="BR124" s="269">
        <f t="shared" si="324"/>
        <v>27.625</v>
      </c>
      <c r="BT124" s="60">
        <f t="shared" ref="BT124:CB124" si="325">BT123-BJ124</f>
        <v>75426.1197916667</v>
      </c>
      <c r="BU124" s="60">
        <f t="shared" si="325"/>
        <v>75426.1197916667</v>
      </c>
      <c r="BV124" s="60">
        <f t="shared" si="325"/>
        <v>75426.1197916667</v>
      </c>
      <c r="BW124" s="60">
        <f t="shared" si="325"/>
        <v>75426.1197916667</v>
      </c>
      <c r="BX124" s="60">
        <f t="shared" si="325"/>
        <v>75426.1197916667</v>
      </c>
      <c r="BY124" s="60">
        <f t="shared" si="325"/>
        <v>75426.1197916667</v>
      </c>
      <c r="BZ124" s="60">
        <f t="shared" si="325"/>
        <v>75426.1197916667</v>
      </c>
      <c r="CA124" s="60">
        <f t="shared" si="325"/>
        <v>75426.1197916667</v>
      </c>
      <c r="CB124" s="60">
        <f t="shared" si="325"/>
        <v>12790.0416666667</v>
      </c>
    </row>
    <row r="125" s="234" customFormat="1" ht="27" hidden="1" customHeight="1" spans="1:80">
      <c r="A125" s="236">
        <v>45798</v>
      </c>
      <c r="B125" s="237" t="s">
        <v>780</v>
      </c>
      <c r="C125" s="238" t="s">
        <v>781</v>
      </c>
      <c r="D125" s="239">
        <v>4500167451</v>
      </c>
      <c r="E125" s="238" t="s">
        <v>782</v>
      </c>
      <c r="F125" s="237" t="s">
        <v>783</v>
      </c>
      <c r="G125" s="240" t="s">
        <v>94</v>
      </c>
      <c r="H125" s="237" t="s">
        <v>211</v>
      </c>
      <c r="I125" s="247">
        <v>520</v>
      </c>
      <c r="J125" s="247">
        <v>0</v>
      </c>
      <c r="K125" s="247">
        <v>52</v>
      </c>
      <c r="L125" s="247">
        <f t="shared" si="202"/>
        <v>10</v>
      </c>
      <c r="M125" s="248">
        <v>45829</v>
      </c>
      <c r="N125" s="248">
        <v>45833</v>
      </c>
      <c r="O125" s="212" t="s">
        <v>784</v>
      </c>
      <c r="P125" s="212" t="s">
        <v>224</v>
      </c>
      <c r="Q125" s="212" t="s">
        <v>785</v>
      </c>
      <c r="R125" s="212">
        <v>45804</v>
      </c>
      <c r="S125" s="212" t="s">
        <v>80</v>
      </c>
      <c r="T125" s="212" t="s">
        <v>786</v>
      </c>
      <c r="U125" s="212"/>
      <c r="V125" s="259" t="s">
        <v>787</v>
      </c>
      <c r="W125" s="248" t="s">
        <v>167</v>
      </c>
      <c r="X125" s="260">
        <v>0.8094</v>
      </c>
      <c r="Y125" s="247">
        <f t="shared" si="292"/>
        <v>420.888</v>
      </c>
      <c r="Z125" s="248" t="s">
        <v>788</v>
      </c>
      <c r="AA125" s="259">
        <v>520</v>
      </c>
      <c r="AB125" s="259">
        <f t="shared" si="275"/>
        <v>0</v>
      </c>
      <c r="AC125" s="212" t="s">
        <v>113</v>
      </c>
      <c r="AD125" s="212" t="s">
        <v>114</v>
      </c>
      <c r="AE125" s="248" t="s">
        <v>94</v>
      </c>
      <c r="AF125" s="248" t="s">
        <v>115</v>
      </c>
      <c r="AG125" s="267">
        <f t="shared" si="301"/>
        <v>520</v>
      </c>
      <c r="AH125" s="267">
        <f t="shared" ref="AH125:AH136" si="326">I125</f>
        <v>520</v>
      </c>
      <c r="AI125" s="267"/>
      <c r="AJ125" s="267"/>
      <c r="AK125" s="267">
        <f t="shared" ref="AK125:AK136" si="327">I125</f>
        <v>520</v>
      </c>
      <c r="AL125" s="267"/>
      <c r="AM125" s="267"/>
      <c r="AN125" s="267"/>
      <c r="AO125" s="267">
        <f t="shared" si="304"/>
        <v>520</v>
      </c>
      <c r="AP125" s="267"/>
      <c r="AQ125" s="267"/>
      <c r="AR125" s="267"/>
      <c r="AS125" s="267"/>
      <c r="AT125" s="267">
        <f t="shared" ref="AT125:AT132" si="328">I125/13</f>
        <v>40</v>
      </c>
      <c r="AU125" s="267"/>
      <c r="AV125" s="267"/>
      <c r="AW125" s="267"/>
      <c r="AX125" s="267"/>
      <c r="AY125" s="267"/>
      <c r="AZ125" s="267"/>
      <c r="BA125" s="267"/>
      <c r="BB125" s="267"/>
      <c r="BC125" s="267"/>
      <c r="BD125" s="267"/>
      <c r="BE125" s="267"/>
      <c r="BF125" s="267"/>
      <c r="BG125" s="267"/>
      <c r="BH125" s="267"/>
      <c r="BI125" s="267"/>
      <c r="BJ125" s="269">
        <f t="shared" ref="BJ125:BR125" si="329">$I125*BJ$2</f>
        <v>63.6458333333332</v>
      </c>
      <c r="BK125" s="269">
        <f t="shared" si="329"/>
        <v>63.6458333333332</v>
      </c>
      <c r="BL125" s="269">
        <f t="shared" si="329"/>
        <v>63.6458333333332</v>
      </c>
      <c r="BM125" s="269">
        <f t="shared" si="329"/>
        <v>63.6458333333332</v>
      </c>
      <c r="BN125" s="269">
        <f t="shared" si="329"/>
        <v>63.6458333333332</v>
      </c>
      <c r="BO125" s="269">
        <f t="shared" si="329"/>
        <v>63.6458333333332</v>
      </c>
      <c r="BP125" s="269">
        <f t="shared" si="329"/>
        <v>63.6458333333332</v>
      </c>
      <c r="BQ125" s="269">
        <f t="shared" si="329"/>
        <v>63.6458333333332</v>
      </c>
      <c r="BR125" s="269">
        <f t="shared" si="329"/>
        <v>10.8333333333333</v>
      </c>
      <c r="BT125" s="60">
        <f t="shared" ref="BT125:CB125" si="330">BT124-BJ125</f>
        <v>75362.4739583334</v>
      </c>
      <c r="BU125" s="60">
        <f t="shared" si="330"/>
        <v>75362.4739583334</v>
      </c>
      <c r="BV125" s="60">
        <f t="shared" si="330"/>
        <v>75362.4739583334</v>
      </c>
      <c r="BW125" s="60">
        <f t="shared" si="330"/>
        <v>75362.4739583334</v>
      </c>
      <c r="BX125" s="60">
        <f t="shared" si="330"/>
        <v>75362.4739583334</v>
      </c>
      <c r="BY125" s="60">
        <f t="shared" si="330"/>
        <v>75362.4739583334</v>
      </c>
      <c r="BZ125" s="60">
        <f t="shared" si="330"/>
        <v>75362.4739583334</v>
      </c>
      <c r="CA125" s="60">
        <f t="shared" si="330"/>
        <v>75362.4739583334</v>
      </c>
      <c r="CB125" s="60">
        <f t="shared" si="330"/>
        <v>12779.2083333333</v>
      </c>
    </row>
    <row r="126" s="234" customFormat="1" ht="27" hidden="1" customHeight="1" spans="1:80">
      <c r="A126" s="236">
        <v>45792</v>
      </c>
      <c r="B126" s="237" t="s">
        <v>789</v>
      </c>
      <c r="C126" s="238" t="s">
        <v>421</v>
      </c>
      <c r="D126" s="239">
        <v>4500166516</v>
      </c>
      <c r="E126" s="238"/>
      <c r="F126" s="237" t="s">
        <v>790</v>
      </c>
      <c r="G126" s="240" t="s">
        <v>78</v>
      </c>
      <c r="H126" s="237" t="s">
        <v>79</v>
      </c>
      <c r="I126" s="247">
        <v>2700</v>
      </c>
      <c r="J126" s="247">
        <v>0</v>
      </c>
      <c r="K126" s="247">
        <v>54</v>
      </c>
      <c r="L126" s="247">
        <f t="shared" si="202"/>
        <v>50</v>
      </c>
      <c r="M126" s="248">
        <v>45838</v>
      </c>
      <c r="N126" s="248">
        <v>45834</v>
      </c>
      <c r="O126" s="212"/>
      <c r="P126" s="212" t="s">
        <v>224</v>
      </c>
      <c r="Q126" s="212" t="s">
        <v>791</v>
      </c>
      <c r="R126" s="212">
        <v>45796</v>
      </c>
      <c r="S126" s="212" t="s">
        <v>80</v>
      </c>
      <c r="T126" s="212" t="s">
        <v>80</v>
      </c>
      <c r="U126" s="212"/>
      <c r="V126" s="259" t="s">
        <v>792</v>
      </c>
      <c r="W126" s="248" t="s">
        <v>793</v>
      </c>
      <c r="X126" s="260">
        <v>0.7913</v>
      </c>
      <c r="Y126" s="247">
        <f t="shared" si="292"/>
        <v>2136.51</v>
      </c>
      <c r="Z126" s="248" t="s">
        <v>794</v>
      </c>
      <c r="AA126" s="259">
        <v>2700</v>
      </c>
      <c r="AB126" s="259">
        <f t="shared" si="275"/>
        <v>0</v>
      </c>
      <c r="AC126" s="212" t="s">
        <v>80</v>
      </c>
      <c r="AD126" s="212" t="s">
        <v>114</v>
      </c>
      <c r="AE126" s="248" t="s">
        <v>78</v>
      </c>
      <c r="AF126" s="248" t="s">
        <v>115</v>
      </c>
      <c r="AG126" s="267">
        <f t="shared" si="301"/>
        <v>2700</v>
      </c>
      <c r="AH126" s="267">
        <f t="shared" si="326"/>
        <v>2700</v>
      </c>
      <c r="AI126" s="267"/>
      <c r="AJ126" s="267"/>
      <c r="AK126" s="267">
        <f t="shared" si="327"/>
        <v>2700</v>
      </c>
      <c r="AL126" s="267"/>
      <c r="AM126" s="267"/>
      <c r="AN126" s="267"/>
      <c r="AO126" s="267">
        <f t="shared" si="304"/>
        <v>2700</v>
      </c>
      <c r="AP126" s="267"/>
      <c r="AQ126" s="267">
        <f>I126/27</f>
        <v>100</v>
      </c>
      <c r="AR126" s="267"/>
      <c r="AS126" s="267"/>
      <c r="AT126" s="267"/>
      <c r="AU126" s="267"/>
      <c r="AV126" s="267"/>
      <c r="AW126" s="267"/>
      <c r="AX126" s="267"/>
      <c r="AY126" s="267"/>
      <c r="AZ126" s="267"/>
      <c r="BA126" s="267"/>
      <c r="BB126" s="267"/>
      <c r="BC126" s="267"/>
      <c r="BD126" s="267"/>
      <c r="BE126" s="267"/>
      <c r="BF126" s="267"/>
      <c r="BG126" s="267"/>
      <c r="BH126" s="267"/>
      <c r="BI126" s="267"/>
      <c r="BJ126" s="269">
        <f t="shared" ref="BJ126:BR126" si="331">$I126*BJ$2</f>
        <v>330.468749999999</v>
      </c>
      <c r="BK126" s="269">
        <f t="shared" si="331"/>
        <v>330.468749999999</v>
      </c>
      <c r="BL126" s="269">
        <f t="shared" si="331"/>
        <v>330.468749999999</v>
      </c>
      <c r="BM126" s="269">
        <f t="shared" si="331"/>
        <v>330.468749999999</v>
      </c>
      <c r="BN126" s="269">
        <f t="shared" si="331"/>
        <v>330.468749999999</v>
      </c>
      <c r="BO126" s="269">
        <f t="shared" si="331"/>
        <v>330.468749999999</v>
      </c>
      <c r="BP126" s="269">
        <f t="shared" si="331"/>
        <v>330.468749999999</v>
      </c>
      <c r="BQ126" s="269">
        <f t="shared" si="331"/>
        <v>330.468749999999</v>
      </c>
      <c r="BR126" s="269">
        <f t="shared" si="331"/>
        <v>56.2499999999999</v>
      </c>
      <c r="BT126" s="60">
        <f t="shared" ref="BT126:CB126" si="332">BT125-BJ126</f>
        <v>75032.0052083334</v>
      </c>
      <c r="BU126" s="60">
        <f t="shared" si="332"/>
        <v>75032.0052083334</v>
      </c>
      <c r="BV126" s="60">
        <f t="shared" si="332"/>
        <v>75032.0052083334</v>
      </c>
      <c r="BW126" s="60">
        <f t="shared" si="332"/>
        <v>75032.0052083334</v>
      </c>
      <c r="BX126" s="60">
        <f t="shared" si="332"/>
        <v>75032.0052083334</v>
      </c>
      <c r="BY126" s="60">
        <f t="shared" si="332"/>
        <v>75032.0052083334</v>
      </c>
      <c r="BZ126" s="60">
        <f t="shared" si="332"/>
        <v>75032.0052083334</v>
      </c>
      <c r="CA126" s="60">
        <f t="shared" si="332"/>
        <v>75032.0052083334</v>
      </c>
      <c r="CB126" s="60">
        <f t="shared" si="332"/>
        <v>12722.9583333333</v>
      </c>
    </row>
    <row r="127" s="234" customFormat="1" ht="27" hidden="1" customHeight="1" spans="1:80">
      <c r="A127" s="236">
        <v>45798</v>
      </c>
      <c r="B127" s="237" t="s">
        <v>795</v>
      </c>
      <c r="C127" s="238" t="s">
        <v>574</v>
      </c>
      <c r="D127" s="239">
        <v>4500167348</v>
      </c>
      <c r="E127" s="238">
        <v>5251216905</v>
      </c>
      <c r="F127" s="237" t="s">
        <v>796</v>
      </c>
      <c r="G127" s="240" t="s">
        <v>131</v>
      </c>
      <c r="H127" s="237" t="s">
        <v>797</v>
      </c>
      <c r="I127" s="247">
        <v>21195</v>
      </c>
      <c r="J127" s="247">
        <v>0</v>
      </c>
      <c r="K127" s="247">
        <v>27</v>
      </c>
      <c r="L127" s="247">
        <f t="shared" si="202"/>
        <v>785</v>
      </c>
      <c r="M127" s="248">
        <v>45834</v>
      </c>
      <c r="N127" s="248">
        <v>45836</v>
      </c>
      <c r="O127" s="212" t="s">
        <v>798</v>
      </c>
      <c r="P127" s="212" t="s">
        <v>224</v>
      </c>
      <c r="Q127" s="212" t="s">
        <v>799</v>
      </c>
      <c r="R127" s="212">
        <v>45800</v>
      </c>
      <c r="S127" s="273" t="s">
        <v>80</v>
      </c>
      <c r="T127" s="212" t="s">
        <v>800</v>
      </c>
      <c r="U127" s="212"/>
      <c r="V127" s="259" t="s">
        <v>801</v>
      </c>
      <c r="W127" s="248" t="s">
        <v>581</v>
      </c>
      <c r="X127" s="260">
        <v>0.7576</v>
      </c>
      <c r="Y127" s="247">
        <f t="shared" si="292"/>
        <v>16057.332</v>
      </c>
      <c r="Z127" s="248"/>
      <c r="AA127" s="259">
        <f>9720+11475</f>
        <v>21195</v>
      </c>
      <c r="AB127" s="259">
        <f t="shared" si="275"/>
        <v>0</v>
      </c>
      <c r="AC127" s="280" t="s">
        <v>113</v>
      </c>
      <c r="AD127" s="212" t="s">
        <v>114</v>
      </c>
      <c r="AE127" s="248" t="s">
        <v>434</v>
      </c>
      <c r="AF127" s="248" t="s">
        <v>115</v>
      </c>
      <c r="AG127" s="267">
        <f t="shared" si="301"/>
        <v>21195</v>
      </c>
      <c r="AH127" s="267">
        <f t="shared" si="326"/>
        <v>21195</v>
      </c>
      <c r="AI127" s="267"/>
      <c r="AJ127" s="267"/>
      <c r="AK127" s="267"/>
      <c r="AL127" s="267">
        <f>I127</f>
        <v>21195</v>
      </c>
      <c r="AM127" s="267"/>
      <c r="AN127" s="267"/>
      <c r="AO127" s="267">
        <f t="shared" si="304"/>
        <v>21195</v>
      </c>
      <c r="AP127" s="267"/>
      <c r="AQ127" s="267"/>
      <c r="AR127" s="267"/>
      <c r="AS127" s="267">
        <f t="shared" si="319"/>
        <v>785</v>
      </c>
      <c r="AT127" s="267"/>
      <c r="AU127" s="267"/>
      <c r="AV127" s="267"/>
      <c r="AW127" s="267"/>
      <c r="AX127" s="267"/>
      <c r="AY127" s="267"/>
      <c r="AZ127" s="267"/>
      <c r="BA127" s="267"/>
      <c r="BB127" s="267"/>
      <c r="BC127" s="267"/>
      <c r="BD127" s="267"/>
      <c r="BE127" s="267"/>
      <c r="BF127" s="267"/>
      <c r="BG127" s="267"/>
      <c r="BH127" s="267"/>
      <c r="BI127" s="267"/>
      <c r="BJ127" s="269">
        <f t="shared" ref="BJ127:BR127" si="333">$I127*BJ$2</f>
        <v>2594.17968749999</v>
      </c>
      <c r="BK127" s="269">
        <f t="shared" si="333"/>
        <v>2594.17968749999</v>
      </c>
      <c r="BL127" s="269">
        <f t="shared" si="333"/>
        <v>2594.17968749999</v>
      </c>
      <c r="BM127" s="269">
        <f t="shared" si="333"/>
        <v>2594.17968749999</v>
      </c>
      <c r="BN127" s="269">
        <f t="shared" si="333"/>
        <v>2594.17968749999</v>
      </c>
      <c r="BO127" s="269">
        <f t="shared" si="333"/>
        <v>2594.17968749999</v>
      </c>
      <c r="BP127" s="269">
        <f t="shared" si="333"/>
        <v>2594.17968749999</v>
      </c>
      <c r="BQ127" s="269">
        <f t="shared" si="333"/>
        <v>2594.17968749999</v>
      </c>
      <c r="BR127" s="269">
        <f t="shared" si="333"/>
        <v>441.562499999999</v>
      </c>
      <c r="BT127" s="60">
        <f t="shared" ref="BT127:CB127" si="334">BT126-BJ127</f>
        <v>72437.8255208334</v>
      </c>
      <c r="BU127" s="60">
        <f t="shared" si="334"/>
        <v>72437.8255208334</v>
      </c>
      <c r="BV127" s="60">
        <f t="shared" si="334"/>
        <v>72437.8255208334</v>
      </c>
      <c r="BW127" s="60">
        <f t="shared" si="334"/>
        <v>72437.8255208334</v>
      </c>
      <c r="BX127" s="60">
        <f t="shared" si="334"/>
        <v>72437.8255208334</v>
      </c>
      <c r="BY127" s="60">
        <f t="shared" si="334"/>
        <v>72437.8255208334</v>
      </c>
      <c r="BZ127" s="60">
        <f t="shared" si="334"/>
        <v>72437.8255208334</v>
      </c>
      <c r="CA127" s="60">
        <f t="shared" si="334"/>
        <v>72437.8255208334</v>
      </c>
      <c r="CB127" s="60">
        <f t="shared" si="334"/>
        <v>12281.3958333333</v>
      </c>
    </row>
    <row r="128" s="234" customFormat="1" ht="27" hidden="1" customHeight="1" spans="1:80">
      <c r="A128" s="236">
        <v>45798</v>
      </c>
      <c r="B128" s="237" t="s">
        <v>795</v>
      </c>
      <c r="C128" s="238" t="s">
        <v>574</v>
      </c>
      <c r="D128" s="239">
        <v>4500167348</v>
      </c>
      <c r="E128" s="238">
        <v>5251216906</v>
      </c>
      <c r="F128" s="237" t="s">
        <v>802</v>
      </c>
      <c r="G128" s="240" t="s">
        <v>131</v>
      </c>
      <c r="H128" s="237" t="s">
        <v>797</v>
      </c>
      <c r="I128" s="247">
        <v>18225</v>
      </c>
      <c r="J128" s="247">
        <v>0</v>
      </c>
      <c r="K128" s="247">
        <v>27</v>
      </c>
      <c r="L128" s="247">
        <f t="shared" si="202"/>
        <v>675</v>
      </c>
      <c r="M128" s="248">
        <v>45834</v>
      </c>
      <c r="N128" s="248">
        <v>45836</v>
      </c>
      <c r="O128" s="212" t="s">
        <v>798</v>
      </c>
      <c r="P128" s="212" t="s">
        <v>224</v>
      </c>
      <c r="Q128" s="212" t="s">
        <v>799</v>
      </c>
      <c r="R128" s="212">
        <v>45800</v>
      </c>
      <c r="S128" s="273" t="s">
        <v>80</v>
      </c>
      <c r="T128" s="212" t="s">
        <v>800</v>
      </c>
      <c r="U128" s="212"/>
      <c r="V128" s="259" t="s">
        <v>801</v>
      </c>
      <c r="W128" s="248" t="s">
        <v>581</v>
      </c>
      <c r="X128" s="260">
        <v>0.7576</v>
      </c>
      <c r="Y128" s="247">
        <f t="shared" si="292"/>
        <v>13807.26</v>
      </c>
      <c r="Z128" s="248"/>
      <c r="AA128" s="259">
        <v>18225</v>
      </c>
      <c r="AB128" s="259">
        <f t="shared" si="275"/>
        <v>0</v>
      </c>
      <c r="AC128" s="254"/>
      <c r="AD128" s="212" t="s">
        <v>114</v>
      </c>
      <c r="AE128" s="248" t="s">
        <v>434</v>
      </c>
      <c r="AF128" s="248" t="s">
        <v>115</v>
      </c>
      <c r="AG128" s="267">
        <f t="shared" si="301"/>
        <v>18225</v>
      </c>
      <c r="AH128" s="267">
        <f t="shared" si="326"/>
        <v>18225</v>
      </c>
      <c r="AI128" s="267"/>
      <c r="AJ128" s="267"/>
      <c r="AK128" s="267"/>
      <c r="AL128" s="267">
        <f>I128</f>
        <v>18225</v>
      </c>
      <c r="AM128" s="267"/>
      <c r="AN128" s="267"/>
      <c r="AO128" s="267">
        <f t="shared" si="304"/>
        <v>18225</v>
      </c>
      <c r="AP128" s="267"/>
      <c r="AQ128" s="267"/>
      <c r="AR128" s="267"/>
      <c r="AS128" s="267">
        <f t="shared" si="319"/>
        <v>675</v>
      </c>
      <c r="AT128" s="267"/>
      <c r="AU128" s="267"/>
      <c r="AV128" s="267"/>
      <c r="AW128" s="267"/>
      <c r="AX128" s="267"/>
      <c r="AY128" s="267"/>
      <c r="AZ128" s="267"/>
      <c r="BA128" s="267"/>
      <c r="BB128" s="267"/>
      <c r="BC128" s="267"/>
      <c r="BD128" s="267"/>
      <c r="BE128" s="267"/>
      <c r="BF128" s="267"/>
      <c r="BG128" s="267"/>
      <c r="BH128" s="267"/>
      <c r="BI128" s="267"/>
      <c r="BJ128" s="269">
        <f t="shared" ref="BJ128:BR128" si="335">$I128*BJ$2</f>
        <v>2230.66406249999</v>
      </c>
      <c r="BK128" s="269">
        <f t="shared" si="335"/>
        <v>2230.66406249999</v>
      </c>
      <c r="BL128" s="269">
        <f t="shared" si="335"/>
        <v>2230.66406249999</v>
      </c>
      <c r="BM128" s="269">
        <f t="shared" si="335"/>
        <v>2230.66406249999</v>
      </c>
      <c r="BN128" s="269">
        <f t="shared" si="335"/>
        <v>2230.66406249999</v>
      </c>
      <c r="BO128" s="269">
        <f t="shared" si="335"/>
        <v>2230.66406249999</v>
      </c>
      <c r="BP128" s="269">
        <f t="shared" si="335"/>
        <v>2230.66406249999</v>
      </c>
      <c r="BQ128" s="269">
        <f t="shared" si="335"/>
        <v>2230.66406249999</v>
      </c>
      <c r="BR128" s="269">
        <f t="shared" si="335"/>
        <v>379.687499999999</v>
      </c>
      <c r="BT128" s="60">
        <f t="shared" ref="BT128:CB128" si="336">BT127-BJ128</f>
        <v>70207.1614583334</v>
      </c>
      <c r="BU128" s="60">
        <f t="shared" si="336"/>
        <v>70207.1614583334</v>
      </c>
      <c r="BV128" s="60">
        <f t="shared" si="336"/>
        <v>70207.1614583334</v>
      </c>
      <c r="BW128" s="60">
        <f t="shared" si="336"/>
        <v>70207.1614583334</v>
      </c>
      <c r="BX128" s="60">
        <f t="shared" si="336"/>
        <v>70207.1614583334</v>
      </c>
      <c r="BY128" s="60">
        <f t="shared" si="336"/>
        <v>70207.1614583334</v>
      </c>
      <c r="BZ128" s="60">
        <f t="shared" si="336"/>
        <v>70207.1614583334</v>
      </c>
      <c r="CA128" s="60">
        <f t="shared" si="336"/>
        <v>70207.1614583334</v>
      </c>
      <c r="CB128" s="60">
        <f t="shared" si="336"/>
        <v>11901.7083333333</v>
      </c>
    </row>
    <row r="129" s="234" customFormat="1" ht="27" hidden="1" customHeight="1" spans="1:80">
      <c r="A129" s="236">
        <v>45800</v>
      </c>
      <c r="B129" s="237" t="s">
        <v>803</v>
      </c>
      <c r="C129" s="238" t="s">
        <v>104</v>
      </c>
      <c r="D129" s="239">
        <v>4500167734</v>
      </c>
      <c r="E129" s="238" t="s">
        <v>804</v>
      </c>
      <c r="F129" s="237" t="s">
        <v>805</v>
      </c>
      <c r="G129" s="240" t="s">
        <v>94</v>
      </c>
      <c r="H129" s="237" t="s">
        <v>211</v>
      </c>
      <c r="I129" s="247">
        <v>520</v>
      </c>
      <c r="J129" s="247">
        <v>0</v>
      </c>
      <c r="K129" s="247">
        <v>52</v>
      </c>
      <c r="L129" s="247">
        <f t="shared" si="202"/>
        <v>10</v>
      </c>
      <c r="M129" s="248">
        <v>45839</v>
      </c>
      <c r="N129" s="248">
        <v>45836</v>
      </c>
      <c r="O129" s="212"/>
      <c r="P129" s="212" t="s">
        <v>224</v>
      </c>
      <c r="Q129" s="212" t="s">
        <v>806</v>
      </c>
      <c r="R129" s="212">
        <v>45800</v>
      </c>
      <c r="S129" s="212" t="s">
        <v>80</v>
      </c>
      <c r="T129" s="212" t="s">
        <v>807</v>
      </c>
      <c r="U129" s="212"/>
      <c r="V129" s="259" t="s">
        <v>808</v>
      </c>
      <c r="W129" s="248" t="s">
        <v>809</v>
      </c>
      <c r="X129" s="260">
        <v>0.8434</v>
      </c>
      <c r="Y129" s="247">
        <f t="shared" si="292"/>
        <v>438.568</v>
      </c>
      <c r="Z129" s="248" t="s">
        <v>810</v>
      </c>
      <c r="AA129" s="259">
        <v>520</v>
      </c>
      <c r="AB129" s="259">
        <f t="shared" si="275"/>
        <v>0</v>
      </c>
      <c r="AC129" s="280" t="s">
        <v>113</v>
      </c>
      <c r="AD129" s="212" t="s">
        <v>114</v>
      </c>
      <c r="AE129" s="248" t="s">
        <v>94</v>
      </c>
      <c r="AF129" s="248" t="s">
        <v>115</v>
      </c>
      <c r="AG129" s="267">
        <f t="shared" si="301"/>
        <v>520</v>
      </c>
      <c r="AH129" s="267">
        <f t="shared" si="326"/>
        <v>520</v>
      </c>
      <c r="AI129" s="267"/>
      <c r="AJ129" s="267"/>
      <c r="AK129" s="267">
        <f t="shared" si="327"/>
        <v>520</v>
      </c>
      <c r="AL129" s="267"/>
      <c r="AM129" s="267"/>
      <c r="AN129" s="267"/>
      <c r="AO129" s="267">
        <f t="shared" si="304"/>
        <v>520</v>
      </c>
      <c r="AP129" s="267"/>
      <c r="AQ129" s="267"/>
      <c r="AR129" s="267"/>
      <c r="AS129" s="267"/>
      <c r="AT129" s="267">
        <f t="shared" si="328"/>
        <v>40</v>
      </c>
      <c r="AU129" s="267"/>
      <c r="AV129" s="267"/>
      <c r="AW129" s="267"/>
      <c r="AX129" s="267"/>
      <c r="AY129" s="267"/>
      <c r="AZ129" s="267"/>
      <c r="BA129" s="267"/>
      <c r="BB129" s="267"/>
      <c r="BC129" s="267"/>
      <c r="BD129" s="267"/>
      <c r="BE129" s="267"/>
      <c r="BF129" s="267"/>
      <c r="BG129" s="267"/>
      <c r="BH129" s="267"/>
      <c r="BI129" s="267"/>
      <c r="BJ129" s="269">
        <f t="shared" ref="BJ129:BR129" si="337">$I129*BJ$2</f>
        <v>63.6458333333332</v>
      </c>
      <c r="BK129" s="269">
        <f t="shared" si="337"/>
        <v>63.6458333333332</v>
      </c>
      <c r="BL129" s="269">
        <f t="shared" si="337"/>
        <v>63.6458333333332</v>
      </c>
      <c r="BM129" s="269">
        <f t="shared" si="337"/>
        <v>63.6458333333332</v>
      </c>
      <c r="BN129" s="269">
        <f t="shared" si="337"/>
        <v>63.6458333333332</v>
      </c>
      <c r="BO129" s="269">
        <f t="shared" si="337"/>
        <v>63.6458333333332</v>
      </c>
      <c r="BP129" s="269">
        <f t="shared" si="337"/>
        <v>63.6458333333332</v>
      </c>
      <c r="BQ129" s="269">
        <f t="shared" si="337"/>
        <v>63.6458333333332</v>
      </c>
      <c r="BR129" s="269">
        <f t="shared" si="337"/>
        <v>10.8333333333333</v>
      </c>
      <c r="BT129" s="60">
        <f t="shared" ref="BT129:CB129" si="338">BT128-BJ129</f>
        <v>70143.515625</v>
      </c>
      <c r="BU129" s="60">
        <f t="shared" si="338"/>
        <v>70143.515625</v>
      </c>
      <c r="BV129" s="60">
        <f t="shared" si="338"/>
        <v>70143.515625</v>
      </c>
      <c r="BW129" s="60">
        <f t="shared" si="338"/>
        <v>70143.515625</v>
      </c>
      <c r="BX129" s="60">
        <f t="shared" si="338"/>
        <v>70143.515625</v>
      </c>
      <c r="BY129" s="60">
        <f t="shared" si="338"/>
        <v>70143.515625</v>
      </c>
      <c r="BZ129" s="60">
        <f t="shared" si="338"/>
        <v>70143.515625</v>
      </c>
      <c r="CA129" s="60">
        <f t="shared" si="338"/>
        <v>70143.515625</v>
      </c>
      <c r="CB129" s="60">
        <f t="shared" si="338"/>
        <v>11890.875</v>
      </c>
    </row>
    <row r="130" s="234" customFormat="1" ht="27" hidden="1" customHeight="1" spans="1:80">
      <c r="A130" s="236">
        <v>45800</v>
      </c>
      <c r="B130" s="237" t="s">
        <v>803</v>
      </c>
      <c r="C130" s="238" t="s">
        <v>104</v>
      </c>
      <c r="D130" s="239">
        <v>4500167734</v>
      </c>
      <c r="E130" s="238" t="s">
        <v>811</v>
      </c>
      <c r="F130" s="237" t="s">
        <v>812</v>
      </c>
      <c r="G130" s="240" t="s">
        <v>94</v>
      </c>
      <c r="H130" s="237" t="s">
        <v>211</v>
      </c>
      <c r="I130" s="247">
        <v>468</v>
      </c>
      <c r="J130" s="247">
        <v>0</v>
      </c>
      <c r="K130" s="247">
        <v>52</v>
      </c>
      <c r="L130" s="247">
        <f t="shared" si="202"/>
        <v>9</v>
      </c>
      <c r="M130" s="248">
        <v>45839</v>
      </c>
      <c r="N130" s="248">
        <v>45836</v>
      </c>
      <c r="O130" s="212"/>
      <c r="P130" s="212" t="s">
        <v>224</v>
      </c>
      <c r="Q130" s="212" t="s">
        <v>806</v>
      </c>
      <c r="R130" s="212">
        <v>45800</v>
      </c>
      <c r="S130" s="212" t="s">
        <v>80</v>
      </c>
      <c r="T130" s="212" t="s">
        <v>807</v>
      </c>
      <c r="U130" s="212"/>
      <c r="V130" s="259" t="s">
        <v>808</v>
      </c>
      <c r="W130" s="248" t="s">
        <v>809</v>
      </c>
      <c r="X130" s="260">
        <v>0.8434</v>
      </c>
      <c r="Y130" s="247">
        <f t="shared" si="292"/>
        <v>394.7112</v>
      </c>
      <c r="Z130" s="248" t="s">
        <v>813</v>
      </c>
      <c r="AA130" s="259">
        <v>468</v>
      </c>
      <c r="AB130" s="259">
        <f t="shared" si="275"/>
        <v>0</v>
      </c>
      <c r="AC130" s="285"/>
      <c r="AD130" s="212" t="s">
        <v>114</v>
      </c>
      <c r="AE130" s="248" t="s">
        <v>94</v>
      </c>
      <c r="AF130" s="248" t="s">
        <v>115</v>
      </c>
      <c r="AG130" s="267">
        <f t="shared" si="301"/>
        <v>468</v>
      </c>
      <c r="AH130" s="267">
        <f t="shared" si="326"/>
        <v>468</v>
      </c>
      <c r="AI130" s="267"/>
      <c r="AJ130" s="267"/>
      <c r="AK130" s="267">
        <f t="shared" si="327"/>
        <v>468</v>
      </c>
      <c r="AL130" s="267"/>
      <c r="AM130" s="267"/>
      <c r="AN130" s="267"/>
      <c r="AO130" s="267">
        <f t="shared" si="304"/>
        <v>468</v>
      </c>
      <c r="AP130" s="267"/>
      <c r="AQ130" s="267"/>
      <c r="AR130" s="267"/>
      <c r="AS130" s="267"/>
      <c r="AT130" s="267">
        <f t="shared" si="328"/>
        <v>36</v>
      </c>
      <c r="AU130" s="267"/>
      <c r="AV130" s="267"/>
      <c r="AW130" s="267"/>
      <c r="AX130" s="267"/>
      <c r="AY130" s="267"/>
      <c r="AZ130" s="267"/>
      <c r="BA130" s="267"/>
      <c r="BB130" s="267"/>
      <c r="BC130" s="267"/>
      <c r="BD130" s="267"/>
      <c r="BE130" s="267"/>
      <c r="BF130" s="267"/>
      <c r="BG130" s="267"/>
      <c r="BH130" s="267"/>
      <c r="BI130" s="267"/>
      <c r="BJ130" s="269">
        <f t="shared" ref="BJ130:BR130" si="339">$I130*BJ$2</f>
        <v>57.2812499999998</v>
      </c>
      <c r="BK130" s="269">
        <f t="shared" si="339"/>
        <v>57.2812499999998</v>
      </c>
      <c r="BL130" s="269">
        <f t="shared" si="339"/>
        <v>57.2812499999998</v>
      </c>
      <c r="BM130" s="269">
        <f t="shared" si="339"/>
        <v>57.2812499999998</v>
      </c>
      <c r="BN130" s="269">
        <f t="shared" si="339"/>
        <v>57.2812499999998</v>
      </c>
      <c r="BO130" s="269">
        <f t="shared" si="339"/>
        <v>57.2812499999998</v>
      </c>
      <c r="BP130" s="269">
        <f t="shared" si="339"/>
        <v>57.2812499999998</v>
      </c>
      <c r="BQ130" s="269">
        <f t="shared" si="339"/>
        <v>57.2812499999998</v>
      </c>
      <c r="BR130" s="269">
        <f t="shared" si="339"/>
        <v>9.74999999999998</v>
      </c>
      <c r="BT130" s="60">
        <f t="shared" ref="BT130:CB130" si="340">BT129-BJ130</f>
        <v>70086.234375</v>
      </c>
      <c r="BU130" s="60">
        <f t="shared" si="340"/>
        <v>70086.234375</v>
      </c>
      <c r="BV130" s="60">
        <f t="shared" si="340"/>
        <v>70086.234375</v>
      </c>
      <c r="BW130" s="60">
        <f t="shared" si="340"/>
        <v>70086.234375</v>
      </c>
      <c r="BX130" s="60">
        <f t="shared" si="340"/>
        <v>70086.234375</v>
      </c>
      <c r="BY130" s="60">
        <f t="shared" si="340"/>
        <v>70086.234375</v>
      </c>
      <c r="BZ130" s="60">
        <f t="shared" si="340"/>
        <v>70086.234375</v>
      </c>
      <c r="CA130" s="60">
        <f t="shared" si="340"/>
        <v>70086.234375</v>
      </c>
      <c r="CB130" s="60">
        <f t="shared" si="340"/>
        <v>11881.125</v>
      </c>
    </row>
    <row r="131" s="234" customFormat="1" ht="27" hidden="1" customHeight="1" spans="1:80">
      <c r="A131" s="236">
        <v>45800</v>
      </c>
      <c r="B131" s="237" t="s">
        <v>803</v>
      </c>
      <c r="C131" s="238" t="s">
        <v>104</v>
      </c>
      <c r="D131" s="239">
        <v>4500167734</v>
      </c>
      <c r="E131" s="238" t="s">
        <v>814</v>
      </c>
      <c r="F131" s="237" t="s">
        <v>815</v>
      </c>
      <c r="G131" s="240" t="s">
        <v>94</v>
      </c>
      <c r="H131" s="237" t="s">
        <v>211</v>
      </c>
      <c r="I131" s="247">
        <v>364</v>
      </c>
      <c r="J131" s="247">
        <v>0</v>
      </c>
      <c r="K131" s="247">
        <v>52</v>
      </c>
      <c r="L131" s="247">
        <f t="shared" si="202"/>
        <v>7</v>
      </c>
      <c r="M131" s="248">
        <v>45839</v>
      </c>
      <c r="N131" s="248">
        <v>45836</v>
      </c>
      <c r="O131" s="212"/>
      <c r="P131" s="212" t="s">
        <v>224</v>
      </c>
      <c r="Q131" s="212" t="s">
        <v>806</v>
      </c>
      <c r="R131" s="212">
        <v>45800</v>
      </c>
      <c r="S131" s="212" t="s">
        <v>80</v>
      </c>
      <c r="T131" s="212" t="s">
        <v>807</v>
      </c>
      <c r="U131" s="212"/>
      <c r="V131" s="259" t="s">
        <v>808</v>
      </c>
      <c r="W131" s="248" t="s">
        <v>809</v>
      </c>
      <c r="X131" s="260">
        <v>0.8434</v>
      </c>
      <c r="Y131" s="247">
        <f t="shared" si="292"/>
        <v>306.9976</v>
      </c>
      <c r="Z131" s="248" t="s">
        <v>816</v>
      </c>
      <c r="AA131" s="259">
        <v>364</v>
      </c>
      <c r="AB131" s="259">
        <f t="shared" si="275"/>
        <v>0</v>
      </c>
      <c r="AC131" s="285"/>
      <c r="AD131" s="212" t="s">
        <v>114</v>
      </c>
      <c r="AE131" s="248" t="s">
        <v>94</v>
      </c>
      <c r="AF131" s="248" t="s">
        <v>115</v>
      </c>
      <c r="AG131" s="267">
        <f t="shared" si="301"/>
        <v>364</v>
      </c>
      <c r="AH131" s="267">
        <f t="shared" si="326"/>
        <v>364</v>
      </c>
      <c r="AI131" s="267"/>
      <c r="AJ131" s="267"/>
      <c r="AK131" s="267">
        <f t="shared" si="327"/>
        <v>364</v>
      </c>
      <c r="AL131" s="267"/>
      <c r="AM131" s="267"/>
      <c r="AN131" s="267"/>
      <c r="AO131" s="267">
        <f t="shared" si="304"/>
        <v>364</v>
      </c>
      <c r="AP131" s="267"/>
      <c r="AQ131" s="267"/>
      <c r="AR131" s="267"/>
      <c r="AS131" s="267"/>
      <c r="AT131" s="267">
        <f t="shared" si="328"/>
        <v>28</v>
      </c>
      <c r="AU131" s="267"/>
      <c r="AV131" s="267"/>
      <c r="AW131" s="267"/>
      <c r="AX131" s="267"/>
      <c r="AY131" s="267"/>
      <c r="AZ131" s="267"/>
      <c r="BA131" s="267"/>
      <c r="BB131" s="267"/>
      <c r="BC131" s="267"/>
      <c r="BD131" s="267"/>
      <c r="BE131" s="267"/>
      <c r="BF131" s="267"/>
      <c r="BG131" s="267"/>
      <c r="BH131" s="267"/>
      <c r="BI131" s="267"/>
      <c r="BJ131" s="269">
        <f t="shared" ref="BJ131:BR131" si="341">$I131*BJ$2</f>
        <v>44.5520833333332</v>
      </c>
      <c r="BK131" s="269">
        <f t="shared" si="341"/>
        <v>44.5520833333332</v>
      </c>
      <c r="BL131" s="269">
        <f t="shared" si="341"/>
        <v>44.5520833333332</v>
      </c>
      <c r="BM131" s="269">
        <f t="shared" si="341"/>
        <v>44.5520833333332</v>
      </c>
      <c r="BN131" s="269">
        <f t="shared" si="341"/>
        <v>44.5520833333332</v>
      </c>
      <c r="BO131" s="269">
        <f t="shared" si="341"/>
        <v>44.5520833333332</v>
      </c>
      <c r="BP131" s="269">
        <f t="shared" si="341"/>
        <v>44.5520833333332</v>
      </c>
      <c r="BQ131" s="269">
        <f t="shared" si="341"/>
        <v>44.5520833333332</v>
      </c>
      <c r="BR131" s="269">
        <f t="shared" si="341"/>
        <v>7.58333333333332</v>
      </c>
      <c r="BT131" s="60">
        <f t="shared" ref="BT131:CB131" si="342">BT130-BJ131</f>
        <v>70041.6822916667</v>
      </c>
      <c r="BU131" s="60">
        <f t="shared" si="342"/>
        <v>70041.6822916667</v>
      </c>
      <c r="BV131" s="60">
        <f t="shared" si="342"/>
        <v>70041.6822916667</v>
      </c>
      <c r="BW131" s="60">
        <f t="shared" si="342"/>
        <v>70041.6822916667</v>
      </c>
      <c r="BX131" s="60">
        <f t="shared" si="342"/>
        <v>70041.6822916667</v>
      </c>
      <c r="BY131" s="60">
        <f t="shared" si="342"/>
        <v>70041.6822916667</v>
      </c>
      <c r="BZ131" s="60">
        <f t="shared" si="342"/>
        <v>70041.6822916667</v>
      </c>
      <c r="CA131" s="60">
        <f t="shared" si="342"/>
        <v>70041.6822916667</v>
      </c>
      <c r="CB131" s="60">
        <f t="shared" si="342"/>
        <v>11873.5416666667</v>
      </c>
    </row>
    <row r="132" s="234" customFormat="1" ht="27" hidden="1" customHeight="1" spans="1:80">
      <c r="A132" s="236">
        <v>45800</v>
      </c>
      <c r="B132" s="237" t="s">
        <v>803</v>
      </c>
      <c r="C132" s="238" t="s">
        <v>104</v>
      </c>
      <c r="D132" s="239">
        <v>4500167734</v>
      </c>
      <c r="E132" s="238" t="s">
        <v>817</v>
      </c>
      <c r="F132" s="237" t="s">
        <v>818</v>
      </c>
      <c r="G132" s="240" t="s">
        <v>94</v>
      </c>
      <c r="H132" s="237" t="s">
        <v>211</v>
      </c>
      <c r="I132" s="247">
        <v>156</v>
      </c>
      <c r="J132" s="247">
        <v>0</v>
      </c>
      <c r="K132" s="247">
        <v>52</v>
      </c>
      <c r="L132" s="247">
        <f t="shared" si="202"/>
        <v>3</v>
      </c>
      <c r="M132" s="248">
        <v>45839</v>
      </c>
      <c r="N132" s="248">
        <v>45836</v>
      </c>
      <c r="O132" s="212"/>
      <c r="P132" s="212" t="s">
        <v>224</v>
      </c>
      <c r="Q132" s="212" t="s">
        <v>806</v>
      </c>
      <c r="R132" s="212">
        <v>45800</v>
      </c>
      <c r="S132" s="212" t="s">
        <v>80</v>
      </c>
      <c r="T132" s="212" t="s">
        <v>807</v>
      </c>
      <c r="U132" s="212"/>
      <c r="V132" s="259" t="s">
        <v>808</v>
      </c>
      <c r="W132" s="248" t="s">
        <v>809</v>
      </c>
      <c r="X132" s="260">
        <v>0.8434</v>
      </c>
      <c r="Y132" s="247">
        <f t="shared" si="292"/>
        <v>131.5704</v>
      </c>
      <c r="Z132" s="248" t="s">
        <v>819</v>
      </c>
      <c r="AA132" s="259">
        <v>156</v>
      </c>
      <c r="AB132" s="259">
        <f t="shared" si="275"/>
        <v>0</v>
      </c>
      <c r="AC132" s="254"/>
      <c r="AD132" s="212" t="s">
        <v>114</v>
      </c>
      <c r="AE132" s="248" t="s">
        <v>94</v>
      </c>
      <c r="AF132" s="248" t="s">
        <v>115</v>
      </c>
      <c r="AG132" s="267">
        <f t="shared" si="301"/>
        <v>156</v>
      </c>
      <c r="AH132" s="267">
        <f t="shared" si="326"/>
        <v>156</v>
      </c>
      <c r="AI132" s="267"/>
      <c r="AJ132" s="267"/>
      <c r="AK132" s="267">
        <f t="shared" si="327"/>
        <v>156</v>
      </c>
      <c r="AL132" s="267"/>
      <c r="AM132" s="267"/>
      <c r="AN132" s="267"/>
      <c r="AO132" s="267">
        <f t="shared" si="304"/>
        <v>156</v>
      </c>
      <c r="AP132" s="267"/>
      <c r="AQ132" s="267"/>
      <c r="AR132" s="267"/>
      <c r="AS132" s="267"/>
      <c r="AT132" s="267">
        <f t="shared" si="328"/>
        <v>12</v>
      </c>
      <c r="AU132" s="267"/>
      <c r="AV132" s="267"/>
      <c r="AW132" s="267"/>
      <c r="AX132" s="267"/>
      <c r="AY132" s="267"/>
      <c r="AZ132" s="267"/>
      <c r="BA132" s="267"/>
      <c r="BB132" s="267"/>
      <c r="BC132" s="267"/>
      <c r="BD132" s="267"/>
      <c r="BE132" s="267"/>
      <c r="BF132" s="267"/>
      <c r="BG132" s="267"/>
      <c r="BH132" s="267"/>
      <c r="BI132" s="267"/>
      <c r="BJ132" s="269">
        <f t="shared" ref="BJ132:BR132" si="343">$I132*BJ$2</f>
        <v>19.0937499999999</v>
      </c>
      <c r="BK132" s="269">
        <f t="shared" si="343"/>
        <v>19.0937499999999</v>
      </c>
      <c r="BL132" s="269">
        <f t="shared" si="343"/>
        <v>19.0937499999999</v>
      </c>
      <c r="BM132" s="269">
        <f t="shared" si="343"/>
        <v>19.0937499999999</v>
      </c>
      <c r="BN132" s="269">
        <f t="shared" si="343"/>
        <v>19.0937499999999</v>
      </c>
      <c r="BO132" s="269">
        <f t="shared" si="343"/>
        <v>19.0937499999999</v>
      </c>
      <c r="BP132" s="269">
        <f t="shared" si="343"/>
        <v>19.0937499999999</v>
      </c>
      <c r="BQ132" s="269">
        <f t="shared" si="343"/>
        <v>19.0937499999999</v>
      </c>
      <c r="BR132" s="269">
        <f t="shared" si="343"/>
        <v>3.24999999999999</v>
      </c>
      <c r="BT132" s="60">
        <f t="shared" ref="BT132:CB132" si="344">BT131-BJ132</f>
        <v>70022.5885416667</v>
      </c>
      <c r="BU132" s="60">
        <f t="shared" si="344"/>
        <v>70022.5885416667</v>
      </c>
      <c r="BV132" s="60">
        <f t="shared" si="344"/>
        <v>70022.5885416667</v>
      </c>
      <c r="BW132" s="60">
        <f t="shared" si="344"/>
        <v>70022.5885416667</v>
      </c>
      <c r="BX132" s="60">
        <f t="shared" si="344"/>
        <v>70022.5885416667</v>
      </c>
      <c r="BY132" s="60">
        <f t="shared" si="344"/>
        <v>70022.5885416667</v>
      </c>
      <c r="BZ132" s="60">
        <f t="shared" si="344"/>
        <v>70022.5885416667</v>
      </c>
      <c r="CA132" s="60">
        <f t="shared" si="344"/>
        <v>70022.5885416667</v>
      </c>
      <c r="CB132" s="60">
        <f t="shared" si="344"/>
        <v>11870.2916666667</v>
      </c>
    </row>
    <row r="133" s="234" customFormat="1" ht="27" hidden="1" customHeight="1" spans="1:80">
      <c r="A133" s="236">
        <v>45792</v>
      </c>
      <c r="B133" s="237" t="s">
        <v>600</v>
      </c>
      <c r="C133" s="238" t="s">
        <v>117</v>
      </c>
      <c r="D133" s="239">
        <v>4500166540</v>
      </c>
      <c r="E133" s="304" t="s">
        <v>820</v>
      </c>
      <c r="F133" s="237" t="s">
        <v>821</v>
      </c>
      <c r="G133" s="240" t="s">
        <v>258</v>
      </c>
      <c r="H133" s="237" t="s">
        <v>259</v>
      </c>
      <c r="I133" s="247">
        <v>1152</v>
      </c>
      <c r="J133" s="247">
        <v>0</v>
      </c>
      <c r="K133" s="247">
        <v>1152</v>
      </c>
      <c r="L133" s="247">
        <f t="shared" si="202"/>
        <v>1</v>
      </c>
      <c r="M133" s="248">
        <v>45840</v>
      </c>
      <c r="N133" s="248">
        <v>45836</v>
      </c>
      <c r="O133" s="212" t="s">
        <v>822</v>
      </c>
      <c r="P133" s="212" t="s">
        <v>107</v>
      </c>
      <c r="Q133" s="212" t="s">
        <v>823</v>
      </c>
      <c r="R133" s="212" t="s">
        <v>331</v>
      </c>
      <c r="S133" s="212" t="s">
        <v>191</v>
      </c>
      <c r="T133" s="212" t="s">
        <v>605</v>
      </c>
      <c r="U133" s="212"/>
      <c r="V133" s="259" t="s">
        <v>606</v>
      </c>
      <c r="W133" s="248" t="s">
        <v>607</v>
      </c>
      <c r="X133" s="260">
        <v>555.88</v>
      </c>
      <c r="Y133" s="247">
        <f>X133*L133</f>
        <v>555.88</v>
      </c>
      <c r="Z133" s="248" t="s">
        <v>824</v>
      </c>
      <c r="AA133" s="259">
        <v>1152</v>
      </c>
      <c r="AB133" s="259">
        <f t="shared" si="275"/>
        <v>0</v>
      </c>
      <c r="AC133" s="212"/>
      <c r="AD133" s="212" t="s">
        <v>114</v>
      </c>
      <c r="AE133" s="248" t="s">
        <v>258</v>
      </c>
      <c r="AF133" s="248" t="s">
        <v>115</v>
      </c>
      <c r="AG133" s="267">
        <f t="shared" si="301"/>
        <v>1152</v>
      </c>
      <c r="AH133" s="267">
        <f t="shared" si="326"/>
        <v>1152</v>
      </c>
      <c r="AI133" s="267"/>
      <c r="AJ133" s="267"/>
      <c r="AK133" s="267">
        <f t="shared" si="327"/>
        <v>1152</v>
      </c>
      <c r="AL133" s="267"/>
      <c r="AM133" s="267"/>
      <c r="AN133" s="267"/>
      <c r="AO133" s="267">
        <f t="shared" si="304"/>
        <v>1152</v>
      </c>
      <c r="AP133" s="267"/>
      <c r="AQ133" s="267"/>
      <c r="AR133" s="267"/>
      <c r="AS133" s="267"/>
      <c r="AT133" s="267"/>
      <c r="AU133" s="267"/>
      <c r="AV133" s="267">
        <f>I133/12</f>
        <v>96</v>
      </c>
      <c r="AW133" s="267"/>
      <c r="AX133" s="267"/>
      <c r="AY133" s="267"/>
      <c r="AZ133" s="267"/>
      <c r="BA133" s="267"/>
      <c r="BB133" s="267"/>
      <c r="BC133" s="267"/>
      <c r="BD133" s="267"/>
      <c r="BE133" s="267"/>
      <c r="BF133" s="267"/>
      <c r="BG133" s="267"/>
      <c r="BH133" s="267"/>
      <c r="BI133" s="267"/>
      <c r="BJ133" s="269">
        <f t="shared" ref="BJ133:BR133" si="345">$I133*BJ$2</f>
        <v>141</v>
      </c>
      <c r="BK133" s="269">
        <f t="shared" si="345"/>
        <v>141</v>
      </c>
      <c r="BL133" s="269">
        <f t="shared" si="345"/>
        <v>141</v>
      </c>
      <c r="BM133" s="269">
        <f t="shared" si="345"/>
        <v>141</v>
      </c>
      <c r="BN133" s="269">
        <f t="shared" si="345"/>
        <v>141</v>
      </c>
      <c r="BO133" s="269">
        <f t="shared" si="345"/>
        <v>141</v>
      </c>
      <c r="BP133" s="269">
        <f t="shared" si="345"/>
        <v>141</v>
      </c>
      <c r="BQ133" s="269">
        <f t="shared" si="345"/>
        <v>141</v>
      </c>
      <c r="BR133" s="269">
        <f t="shared" si="345"/>
        <v>24</v>
      </c>
      <c r="BT133" s="60">
        <f t="shared" ref="BT133:CB133" si="346">BT132-BJ133</f>
        <v>69881.5885416667</v>
      </c>
      <c r="BU133" s="60">
        <f t="shared" si="346"/>
        <v>69881.5885416667</v>
      </c>
      <c r="BV133" s="60">
        <f t="shared" si="346"/>
        <v>69881.5885416667</v>
      </c>
      <c r="BW133" s="60">
        <f t="shared" si="346"/>
        <v>69881.5885416667</v>
      </c>
      <c r="BX133" s="60">
        <f t="shared" si="346"/>
        <v>69881.5885416667</v>
      </c>
      <c r="BY133" s="60">
        <f t="shared" si="346"/>
        <v>69881.5885416667</v>
      </c>
      <c r="BZ133" s="60">
        <f t="shared" si="346"/>
        <v>69881.5885416667</v>
      </c>
      <c r="CA133" s="60">
        <f t="shared" si="346"/>
        <v>69881.5885416667</v>
      </c>
      <c r="CB133" s="60">
        <f t="shared" si="346"/>
        <v>11846.2916666667</v>
      </c>
    </row>
    <row r="134" s="234" customFormat="1" ht="27" hidden="1" customHeight="1" spans="1:80">
      <c r="A134" s="236">
        <v>45792</v>
      </c>
      <c r="B134" s="237" t="s">
        <v>600</v>
      </c>
      <c r="C134" s="238" t="s">
        <v>117</v>
      </c>
      <c r="D134" s="239">
        <v>4500166540</v>
      </c>
      <c r="E134" s="304" t="s">
        <v>825</v>
      </c>
      <c r="F134" s="237" t="s">
        <v>826</v>
      </c>
      <c r="G134" s="240" t="s">
        <v>258</v>
      </c>
      <c r="H134" s="237" t="s">
        <v>259</v>
      </c>
      <c r="I134" s="247">
        <v>1152</v>
      </c>
      <c r="J134" s="247">
        <v>0</v>
      </c>
      <c r="K134" s="247">
        <v>1152</v>
      </c>
      <c r="L134" s="247">
        <f t="shared" si="202"/>
        <v>1</v>
      </c>
      <c r="M134" s="248">
        <v>45840</v>
      </c>
      <c r="N134" s="248">
        <v>45836</v>
      </c>
      <c r="O134" s="212" t="s">
        <v>822</v>
      </c>
      <c r="P134" s="212" t="s">
        <v>107</v>
      </c>
      <c r="Q134" s="212" t="s">
        <v>827</v>
      </c>
      <c r="R134" s="212" t="s">
        <v>331</v>
      </c>
      <c r="S134" s="212" t="s">
        <v>191</v>
      </c>
      <c r="T134" s="212" t="s">
        <v>605</v>
      </c>
      <c r="U134" s="212"/>
      <c r="V134" s="259" t="s">
        <v>606</v>
      </c>
      <c r="W134" s="248" t="s">
        <v>607</v>
      </c>
      <c r="X134" s="260">
        <v>555.88</v>
      </c>
      <c r="Y134" s="247">
        <f>X134*L134</f>
        <v>555.88</v>
      </c>
      <c r="Z134" s="248" t="s">
        <v>828</v>
      </c>
      <c r="AA134" s="259">
        <v>1152</v>
      </c>
      <c r="AB134" s="259">
        <f t="shared" si="275"/>
        <v>0</v>
      </c>
      <c r="AC134" s="212"/>
      <c r="AD134" s="212" t="s">
        <v>114</v>
      </c>
      <c r="AE134" s="248" t="s">
        <v>258</v>
      </c>
      <c r="AF134" s="248" t="s">
        <v>115</v>
      </c>
      <c r="AG134" s="267">
        <f t="shared" si="301"/>
        <v>1152</v>
      </c>
      <c r="AH134" s="267">
        <f t="shared" si="326"/>
        <v>1152</v>
      </c>
      <c r="AI134" s="267"/>
      <c r="AJ134" s="267"/>
      <c r="AK134" s="267">
        <f t="shared" si="327"/>
        <v>1152</v>
      </c>
      <c r="AL134" s="267"/>
      <c r="AM134" s="267"/>
      <c r="AN134" s="267"/>
      <c r="AO134" s="267">
        <f t="shared" si="304"/>
        <v>1152</v>
      </c>
      <c r="AP134" s="267"/>
      <c r="AQ134" s="267"/>
      <c r="AR134" s="267"/>
      <c r="AS134" s="267"/>
      <c r="AT134" s="267"/>
      <c r="AU134" s="267"/>
      <c r="AV134" s="267">
        <f>I134/12</f>
        <v>96</v>
      </c>
      <c r="AW134" s="267"/>
      <c r="AX134" s="267"/>
      <c r="AY134" s="267"/>
      <c r="AZ134" s="267"/>
      <c r="BA134" s="267"/>
      <c r="BB134" s="267"/>
      <c r="BC134" s="267"/>
      <c r="BD134" s="267"/>
      <c r="BE134" s="267"/>
      <c r="BF134" s="267"/>
      <c r="BG134" s="267"/>
      <c r="BH134" s="267"/>
      <c r="BI134" s="267"/>
      <c r="BJ134" s="269">
        <f t="shared" ref="BJ134:BR134" si="347">$I134*BJ$2</f>
        <v>141</v>
      </c>
      <c r="BK134" s="269">
        <f t="shared" si="347"/>
        <v>141</v>
      </c>
      <c r="BL134" s="269">
        <f t="shared" si="347"/>
        <v>141</v>
      </c>
      <c r="BM134" s="269">
        <f t="shared" si="347"/>
        <v>141</v>
      </c>
      <c r="BN134" s="269">
        <f t="shared" si="347"/>
        <v>141</v>
      </c>
      <c r="BO134" s="269">
        <f t="shared" si="347"/>
        <v>141</v>
      </c>
      <c r="BP134" s="269">
        <f t="shared" si="347"/>
        <v>141</v>
      </c>
      <c r="BQ134" s="269">
        <f t="shared" si="347"/>
        <v>141</v>
      </c>
      <c r="BR134" s="269">
        <f t="shared" si="347"/>
        <v>24</v>
      </c>
      <c r="BT134" s="60">
        <f t="shared" ref="BT134:CB134" si="348">BT133-BJ134</f>
        <v>69740.5885416667</v>
      </c>
      <c r="BU134" s="60">
        <f t="shared" si="348"/>
        <v>69740.5885416667</v>
      </c>
      <c r="BV134" s="60">
        <f t="shared" si="348"/>
        <v>69740.5885416667</v>
      </c>
      <c r="BW134" s="60">
        <f t="shared" si="348"/>
        <v>69740.5885416667</v>
      </c>
      <c r="BX134" s="60">
        <f t="shared" si="348"/>
        <v>69740.5885416667</v>
      </c>
      <c r="BY134" s="60">
        <f t="shared" si="348"/>
        <v>69740.5885416667</v>
      </c>
      <c r="BZ134" s="60">
        <f t="shared" si="348"/>
        <v>69740.5885416667</v>
      </c>
      <c r="CA134" s="60">
        <f t="shared" si="348"/>
        <v>69740.5885416667</v>
      </c>
      <c r="CB134" s="60">
        <f t="shared" si="348"/>
        <v>11822.2916666667</v>
      </c>
    </row>
    <row r="135" s="234" customFormat="1" ht="27" hidden="1" customHeight="1" spans="1:80">
      <c r="A135" s="236">
        <v>45805</v>
      </c>
      <c r="B135" s="237" t="s">
        <v>564</v>
      </c>
      <c r="C135" s="238" t="s">
        <v>117</v>
      </c>
      <c r="D135" s="239">
        <v>4500167653</v>
      </c>
      <c r="E135" s="238">
        <v>217181405</v>
      </c>
      <c r="F135" s="237" t="s">
        <v>829</v>
      </c>
      <c r="G135" s="240" t="s">
        <v>152</v>
      </c>
      <c r="H135" s="237" t="s">
        <v>153</v>
      </c>
      <c r="I135" s="247">
        <v>572</v>
      </c>
      <c r="J135" s="247">
        <v>0</v>
      </c>
      <c r="K135" s="247">
        <v>13</v>
      </c>
      <c r="L135" s="247">
        <f t="shared" si="202"/>
        <v>44</v>
      </c>
      <c r="M135" s="248">
        <v>45840</v>
      </c>
      <c r="N135" s="248">
        <v>45836</v>
      </c>
      <c r="O135" s="212"/>
      <c r="P135" s="212" t="s">
        <v>224</v>
      </c>
      <c r="Q135" s="212" t="s">
        <v>830</v>
      </c>
      <c r="R135" s="212">
        <v>45811</v>
      </c>
      <c r="S135" s="212" t="s">
        <v>80</v>
      </c>
      <c r="T135" s="212" t="s">
        <v>80</v>
      </c>
      <c r="U135" s="212"/>
      <c r="V135" s="259" t="s">
        <v>568</v>
      </c>
      <c r="W135" s="248" t="s">
        <v>569</v>
      </c>
      <c r="X135" s="260">
        <v>0.5012</v>
      </c>
      <c r="Y135" s="247">
        <f t="shared" ref="Y135:Y145" si="349">X135*I135</f>
        <v>286.6864</v>
      </c>
      <c r="Z135" s="248" t="s">
        <v>831</v>
      </c>
      <c r="AA135" s="259">
        <v>572</v>
      </c>
      <c r="AB135" s="259">
        <f t="shared" si="275"/>
        <v>0</v>
      </c>
      <c r="AC135" s="212" t="s">
        <v>80</v>
      </c>
      <c r="AD135" s="212" t="s">
        <v>114</v>
      </c>
      <c r="AE135" s="248" t="s">
        <v>152</v>
      </c>
      <c r="AF135" s="248" t="s">
        <v>115</v>
      </c>
      <c r="AG135" s="267">
        <f t="shared" si="301"/>
        <v>572</v>
      </c>
      <c r="AH135" s="267">
        <f t="shared" si="326"/>
        <v>572</v>
      </c>
      <c r="AI135" s="267"/>
      <c r="AJ135" s="267"/>
      <c r="AK135" s="267">
        <f t="shared" si="327"/>
        <v>572</v>
      </c>
      <c r="AL135" s="267"/>
      <c r="AM135" s="267"/>
      <c r="AN135" s="267"/>
      <c r="AO135" s="267">
        <f t="shared" si="304"/>
        <v>572</v>
      </c>
      <c r="AP135" s="267"/>
      <c r="AQ135" s="267"/>
      <c r="AR135" s="267"/>
      <c r="AS135" s="267"/>
      <c r="AT135" s="267">
        <f>I135/13</f>
        <v>44</v>
      </c>
      <c r="AU135" s="267"/>
      <c r="AV135" s="267"/>
      <c r="AW135" s="267"/>
      <c r="AX135" s="267"/>
      <c r="AY135" s="267"/>
      <c r="AZ135" s="267"/>
      <c r="BA135" s="267"/>
      <c r="BB135" s="267"/>
      <c r="BC135" s="267"/>
      <c r="BD135" s="267"/>
      <c r="BE135" s="267"/>
      <c r="BF135" s="267"/>
      <c r="BG135" s="267"/>
      <c r="BH135" s="267"/>
      <c r="BI135" s="267"/>
      <c r="BJ135" s="269">
        <f t="shared" ref="BJ135:BR135" si="350">$I135*BJ$2</f>
        <v>70.0104166666665</v>
      </c>
      <c r="BK135" s="269">
        <f t="shared" si="350"/>
        <v>70.0104166666665</v>
      </c>
      <c r="BL135" s="269">
        <f t="shared" si="350"/>
        <v>70.0104166666665</v>
      </c>
      <c r="BM135" s="269">
        <f t="shared" si="350"/>
        <v>70.0104166666665</v>
      </c>
      <c r="BN135" s="269">
        <f t="shared" si="350"/>
        <v>70.0104166666665</v>
      </c>
      <c r="BO135" s="269">
        <f t="shared" si="350"/>
        <v>70.0104166666665</v>
      </c>
      <c r="BP135" s="269">
        <f t="shared" si="350"/>
        <v>70.0104166666665</v>
      </c>
      <c r="BQ135" s="269">
        <f t="shared" si="350"/>
        <v>70.0104166666665</v>
      </c>
      <c r="BR135" s="269">
        <f t="shared" si="350"/>
        <v>11.9166666666666</v>
      </c>
      <c r="BT135" s="60">
        <f t="shared" ref="BT135:CB135" si="351">BT134-BJ135</f>
        <v>69670.578125</v>
      </c>
      <c r="BU135" s="60">
        <f t="shared" si="351"/>
        <v>69670.578125</v>
      </c>
      <c r="BV135" s="60">
        <f t="shared" si="351"/>
        <v>69670.578125</v>
      </c>
      <c r="BW135" s="60">
        <f t="shared" si="351"/>
        <v>69670.578125</v>
      </c>
      <c r="BX135" s="60">
        <f t="shared" si="351"/>
        <v>69670.578125</v>
      </c>
      <c r="BY135" s="60">
        <f t="shared" si="351"/>
        <v>69670.578125</v>
      </c>
      <c r="BZ135" s="60">
        <f t="shared" si="351"/>
        <v>69670.578125</v>
      </c>
      <c r="CA135" s="60">
        <f t="shared" si="351"/>
        <v>69670.578125</v>
      </c>
      <c r="CB135" s="60">
        <f t="shared" si="351"/>
        <v>11810.375</v>
      </c>
    </row>
    <row r="136" s="234" customFormat="1" ht="27" hidden="1" customHeight="1" spans="1:80">
      <c r="A136" s="236">
        <v>45805</v>
      </c>
      <c r="B136" s="237" t="s">
        <v>564</v>
      </c>
      <c r="C136" s="238" t="s">
        <v>117</v>
      </c>
      <c r="D136" s="239">
        <v>4500167651</v>
      </c>
      <c r="E136" s="238">
        <v>217181393</v>
      </c>
      <c r="F136" s="237" t="s">
        <v>832</v>
      </c>
      <c r="G136" s="240" t="s">
        <v>152</v>
      </c>
      <c r="H136" s="237" t="s">
        <v>153</v>
      </c>
      <c r="I136" s="247">
        <v>936</v>
      </c>
      <c r="J136" s="247">
        <v>0</v>
      </c>
      <c r="K136" s="247">
        <v>13</v>
      </c>
      <c r="L136" s="247">
        <f t="shared" si="202"/>
        <v>72</v>
      </c>
      <c r="M136" s="248">
        <v>45840</v>
      </c>
      <c r="N136" s="248">
        <v>45836</v>
      </c>
      <c r="O136" s="212"/>
      <c r="P136" s="212" t="s">
        <v>224</v>
      </c>
      <c r="Q136" s="283" t="s">
        <v>830</v>
      </c>
      <c r="R136" s="212">
        <v>45811</v>
      </c>
      <c r="S136" s="212" t="s">
        <v>80</v>
      </c>
      <c r="T136" s="212" t="s">
        <v>80</v>
      </c>
      <c r="U136" s="212"/>
      <c r="V136" s="259" t="s">
        <v>568</v>
      </c>
      <c r="W136" s="248" t="s">
        <v>569</v>
      </c>
      <c r="X136" s="260">
        <v>0.5012</v>
      </c>
      <c r="Y136" s="247">
        <f t="shared" si="349"/>
        <v>469.1232</v>
      </c>
      <c r="Z136" s="248" t="s">
        <v>833</v>
      </c>
      <c r="AA136" s="259">
        <v>936</v>
      </c>
      <c r="AB136" s="259">
        <f t="shared" si="275"/>
        <v>0</v>
      </c>
      <c r="AC136" s="212" t="s">
        <v>80</v>
      </c>
      <c r="AD136" s="212" t="s">
        <v>114</v>
      </c>
      <c r="AE136" s="248" t="s">
        <v>152</v>
      </c>
      <c r="AF136" s="248" t="s">
        <v>115</v>
      </c>
      <c r="AG136" s="267">
        <f t="shared" si="301"/>
        <v>936</v>
      </c>
      <c r="AH136" s="267">
        <f t="shared" si="326"/>
        <v>936</v>
      </c>
      <c r="AI136" s="267"/>
      <c r="AJ136" s="267"/>
      <c r="AK136" s="267">
        <f t="shared" si="327"/>
        <v>936</v>
      </c>
      <c r="AL136" s="267"/>
      <c r="AM136" s="267"/>
      <c r="AN136" s="267"/>
      <c r="AO136" s="267">
        <f t="shared" si="304"/>
        <v>936</v>
      </c>
      <c r="AP136" s="267"/>
      <c r="AQ136" s="267"/>
      <c r="AR136" s="267"/>
      <c r="AS136" s="267"/>
      <c r="AT136" s="267">
        <f>I136/13</f>
        <v>72</v>
      </c>
      <c r="AU136" s="267"/>
      <c r="AV136" s="267"/>
      <c r="AW136" s="267"/>
      <c r="AX136" s="267"/>
      <c r="AY136" s="267"/>
      <c r="AZ136" s="267"/>
      <c r="BA136" s="267"/>
      <c r="BB136" s="267"/>
      <c r="BC136" s="267"/>
      <c r="BD136" s="267"/>
      <c r="BE136" s="267"/>
      <c r="BF136" s="267"/>
      <c r="BG136" s="267"/>
      <c r="BH136" s="267"/>
      <c r="BI136" s="267"/>
      <c r="BJ136" s="269">
        <f t="shared" ref="BJ136:BR136" si="352">$I136*BJ$2</f>
        <v>114.5625</v>
      </c>
      <c r="BK136" s="269">
        <f t="shared" si="352"/>
        <v>114.5625</v>
      </c>
      <c r="BL136" s="269">
        <f t="shared" si="352"/>
        <v>114.5625</v>
      </c>
      <c r="BM136" s="269">
        <f t="shared" si="352"/>
        <v>114.5625</v>
      </c>
      <c r="BN136" s="269">
        <f t="shared" si="352"/>
        <v>114.5625</v>
      </c>
      <c r="BO136" s="269">
        <f t="shared" si="352"/>
        <v>114.5625</v>
      </c>
      <c r="BP136" s="269">
        <f t="shared" si="352"/>
        <v>114.5625</v>
      </c>
      <c r="BQ136" s="269">
        <f t="shared" si="352"/>
        <v>114.5625</v>
      </c>
      <c r="BR136" s="269">
        <f t="shared" si="352"/>
        <v>19.5</v>
      </c>
      <c r="BT136" s="60">
        <f t="shared" ref="BT136:CB136" si="353">BT135-BJ136</f>
        <v>69556.015625</v>
      </c>
      <c r="BU136" s="60">
        <f t="shared" si="353"/>
        <v>69556.015625</v>
      </c>
      <c r="BV136" s="60">
        <f t="shared" si="353"/>
        <v>69556.015625</v>
      </c>
      <c r="BW136" s="60">
        <f t="shared" si="353"/>
        <v>69556.015625</v>
      </c>
      <c r="BX136" s="60">
        <f t="shared" si="353"/>
        <v>69556.015625</v>
      </c>
      <c r="BY136" s="60">
        <f t="shared" si="353"/>
        <v>69556.015625</v>
      </c>
      <c r="BZ136" s="60">
        <f t="shared" si="353"/>
        <v>69556.015625</v>
      </c>
      <c r="CA136" s="60">
        <f t="shared" si="353"/>
        <v>69556.015625</v>
      </c>
      <c r="CB136" s="60">
        <f t="shared" si="353"/>
        <v>11790.875</v>
      </c>
    </row>
    <row r="137" s="234" customFormat="1" ht="27" hidden="1" customHeight="1" spans="1:86">
      <c r="A137" s="236">
        <v>45798</v>
      </c>
      <c r="B137" s="237" t="s">
        <v>184</v>
      </c>
      <c r="C137" s="238" t="s">
        <v>185</v>
      </c>
      <c r="D137" s="239">
        <v>4500167394</v>
      </c>
      <c r="E137" s="238" t="s">
        <v>834</v>
      </c>
      <c r="F137" s="237" t="s">
        <v>835</v>
      </c>
      <c r="G137" s="240" t="s">
        <v>188</v>
      </c>
      <c r="H137" s="237" t="s">
        <v>120</v>
      </c>
      <c r="I137" s="247">
        <v>504</v>
      </c>
      <c r="J137" s="247">
        <v>0</v>
      </c>
      <c r="K137" s="247">
        <v>12</v>
      </c>
      <c r="L137" s="247">
        <f t="shared" si="202"/>
        <v>42</v>
      </c>
      <c r="M137" s="248">
        <v>45835</v>
      </c>
      <c r="N137" s="248">
        <v>45836</v>
      </c>
      <c r="O137" s="212"/>
      <c r="P137" s="212" t="s">
        <v>224</v>
      </c>
      <c r="Q137" s="212"/>
      <c r="R137" s="212" t="s">
        <v>836</v>
      </c>
      <c r="S137" s="212" t="s">
        <v>191</v>
      </c>
      <c r="T137" s="212" t="s">
        <v>837</v>
      </c>
      <c r="U137" s="212"/>
      <c r="V137" s="259" t="s">
        <v>838</v>
      </c>
      <c r="W137" s="248" t="s">
        <v>839</v>
      </c>
      <c r="X137" s="260">
        <v>1.9471</v>
      </c>
      <c r="Y137" s="247">
        <f t="shared" si="349"/>
        <v>981.3384</v>
      </c>
      <c r="Z137" s="248" t="s">
        <v>840</v>
      </c>
      <c r="AA137" s="259">
        <v>504</v>
      </c>
      <c r="AB137" s="259">
        <f t="shared" si="275"/>
        <v>0</v>
      </c>
      <c r="AC137" s="212" t="s">
        <v>113</v>
      </c>
      <c r="AD137" s="212" t="s">
        <v>114</v>
      </c>
      <c r="AE137" s="248" t="s">
        <v>188</v>
      </c>
      <c r="AF137" s="248" t="s">
        <v>115</v>
      </c>
      <c r="AG137" s="267">
        <f t="shared" ref="AG137:AG139" si="354">I137*2</f>
        <v>1008</v>
      </c>
      <c r="AH137" s="267">
        <f t="shared" ref="AH137:AH139" si="355">I137*2</f>
        <v>1008</v>
      </c>
      <c r="AI137" s="267"/>
      <c r="AJ137" s="267"/>
      <c r="AK137" s="267"/>
      <c r="AL137" s="267">
        <f t="shared" ref="AL137:AL139" si="356">I137*2</f>
        <v>1008</v>
      </c>
      <c r="AM137" s="267"/>
      <c r="AN137" s="267"/>
      <c r="AO137" s="267">
        <f t="shared" ref="AO137:AO139" si="357">I137*2</f>
        <v>1008</v>
      </c>
      <c r="AP137" s="267"/>
      <c r="AQ137" s="267"/>
      <c r="AR137" s="267"/>
      <c r="AS137" s="267"/>
      <c r="AT137" s="267"/>
      <c r="AU137" s="267"/>
      <c r="AV137" s="267"/>
      <c r="AW137" s="267"/>
      <c r="AX137" s="267"/>
      <c r="AY137" s="267"/>
      <c r="AZ137" s="267"/>
      <c r="BA137" s="267"/>
      <c r="BB137" s="267"/>
      <c r="BC137" s="267"/>
      <c r="BD137" s="267"/>
      <c r="BE137" s="267"/>
      <c r="BF137" s="267">
        <f t="shared" ref="BF137:BF139" si="358">I137</f>
        <v>504</v>
      </c>
      <c r="BG137" s="267">
        <f t="shared" ref="BG137:BG139" si="359">I137</f>
        <v>504</v>
      </c>
      <c r="BH137" s="267"/>
      <c r="BI137" s="267"/>
      <c r="BJ137" s="269">
        <f t="shared" ref="BJ137:BR137" si="360">$I137*BJ$2*2</f>
        <v>123.375</v>
      </c>
      <c r="BK137" s="269">
        <f t="shared" si="360"/>
        <v>123.375</v>
      </c>
      <c r="BL137" s="269">
        <f t="shared" si="360"/>
        <v>123.375</v>
      </c>
      <c r="BM137" s="269">
        <f t="shared" si="360"/>
        <v>123.375</v>
      </c>
      <c r="BN137" s="269">
        <f t="shared" si="360"/>
        <v>123.375</v>
      </c>
      <c r="BO137" s="269">
        <f t="shared" si="360"/>
        <v>123.375</v>
      </c>
      <c r="BP137" s="269">
        <f t="shared" si="360"/>
        <v>123.375</v>
      </c>
      <c r="BQ137" s="269">
        <f t="shared" si="360"/>
        <v>123.375</v>
      </c>
      <c r="BR137" s="269">
        <f t="shared" si="360"/>
        <v>21</v>
      </c>
      <c r="BT137" s="60">
        <f t="shared" ref="BT137:CB137" si="361">BT136-BJ137</f>
        <v>69432.640625</v>
      </c>
      <c r="BU137" s="60">
        <f t="shared" si="361"/>
        <v>69432.640625</v>
      </c>
      <c r="BV137" s="60">
        <f t="shared" si="361"/>
        <v>69432.640625</v>
      </c>
      <c r="BW137" s="60">
        <f t="shared" si="361"/>
        <v>69432.640625</v>
      </c>
      <c r="BX137" s="60">
        <f t="shared" si="361"/>
        <v>69432.640625</v>
      </c>
      <c r="BY137" s="60">
        <f t="shared" si="361"/>
        <v>69432.640625</v>
      </c>
      <c r="BZ137" s="60">
        <f t="shared" si="361"/>
        <v>69432.640625</v>
      </c>
      <c r="CA137" s="60">
        <f t="shared" si="361"/>
        <v>69432.640625</v>
      </c>
      <c r="CB137" s="60">
        <f t="shared" si="361"/>
        <v>11769.875</v>
      </c>
      <c r="CD137" s="271" t="s">
        <v>841</v>
      </c>
      <c r="CE137" s="234">
        <v>1512</v>
      </c>
      <c r="CF137" s="234">
        <v>1512</v>
      </c>
      <c r="CH137" s="234">
        <f>CE137-I137</f>
        <v>1008</v>
      </c>
    </row>
    <row r="138" s="234" customFormat="1" ht="27" hidden="1" customHeight="1" spans="1:86">
      <c r="A138" s="236">
        <v>45798</v>
      </c>
      <c r="B138" s="237" t="s">
        <v>184</v>
      </c>
      <c r="C138" s="238" t="s">
        <v>842</v>
      </c>
      <c r="D138" s="239">
        <v>4500167394</v>
      </c>
      <c r="E138" s="238" t="s">
        <v>843</v>
      </c>
      <c r="F138" s="237" t="s">
        <v>844</v>
      </c>
      <c r="G138" s="240" t="s">
        <v>188</v>
      </c>
      <c r="H138" s="237" t="s">
        <v>120</v>
      </c>
      <c r="I138" s="247">
        <v>504</v>
      </c>
      <c r="J138" s="247">
        <v>0</v>
      </c>
      <c r="K138" s="247">
        <v>12</v>
      </c>
      <c r="L138" s="247">
        <f t="shared" si="202"/>
        <v>42</v>
      </c>
      <c r="M138" s="248">
        <v>45835</v>
      </c>
      <c r="N138" s="248">
        <v>45836</v>
      </c>
      <c r="O138" s="212"/>
      <c r="P138" s="212" t="s">
        <v>224</v>
      </c>
      <c r="Q138" s="212" t="s">
        <v>845</v>
      </c>
      <c r="R138" s="212" t="s">
        <v>836</v>
      </c>
      <c r="S138" s="212" t="s">
        <v>191</v>
      </c>
      <c r="T138" s="212" t="s">
        <v>837</v>
      </c>
      <c r="U138" s="212"/>
      <c r="V138" s="259" t="s">
        <v>838</v>
      </c>
      <c r="W138" s="248" t="s">
        <v>839</v>
      </c>
      <c r="X138" s="260">
        <v>1.9471</v>
      </c>
      <c r="Y138" s="247">
        <f t="shared" si="349"/>
        <v>981.3384</v>
      </c>
      <c r="Z138" s="248" t="s">
        <v>846</v>
      </c>
      <c r="AA138" s="259">
        <v>504</v>
      </c>
      <c r="AB138" s="259">
        <f t="shared" si="275"/>
        <v>0</v>
      </c>
      <c r="AC138" s="212" t="s">
        <v>113</v>
      </c>
      <c r="AD138" s="212" t="s">
        <v>114</v>
      </c>
      <c r="AE138" s="248" t="s">
        <v>188</v>
      </c>
      <c r="AF138" s="248" t="s">
        <v>115</v>
      </c>
      <c r="AG138" s="267">
        <f t="shared" si="354"/>
        <v>1008</v>
      </c>
      <c r="AH138" s="267">
        <f t="shared" si="355"/>
        <v>1008</v>
      </c>
      <c r="AI138" s="267"/>
      <c r="AJ138" s="267"/>
      <c r="AK138" s="267"/>
      <c r="AL138" s="267">
        <f t="shared" si="356"/>
        <v>1008</v>
      </c>
      <c r="AM138" s="267"/>
      <c r="AN138" s="267"/>
      <c r="AO138" s="267">
        <f t="shared" si="357"/>
        <v>1008</v>
      </c>
      <c r="AP138" s="267"/>
      <c r="AQ138" s="267"/>
      <c r="AR138" s="267"/>
      <c r="AS138" s="267"/>
      <c r="AT138" s="267"/>
      <c r="AU138" s="267"/>
      <c r="AV138" s="267"/>
      <c r="AW138" s="267"/>
      <c r="AX138" s="267"/>
      <c r="AY138" s="267"/>
      <c r="AZ138" s="267"/>
      <c r="BA138" s="267"/>
      <c r="BB138" s="267"/>
      <c r="BC138" s="267"/>
      <c r="BD138" s="267"/>
      <c r="BE138" s="267"/>
      <c r="BF138" s="267">
        <f t="shared" si="358"/>
        <v>504</v>
      </c>
      <c r="BG138" s="267">
        <f t="shared" si="359"/>
        <v>504</v>
      </c>
      <c r="BH138" s="267"/>
      <c r="BI138" s="267"/>
      <c r="BJ138" s="269">
        <f t="shared" ref="BJ138:BR138" si="362">$I138*BJ$2*2</f>
        <v>123.375</v>
      </c>
      <c r="BK138" s="269">
        <f t="shared" si="362"/>
        <v>123.375</v>
      </c>
      <c r="BL138" s="269">
        <f t="shared" si="362"/>
        <v>123.375</v>
      </c>
      <c r="BM138" s="269">
        <f t="shared" si="362"/>
        <v>123.375</v>
      </c>
      <c r="BN138" s="269">
        <f t="shared" si="362"/>
        <v>123.375</v>
      </c>
      <c r="BO138" s="269">
        <f t="shared" si="362"/>
        <v>123.375</v>
      </c>
      <c r="BP138" s="269">
        <f t="shared" si="362"/>
        <v>123.375</v>
      </c>
      <c r="BQ138" s="269">
        <f t="shared" si="362"/>
        <v>123.375</v>
      </c>
      <c r="BR138" s="269">
        <f t="shared" si="362"/>
        <v>21</v>
      </c>
      <c r="BT138" s="60">
        <f t="shared" ref="BT138:CB138" si="363">BT137-BJ138</f>
        <v>69309.265625</v>
      </c>
      <c r="BU138" s="60">
        <f t="shared" si="363"/>
        <v>69309.265625</v>
      </c>
      <c r="BV138" s="60">
        <f t="shared" si="363"/>
        <v>69309.265625</v>
      </c>
      <c r="BW138" s="60">
        <f t="shared" si="363"/>
        <v>69309.265625</v>
      </c>
      <c r="BX138" s="60">
        <f t="shared" si="363"/>
        <v>69309.265625</v>
      </c>
      <c r="BY138" s="60">
        <f t="shared" si="363"/>
        <v>69309.265625</v>
      </c>
      <c r="BZ138" s="60">
        <f t="shared" si="363"/>
        <v>69309.265625</v>
      </c>
      <c r="CA138" s="60">
        <f t="shared" si="363"/>
        <v>69309.265625</v>
      </c>
      <c r="CB138" s="60">
        <f t="shared" si="363"/>
        <v>11748.875</v>
      </c>
      <c r="CD138" s="271" t="s">
        <v>841</v>
      </c>
      <c r="CH138" s="234">
        <f>CH137-I138</f>
        <v>504</v>
      </c>
    </row>
    <row r="139" s="234" customFormat="1" ht="27" hidden="1" customHeight="1" spans="1:86">
      <c r="A139" s="236">
        <v>45799</v>
      </c>
      <c r="B139" s="237" t="s">
        <v>196</v>
      </c>
      <c r="C139" s="238" t="s">
        <v>396</v>
      </c>
      <c r="D139" s="239">
        <v>4500167501</v>
      </c>
      <c r="E139" s="238" t="s">
        <v>847</v>
      </c>
      <c r="F139" s="237" t="s">
        <v>848</v>
      </c>
      <c r="G139" s="240" t="s">
        <v>188</v>
      </c>
      <c r="H139" s="237" t="s">
        <v>120</v>
      </c>
      <c r="I139" s="247">
        <v>504</v>
      </c>
      <c r="J139" s="247">
        <v>0</v>
      </c>
      <c r="K139" s="247">
        <v>12</v>
      </c>
      <c r="L139" s="247">
        <f t="shared" si="202"/>
        <v>42</v>
      </c>
      <c r="M139" s="248">
        <v>45838</v>
      </c>
      <c r="N139" s="248">
        <v>45836</v>
      </c>
      <c r="O139" s="212"/>
      <c r="P139" s="212" t="s">
        <v>224</v>
      </c>
      <c r="Q139" s="212" t="s">
        <v>849</v>
      </c>
      <c r="R139" s="212" t="s">
        <v>836</v>
      </c>
      <c r="S139" s="212" t="s">
        <v>191</v>
      </c>
      <c r="T139" s="212" t="s">
        <v>850</v>
      </c>
      <c r="U139" s="212"/>
      <c r="V139" s="259" t="s">
        <v>851</v>
      </c>
      <c r="W139" s="248" t="s">
        <v>194</v>
      </c>
      <c r="X139" s="260">
        <v>1.8626</v>
      </c>
      <c r="Y139" s="247">
        <f t="shared" si="349"/>
        <v>938.7504</v>
      </c>
      <c r="Z139" s="248" t="s">
        <v>852</v>
      </c>
      <c r="AA139" s="259">
        <v>504</v>
      </c>
      <c r="AB139" s="259">
        <f t="shared" si="275"/>
        <v>0</v>
      </c>
      <c r="AC139" s="212" t="s">
        <v>113</v>
      </c>
      <c r="AD139" s="212" t="s">
        <v>114</v>
      </c>
      <c r="AE139" s="248" t="s">
        <v>188</v>
      </c>
      <c r="AF139" s="248" t="s">
        <v>115</v>
      </c>
      <c r="AG139" s="267">
        <f t="shared" si="354"/>
        <v>1008</v>
      </c>
      <c r="AH139" s="267">
        <f t="shared" si="355"/>
        <v>1008</v>
      </c>
      <c r="AI139" s="267"/>
      <c r="AJ139" s="267"/>
      <c r="AK139" s="267"/>
      <c r="AL139" s="267">
        <f t="shared" si="356"/>
        <v>1008</v>
      </c>
      <c r="AM139" s="267"/>
      <c r="AN139" s="267"/>
      <c r="AO139" s="267">
        <f t="shared" si="357"/>
        <v>1008</v>
      </c>
      <c r="AP139" s="267"/>
      <c r="AQ139" s="267"/>
      <c r="AR139" s="267"/>
      <c r="AS139" s="267"/>
      <c r="AT139" s="267"/>
      <c r="AU139" s="267"/>
      <c r="AV139" s="267"/>
      <c r="AW139" s="267"/>
      <c r="AX139" s="267"/>
      <c r="AY139" s="267"/>
      <c r="AZ139" s="267"/>
      <c r="BA139" s="267"/>
      <c r="BB139" s="267"/>
      <c r="BC139" s="267"/>
      <c r="BD139" s="267"/>
      <c r="BE139" s="267"/>
      <c r="BF139" s="267">
        <f t="shared" si="358"/>
        <v>504</v>
      </c>
      <c r="BG139" s="267">
        <f t="shared" si="359"/>
        <v>504</v>
      </c>
      <c r="BH139" s="267"/>
      <c r="BI139" s="267"/>
      <c r="BJ139" s="269">
        <f t="shared" ref="BJ139:BR139" si="364">$I139*BJ$2*2</f>
        <v>123.375</v>
      </c>
      <c r="BK139" s="269">
        <f t="shared" si="364"/>
        <v>123.375</v>
      </c>
      <c r="BL139" s="269">
        <f t="shared" si="364"/>
        <v>123.375</v>
      </c>
      <c r="BM139" s="269">
        <f t="shared" si="364"/>
        <v>123.375</v>
      </c>
      <c r="BN139" s="269">
        <f t="shared" si="364"/>
        <v>123.375</v>
      </c>
      <c r="BO139" s="269">
        <f t="shared" si="364"/>
        <v>123.375</v>
      </c>
      <c r="BP139" s="269">
        <f t="shared" si="364"/>
        <v>123.375</v>
      </c>
      <c r="BQ139" s="269">
        <f t="shared" si="364"/>
        <v>123.375</v>
      </c>
      <c r="BR139" s="269">
        <f t="shared" si="364"/>
        <v>21</v>
      </c>
      <c r="BT139" s="60">
        <f t="shared" ref="BT139:CB139" si="365">BT138-BJ139</f>
        <v>69185.890625</v>
      </c>
      <c r="BU139" s="60">
        <f t="shared" si="365"/>
        <v>69185.890625</v>
      </c>
      <c r="BV139" s="60">
        <f t="shared" si="365"/>
        <v>69185.890625</v>
      </c>
      <c r="BW139" s="60">
        <f t="shared" si="365"/>
        <v>69185.890625</v>
      </c>
      <c r="BX139" s="60">
        <f t="shared" si="365"/>
        <v>69185.890625</v>
      </c>
      <c r="BY139" s="60">
        <f t="shared" si="365"/>
        <v>69185.890625</v>
      </c>
      <c r="BZ139" s="60">
        <f t="shared" si="365"/>
        <v>69185.890625</v>
      </c>
      <c r="CA139" s="60">
        <f t="shared" si="365"/>
        <v>69185.890625</v>
      </c>
      <c r="CB139" s="60">
        <f t="shared" si="365"/>
        <v>11727.875</v>
      </c>
      <c r="CD139" s="271" t="s">
        <v>841</v>
      </c>
      <c r="CH139" s="234">
        <f>CH138-I139</f>
        <v>0</v>
      </c>
    </row>
    <row r="140" s="234" customFormat="1" ht="27" hidden="1" customHeight="1" spans="1:82">
      <c r="A140" s="236">
        <v>45812</v>
      </c>
      <c r="B140" s="237" t="s">
        <v>326</v>
      </c>
      <c r="C140" s="238" t="s">
        <v>117</v>
      </c>
      <c r="D140" s="239">
        <v>4500168942</v>
      </c>
      <c r="E140" s="304" t="s">
        <v>853</v>
      </c>
      <c r="F140" s="237" t="s">
        <v>854</v>
      </c>
      <c r="G140" s="240" t="s">
        <v>855</v>
      </c>
      <c r="H140" s="237" t="s">
        <v>856</v>
      </c>
      <c r="I140" s="247">
        <v>96</v>
      </c>
      <c r="J140" s="247">
        <v>0</v>
      </c>
      <c r="K140" s="247">
        <v>12</v>
      </c>
      <c r="L140" s="247">
        <f t="shared" si="202"/>
        <v>8</v>
      </c>
      <c r="M140" s="248">
        <v>45838</v>
      </c>
      <c r="N140" s="248">
        <v>45838</v>
      </c>
      <c r="O140" s="212" t="s">
        <v>857</v>
      </c>
      <c r="P140" s="212" t="s">
        <v>224</v>
      </c>
      <c r="Q140" s="212" t="s">
        <v>858</v>
      </c>
      <c r="R140" s="212" t="s">
        <v>859</v>
      </c>
      <c r="S140" s="212" t="s">
        <v>191</v>
      </c>
      <c r="T140" s="212" t="s">
        <v>860</v>
      </c>
      <c r="U140" s="212"/>
      <c r="V140" s="259" t="s">
        <v>861</v>
      </c>
      <c r="W140" s="248" t="s">
        <v>265</v>
      </c>
      <c r="X140" s="260">
        <v>0.4538</v>
      </c>
      <c r="Y140" s="247">
        <f t="shared" si="349"/>
        <v>43.5648</v>
      </c>
      <c r="Z140" s="248" t="s">
        <v>862</v>
      </c>
      <c r="AA140" s="259">
        <v>96</v>
      </c>
      <c r="AB140" s="259">
        <f t="shared" si="275"/>
        <v>0</v>
      </c>
      <c r="AC140" s="212"/>
      <c r="AD140" s="212" t="s">
        <v>114</v>
      </c>
      <c r="AE140" s="248" t="s">
        <v>855</v>
      </c>
      <c r="AF140" s="248" t="s">
        <v>115</v>
      </c>
      <c r="AG140" s="267">
        <f t="shared" ref="AG140:AG172" si="366">I140</f>
        <v>96</v>
      </c>
      <c r="AH140" s="267">
        <f t="shared" ref="AH140:AH159" si="367">I140</f>
        <v>96</v>
      </c>
      <c r="AI140" s="267"/>
      <c r="AJ140" s="267"/>
      <c r="AK140" s="267">
        <f t="shared" ref="AK140:AK143" si="368">I140</f>
        <v>96</v>
      </c>
      <c r="AL140" s="267"/>
      <c r="AM140" s="267"/>
      <c r="AN140" s="267"/>
      <c r="AO140" s="267">
        <f t="shared" ref="AO140:AO172" si="369">I140</f>
        <v>96</v>
      </c>
      <c r="AP140" s="267"/>
      <c r="AQ140" s="267"/>
      <c r="AR140" s="267"/>
      <c r="AS140" s="267"/>
      <c r="AT140" s="267"/>
      <c r="AU140" s="267"/>
      <c r="AV140" s="267"/>
      <c r="AW140" s="267"/>
      <c r="AX140" s="267"/>
      <c r="AY140" s="267"/>
      <c r="AZ140" s="267"/>
      <c r="BA140" s="267"/>
      <c r="BB140" s="267"/>
      <c r="BC140" s="267"/>
      <c r="BD140" s="267"/>
      <c r="BE140" s="267"/>
      <c r="BF140" s="267"/>
      <c r="BG140" s="267"/>
      <c r="BH140" s="267"/>
      <c r="BI140" s="267"/>
      <c r="BJ140" s="269">
        <f t="shared" ref="BJ140:BR140" si="370">$I140*BJ$2</f>
        <v>11.75</v>
      </c>
      <c r="BK140" s="269">
        <f t="shared" si="370"/>
        <v>11.75</v>
      </c>
      <c r="BL140" s="269">
        <f t="shared" si="370"/>
        <v>11.75</v>
      </c>
      <c r="BM140" s="269">
        <f t="shared" si="370"/>
        <v>11.75</v>
      </c>
      <c r="BN140" s="269">
        <f t="shared" si="370"/>
        <v>11.75</v>
      </c>
      <c r="BO140" s="269">
        <f t="shared" si="370"/>
        <v>11.75</v>
      </c>
      <c r="BP140" s="269">
        <f t="shared" si="370"/>
        <v>11.75</v>
      </c>
      <c r="BQ140" s="269">
        <f t="shared" si="370"/>
        <v>11.75</v>
      </c>
      <c r="BR140" s="269">
        <f t="shared" si="370"/>
        <v>2</v>
      </c>
      <c r="BT140" s="60">
        <f t="shared" ref="BT140:CB140" si="371">BT139-BJ140</f>
        <v>69174.140625</v>
      </c>
      <c r="BU140" s="60">
        <f t="shared" si="371"/>
        <v>69174.140625</v>
      </c>
      <c r="BV140" s="60">
        <f t="shared" si="371"/>
        <v>69174.140625</v>
      </c>
      <c r="BW140" s="60">
        <f t="shared" si="371"/>
        <v>69174.140625</v>
      </c>
      <c r="BX140" s="60">
        <f t="shared" si="371"/>
        <v>69174.140625</v>
      </c>
      <c r="BY140" s="60">
        <f t="shared" si="371"/>
        <v>69174.140625</v>
      </c>
      <c r="BZ140" s="60">
        <f t="shared" si="371"/>
        <v>69174.140625</v>
      </c>
      <c r="CA140" s="60">
        <f t="shared" si="371"/>
        <v>69174.140625</v>
      </c>
      <c r="CB140" s="60">
        <f t="shared" si="371"/>
        <v>11725.875</v>
      </c>
      <c r="CD140" s="271"/>
    </row>
    <row r="141" s="234" customFormat="1" ht="27" hidden="1" customHeight="1" spans="1:82">
      <c r="A141" s="236">
        <v>45812</v>
      </c>
      <c r="B141" s="237" t="s">
        <v>326</v>
      </c>
      <c r="C141" s="238" t="s">
        <v>117</v>
      </c>
      <c r="D141" s="239">
        <v>4500168942</v>
      </c>
      <c r="E141" s="304" t="s">
        <v>863</v>
      </c>
      <c r="F141" s="237" t="s">
        <v>864</v>
      </c>
      <c r="G141" s="240" t="s">
        <v>855</v>
      </c>
      <c r="H141" s="237" t="s">
        <v>856</v>
      </c>
      <c r="I141" s="247">
        <v>264</v>
      </c>
      <c r="J141" s="247">
        <v>0</v>
      </c>
      <c r="K141" s="247">
        <v>12</v>
      </c>
      <c r="L141" s="247">
        <f t="shared" si="202"/>
        <v>22</v>
      </c>
      <c r="M141" s="248">
        <v>45838</v>
      </c>
      <c r="N141" s="248">
        <v>45838</v>
      </c>
      <c r="O141" s="212" t="s">
        <v>857</v>
      </c>
      <c r="P141" s="212" t="s">
        <v>224</v>
      </c>
      <c r="Q141" s="212" t="s">
        <v>858</v>
      </c>
      <c r="R141" s="212" t="s">
        <v>859</v>
      </c>
      <c r="S141" s="212" t="s">
        <v>191</v>
      </c>
      <c r="T141" s="212" t="s">
        <v>860</v>
      </c>
      <c r="U141" s="212"/>
      <c r="V141" s="259" t="s">
        <v>861</v>
      </c>
      <c r="W141" s="248" t="s">
        <v>265</v>
      </c>
      <c r="X141" s="260">
        <v>0.4538</v>
      </c>
      <c r="Y141" s="247">
        <f t="shared" si="349"/>
        <v>119.8032</v>
      </c>
      <c r="Z141" s="248" t="s">
        <v>865</v>
      </c>
      <c r="AA141" s="259">
        <v>264</v>
      </c>
      <c r="AB141" s="259">
        <f t="shared" si="275"/>
        <v>0</v>
      </c>
      <c r="AC141" s="212"/>
      <c r="AD141" s="212" t="s">
        <v>114</v>
      </c>
      <c r="AE141" s="248" t="s">
        <v>855</v>
      </c>
      <c r="AF141" s="248" t="s">
        <v>115</v>
      </c>
      <c r="AG141" s="267">
        <f t="shared" si="366"/>
        <v>264</v>
      </c>
      <c r="AH141" s="267">
        <f t="shared" si="367"/>
        <v>264</v>
      </c>
      <c r="AI141" s="267"/>
      <c r="AJ141" s="267"/>
      <c r="AK141" s="267">
        <f t="shared" si="368"/>
        <v>264</v>
      </c>
      <c r="AL141" s="267"/>
      <c r="AM141" s="267"/>
      <c r="AN141" s="267"/>
      <c r="AO141" s="267">
        <f t="shared" si="369"/>
        <v>264</v>
      </c>
      <c r="AP141" s="267"/>
      <c r="AQ141" s="267"/>
      <c r="AR141" s="267"/>
      <c r="AS141" s="267"/>
      <c r="AT141" s="267"/>
      <c r="AU141" s="267"/>
      <c r="AV141" s="267"/>
      <c r="AW141" s="267"/>
      <c r="AX141" s="267"/>
      <c r="AY141" s="267"/>
      <c r="AZ141" s="267"/>
      <c r="BA141" s="267"/>
      <c r="BB141" s="267"/>
      <c r="BC141" s="267"/>
      <c r="BD141" s="267"/>
      <c r="BE141" s="267"/>
      <c r="BF141" s="267"/>
      <c r="BG141" s="267"/>
      <c r="BH141" s="267"/>
      <c r="BI141" s="267"/>
      <c r="BJ141" s="269">
        <f t="shared" ref="BJ141:BR141" si="372">$I141*BJ$2</f>
        <v>32.3124999999999</v>
      </c>
      <c r="BK141" s="269">
        <f t="shared" si="372"/>
        <v>32.3124999999999</v>
      </c>
      <c r="BL141" s="269">
        <f t="shared" si="372"/>
        <v>32.3124999999999</v>
      </c>
      <c r="BM141" s="269">
        <f t="shared" si="372"/>
        <v>32.3124999999999</v>
      </c>
      <c r="BN141" s="269">
        <f t="shared" si="372"/>
        <v>32.3124999999999</v>
      </c>
      <c r="BO141" s="269">
        <f t="shared" si="372"/>
        <v>32.3124999999999</v>
      </c>
      <c r="BP141" s="269">
        <f t="shared" si="372"/>
        <v>32.3124999999999</v>
      </c>
      <c r="BQ141" s="269">
        <f t="shared" si="372"/>
        <v>32.3124999999999</v>
      </c>
      <c r="BR141" s="269">
        <f t="shared" si="372"/>
        <v>5.49999999999999</v>
      </c>
      <c r="BT141" s="60">
        <f t="shared" ref="BT141:CB141" si="373">BT140-BJ141</f>
        <v>69141.828125</v>
      </c>
      <c r="BU141" s="60">
        <f t="shared" si="373"/>
        <v>69141.828125</v>
      </c>
      <c r="BV141" s="60">
        <f t="shared" si="373"/>
        <v>69141.828125</v>
      </c>
      <c r="BW141" s="60">
        <f t="shared" si="373"/>
        <v>69141.828125</v>
      </c>
      <c r="BX141" s="60">
        <f t="shared" si="373"/>
        <v>69141.828125</v>
      </c>
      <c r="BY141" s="60">
        <f t="shared" si="373"/>
        <v>69141.828125</v>
      </c>
      <c r="BZ141" s="60">
        <f t="shared" si="373"/>
        <v>69141.828125</v>
      </c>
      <c r="CA141" s="60">
        <f t="shared" si="373"/>
        <v>69141.828125</v>
      </c>
      <c r="CB141" s="60">
        <f t="shared" si="373"/>
        <v>11720.375</v>
      </c>
      <c r="CD141" s="271"/>
    </row>
    <row r="142" s="234" customFormat="1" ht="27" hidden="1" customHeight="1" spans="1:80">
      <c r="A142" s="236">
        <v>45812</v>
      </c>
      <c r="B142" s="237" t="s">
        <v>326</v>
      </c>
      <c r="C142" s="238" t="s">
        <v>117</v>
      </c>
      <c r="D142" s="239">
        <v>4500168943</v>
      </c>
      <c r="E142" s="304" t="s">
        <v>866</v>
      </c>
      <c r="F142" s="237" t="s">
        <v>867</v>
      </c>
      <c r="G142" s="240" t="s">
        <v>855</v>
      </c>
      <c r="H142" s="237" t="s">
        <v>856</v>
      </c>
      <c r="I142" s="247">
        <v>84</v>
      </c>
      <c r="J142" s="247">
        <v>0</v>
      </c>
      <c r="K142" s="247">
        <v>12</v>
      </c>
      <c r="L142" s="247">
        <f t="shared" ref="L142:L205" si="374">I142/K142</f>
        <v>7</v>
      </c>
      <c r="M142" s="248">
        <v>45839</v>
      </c>
      <c r="N142" s="248">
        <v>45838</v>
      </c>
      <c r="O142" s="212" t="s">
        <v>822</v>
      </c>
      <c r="P142" s="212" t="s">
        <v>224</v>
      </c>
      <c r="Q142" s="212" t="s">
        <v>868</v>
      </c>
      <c r="R142" s="212" t="s">
        <v>859</v>
      </c>
      <c r="S142" s="212" t="s">
        <v>191</v>
      </c>
      <c r="T142" s="212" t="s">
        <v>860</v>
      </c>
      <c r="U142" s="212"/>
      <c r="V142" s="259" t="s">
        <v>861</v>
      </c>
      <c r="W142" s="248" t="s">
        <v>265</v>
      </c>
      <c r="X142" s="260">
        <v>0.4538</v>
      </c>
      <c r="Y142" s="247">
        <f t="shared" si="349"/>
        <v>38.1192</v>
      </c>
      <c r="Z142" s="248" t="s">
        <v>869</v>
      </c>
      <c r="AA142" s="259">
        <v>84</v>
      </c>
      <c r="AB142" s="259">
        <f t="shared" si="275"/>
        <v>0</v>
      </c>
      <c r="AC142" s="212"/>
      <c r="AD142" s="212" t="s">
        <v>114</v>
      </c>
      <c r="AE142" s="248" t="s">
        <v>855</v>
      </c>
      <c r="AF142" s="248" t="s">
        <v>115</v>
      </c>
      <c r="AG142" s="267">
        <f t="shared" si="366"/>
        <v>84</v>
      </c>
      <c r="AH142" s="267">
        <f t="shared" si="367"/>
        <v>84</v>
      </c>
      <c r="AI142" s="267"/>
      <c r="AJ142" s="267"/>
      <c r="AK142" s="267">
        <f t="shared" si="368"/>
        <v>84</v>
      </c>
      <c r="AL142" s="267"/>
      <c r="AM142" s="267"/>
      <c r="AN142" s="267"/>
      <c r="AO142" s="267">
        <f t="shared" si="369"/>
        <v>84</v>
      </c>
      <c r="AP142" s="267"/>
      <c r="AQ142" s="267"/>
      <c r="AR142" s="267"/>
      <c r="AS142" s="267"/>
      <c r="AT142" s="267"/>
      <c r="AU142" s="267"/>
      <c r="AV142" s="267"/>
      <c r="AW142" s="267"/>
      <c r="AX142" s="267"/>
      <c r="AY142" s="267"/>
      <c r="AZ142" s="267"/>
      <c r="BA142" s="267"/>
      <c r="BB142" s="267"/>
      <c r="BC142" s="267"/>
      <c r="BD142" s="267"/>
      <c r="BE142" s="267"/>
      <c r="BF142" s="267"/>
      <c r="BG142" s="267"/>
      <c r="BH142" s="267"/>
      <c r="BI142" s="267"/>
      <c r="BJ142" s="269">
        <f t="shared" ref="BJ142:BR142" si="375">$I142*BJ$2</f>
        <v>10.28125</v>
      </c>
      <c r="BK142" s="269">
        <f t="shared" si="375"/>
        <v>10.28125</v>
      </c>
      <c r="BL142" s="269">
        <f t="shared" si="375"/>
        <v>10.28125</v>
      </c>
      <c r="BM142" s="269">
        <f t="shared" si="375"/>
        <v>10.28125</v>
      </c>
      <c r="BN142" s="269">
        <f t="shared" si="375"/>
        <v>10.28125</v>
      </c>
      <c r="BO142" s="269">
        <f t="shared" si="375"/>
        <v>10.28125</v>
      </c>
      <c r="BP142" s="269">
        <f t="shared" si="375"/>
        <v>10.28125</v>
      </c>
      <c r="BQ142" s="269">
        <f t="shared" si="375"/>
        <v>10.28125</v>
      </c>
      <c r="BR142" s="269">
        <f t="shared" si="375"/>
        <v>1.75</v>
      </c>
      <c r="BT142" s="60">
        <f t="shared" ref="BT142:CB142" si="376">BT141-BJ142</f>
        <v>69131.546875</v>
      </c>
      <c r="BU142" s="60">
        <f t="shared" si="376"/>
        <v>69131.546875</v>
      </c>
      <c r="BV142" s="60">
        <f t="shared" si="376"/>
        <v>69131.546875</v>
      </c>
      <c r="BW142" s="60">
        <f t="shared" si="376"/>
        <v>69131.546875</v>
      </c>
      <c r="BX142" s="60">
        <f t="shared" si="376"/>
        <v>69131.546875</v>
      </c>
      <c r="BY142" s="60">
        <f t="shared" si="376"/>
        <v>69131.546875</v>
      </c>
      <c r="BZ142" s="60">
        <f t="shared" si="376"/>
        <v>69131.546875</v>
      </c>
      <c r="CA142" s="60">
        <f t="shared" si="376"/>
        <v>69131.546875</v>
      </c>
      <c r="CB142" s="60">
        <f t="shared" si="376"/>
        <v>11718.625</v>
      </c>
    </row>
    <row r="143" s="234" customFormat="1" ht="27" hidden="1" customHeight="1" spans="1:80">
      <c r="A143" s="236">
        <v>45812</v>
      </c>
      <c r="B143" s="237" t="s">
        <v>326</v>
      </c>
      <c r="C143" s="238" t="s">
        <v>117</v>
      </c>
      <c r="D143" s="239">
        <v>4500168944</v>
      </c>
      <c r="E143" s="304" t="s">
        <v>870</v>
      </c>
      <c r="F143" s="237" t="s">
        <v>871</v>
      </c>
      <c r="G143" s="240" t="s">
        <v>855</v>
      </c>
      <c r="H143" s="237" t="s">
        <v>856</v>
      </c>
      <c r="I143" s="247">
        <v>180</v>
      </c>
      <c r="J143" s="247">
        <v>0</v>
      </c>
      <c r="K143" s="247">
        <v>12</v>
      </c>
      <c r="L143" s="247">
        <f t="shared" si="374"/>
        <v>15</v>
      </c>
      <c r="M143" s="248">
        <v>45842</v>
      </c>
      <c r="N143" s="248">
        <f>M143-4</f>
        <v>45838</v>
      </c>
      <c r="O143" s="212" t="s">
        <v>872</v>
      </c>
      <c r="P143" s="212" t="s">
        <v>224</v>
      </c>
      <c r="Q143" s="212" t="s">
        <v>873</v>
      </c>
      <c r="R143" s="212" t="s">
        <v>859</v>
      </c>
      <c r="S143" s="212" t="s">
        <v>191</v>
      </c>
      <c r="T143" s="212" t="s">
        <v>860</v>
      </c>
      <c r="U143" s="212"/>
      <c r="V143" s="259" t="s">
        <v>861</v>
      </c>
      <c r="W143" s="248" t="s">
        <v>265</v>
      </c>
      <c r="X143" s="260">
        <v>0.4538</v>
      </c>
      <c r="Y143" s="247">
        <f t="shared" si="349"/>
        <v>81.684</v>
      </c>
      <c r="Z143" s="248" t="s">
        <v>874</v>
      </c>
      <c r="AA143" s="259">
        <v>180</v>
      </c>
      <c r="AB143" s="259">
        <f t="shared" si="275"/>
        <v>0</v>
      </c>
      <c r="AC143" s="212"/>
      <c r="AD143" s="212" t="s">
        <v>114</v>
      </c>
      <c r="AE143" s="248" t="s">
        <v>855</v>
      </c>
      <c r="AF143" s="248" t="s">
        <v>115</v>
      </c>
      <c r="AG143" s="267">
        <f t="shared" si="366"/>
        <v>180</v>
      </c>
      <c r="AH143" s="267">
        <f t="shared" si="367"/>
        <v>180</v>
      </c>
      <c r="AI143" s="267"/>
      <c r="AJ143" s="267"/>
      <c r="AK143" s="267">
        <f t="shared" si="368"/>
        <v>180</v>
      </c>
      <c r="AL143" s="267"/>
      <c r="AM143" s="267"/>
      <c r="AN143" s="267"/>
      <c r="AO143" s="267">
        <f t="shared" si="369"/>
        <v>180</v>
      </c>
      <c r="AP143" s="267"/>
      <c r="AQ143" s="267"/>
      <c r="AR143" s="267"/>
      <c r="AS143" s="267"/>
      <c r="AT143" s="267"/>
      <c r="AU143" s="267"/>
      <c r="AV143" s="267"/>
      <c r="AW143" s="267"/>
      <c r="AX143" s="267"/>
      <c r="AY143" s="267"/>
      <c r="AZ143" s="267"/>
      <c r="BA143" s="267"/>
      <c r="BB143" s="267"/>
      <c r="BC143" s="267"/>
      <c r="BD143" s="267"/>
      <c r="BE143" s="267"/>
      <c r="BF143" s="267"/>
      <c r="BG143" s="267"/>
      <c r="BH143" s="267"/>
      <c r="BI143" s="267"/>
      <c r="BJ143" s="269">
        <f t="shared" ref="BJ143:BR143" si="377">$I143*BJ$2</f>
        <v>22.0312499999999</v>
      </c>
      <c r="BK143" s="269">
        <f t="shared" si="377"/>
        <v>22.0312499999999</v>
      </c>
      <c r="BL143" s="269">
        <f t="shared" si="377"/>
        <v>22.0312499999999</v>
      </c>
      <c r="BM143" s="269">
        <f t="shared" si="377"/>
        <v>22.0312499999999</v>
      </c>
      <c r="BN143" s="269">
        <f t="shared" si="377"/>
        <v>22.0312499999999</v>
      </c>
      <c r="BO143" s="269">
        <f t="shared" si="377"/>
        <v>22.0312499999999</v>
      </c>
      <c r="BP143" s="269">
        <f t="shared" si="377"/>
        <v>22.0312499999999</v>
      </c>
      <c r="BQ143" s="269">
        <f t="shared" si="377"/>
        <v>22.0312499999999</v>
      </c>
      <c r="BR143" s="269">
        <f t="shared" si="377"/>
        <v>3.74999999999999</v>
      </c>
      <c r="BT143" s="60">
        <f t="shared" ref="BT143:CB143" si="378">BT142-BJ143</f>
        <v>69109.515625</v>
      </c>
      <c r="BU143" s="60">
        <f t="shared" si="378"/>
        <v>69109.515625</v>
      </c>
      <c r="BV143" s="60">
        <f t="shared" si="378"/>
        <v>69109.515625</v>
      </c>
      <c r="BW143" s="60">
        <f t="shared" si="378"/>
        <v>69109.515625</v>
      </c>
      <c r="BX143" s="60">
        <f t="shared" si="378"/>
        <v>69109.515625</v>
      </c>
      <c r="BY143" s="60">
        <f t="shared" si="378"/>
        <v>69109.515625</v>
      </c>
      <c r="BZ143" s="60">
        <f t="shared" si="378"/>
        <v>69109.515625</v>
      </c>
      <c r="CA143" s="60">
        <f t="shared" si="378"/>
        <v>69109.515625</v>
      </c>
      <c r="CB143" s="60">
        <f t="shared" si="378"/>
        <v>11714.875</v>
      </c>
    </row>
    <row r="144" s="234" customFormat="1" ht="27" hidden="1" customHeight="1" spans="1:80">
      <c r="A144" s="236">
        <v>45807</v>
      </c>
      <c r="B144" s="237" t="s">
        <v>875</v>
      </c>
      <c r="C144" s="238" t="s">
        <v>876</v>
      </c>
      <c r="D144" s="239">
        <v>4500168505</v>
      </c>
      <c r="E144" s="238"/>
      <c r="F144" s="237" t="s">
        <v>877</v>
      </c>
      <c r="G144" s="240" t="s">
        <v>78</v>
      </c>
      <c r="H144" s="237" t="s">
        <v>79</v>
      </c>
      <c r="I144" s="247">
        <v>540</v>
      </c>
      <c r="J144" s="247">
        <v>0</v>
      </c>
      <c r="K144" s="247">
        <v>54</v>
      </c>
      <c r="L144" s="247">
        <f t="shared" si="374"/>
        <v>10</v>
      </c>
      <c r="M144" s="248">
        <v>45840</v>
      </c>
      <c r="N144" s="248">
        <v>45840</v>
      </c>
      <c r="O144" s="212"/>
      <c r="P144" s="212" t="s">
        <v>224</v>
      </c>
      <c r="Q144" s="212" t="s">
        <v>878</v>
      </c>
      <c r="R144" s="273">
        <v>45815</v>
      </c>
      <c r="S144" s="212" t="s">
        <v>80</v>
      </c>
      <c r="T144" s="212" t="s">
        <v>879</v>
      </c>
      <c r="U144" s="212"/>
      <c r="V144" s="259" t="s">
        <v>880</v>
      </c>
      <c r="W144" s="248" t="s">
        <v>881</v>
      </c>
      <c r="X144" s="260">
        <v>0.7967</v>
      </c>
      <c r="Y144" s="247">
        <f t="shared" si="349"/>
        <v>430.218</v>
      </c>
      <c r="Z144" s="248"/>
      <c r="AA144" s="259">
        <v>540</v>
      </c>
      <c r="AB144" s="259">
        <f t="shared" si="275"/>
        <v>0</v>
      </c>
      <c r="AC144" s="212" t="s">
        <v>113</v>
      </c>
      <c r="AD144" s="212" t="s">
        <v>114</v>
      </c>
      <c r="AE144" s="248" t="s">
        <v>230</v>
      </c>
      <c r="AF144" s="248" t="s">
        <v>115</v>
      </c>
      <c r="AG144" s="267">
        <f t="shared" si="366"/>
        <v>540</v>
      </c>
      <c r="AH144" s="267">
        <f t="shared" si="367"/>
        <v>540</v>
      </c>
      <c r="AI144" s="267"/>
      <c r="AJ144" s="267"/>
      <c r="AK144" s="267"/>
      <c r="AL144" s="267">
        <f>I144</f>
        <v>540</v>
      </c>
      <c r="AM144" s="267"/>
      <c r="AN144" s="267"/>
      <c r="AO144" s="267">
        <f t="shared" si="369"/>
        <v>540</v>
      </c>
      <c r="AP144" s="267"/>
      <c r="AQ144" s="267"/>
      <c r="AR144" s="267">
        <f>I144/27</f>
        <v>20</v>
      </c>
      <c r="AS144" s="267"/>
      <c r="AT144" s="267"/>
      <c r="AU144" s="267"/>
      <c r="AV144" s="267"/>
      <c r="AW144" s="267"/>
      <c r="AX144" s="267"/>
      <c r="AY144" s="267"/>
      <c r="AZ144" s="267"/>
      <c r="BA144" s="267"/>
      <c r="BB144" s="267"/>
      <c r="BC144" s="267"/>
      <c r="BD144" s="267"/>
      <c r="BE144" s="267"/>
      <c r="BF144" s="267"/>
      <c r="BG144" s="267"/>
      <c r="BH144" s="267"/>
      <c r="BI144" s="267"/>
      <c r="BJ144" s="269">
        <f t="shared" ref="BJ144:BR144" si="379">$I144*BJ$2</f>
        <v>66.0937499999998</v>
      </c>
      <c r="BK144" s="269">
        <f t="shared" si="379"/>
        <v>66.0937499999998</v>
      </c>
      <c r="BL144" s="269">
        <f t="shared" si="379"/>
        <v>66.0937499999998</v>
      </c>
      <c r="BM144" s="269">
        <f t="shared" si="379"/>
        <v>66.0937499999998</v>
      </c>
      <c r="BN144" s="269">
        <f t="shared" si="379"/>
        <v>66.0937499999998</v>
      </c>
      <c r="BO144" s="269">
        <f t="shared" si="379"/>
        <v>66.0937499999998</v>
      </c>
      <c r="BP144" s="269">
        <f t="shared" si="379"/>
        <v>66.0937499999998</v>
      </c>
      <c r="BQ144" s="269">
        <f t="shared" si="379"/>
        <v>66.0937499999998</v>
      </c>
      <c r="BR144" s="269">
        <f t="shared" si="379"/>
        <v>11.25</v>
      </c>
      <c r="BT144" s="60">
        <f t="shared" ref="BT144:CB144" si="380">BT143-BJ144</f>
        <v>69043.421875</v>
      </c>
      <c r="BU144" s="60">
        <f t="shared" si="380"/>
        <v>69043.421875</v>
      </c>
      <c r="BV144" s="60">
        <f t="shared" si="380"/>
        <v>69043.421875</v>
      </c>
      <c r="BW144" s="60">
        <f t="shared" si="380"/>
        <v>69043.421875</v>
      </c>
      <c r="BX144" s="60">
        <f t="shared" si="380"/>
        <v>69043.421875</v>
      </c>
      <c r="BY144" s="60">
        <f t="shared" si="380"/>
        <v>69043.421875</v>
      </c>
      <c r="BZ144" s="60">
        <f t="shared" si="380"/>
        <v>69043.421875</v>
      </c>
      <c r="CA144" s="60">
        <f t="shared" si="380"/>
        <v>69043.421875</v>
      </c>
      <c r="CB144" s="60">
        <f t="shared" si="380"/>
        <v>11703.625</v>
      </c>
    </row>
    <row r="145" s="234" customFormat="1" ht="27" hidden="1" customHeight="1" spans="1:80">
      <c r="A145" s="236">
        <v>45770</v>
      </c>
      <c r="B145" s="237" t="s">
        <v>882</v>
      </c>
      <c r="C145" s="238" t="s">
        <v>883</v>
      </c>
      <c r="D145" s="239">
        <v>4500163833</v>
      </c>
      <c r="E145" s="238" t="s">
        <v>884</v>
      </c>
      <c r="F145" s="237" t="s">
        <v>885</v>
      </c>
      <c r="G145" s="240" t="s">
        <v>78</v>
      </c>
      <c r="H145" s="237" t="s">
        <v>79</v>
      </c>
      <c r="I145" s="247">
        <v>1080</v>
      </c>
      <c r="J145" s="247">
        <v>0</v>
      </c>
      <c r="K145" s="247">
        <v>54</v>
      </c>
      <c r="L145" s="247">
        <f t="shared" si="374"/>
        <v>20</v>
      </c>
      <c r="M145" s="248">
        <v>45838</v>
      </c>
      <c r="N145" s="248">
        <v>45842</v>
      </c>
      <c r="O145" s="212"/>
      <c r="P145" s="212" t="s">
        <v>224</v>
      </c>
      <c r="Q145" s="212"/>
      <c r="R145" s="212">
        <v>45812</v>
      </c>
      <c r="S145" s="212" t="s">
        <v>80</v>
      </c>
      <c r="T145" s="212" t="s">
        <v>886</v>
      </c>
      <c r="U145" s="212"/>
      <c r="V145" s="259" t="s">
        <v>887</v>
      </c>
      <c r="W145" s="248" t="s">
        <v>228</v>
      </c>
      <c r="X145" s="260">
        <v>0.7913</v>
      </c>
      <c r="Y145" s="247">
        <f t="shared" si="349"/>
        <v>854.604</v>
      </c>
      <c r="Z145" s="248" t="s">
        <v>888</v>
      </c>
      <c r="AA145" s="259">
        <f>1080</f>
        <v>1080</v>
      </c>
      <c r="AB145" s="259">
        <f t="shared" si="275"/>
        <v>0</v>
      </c>
      <c r="AC145" s="212" t="s">
        <v>113</v>
      </c>
      <c r="AD145" s="212" t="s">
        <v>114</v>
      </c>
      <c r="AE145" s="248" t="s">
        <v>230</v>
      </c>
      <c r="AF145" s="248" t="s">
        <v>115</v>
      </c>
      <c r="AG145" s="267">
        <f t="shared" si="366"/>
        <v>1080</v>
      </c>
      <c r="AH145" s="267">
        <f t="shared" si="367"/>
        <v>1080</v>
      </c>
      <c r="AI145" s="267"/>
      <c r="AJ145" s="267"/>
      <c r="AK145" s="267"/>
      <c r="AL145" s="267">
        <f>I145</f>
        <v>1080</v>
      </c>
      <c r="AM145" s="267"/>
      <c r="AN145" s="267"/>
      <c r="AO145" s="267">
        <f t="shared" si="369"/>
        <v>1080</v>
      </c>
      <c r="AP145" s="267"/>
      <c r="AQ145" s="267"/>
      <c r="AR145" s="267">
        <f>I145/27</f>
        <v>40</v>
      </c>
      <c r="AS145" s="267"/>
      <c r="AT145" s="267"/>
      <c r="AU145" s="267"/>
      <c r="AV145" s="267"/>
      <c r="AW145" s="267"/>
      <c r="AX145" s="267"/>
      <c r="AY145" s="267"/>
      <c r="AZ145" s="267"/>
      <c r="BA145" s="267"/>
      <c r="BB145" s="267"/>
      <c r="BC145" s="267"/>
      <c r="BD145" s="267"/>
      <c r="BE145" s="267"/>
      <c r="BF145" s="267"/>
      <c r="BG145" s="267"/>
      <c r="BH145" s="267"/>
      <c r="BI145" s="267"/>
      <c r="BJ145" s="269">
        <f t="shared" ref="BJ145:BR145" si="381">$I145*BJ$2</f>
        <v>132.1875</v>
      </c>
      <c r="BK145" s="269">
        <f t="shared" si="381"/>
        <v>132.1875</v>
      </c>
      <c r="BL145" s="269">
        <f t="shared" si="381"/>
        <v>132.1875</v>
      </c>
      <c r="BM145" s="269">
        <f t="shared" si="381"/>
        <v>132.1875</v>
      </c>
      <c r="BN145" s="269">
        <f t="shared" si="381"/>
        <v>132.1875</v>
      </c>
      <c r="BO145" s="269">
        <f t="shared" si="381"/>
        <v>132.1875</v>
      </c>
      <c r="BP145" s="269">
        <f t="shared" si="381"/>
        <v>132.1875</v>
      </c>
      <c r="BQ145" s="269">
        <f t="shared" si="381"/>
        <v>132.1875</v>
      </c>
      <c r="BR145" s="269">
        <f t="shared" si="381"/>
        <v>22.5</v>
      </c>
      <c r="BT145" s="60">
        <f t="shared" ref="BT145:CB145" si="382">BT144-BJ145</f>
        <v>68911.234375</v>
      </c>
      <c r="BU145" s="60">
        <f t="shared" si="382"/>
        <v>68911.234375</v>
      </c>
      <c r="BV145" s="60">
        <f t="shared" si="382"/>
        <v>68911.234375</v>
      </c>
      <c r="BW145" s="60">
        <f t="shared" si="382"/>
        <v>68911.234375</v>
      </c>
      <c r="BX145" s="60">
        <f t="shared" si="382"/>
        <v>68911.234375</v>
      </c>
      <c r="BY145" s="60">
        <f t="shared" si="382"/>
        <v>68911.234375</v>
      </c>
      <c r="BZ145" s="60">
        <f t="shared" si="382"/>
        <v>68911.234375</v>
      </c>
      <c r="CA145" s="60">
        <f t="shared" si="382"/>
        <v>68911.234375</v>
      </c>
      <c r="CB145" s="60">
        <f t="shared" si="382"/>
        <v>11681.125</v>
      </c>
    </row>
    <row r="146" s="234" customFormat="1" ht="27" hidden="1" customHeight="1" spans="1:80">
      <c r="A146" s="236">
        <v>45792</v>
      </c>
      <c r="B146" s="237" t="s">
        <v>600</v>
      </c>
      <c r="C146" s="238" t="s">
        <v>117</v>
      </c>
      <c r="D146" s="239">
        <v>4500166541</v>
      </c>
      <c r="E146" s="304" t="s">
        <v>889</v>
      </c>
      <c r="F146" s="237" t="s">
        <v>890</v>
      </c>
      <c r="G146" s="240" t="s">
        <v>258</v>
      </c>
      <c r="H146" s="237" t="s">
        <v>259</v>
      </c>
      <c r="I146" s="247">
        <v>1152</v>
      </c>
      <c r="J146" s="247">
        <v>0</v>
      </c>
      <c r="K146" s="247">
        <v>1152</v>
      </c>
      <c r="L146" s="247">
        <f t="shared" si="374"/>
        <v>1</v>
      </c>
      <c r="M146" s="248">
        <v>45847</v>
      </c>
      <c r="N146" s="248">
        <v>45843</v>
      </c>
      <c r="O146" s="212" t="s">
        <v>891</v>
      </c>
      <c r="P146" s="212" t="s">
        <v>224</v>
      </c>
      <c r="Q146" s="212" t="s">
        <v>892</v>
      </c>
      <c r="R146" s="212" t="s">
        <v>331</v>
      </c>
      <c r="S146" s="212" t="s">
        <v>191</v>
      </c>
      <c r="T146" s="212" t="s">
        <v>605</v>
      </c>
      <c r="U146" s="212"/>
      <c r="V146" s="259" t="s">
        <v>606</v>
      </c>
      <c r="W146" s="248" t="s">
        <v>607</v>
      </c>
      <c r="X146" s="260">
        <v>555.88</v>
      </c>
      <c r="Y146" s="247">
        <f>X146*L146</f>
        <v>555.88</v>
      </c>
      <c r="Z146" s="248" t="s">
        <v>893</v>
      </c>
      <c r="AA146" s="259">
        <v>1152</v>
      </c>
      <c r="AB146" s="259">
        <f t="shared" si="275"/>
        <v>0</v>
      </c>
      <c r="AC146" s="212"/>
      <c r="AD146" s="212" t="s">
        <v>114</v>
      </c>
      <c r="AE146" s="248" t="s">
        <v>258</v>
      </c>
      <c r="AF146" s="248" t="s">
        <v>115</v>
      </c>
      <c r="AG146" s="267">
        <f t="shared" si="366"/>
        <v>1152</v>
      </c>
      <c r="AH146" s="267">
        <f t="shared" si="367"/>
        <v>1152</v>
      </c>
      <c r="AI146" s="267"/>
      <c r="AJ146" s="267"/>
      <c r="AK146" s="267">
        <f t="shared" ref="AK146:AK157" si="383">I146</f>
        <v>1152</v>
      </c>
      <c r="AL146" s="267"/>
      <c r="AM146" s="267"/>
      <c r="AN146" s="267"/>
      <c r="AO146" s="267">
        <f t="shared" si="369"/>
        <v>1152</v>
      </c>
      <c r="AP146" s="267"/>
      <c r="AQ146" s="267"/>
      <c r="AR146" s="267"/>
      <c r="AS146" s="267"/>
      <c r="AT146" s="267"/>
      <c r="AU146" s="267"/>
      <c r="AV146" s="267">
        <f>I146/12</f>
        <v>96</v>
      </c>
      <c r="AW146" s="267"/>
      <c r="AX146" s="267"/>
      <c r="AY146" s="267"/>
      <c r="AZ146" s="267"/>
      <c r="BA146" s="267"/>
      <c r="BB146" s="267"/>
      <c r="BC146" s="267"/>
      <c r="BD146" s="267"/>
      <c r="BE146" s="267"/>
      <c r="BF146" s="267"/>
      <c r="BG146" s="267"/>
      <c r="BH146" s="267"/>
      <c r="BI146" s="267"/>
      <c r="BJ146" s="269">
        <f t="shared" ref="BJ146:BR146" si="384">$I146*BJ$2</f>
        <v>141</v>
      </c>
      <c r="BK146" s="269">
        <f t="shared" si="384"/>
        <v>141</v>
      </c>
      <c r="BL146" s="269">
        <f t="shared" si="384"/>
        <v>141</v>
      </c>
      <c r="BM146" s="269">
        <f t="shared" si="384"/>
        <v>141</v>
      </c>
      <c r="BN146" s="269">
        <f t="shared" si="384"/>
        <v>141</v>
      </c>
      <c r="BO146" s="269">
        <f t="shared" si="384"/>
        <v>141</v>
      </c>
      <c r="BP146" s="269">
        <f t="shared" si="384"/>
        <v>141</v>
      </c>
      <c r="BQ146" s="269">
        <f t="shared" si="384"/>
        <v>141</v>
      </c>
      <c r="BR146" s="269">
        <f t="shared" si="384"/>
        <v>24</v>
      </c>
      <c r="BT146" s="60">
        <f t="shared" ref="BT146:CB146" si="385">BT145-BJ146</f>
        <v>68770.234375</v>
      </c>
      <c r="BU146" s="60">
        <f t="shared" si="385"/>
        <v>68770.234375</v>
      </c>
      <c r="BV146" s="60">
        <f t="shared" si="385"/>
        <v>68770.234375</v>
      </c>
      <c r="BW146" s="60">
        <f t="shared" si="385"/>
        <v>68770.234375</v>
      </c>
      <c r="BX146" s="60">
        <f t="shared" si="385"/>
        <v>68770.234375</v>
      </c>
      <c r="BY146" s="60">
        <f t="shared" si="385"/>
        <v>68770.234375</v>
      </c>
      <c r="BZ146" s="60">
        <f t="shared" si="385"/>
        <v>68770.234375</v>
      </c>
      <c r="CA146" s="60">
        <f t="shared" si="385"/>
        <v>68770.234375</v>
      </c>
      <c r="CB146" s="60">
        <f t="shared" si="385"/>
        <v>11657.125</v>
      </c>
    </row>
    <row r="147" s="234" customFormat="1" ht="27" hidden="1" customHeight="1" spans="1:80">
      <c r="A147" s="236">
        <v>45792</v>
      </c>
      <c r="B147" s="237" t="s">
        <v>600</v>
      </c>
      <c r="C147" s="238" t="s">
        <v>117</v>
      </c>
      <c r="D147" s="239">
        <v>4500166541</v>
      </c>
      <c r="E147" s="304" t="s">
        <v>894</v>
      </c>
      <c r="F147" s="237" t="s">
        <v>895</v>
      </c>
      <c r="G147" s="240" t="s">
        <v>258</v>
      </c>
      <c r="H147" s="237" t="s">
        <v>259</v>
      </c>
      <c r="I147" s="247">
        <v>1152</v>
      </c>
      <c r="J147" s="247">
        <v>0</v>
      </c>
      <c r="K147" s="247">
        <v>1152</v>
      </c>
      <c r="L147" s="247">
        <f t="shared" si="374"/>
        <v>1</v>
      </c>
      <c r="M147" s="248">
        <v>45847</v>
      </c>
      <c r="N147" s="248">
        <v>45843</v>
      </c>
      <c r="O147" s="212" t="s">
        <v>896</v>
      </c>
      <c r="P147" s="212" t="s">
        <v>224</v>
      </c>
      <c r="Q147" s="212" t="s">
        <v>892</v>
      </c>
      <c r="R147" s="212" t="s">
        <v>331</v>
      </c>
      <c r="S147" s="212" t="s">
        <v>191</v>
      </c>
      <c r="T147" s="212" t="s">
        <v>605</v>
      </c>
      <c r="U147" s="212"/>
      <c r="V147" s="259" t="s">
        <v>606</v>
      </c>
      <c r="W147" s="248" t="s">
        <v>607</v>
      </c>
      <c r="X147" s="260">
        <v>555.88</v>
      </c>
      <c r="Y147" s="247">
        <f>X147*L147</f>
        <v>555.88</v>
      </c>
      <c r="Z147" s="248" t="s">
        <v>897</v>
      </c>
      <c r="AA147" s="259">
        <v>1152</v>
      </c>
      <c r="AB147" s="259">
        <f t="shared" si="275"/>
        <v>0</v>
      </c>
      <c r="AC147" s="212"/>
      <c r="AD147" s="212" t="s">
        <v>114</v>
      </c>
      <c r="AE147" s="248" t="s">
        <v>258</v>
      </c>
      <c r="AF147" s="248" t="s">
        <v>115</v>
      </c>
      <c r="AG147" s="267">
        <f t="shared" si="366"/>
        <v>1152</v>
      </c>
      <c r="AH147" s="267">
        <f t="shared" si="367"/>
        <v>1152</v>
      </c>
      <c r="AI147" s="267"/>
      <c r="AJ147" s="267"/>
      <c r="AK147" s="267">
        <f t="shared" si="383"/>
        <v>1152</v>
      </c>
      <c r="AL147" s="267"/>
      <c r="AM147" s="267"/>
      <c r="AN147" s="267"/>
      <c r="AO147" s="267">
        <f t="shared" si="369"/>
        <v>1152</v>
      </c>
      <c r="AP147" s="267"/>
      <c r="AQ147" s="267"/>
      <c r="AR147" s="267"/>
      <c r="AS147" s="267"/>
      <c r="AT147" s="267"/>
      <c r="AU147" s="267"/>
      <c r="AV147" s="267">
        <f>I147/12</f>
        <v>96</v>
      </c>
      <c r="AW147" s="267"/>
      <c r="AX147" s="267"/>
      <c r="AY147" s="267"/>
      <c r="AZ147" s="267"/>
      <c r="BA147" s="267"/>
      <c r="BB147" s="267"/>
      <c r="BC147" s="267"/>
      <c r="BD147" s="267"/>
      <c r="BE147" s="267"/>
      <c r="BF147" s="267"/>
      <c r="BG147" s="267"/>
      <c r="BH147" s="267"/>
      <c r="BI147" s="267"/>
      <c r="BJ147" s="269">
        <f t="shared" ref="BJ147:BR147" si="386">$I147*BJ$2</f>
        <v>141</v>
      </c>
      <c r="BK147" s="269">
        <f t="shared" si="386"/>
        <v>141</v>
      </c>
      <c r="BL147" s="269">
        <f t="shared" si="386"/>
        <v>141</v>
      </c>
      <c r="BM147" s="269">
        <f t="shared" si="386"/>
        <v>141</v>
      </c>
      <c r="BN147" s="269">
        <f t="shared" si="386"/>
        <v>141</v>
      </c>
      <c r="BO147" s="269">
        <f t="shared" si="386"/>
        <v>141</v>
      </c>
      <c r="BP147" s="269">
        <f t="shared" si="386"/>
        <v>141</v>
      </c>
      <c r="BQ147" s="269">
        <f t="shared" si="386"/>
        <v>141</v>
      </c>
      <c r="BR147" s="269">
        <f t="shared" si="386"/>
        <v>24</v>
      </c>
      <c r="BT147" s="60">
        <f t="shared" ref="BT147:CB147" si="387">BT146-BJ147</f>
        <v>68629.234375</v>
      </c>
      <c r="BU147" s="60">
        <f t="shared" si="387"/>
        <v>68629.234375</v>
      </c>
      <c r="BV147" s="60">
        <f t="shared" si="387"/>
        <v>68629.234375</v>
      </c>
      <c r="BW147" s="60">
        <f t="shared" si="387"/>
        <v>68629.234375</v>
      </c>
      <c r="BX147" s="60">
        <f t="shared" si="387"/>
        <v>68629.234375</v>
      </c>
      <c r="BY147" s="60">
        <f t="shared" si="387"/>
        <v>68629.234375</v>
      </c>
      <c r="BZ147" s="60">
        <f t="shared" si="387"/>
        <v>68629.234375</v>
      </c>
      <c r="CA147" s="60">
        <f t="shared" si="387"/>
        <v>68629.234375</v>
      </c>
      <c r="CB147" s="60">
        <f t="shared" si="387"/>
        <v>11633.125</v>
      </c>
    </row>
    <row r="148" s="234" customFormat="1" ht="27" hidden="1" customHeight="1" spans="1:80">
      <c r="A148" s="236">
        <v>45803</v>
      </c>
      <c r="B148" s="237" t="s">
        <v>803</v>
      </c>
      <c r="C148" s="238" t="s">
        <v>104</v>
      </c>
      <c r="D148" s="239">
        <v>4500168029</v>
      </c>
      <c r="E148" s="238" t="s">
        <v>898</v>
      </c>
      <c r="F148" s="237" t="s">
        <v>899</v>
      </c>
      <c r="G148" s="240" t="s">
        <v>94</v>
      </c>
      <c r="H148" s="237" t="s">
        <v>211</v>
      </c>
      <c r="I148" s="247">
        <v>1040</v>
      </c>
      <c r="J148" s="247">
        <v>0</v>
      </c>
      <c r="K148" s="247">
        <v>52</v>
      </c>
      <c r="L148" s="247">
        <f t="shared" si="374"/>
        <v>20</v>
      </c>
      <c r="M148" s="248">
        <v>45842</v>
      </c>
      <c r="N148" s="248">
        <f t="shared" ref="N148:N151" si="388">M148-4</f>
        <v>45838</v>
      </c>
      <c r="O148" s="212"/>
      <c r="P148" s="212" t="s">
        <v>107</v>
      </c>
      <c r="Q148" s="212" t="s">
        <v>763</v>
      </c>
      <c r="R148" s="274">
        <v>45803</v>
      </c>
      <c r="S148" s="212" t="s">
        <v>80</v>
      </c>
      <c r="T148" s="212" t="s">
        <v>900</v>
      </c>
      <c r="U148" s="212"/>
      <c r="V148" s="259" t="s">
        <v>901</v>
      </c>
      <c r="W148" s="248" t="s">
        <v>809</v>
      </c>
      <c r="X148" s="260">
        <v>0.8434</v>
      </c>
      <c r="Y148" s="247">
        <f t="shared" ref="Y148:Y156" si="389">X148*I148</f>
        <v>877.136</v>
      </c>
      <c r="Z148" s="248" t="s">
        <v>902</v>
      </c>
      <c r="AA148" s="259">
        <v>1040</v>
      </c>
      <c r="AB148" s="259">
        <f t="shared" si="275"/>
        <v>0</v>
      </c>
      <c r="AC148" s="280" t="s">
        <v>113</v>
      </c>
      <c r="AD148" s="212" t="s">
        <v>114</v>
      </c>
      <c r="AE148" s="248" t="s">
        <v>94</v>
      </c>
      <c r="AF148" s="248" t="s">
        <v>115</v>
      </c>
      <c r="AG148" s="267">
        <f t="shared" si="366"/>
        <v>1040</v>
      </c>
      <c r="AH148" s="267">
        <f t="shared" si="367"/>
        <v>1040</v>
      </c>
      <c r="AI148" s="267"/>
      <c r="AJ148" s="267"/>
      <c r="AK148" s="267">
        <f t="shared" si="383"/>
        <v>1040</v>
      </c>
      <c r="AL148" s="267"/>
      <c r="AM148" s="267"/>
      <c r="AN148" s="267"/>
      <c r="AO148" s="267">
        <f t="shared" si="369"/>
        <v>1040</v>
      </c>
      <c r="AP148" s="267"/>
      <c r="AQ148" s="267"/>
      <c r="AR148" s="267"/>
      <c r="AS148" s="267"/>
      <c r="AT148" s="267">
        <f t="shared" ref="AT148:AT152" si="390">I148/13</f>
        <v>80</v>
      </c>
      <c r="AU148" s="267"/>
      <c r="AV148" s="267"/>
      <c r="AW148" s="267"/>
      <c r="AX148" s="267"/>
      <c r="AY148" s="267"/>
      <c r="AZ148" s="267"/>
      <c r="BA148" s="267"/>
      <c r="BB148" s="267"/>
      <c r="BC148" s="267"/>
      <c r="BD148" s="267"/>
      <c r="BE148" s="267"/>
      <c r="BF148" s="267"/>
      <c r="BG148" s="267"/>
      <c r="BH148" s="267"/>
      <c r="BI148" s="267"/>
      <c r="BJ148" s="269">
        <f t="shared" ref="BJ148:BR148" si="391">$I148*BJ$2</f>
        <v>127.291666666666</v>
      </c>
      <c r="BK148" s="269">
        <f t="shared" si="391"/>
        <v>127.291666666666</v>
      </c>
      <c r="BL148" s="269">
        <f t="shared" si="391"/>
        <v>127.291666666666</v>
      </c>
      <c r="BM148" s="269">
        <f t="shared" si="391"/>
        <v>127.291666666666</v>
      </c>
      <c r="BN148" s="269">
        <f t="shared" si="391"/>
        <v>127.291666666666</v>
      </c>
      <c r="BO148" s="269">
        <f t="shared" si="391"/>
        <v>127.291666666666</v>
      </c>
      <c r="BP148" s="269">
        <f t="shared" si="391"/>
        <v>127.291666666666</v>
      </c>
      <c r="BQ148" s="269">
        <f t="shared" si="391"/>
        <v>127.291666666666</v>
      </c>
      <c r="BR148" s="269">
        <f t="shared" si="391"/>
        <v>21.6666666666666</v>
      </c>
      <c r="BT148" s="60">
        <f t="shared" ref="BT148:CB148" si="392">BT147-BJ148</f>
        <v>68501.9427083334</v>
      </c>
      <c r="BU148" s="60">
        <f t="shared" si="392"/>
        <v>68501.9427083334</v>
      </c>
      <c r="BV148" s="60">
        <f t="shared" si="392"/>
        <v>68501.9427083334</v>
      </c>
      <c r="BW148" s="60">
        <f t="shared" si="392"/>
        <v>68501.9427083334</v>
      </c>
      <c r="BX148" s="60">
        <f t="shared" si="392"/>
        <v>68501.9427083334</v>
      </c>
      <c r="BY148" s="60">
        <f t="shared" si="392"/>
        <v>68501.9427083334</v>
      </c>
      <c r="BZ148" s="60">
        <f t="shared" si="392"/>
        <v>68501.9427083334</v>
      </c>
      <c r="CA148" s="60">
        <f t="shared" si="392"/>
        <v>68501.9427083334</v>
      </c>
      <c r="CB148" s="60">
        <f t="shared" si="392"/>
        <v>11611.4583333333</v>
      </c>
    </row>
    <row r="149" s="234" customFormat="1" ht="27" hidden="1" customHeight="1" spans="1:80">
      <c r="A149" s="236">
        <v>45803</v>
      </c>
      <c r="B149" s="237" t="s">
        <v>803</v>
      </c>
      <c r="C149" s="238" t="s">
        <v>104</v>
      </c>
      <c r="D149" s="239">
        <v>4500168029</v>
      </c>
      <c r="E149" s="238" t="s">
        <v>903</v>
      </c>
      <c r="F149" s="237" t="s">
        <v>904</v>
      </c>
      <c r="G149" s="240" t="s">
        <v>94</v>
      </c>
      <c r="H149" s="237" t="s">
        <v>211</v>
      </c>
      <c r="I149" s="247">
        <v>936</v>
      </c>
      <c r="J149" s="247">
        <v>0</v>
      </c>
      <c r="K149" s="247">
        <v>52</v>
      </c>
      <c r="L149" s="247">
        <f t="shared" si="374"/>
        <v>18</v>
      </c>
      <c r="M149" s="248">
        <v>45842</v>
      </c>
      <c r="N149" s="248">
        <f t="shared" si="388"/>
        <v>45838</v>
      </c>
      <c r="O149" s="212"/>
      <c r="P149" s="212" t="s">
        <v>107</v>
      </c>
      <c r="Q149" s="212" t="s">
        <v>763</v>
      </c>
      <c r="R149" s="274">
        <v>45803</v>
      </c>
      <c r="S149" s="212" t="s">
        <v>80</v>
      </c>
      <c r="T149" s="212" t="s">
        <v>900</v>
      </c>
      <c r="U149" s="212"/>
      <c r="V149" s="259" t="s">
        <v>901</v>
      </c>
      <c r="W149" s="248" t="s">
        <v>809</v>
      </c>
      <c r="X149" s="260">
        <v>0.8434</v>
      </c>
      <c r="Y149" s="247">
        <f t="shared" si="389"/>
        <v>789.4224</v>
      </c>
      <c r="Z149" s="248" t="s">
        <v>905</v>
      </c>
      <c r="AA149" s="259">
        <v>936</v>
      </c>
      <c r="AB149" s="259">
        <f t="shared" si="275"/>
        <v>0</v>
      </c>
      <c r="AC149" s="285"/>
      <c r="AD149" s="212" t="s">
        <v>114</v>
      </c>
      <c r="AE149" s="248" t="s">
        <v>94</v>
      </c>
      <c r="AF149" s="248" t="s">
        <v>115</v>
      </c>
      <c r="AG149" s="267">
        <f t="shared" si="366"/>
        <v>936</v>
      </c>
      <c r="AH149" s="267">
        <f t="shared" si="367"/>
        <v>936</v>
      </c>
      <c r="AI149" s="267"/>
      <c r="AJ149" s="267"/>
      <c r="AK149" s="267">
        <f t="shared" si="383"/>
        <v>936</v>
      </c>
      <c r="AL149" s="267"/>
      <c r="AM149" s="267"/>
      <c r="AN149" s="267"/>
      <c r="AO149" s="267">
        <f t="shared" si="369"/>
        <v>936</v>
      </c>
      <c r="AP149" s="267"/>
      <c r="AQ149" s="267"/>
      <c r="AR149" s="267"/>
      <c r="AS149" s="267"/>
      <c r="AT149" s="267">
        <f t="shared" si="390"/>
        <v>72</v>
      </c>
      <c r="AU149" s="267"/>
      <c r="AV149" s="267"/>
      <c r="AW149" s="267"/>
      <c r="AX149" s="267"/>
      <c r="AY149" s="267"/>
      <c r="AZ149" s="267"/>
      <c r="BA149" s="267"/>
      <c r="BB149" s="267"/>
      <c r="BC149" s="267"/>
      <c r="BD149" s="267"/>
      <c r="BE149" s="267"/>
      <c r="BF149" s="267"/>
      <c r="BG149" s="267"/>
      <c r="BH149" s="267"/>
      <c r="BI149" s="267"/>
      <c r="BJ149" s="269">
        <f t="shared" ref="BJ149:BR149" si="393">$I149*BJ$2</f>
        <v>114.5625</v>
      </c>
      <c r="BK149" s="269">
        <f t="shared" si="393"/>
        <v>114.5625</v>
      </c>
      <c r="BL149" s="269">
        <f t="shared" si="393"/>
        <v>114.5625</v>
      </c>
      <c r="BM149" s="269">
        <f t="shared" si="393"/>
        <v>114.5625</v>
      </c>
      <c r="BN149" s="269">
        <f t="shared" si="393"/>
        <v>114.5625</v>
      </c>
      <c r="BO149" s="269">
        <f t="shared" si="393"/>
        <v>114.5625</v>
      </c>
      <c r="BP149" s="269">
        <f t="shared" si="393"/>
        <v>114.5625</v>
      </c>
      <c r="BQ149" s="269">
        <f t="shared" si="393"/>
        <v>114.5625</v>
      </c>
      <c r="BR149" s="269">
        <f t="shared" si="393"/>
        <v>19.5</v>
      </c>
      <c r="BT149" s="60">
        <f t="shared" ref="BT149:CB149" si="394">BT148-BJ149</f>
        <v>68387.3802083334</v>
      </c>
      <c r="BU149" s="60">
        <f t="shared" si="394"/>
        <v>68387.3802083334</v>
      </c>
      <c r="BV149" s="60">
        <f t="shared" si="394"/>
        <v>68387.3802083334</v>
      </c>
      <c r="BW149" s="60">
        <f t="shared" si="394"/>
        <v>68387.3802083334</v>
      </c>
      <c r="BX149" s="60">
        <f t="shared" si="394"/>
        <v>68387.3802083334</v>
      </c>
      <c r="BY149" s="60">
        <f t="shared" si="394"/>
        <v>68387.3802083334</v>
      </c>
      <c r="BZ149" s="60">
        <f t="shared" si="394"/>
        <v>68387.3802083334</v>
      </c>
      <c r="CA149" s="60">
        <f t="shared" si="394"/>
        <v>68387.3802083334</v>
      </c>
      <c r="CB149" s="60">
        <f t="shared" si="394"/>
        <v>11591.9583333333</v>
      </c>
    </row>
    <row r="150" s="234" customFormat="1" ht="27" hidden="1" customHeight="1" spans="1:80">
      <c r="A150" s="236">
        <v>45803</v>
      </c>
      <c r="B150" s="237" t="s">
        <v>803</v>
      </c>
      <c r="C150" s="238" t="s">
        <v>104</v>
      </c>
      <c r="D150" s="239">
        <v>4500168029</v>
      </c>
      <c r="E150" s="238" t="s">
        <v>906</v>
      </c>
      <c r="F150" s="237" t="s">
        <v>907</v>
      </c>
      <c r="G150" s="240" t="s">
        <v>94</v>
      </c>
      <c r="H150" s="237" t="s">
        <v>211</v>
      </c>
      <c r="I150" s="247">
        <v>728</v>
      </c>
      <c r="J150" s="247">
        <v>0</v>
      </c>
      <c r="K150" s="247">
        <v>52</v>
      </c>
      <c r="L150" s="247">
        <f t="shared" si="374"/>
        <v>14</v>
      </c>
      <c r="M150" s="248">
        <v>45842</v>
      </c>
      <c r="N150" s="248">
        <f t="shared" si="388"/>
        <v>45838</v>
      </c>
      <c r="O150" s="212"/>
      <c r="P150" s="212" t="s">
        <v>107</v>
      </c>
      <c r="Q150" s="212" t="s">
        <v>763</v>
      </c>
      <c r="R150" s="274">
        <v>45803</v>
      </c>
      <c r="S150" s="212" t="s">
        <v>80</v>
      </c>
      <c r="T150" s="212" t="s">
        <v>900</v>
      </c>
      <c r="U150" s="212"/>
      <c r="V150" s="259" t="s">
        <v>901</v>
      </c>
      <c r="W150" s="248" t="s">
        <v>809</v>
      </c>
      <c r="X150" s="260">
        <v>0.8434</v>
      </c>
      <c r="Y150" s="247">
        <f t="shared" si="389"/>
        <v>613.9952</v>
      </c>
      <c r="Z150" s="248" t="s">
        <v>908</v>
      </c>
      <c r="AA150" s="259">
        <v>728</v>
      </c>
      <c r="AB150" s="259">
        <f t="shared" si="275"/>
        <v>0</v>
      </c>
      <c r="AC150" s="285"/>
      <c r="AD150" s="212" t="s">
        <v>114</v>
      </c>
      <c r="AE150" s="248" t="s">
        <v>94</v>
      </c>
      <c r="AF150" s="248" t="s">
        <v>115</v>
      </c>
      <c r="AG150" s="267">
        <f t="shared" si="366"/>
        <v>728</v>
      </c>
      <c r="AH150" s="267">
        <f t="shared" si="367"/>
        <v>728</v>
      </c>
      <c r="AI150" s="267"/>
      <c r="AJ150" s="267"/>
      <c r="AK150" s="267">
        <f t="shared" si="383"/>
        <v>728</v>
      </c>
      <c r="AL150" s="267"/>
      <c r="AM150" s="267"/>
      <c r="AN150" s="267"/>
      <c r="AO150" s="267">
        <f t="shared" si="369"/>
        <v>728</v>
      </c>
      <c r="AP150" s="267"/>
      <c r="AQ150" s="267"/>
      <c r="AR150" s="267"/>
      <c r="AS150" s="267"/>
      <c r="AT150" s="267">
        <f t="shared" si="390"/>
        <v>56</v>
      </c>
      <c r="AU150" s="267"/>
      <c r="AV150" s="267"/>
      <c r="AW150" s="267"/>
      <c r="AX150" s="267"/>
      <c r="AY150" s="267"/>
      <c r="AZ150" s="267"/>
      <c r="BA150" s="267"/>
      <c r="BB150" s="267"/>
      <c r="BC150" s="267"/>
      <c r="BD150" s="267"/>
      <c r="BE150" s="267"/>
      <c r="BF150" s="267"/>
      <c r="BG150" s="267"/>
      <c r="BH150" s="267"/>
      <c r="BI150" s="267"/>
      <c r="BJ150" s="269">
        <f t="shared" ref="BJ150:BR150" si="395">$I150*BJ$2</f>
        <v>89.1041666666664</v>
      </c>
      <c r="BK150" s="269">
        <f t="shared" si="395"/>
        <v>89.1041666666664</v>
      </c>
      <c r="BL150" s="269">
        <f t="shared" si="395"/>
        <v>89.1041666666664</v>
      </c>
      <c r="BM150" s="269">
        <f t="shared" si="395"/>
        <v>89.1041666666664</v>
      </c>
      <c r="BN150" s="269">
        <f t="shared" si="395"/>
        <v>89.1041666666664</v>
      </c>
      <c r="BO150" s="269">
        <f t="shared" si="395"/>
        <v>89.1041666666664</v>
      </c>
      <c r="BP150" s="269">
        <f t="shared" si="395"/>
        <v>89.1041666666664</v>
      </c>
      <c r="BQ150" s="269">
        <f t="shared" si="395"/>
        <v>89.1041666666664</v>
      </c>
      <c r="BR150" s="269">
        <f t="shared" si="395"/>
        <v>15.1666666666666</v>
      </c>
      <c r="BT150" s="60">
        <f t="shared" ref="BT150:CB150" si="396">BT149-BJ150</f>
        <v>68298.2760416667</v>
      </c>
      <c r="BU150" s="60">
        <f t="shared" si="396"/>
        <v>68298.2760416667</v>
      </c>
      <c r="BV150" s="60">
        <f t="shared" si="396"/>
        <v>68298.2760416667</v>
      </c>
      <c r="BW150" s="60">
        <f t="shared" si="396"/>
        <v>68298.2760416667</v>
      </c>
      <c r="BX150" s="60">
        <f t="shared" si="396"/>
        <v>68298.2760416667</v>
      </c>
      <c r="BY150" s="60">
        <f t="shared" si="396"/>
        <v>68298.2760416667</v>
      </c>
      <c r="BZ150" s="60">
        <f t="shared" si="396"/>
        <v>68298.2760416667</v>
      </c>
      <c r="CA150" s="60">
        <f t="shared" si="396"/>
        <v>68298.2760416667</v>
      </c>
      <c r="CB150" s="60">
        <f t="shared" si="396"/>
        <v>11576.7916666667</v>
      </c>
    </row>
    <row r="151" s="234" customFormat="1" ht="27" hidden="1" customHeight="1" spans="1:80">
      <c r="A151" s="236">
        <v>45803</v>
      </c>
      <c r="B151" s="237" t="s">
        <v>803</v>
      </c>
      <c r="C151" s="238" t="s">
        <v>104</v>
      </c>
      <c r="D151" s="239">
        <v>4500168029</v>
      </c>
      <c r="E151" s="238" t="s">
        <v>909</v>
      </c>
      <c r="F151" s="237" t="s">
        <v>910</v>
      </c>
      <c r="G151" s="240" t="s">
        <v>94</v>
      </c>
      <c r="H151" s="237" t="s">
        <v>211</v>
      </c>
      <c r="I151" s="247">
        <v>312</v>
      </c>
      <c r="J151" s="247">
        <v>0</v>
      </c>
      <c r="K151" s="247">
        <v>52</v>
      </c>
      <c r="L151" s="247">
        <f t="shared" si="374"/>
        <v>6</v>
      </c>
      <c r="M151" s="248">
        <v>45842</v>
      </c>
      <c r="N151" s="248">
        <f t="shared" si="388"/>
        <v>45838</v>
      </c>
      <c r="O151" s="212"/>
      <c r="P151" s="212" t="s">
        <v>107</v>
      </c>
      <c r="Q151" s="212" t="s">
        <v>763</v>
      </c>
      <c r="R151" s="274">
        <v>45803</v>
      </c>
      <c r="S151" s="212" t="s">
        <v>80</v>
      </c>
      <c r="T151" s="212" t="s">
        <v>900</v>
      </c>
      <c r="U151" s="212"/>
      <c r="V151" s="259" t="s">
        <v>901</v>
      </c>
      <c r="W151" s="248" t="s">
        <v>809</v>
      </c>
      <c r="X151" s="260">
        <v>0.8434</v>
      </c>
      <c r="Y151" s="247">
        <f t="shared" si="389"/>
        <v>263.1408</v>
      </c>
      <c r="Z151" s="248" t="s">
        <v>911</v>
      </c>
      <c r="AA151" s="259">
        <v>312</v>
      </c>
      <c r="AB151" s="259">
        <f t="shared" si="275"/>
        <v>0</v>
      </c>
      <c r="AC151" s="254"/>
      <c r="AD151" s="212" t="s">
        <v>114</v>
      </c>
      <c r="AE151" s="248" t="s">
        <v>94</v>
      </c>
      <c r="AF151" s="248" t="s">
        <v>115</v>
      </c>
      <c r="AG151" s="267">
        <f t="shared" si="366"/>
        <v>312</v>
      </c>
      <c r="AH151" s="267">
        <f t="shared" si="367"/>
        <v>312</v>
      </c>
      <c r="AI151" s="267"/>
      <c r="AJ151" s="267"/>
      <c r="AK151" s="267">
        <f t="shared" si="383"/>
        <v>312</v>
      </c>
      <c r="AL151" s="267"/>
      <c r="AM151" s="267"/>
      <c r="AN151" s="267"/>
      <c r="AO151" s="267">
        <f t="shared" si="369"/>
        <v>312</v>
      </c>
      <c r="AP151" s="267"/>
      <c r="AQ151" s="267"/>
      <c r="AR151" s="267"/>
      <c r="AS151" s="267"/>
      <c r="AT151" s="267">
        <f t="shared" si="390"/>
        <v>24</v>
      </c>
      <c r="AU151" s="267"/>
      <c r="AV151" s="267"/>
      <c r="AW151" s="267"/>
      <c r="AX151" s="267"/>
      <c r="AY151" s="267"/>
      <c r="AZ151" s="267"/>
      <c r="BA151" s="267"/>
      <c r="BB151" s="267"/>
      <c r="BC151" s="267"/>
      <c r="BD151" s="267"/>
      <c r="BE151" s="267"/>
      <c r="BF151" s="267"/>
      <c r="BG151" s="267"/>
      <c r="BH151" s="267"/>
      <c r="BI151" s="267"/>
      <c r="BJ151" s="269">
        <f t="shared" ref="BJ151:BR151" si="397">$I151*BJ$2</f>
        <v>38.1874999999999</v>
      </c>
      <c r="BK151" s="269">
        <f t="shared" si="397"/>
        <v>38.1874999999999</v>
      </c>
      <c r="BL151" s="269">
        <f t="shared" si="397"/>
        <v>38.1874999999999</v>
      </c>
      <c r="BM151" s="269">
        <f t="shared" si="397"/>
        <v>38.1874999999999</v>
      </c>
      <c r="BN151" s="269">
        <f t="shared" si="397"/>
        <v>38.1874999999999</v>
      </c>
      <c r="BO151" s="269">
        <f t="shared" si="397"/>
        <v>38.1874999999999</v>
      </c>
      <c r="BP151" s="269">
        <f t="shared" si="397"/>
        <v>38.1874999999999</v>
      </c>
      <c r="BQ151" s="269">
        <f t="shared" si="397"/>
        <v>38.1874999999999</v>
      </c>
      <c r="BR151" s="269">
        <f t="shared" si="397"/>
        <v>6.49999999999999</v>
      </c>
      <c r="BT151" s="60">
        <f t="shared" ref="BT151:CB151" si="398">BT150-BJ151</f>
        <v>68260.0885416667</v>
      </c>
      <c r="BU151" s="60">
        <f t="shared" si="398"/>
        <v>68260.0885416667</v>
      </c>
      <c r="BV151" s="60">
        <f t="shared" si="398"/>
        <v>68260.0885416667</v>
      </c>
      <c r="BW151" s="60">
        <f t="shared" si="398"/>
        <v>68260.0885416667</v>
      </c>
      <c r="BX151" s="60">
        <f t="shared" si="398"/>
        <v>68260.0885416667</v>
      </c>
      <c r="BY151" s="60">
        <f t="shared" si="398"/>
        <v>68260.0885416667</v>
      </c>
      <c r="BZ151" s="60">
        <f t="shared" si="398"/>
        <v>68260.0885416667</v>
      </c>
      <c r="CA151" s="60">
        <f t="shared" si="398"/>
        <v>68260.0885416667</v>
      </c>
      <c r="CB151" s="60">
        <f t="shared" si="398"/>
        <v>11570.2916666667</v>
      </c>
    </row>
    <row r="152" s="234" customFormat="1" ht="27" hidden="1" customHeight="1" spans="1:80">
      <c r="A152" s="236">
        <v>45797</v>
      </c>
      <c r="B152" s="237" t="s">
        <v>912</v>
      </c>
      <c r="C152" s="238" t="s">
        <v>521</v>
      </c>
      <c r="D152" s="239">
        <v>4500166910</v>
      </c>
      <c r="E152" s="238" t="s">
        <v>913</v>
      </c>
      <c r="F152" s="237" t="s">
        <v>914</v>
      </c>
      <c r="G152" s="240" t="s">
        <v>152</v>
      </c>
      <c r="H152" s="237" t="s">
        <v>153</v>
      </c>
      <c r="I152" s="247">
        <v>442</v>
      </c>
      <c r="J152" s="247">
        <v>0</v>
      </c>
      <c r="K152" s="247">
        <v>13</v>
      </c>
      <c r="L152" s="247">
        <f t="shared" si="374"/>
        <v>34</v>
      </c>
      <c r="M152" s="248">
        <v>45842</v>
      </c>
      <c r="N152" s="248">
        <v>45845</v>
      </c>
      <c r="O152" s="212" t="s">
        <v>915</v>
      </c>
      <c r="P152" s="212" t="s">
        <v>224</v>
      </c>
      <c r="Q152" s="212" t="s">
        <v>916</v>
      </c>
      <c r="R152" s="274">
        <v>45797</v>
      </c>
      <c r="S152" s="212" t="s">
        <v>191</v>
      </c>
      <c r="T152" s="212" t="s">
        <v>917</v>
      </c>
      <c r="U152" s="212"/>
      <c r="V152" s="259" t="s">
        <v>918</v>
      </c>
      <c r="W152" s="248" t="s">
        <v>273</v>
      </c>
      <c r="X152" s="260">
        <v>0.7985</v>
      </c>
      <c r="Y152" s="247">
        <f t="shared" si="389"/>
        <v>352.937</v>
      </c>
      <c r="Z152" s="248" t="s">
        <v>919</v>
      </c>
      <c r="AA152" s="259">
        <v>442</v>
      </c>
      <c r="AB152" s="259">
        <f t="shared" si="275"/>
        <v>0</v>
      </c>
      <c r="AC152" s="212" t="s">
        <v>113</v>
      </c>
      <c r="AD152" s="212" t="s">
        <v>114</v>
      </c>
      <c r="AE152" s="248" t="s">
        <v>152</v>
      </c>
      <c r="AF152" s="248" t="s">
        <v>115</v>
      </c>
      <c r="AG152" s="267">
        <f t="shared" si="366"/>
        <v>442</v>
      </c>
      <c r="AH152" s="267">
        <f t="shared" si="367"/>
        <v>442</v>
      </c>
      <c r="AI152" s="267"/>
      <c r="AJ152" s="267"/>
      <c r="AK152" s="267">
        <f t="shared" si="383"/>
        <v>442</v>
      </c>
      <c r="AL152" s="267"/>
      <c r="AM152" s="267"/>
      <c r="AN152" s="267"/>
      <c r="AO152" s="267">
        <f t="shared" si="369"/>
        <v>442</v>
      </c>
      <c r="AP152" s="267"/>
      <c r="AQ152" s="267"/>
      <c r="AR152" s="267"/>
      <c r="AS152" s="267"/>
      <c r="AT152" s="267">
        <f t="shared" si="390"/>
        <v>34</v>
      </c>
      <c r="AU152" s="267"/>
      <c r="AV152" s="267"/>
      <c r="AW152" s="267"/>
      <c r="AX152" s="267"/>
      <c r="AY152" s="267"/>
      <c r="AZ152" s="267"/>
      <c r="BA152" s="267"/>
      <c r="BB152" s="267"/>
      <c r="BC152" s="267"/>
      <c r="BD152" s="267"/>
      <c r="BE152" s="267"/>
      <c r="BF152" s="267"/>
      <c r="BG152" s="267"/>
      <c r="BH152" s="267"/>
      <c r="BI152" s="267"/>
      <c r="BJ152" s="269">
        <f t="shared" ref="BJ152:BR152" si="399">$I152*BJ$2</f>
        <v>54.0989583333332</v>
      </c>
      <c r="BK152" s="269">
        <f t="shared" si="399"/>
        <v>54.0989583333332</v>
      </c>
      <c r="BL152" s="269">
        <f t="shared" si="399"/>
        <v>54.0989583333332</v>
      </c>
      <c r="BM152" s="269">
        <f t="shared" si="399"/>
        <v>54.0989583333332</v>
      </c>
      <c r="BN152" s="269">
        <f t="shared" si="399"/>
        <v>54.0989583333332</v>
      </c>
      <c r="BO152" s="269">
        <f t="shared" si="399"/>
        <v>54.0989583333332</v>
      </c>
      <c r="BP152" s="269">
        <f t="shared" si="399"/>
        <v>54.0989583333332</v>
      </c>
      <c r="BQ152" s="269">
        <f t="shared" si="399"/>
        <v>54.0989583333332</v>
      </c>
      <c r="BR152" s="269">
        <f t="shared" si="399"/>
        <v>9.20833333333332</v>
      </c>
      <c r="BT152" s="60">
        <f t="shared" ref="BT152:CB152" si="400">BT151-BJ152</f>
        <v>68205.9895833334</v>
      </c>
      <c r="BU152" s="60">
        <f t="shared" si="400"/>
        <v>68205.9895833334</v>
      </c>
      <c r="BV152" s="60">
        <f t="shared" si="400"/>
        <v>68205.9895833334</v>
      </c>
      <c r="BW152" s="60">
        <f t="shared" si="400"/>
        <v>68205.9895833334</v>
      </c>
      <c r="BX152" s="60">
        <f t="shared" si="400"/>
        <v>68205.9895833334</v>
      </c>
      <c r="BY152" s="60">
        <f t="shared" si="400"/>
        <v>68205.9895833334</v>
      </c>
      <c r="BZ152" s="60">
        <f t="shared" si="400"/>
        <v>68205.9895833334</v>
      </c>
      <c r="CA152" s="60">
        <f t="shared" si="400"/>
        <v>68205.9895833334</v>
      </c>
      <c r="CB152" s="60">
        <f t="shared" si="400"/>
        <v>11561.0833333333</v>
      </c>
    </row>
    <row r="153" s="234" customFormat="1" ht="27" hidden="1" customHeight="1" spans="1:80">
      <c r="A153" s="236">
        <v>45799</v>
      </c>
      <c r="B153" s="237" t="s">
        <v>920</v>
      </c>
      <c r="C153" s="238" t="s">
        <v>117</v>
      </c>
      <c r="D153" s="239">
        <v>4500167544</v>
      </c>
      <c r="E153" s="238">
        <v>4648</v>
      </c>
      <c r="F153" s="237" t="s">
        <v>921</v>
      </c>
      <c r="G153" s="240" t="s">
        <v>131</v>
      </c>
      <c r="H153" s="237" t="s">
        <v>132</v>
      </c>
      <c r="I153" s="247">
        <v>2025</v>
      </c>
      <c r="J153" s="247">
        <v>0</v>
      </c>
      <c r="K153" s="247">
        <v>27</v>
      </c>
      <c r="L153" s="247">
        <f t="shared" si="374"/>
        <v>75</v>
      </c>
      <c r="M153" s="248">
        <v>45846</v>
      </c>
      <c r="N153" s="248">
        <v>45845</v>
      </c>
      <c r="O153" s="212"/>
      <c r="P153" s="212" t="s">
        <v>107</v>
      </c>
      <c r="Q153" s="212" t="s">
        <v>922</v>
      </c>
      <c r="R153" s="274">
        <v>45805</v>
      </c>
      <c r="S153" s="273" t="s">
        <v>80</v>
      </c>
      <c r="T153" s="273" t="s">
        <v>80</v>
      </c>
      <c r="U153" s="273"/>
      <c r="V153" s="259" t="s">
        <v>923</v>
      </c>
      <c r="W153" s="248" t="s">
        <v>395</v>
      </c>
      <c r="X153" s="260">
        <v>0.4549</v>
      </c>
      <c r="Y153" s="247">
        <f t="shared" si="389"/>
        <v>921.1725</v>
      </c>
      <c r="Z153" s="248" t="s">
        <v>924</v>
      </c>
      <c r="AA153" s="259">
        <v>2025</v>
      </c>
      <c r="AB153" s="259">
        <f t="shared" si="275"/>
        <v>0</v>
      </c>
      <c r="AC153" s="212" t="s">
        <v>80</v>
      </c>
      <c r="AD153" s="212" t="s">
        <v>114</v>
      </c>
      <c r="AE153" s="248" t="s">
        <v>131</v>
      </c>
      <c r="AF153" s="248" t="s">
        <v>115</v>
      </c>
      <c r="AG153" s="267">
        <f t="shared" si="366"/>
        <v>2025</v>
      </c>
      <c r="AH153" s="267">
        <f t="shared" si="367"/>
        <v>2025</v>
      </c>
      <c r="AI153" s="267"/>
      <c r="AJ153" s="267"/>
      <c r="AK153" s="267">
        <f t="shared" si="383"/>
        <v>2025</v>
      </c>
      <c r="AL153" s="267"/>
      <c r="AM153" s="267"/>
      <c r="AO153" s="267">
        <f t="shared" si="369"/>
        <v>2025</v>
      </c>
      <c r="AP153" s="267"/>
      <c r="AQ153" s="267">
        <f>I153/27</f>
        <v>75</v>
      </c>
      <c r="AR153" s="267"/>
      <c r="AS153" s="267"/>
      <c r="AT153" s="267"/>
      <c r="AU153" s="267"/>
      <c r="AV153" s="267"/>
      <c r="AW153" s="267"/>
      <c r="AX153" s="267"/>
      <c r="AY153" s="267"/>
      <c r="AZ153" s="267"/>
      <c r="BA153" s="267"/>
      <c r="BB153" s="267"/>
      <c r="BC153" s="267"/>
      <c r="BD153" s="267"/>
      <c r="BE153" s="267"/>
      <c r="BF153" s="267"/>
      <c r="BG153" s="267"/>
      <c r="BH153" s="267"/>
      <c r="BI153" s="267"/>
      <c r="BJ153" s="269">
        <f t="shared" ref="BJ153:BR153" si="401">$I153*BJ$2</f>
        <v>247.851562499999</v>
      </c>
      <c r="BK153" s="269">
        <f t="shared" si="401"/>
        <v>247.851562499999</v>
      </c>
      <c r="BL153" s="269">
        <f t="shared" si="401"/>
        <v>247.851562499999</v>
      </c>
      <c r="BM153" s="269">
        <f t="shared" si="401"/>
        <v>247.851562499999</v>
      </c>
      <c r="BN153" s="269">
        <f t="shared" si="401"/>
        <v>247.851562499999</v>
      </c>
      <c r="BO153" s="269">
        <f t="shared" si="401"/>
        <v>247.851562499999</v>
      </c>
      <c r="BP153" s="269">
        <f t="shared" si="401"/>
        <v>247.851562499999</v>
      </c>
      <c r="BQ153" s="269">
        <f t="shared" si="401"/>
        <v>247.851562499999</v>
      </c>
      <c r="BR153" s="269">
        <f t="shared" si="401"/>
        <v>42.1874999999999</v>
      </c>
      <c r="BT153" s="60">
        <f t="shared" ref="BT153:CB153" si="402">BT152-BJ153</f>
        <v>67958.1380208334</v>
      </c>
      <c r="BU153" s="60">
        <f t="shared" si="402"/>
        <v>67958.1380208334</v>
      </c>
      <c r="BV153" s="60">
        <f t="shared" si="402"/>
        <v>67958.1380208334</v>
      </c>
      <c r="BW153" s="60">
        <f t="shared" si="402"/>
        <v>67958.1380208334</v>
      </c>
      <c r="BX153" s="60">
        <f t="shared" si="402"/>
        <v>67958.1380208334</v>
      </c>
      <c r="BY153" s="60">
        <f t="shared" si="402"/>
        <v>67958.1380208334</v>
      </c>
      <c r="BZ153" s="60">
        <f t="shared" si="402"/>
        <v>67958.1380208334</v>
      </c>
      <c r="CA153" s="60">
        <f t="shared" si="402"/>
        <v>67958.1380208334</v>
      </c>
      <c r="CB153" s="60">
        <f t="shared" si="402"/>
        <v>11518.8958333333</v>
      </c>
    </row>
    <row r="154" s="234" customFormat="1" ht="27" hidden="1" customHeight="1" spans="1:80">
      <c r="A154" s="236">
        <v>45804</v>
      </c>
      <c r="B154" s="237" t="s">
        <v>460</v>
      </c>
      <c r="C154" s="238" t="s">
        <v>396</v>
      </c>
      <c r="D154" s="239">
        <v>4500167998</v>
      </c>
      <c r="E154" s="238" t="s">
        <v>925</v>
      </c>
      <c r="F154" s="237" t="s">
        <v>926</v>
      </c>
      <c r="G154" s="240" t="s">
        <v>463</v>
      </c>
      <c r="H154" s="237" t="s">
        <v>464</v>
      </c>
      <c r="I154" s="247">
        <v>540</v>
      </c>
      <c r="J154" s="247">
        <v>27</v>
      </c>
      <c r="K154" s="247">
        <v>54</v>
      </c>
      <c r="L154" s="247">
        <f t="shared" si="374"/>
        <v>10</v>
      </c>
      <c r="M154" s="248">
        <v>45847</v>
      </c>
      <c r="N154" s="248">
        <v>45845</v>
      </c>
      <c r="O154" s="212"/>
      <c r="P154" s="212" t="s">
        <v>224</v>
      </c>
      <c r="Q154" s="212" t="s">
        <v>849</v>
      </c>
      <c r="R154" s="274">
        <v>45814</v>
      </c>
      <c r="S154" s="212" t="s">
        <v>80</v>
      </c>
      <c r="T154" s="212" t="s">
        <v>80</v>
      </c>
      <c r="U154" s="212"/>
      <c r="V154" s="259" t="s">
        <v>927</v>
      </c>
      <c r="W154" s="248" t="s">
        <v>467</v>
      </c>
      <c r="X154" s="260">
        <v>0.8032</v>
      </c>
      <c r="Y154" s="247">
        <f t="shared" si="389"/>
        <v>433.728</v>
      </c>
      <c r="Z154" s="248" t="s">
        <v>928</v>
      </c>
      <c r="AA154" s="259">
        <f>540</f>
        <v>540</v>
      </c>
      <c r="AB154" s="259">
        <f t="shared" si="275"/>
        <v>0</v>
      </c>
      <c r="AC154" s="212" t="s">
        <v>80</v>
      </c>
      <c r="AD154" s="212" t="s">
        <v>114</v>
      </c>
      <c r="AE154" s="248" t="s">
        <v>463</v>
      </c>
      <c r="AF154" s="248" t="s">
        <v>115</v>
      </c>
      <c r="AG154" s="267">
        <f t="shared" si="366"/>
        <v>540</v>
      </c>
      <c r="AH154" s="267">
        <f t="shared" si="367"/>
        <v>540</v>
      </c>
      <c r="AI154" s="267"/>
      <c r="AJ154" s="267"/>
      <c r="AK154" s="267">
        <f t="shared" si="383"/>
        <v>540</v>
      </c>
      <c r="AL154" s="267"/>
      <c r="AM154" s="267"/>
      <c r="AN154" s="267"/>
      <c r="AO154" s="267">
        <f t="shared" si="369"/>
        <v>540</v>
      </c>
      <c r="AP154" s="267"/>
      <c r="AQ154" s="267">
        <f>I154/27</f>
        <v>20</v>
      </c>
      <c r="AR154" s="267"/>
      <c r="AS154" s="267"/>
      <c r="AT154" s="267"/>
      <c r="AU154" s="267"/>
      <c r="AV154" s="267"/>
      <c r="AW154" s="267"/>
      <c r="AX154" s="267"/>
      <c r="AY154" s="267"/>
      <c r="AZ154" s="267"/>
      <c r="BA154" s="267"/>
      <c r="BB154" s="267"/>
      <c r="BC154" s="267"/>
      <c r="BD154" s="267"/>
      <c r="BE154" s="267"/>
      <c r="BF154" s="267"/>
      <c r="BG154" s="267"/>
      <c r="BH154" s="267"/>
      <c r="BI154" s="267"/>
      <c r="BJ154" s="269">
        <f t="shared" ref="BJ154:BR154" si="403">$I154*BJ$2</f>
        <v>66.0937499999998</v>
      </c>
      <c r="BK154" s="269">
        <f t="shared" si="403"/>
        <v>66.0937499999998</v>
      </c>
      <c r="BL154" s="269">
        <f t="shared" si="403"/>
        <v>66.0937499999998</v>
      </c>
      <c r="BM154" s="269">
        <f t="shared" si="403"/>
        <v>66.0937499999998</v>
      </c>
      <c r="BN154" s="269">
        <f t="shared" si="403"/>
        <v>66.0937499999998</v>
      </c>
      <c r="BO154" s="269">
        <f t="shared" si="403"/>
        <v>66.0937499999998</v>
      </c>
      <c r="BP154" s="269">
        <f t="shared" si="403"/>
        <v>66.0937499999998</v>
      </c>
      <c r="BQ154" s="269">
        <f t="shared" si="403"/>
        <v>66.0937499999998</v>
      </c>
      <c r="BR154" s="269">
        <f t="shared" si="403"/>
        <v>11.25</v>
      </c>
      <c r="BT154" s="60">
        <f t="shared" ref="BT154:CB154" si="404">BT153-BJ154</f>
        <v>67892.0442708334</v>
      </c>
      <c r="BU154" s="60">
        <f t="shared" si="404"/>
        <v>67892.0442708334</v>
      </c>
      <c r="BV154" s="60">
        <f t="shared" si="404"/>
        <v>67892.0442708334</v>
      </c>
      <c r="BW154" s="60">
        <f t="shared" si="404"/>
        <v>67892.0442708334</v>
      </c>
      <c r="BX154" s="60">
        <f t="shared" si="404"/>
        <v>67892.0442708334</v>
      </c>
      <c r="BY154" s="60">
        <f t="shared" si="404"/>
        <v>67892.0442708334</v>
      </c>
      <c r="BZ154" s="60">
        <f t="shared" si="404"/>
        <v>67892.0442708334</v>
      </c>
      <c r="CA154" s="60">
        <f t="shared" si="404"/>
        <v>67892.0442708334</v>
      </c>
      <c r="CB154" s="60">
        <f t="shared" si="404"/>
        <v>11507.6458333333</v>
      </c>
    </row>
    <row r="155" s="234" customFormat="1" ht="27" hidden="1" customHeight="1" spans="1:80">
      <c r="A155" s="236">
        <v>45800</v>
      </c>
      <c r="B155" s="237" t="s">
        <v>415</v>
      </c>
      <c r="C155" s="238" t="s">
        <v>396</v>
      </c>
      <c r="D155" s="239">
        <v>4500159670</v>
      </c>
      <c r="E155" s="238" t="s">
        <v>929</v>
      </c>
      <c r="F155" s="237" t="s">
        <v>930</v>
      </c>
      <c r="G155" s="240" t="s">
        <v>94</v>
      </c>
      <c r="H155" s="237" t="s">
        <v>211</v>
      </c>
      <c r="I155" s="247">
        <v>5512</v>
      </c>
      <c r="J155" s="247">
        <v>0</v>
      </c>
      <c r="K155" s="247">
        <v>52</v>
      </c>
      <c r="L155" s="247">
        <f t="shared" si="374"/>
        <v>106</v>
      </c>
      <c r="M155" s="248">
        <v>45849</v>
      </c>
      <c r="N155" s="248">
        <v>45845</v>
      </c>
      <c r="O155" s="212"/>
      <c r="P155" s="212" t="s">
        <v>107</v>
      </c>
      <c r="Q155" s="212" t="s">
        <v>916</v>
      </c>
      <c r="R155" s="212">
        <v>45800</v>
      </c>
      <c r="S155" s="212" t="s">
        <v>80</v>
      </c>
      <c r="T155" s="212" t="s">
        <v>80</v>
      </c>
      <c r="U155" s="212"/>
      <c r="V155" s="259" t="s">
        <v>931</v>
      </c>
      <c r="W155" s="248" t="s">
        <v>419</v>
      </c>
      <c r="X155" s="260">
        <v>0.7986</v>
      </c>
      <c r="Y155" s="247">
        <f t="shared" si="389"/>
        <v>4401.8832</v>
      </c>
      <c r="Z155" s="248" t="s">
        <v>932</v>
      </c>
      <c r="AA155" s="259">
        <v>5512</v>
      </c>
      <c r="AB155" s="259">
        <f t="shared" si="275"/>
        <v>0</v>
      </c>
      <c r="AC155" s="212" t="s">
        <v>80</v>
      </c>
      <c r="AD155" s="212" t="s">
        <v>114</v>
      </c>
      <c r="AE155" s="248" t="s">
        <v>94</v>
      </c>
      <c r="AF155" s="248" t="s">
        <v>115</v>
      </c>
      <c r="AG155" s="267">
        <f t="shared" si="366"/>
        <v>5512</v>
      </c>
      <c r="AH155" s="267">
        <f t="shared" si="367"/>
        <v>5512</v>
      </c>
      <c r="AI155" s="267"/>
      <c r="AJ155" s="267"/>
      <c r="AK155" s="267">
        <f t="shared" si="383"/>
        <v>5512</v>
      </c>
      <c r="AL155" s="267"/>
      <c r="AM155" s="267"/>
      <c r="AN155" s="267"/>
      <c r="AO155" s="267">
        <f t="shared" si="369"/>
        <v>5512</v>
      </c>
      <c r="AP155" s="267"/>
      <c r="AQ155" s="267"/>
      <c r="AR155" s="267"/>
      <c r="AS155" s="267"/>
      <c r="AT155" s="267">
        <f t="shared" ref="AT155:AT157" si="405">I155/13</f>
        <v>424</v>
      </c>
      <c r="AU155" s="267"/>
      <c r="AV155" s="267"/>
      <c r="AW155" s="267"/>
      <c r="AX155" s="267"/>
      <c r="AY155" s="267"/>
      <c r="AZ155" s="267"/>
      <c r="BA155" s="267"/>
      <c r="BB155" s="267"/>
      <c r="BC155" s="267"/>
      <c r="BD155" s="267"/>
      <c r="BE155" s="267"/>
      <c r="BF155" s="267"/>
      <c r="BG155" s="267"/>
      <c r="BH155" s="267"/>
      <c r="BI155" s="267"/>
      <c r="BJ155" s="269">
        <f t="shared" ref="BJ155:BR155" si="406">$I155*BJ$2</f>
        <v>674.645833333331</v>
      </c>
      <c r="BK155" s="269">
        <f t="shared" si="406"/>
        <v>674.645833333331</v>
      </c>
      <c r="BL155" s="269">
        <f t="shared" si="406"/>
        <v>674.645833333331</v>
      </c>
      <c r="BM155" s="269">
        <f t="shared" si="406"/>
        <v>674.645833333331</v>
      </c>
      <c r="BN155" s="269">
        <f t="shared" si="406"/>
        <v>674.645833333331</v>
      </c>
      <c r="BO155" s="269">
        <f t="shared" si="406"/>
        <v>674.645833333331</v>
      </c>
      <c r="BP155" s="269">
        <f t="shared" si="406"/>
        <v>674.645833333331</v>
      </c>
      <c r="BQ155" s="269">
        <f t="shared" si="406"/>
        <v>674.645833333331</v>
      </c>
      <c r="BR155" s="269">
        <f t="shared" si="406"/>
        <v>114.833333333333</v>
      </c>
      <c r="BT155" s="60">
        <f t="shared" ref="BT155:CB155" si="407">BT154-BJ155</f>
        <v>67217.3984375</v>
      </c>
      <c r="BU155" s="60">
        <f t="shared" si="407"/>
        <v>67217.3984375</v>
      </c>
      <c r="BV155" s="60">
        <f t="shared" si="407"/>
        <v>67217.3984375</v>
      </c>
      <c r="BW155" s="60">
        <f t="shared" si="407"/>
        <v>67217.3984375</v>
      </c>
      <c r="BX155" s="60">
        <f t="shared" si="407"/>
        <v>67217.3984375</v>
      </c>
      <c r="BY155" s="60">
        <f t="shared" si="407"/>
        <v>67217.3984375</v>
      </c>
      <c r="BZ155" s="60">
        <f t="shared" si="407"/>
        <v>67217.3984375</v>
      </c>
      <c r="CA155" s="60">
        <f t="shared" si="407"/>
        <v>67217.3984375</v>
      </c>
      <c r="CB155" s="60">
        <f t="shared" si="407"/>
        <v>11392.8125</v>
      </c>
    </row>
    <row r="156" s="234" customFormat="1" ht="27" hidden="1" customHeight="1" spans="1:80">
      <c r="A156" s="236">
        <v>45800</v>
      </c>
      <c r="B156" s="237" t="s">
        <v>415</v>
      </c>
      <c r="C156" s="238" t="s">
        <v>396</v>
      </c>
      <c r="D156" s="239">
        <v>4500167693</v>
      </c>
      <c r="E156" s="238" t="s">
        <v>933</v>
      </c>
      <c r="F156" s="237" t="s">
        <v>934</v>
      </c>
      <c r="G156" s="240" t="s">
        <v>94</v>
      </c>
      <c r="H156" s="237" t="s">
        <v>211</v>
      </c>
      <c r="I156" s="247">
        <v>2600</v>
      </c>
      <c r="J156" s="247">
        <v>0</v>
      </c>
      <c r="K156" s="247">
        <v>52</v>
      </c>
      <c r="L156" s="247">
        <f t="shared" si="374"/>
        <v>50</v>
      </c>
      <c r="M156" s="248">
        <v>45849</v>
      </c>
      <c r="N156" s="248">
        <v>45845</v>
      </c>
      <c r="O156" s="212"/>
      <c r="P156" s="212" t="s">
        <v>107</v>
      </c>
      <c r="Q156" s="212" t="s">
        <v>916</v>
      </c>
      <c r="R156" s="212">
        <v>45800</v>
      </c>
      <c r="S156" s="212" t="s">
        <v>80</v>
      </c>
      <c r="T156" s="212" t="s">
        <v>80</v>
      </c>
      <c r="U156" s="212"/>
      <c r="V156" s="259" t="s">
        <v>935</v>
      </c>
      <c r="W156" s="248" t="s">
        <v>419</v>
      </c>
      <c r="X156" s="260">
        <v>0.804</v>
      </c>
      <c r="Y156" s="247">
        <f t="shared" si="389"/>
        <v>2090.4</v>
      </c>
      <c r="Z156" s="248" t="s">
        <v>936</v>
      </c>
      <c r="AA156" s="259">
        <v>2600</v>
      </c>
      <c r="AB156" s="259">
        <f t="shared" si="275"/>
        <v>0</v>
      </c>
      <c r="AC156" s="212" t="s">
        <v>80</v>
      </c>
      <c r="AD156" s="212" t="s">
        <v>114</v>
      </c>
      <c r="AE156" s="248" t="s">
        <v>94</v>
      </c>
      <c r="AF156" s="248" t="s">
        <v>115</v>
      </c>
      <c r="AG156" s="267">
        <f t="shared" si="366"/>
        <v>2600</v>
      </c>
      <c r="AH156" s="267">
        <f t="shared" si="367"/>
        <v>2600</v>
      </c>
      <c r="AI156" s="267"/>
      <c r="AJ156" s="267"/>
      <c r="AK156" s="267">
        <f t="shared" si="383"/>
        <v>2600</v>
      </c>
      <c r="AL156" s="267"/>
      <c r="AM156" s="267"/>
      <c r="AN156" s="267"/>
      <c r="AO156" s="267">
        <f t="shared" si="369"/>
        <v>2600</v>
      </c>
      <c r="AP156" s="267"/>
      <c r="AQ156" s="267"/>
      <c r="AR156" s="267"/>
      <c r="AS156" s="267"/>
      <c r="AT156" s="267">
        <f t="shared" si="405"/>
        <v>200</v>
      </c>
      <c r="AU156" s="267"/>
      <c r="AV156" s="267"/>
      <c r="AW156" s="267"/>
      <c r="AX156" s="267"/>
      <c r="AY156" s="267"/>
      <c r="AZ156" s="267"/>
      <c r="BA156" s="267"/>
      <c r="BB156" s="267"/>
      <c r="BC156" s="267"/>
      <c r="BD156" s="267"/>
      <c r="BE156" s="267"/>
      <c r="BF156" s="267"/>
      <c r="BG156" s="267"/>
      <c r="BH156" s="267"/>
      <c r="BI156" s="267"/>
      <c r="BJ156" s="269">
        <f t="shared" ref="BJ156:BR156" si="408">$I156*BJ$2</f>
        <v>318.229166666666</v>
      </c>
      <c r="BK156" s="269">
        <f t="shared" si="408"/>
        <v>318.229166666666</v>
      </c>
      <c r="BL156" s="269">
        <f t="shared" si="408"/>
        <v>318.229166666666</v>
      </c>
      <c r="BM156" s="269">
        <f t="shared" si="408"/>
        <v>318.229166666666</v>
      </c>
      <c r="BN156" s="269">
        <f t="shared" si="408"/>
        <v>318.229166666666</v>
      </c>
      <c r="BO156" s="269">
        <f t="shared" si="408"/>
        <v>318.229166666666</v>
      </c>
      <c r="BP156" s="269">
        <f t="shared" si="408"/>
        <v>318.229166666666</v>
      </c>
      <c r="BQ156" s="269">
        <f t="shared" si="408"/>
        <v>318.229166666666</v>
      </c>
      <c r="BR156" s="269">
        <f t="shared" si="408"/>
        <v>54.1666666666666</v>
      </c>
      <c r="BT156" s="60">
        <f t="shared" ref="BT156:CB156" si="409">BT155-BJ156</f>
        <v>66899.1692708334</v>
      </c>
      <c r="BU156" s="60">
        <f t="shared" si="409"/>
        <v>66899.1692708334</v>
      </c>
      <c r="BV156" s="60">
        <f t="shared" si="409"/>
        <v>66899.1692708334</v>
      </c>
      <c r="BW156" s="60">
        <f t="shared" si="409"/>
        <v>66899.1692708334</v>
      </c>
      <c r="BX156" s="60">
        <f t="shared" si="409"/>
        <v>66899.1692708334</v>
      </c>
      <c r="BY156" s="60">
        <f t="shared" si="409"/>
        <v>66899.1692708334</v>
      </c>
      <c r="BZ156" s="60">
        <f t="shared" si="409"/>
        <v>66899.1692708334</v>
      </c>
      <c r="CA156" s="60">
        <f t="shared" si="409"/>
        <v>66899.1692708334</v>
      </c>
      <c r="CB156" s="60">
        <f t="shared" si="409"/>
        <v>11338.6458333333</v>
      </c>
    </row>
    <row r="157" s="234" customFormat="1" ht="27" hidden="1" customHeight="1" spans="1:82">
      <c r="A157" s="236">
        <v>45802</v>
      </c>
      <c r="B157" s="237" t="s">
        <v>701</v>
      </c>
      <c r="C157" s="238" t="s">
        <v>396</v>
      </c>
      <c r="D157" s="239">
        <v>4500167858</v>
      </c>
      <c r="E157" s="238"/>
      <c r="F157" s="237" t="s">
        <v>937</v>
      </c>
      <c r="G157" s="240" t="s">
        <v>703</v>
      </c>
      <c r="H157" s="237" t="s">
        <v>704</v>
      </c>
      <c r="I157" s="247">
        <v>1040</v>
      </c>
      <c r="J157" s="247">
        <v>0</v>
      </c>
      <c r="K157" s="247">
        <v>1040</v>
      </c>
      <c r="L157" s="247">
        <f t="shared" si="374"/>
        <v>1</v>
      </c>
      <c r="M157" s="248">
        <v>45852</v>
      </c>
      <c r="N157" s="248">
        <v>45849</v>
      </c>
      <c r="O157" s="212"/>
      <c r="P157" s="212" t="s">
        <v>224</v>
      </c>
      <c r="Q157" s="212" t="s">
        <v>938</v>
      </c>
      <c r="R157" s="212">
        <v>45831</v>
      </c>
      <c r="S157" s="212" t="s">
        <v>80</v>
      </c>
      <c r="T157" s="212" t="s">
        <v>706</v>
      </c>
      <c r="U157" s="212"/>
      <c r="V157" s="259" t="s">
        <v>939</v>
      </c>
      <c r="W157" s="248" t="s">
        <v>467</v>
      </c>
      <c r="X157" s="260">
        <v>824.6621</v>
      </c>
      <c r="Y157" s="247">
        <f t="shared" ref="Y157:Y162" si="410">X157*L157</f>
        <v>824.6621</v>
      </c>
      <c r="Z157" s="248" t="s">
        <v>940</v>
      </c>
      <c r="AA157" s="259">
        <v>1040</v>
      </c>
      <c r="AB157" s="259">
        <f t="shared" si="275"/>
        <v>0</v>
      </c>
      <c r="AC157" s="212"/>
      <c r="AD157" s="212" t="s">
        <v>114</v>
      </c>
      <c r="AE157" s="248" t="s">
        <v>703</v>
      </c>
      <c r="AF157" s="248" t="s">
        <v>115</v>
      </c>
      <c r="AG157" s="267">
        <f t="shared" si="366"/>
        <v>1040</v>
      </c>
      <c r="AH157" s="267">
        <f t="shared" si="367"/>
        <v>1040</v>
      </c>
      <c r="AI157" s="267"/>
      <c r="AJ157" s="267"/>
      <c r="AK157" s="267">
        <f t="shared" si="383"/>
        <v>1040</v>
      </c>
      <c r="AL157" s="267"/>
      <c r="AM157" s="267"/>
      <c r="AN157" s="267"/>
      <c r="AO157" s="267">
        <f t="shared" si="369"/>
        <v>1040</v>
      </c>
      <c r="AP157" s="267"/>
      <c r="AQ157" s="267"/>
      <c r="AR157" s="267"/>
      <c r="AS157" s="267"/>
      <c r="AT157" s="267">
        <f t="shared" si="405"/>
        <v>80</v>
      </c>
      <c r="AU157" s="267"/>
      <c r="AV157" s="267"/>
      <c r="AW157" s="267"/>
      <c r="AX157" s="267"/>
      <c r="AY157" s="267"/>
      <c r="AZ157" s="267"/>
      <c r="BA157" s="267"/>
      <c r="BB157" s="267"/>
      <c r="BC157" s="267"/>
      <c r="BD157" s="267"/>
      <c r="BE157" s="267"/>
      <c r="BF157" s="267"/>
      <c r="BG157" s="267"/>
      <c r="BH157" s="267"/>
      <c r="BI157" s="267"/>
      <c r="BJ157" s="269">
        <f t="shared" ref="BJ157:BR157" si="411">$I157*BJ$2</f>
        <v>127.291666666666</v>
      </c>
      <c r="BK157" s="269">
        <f t="shared" si="411"/>
        <v>127.291666666666</v>
      </c>
      <c r="BL157" s="269">
        <f t="shared" si="411"/>
        <v>127.291666666666</v>
      </c>
      <c r="BM157" s="269">
        <f t="shared" si="411"/>
        <v>127.291666666666</v>
      </c>
      <c r="BN157" s="269">
        <f t="shared" si="411"/>
        <v>127.291666666666</v>
      </c>
      <c r="BO157" s="269">
        <f t="shared" si="411"/>
        <v>127.291666666666</v>
      </c>
      <c r="BP157" s="269">
        <f t="shared" si="411"/>
        <v>127.291666666666</v>
      </c>
      <c r="BQ157" s="269">
        <f t="shared" si="411"/>
        <v>127.291666666666</v>
      </c>
      <c r="BR157" s="269">
        <f t="shared" si="411"/>
        <v>21.6666666666666</v>
      </c>
      <c r="BT157" s="60">
        <f t="shared" ref="BT157:CB157" si="412">BT156-BJ157</f>
        <v>66771.8776041667</v>
      </c>
      <c r="BU157" s="60">
        <f t="shared" si="412"/>
        <v>66771.8776041667</v>
      </c>
      <c r="BV157" s="60">
        <f t="shared" si="412"/>
        <v>66771.8776041667</v>
      </c>
      <c r="BW157" s="60">
        <f t="shared" si="412"/>
        <v>66771.8776041667</v>
      </c>
      <c r="BX157" s="60">
        <f t="shared" si="412"/>
        <v>66771.8776041667</v>
      </c>
      <c r="BY157" s="60">
        <f t="shared" si="412"/>
        <v>66771.8776041667</v>
      </c>
      <c r="BZ157" s="60">
        <f t="shared" si="412"/>
        <v>66771.8776041667</v>
      </c>
      <c r="CA157" s="60">
        <f t="shared" si="412"/>
        <v>66771.8776041667</v>
      </c>
      <c r="CB157" s="60">
        <f t="shared" si="412"/>
        <v>11316.9791666667</v>
      </c>
      <c r="CD157" s="271"/>
    </row>
    <row r="158" s="234" customFormat="1" ht="27" hidden="1" customHeight="1" spans="1:80">
      <c r="A158" s="236">
        <v>45811</v>
      </c>
      <c r="B158" s="237" t="s">
        <v>941</v>
      </c>
      <c r="C158" s="238" t="s">
        <v>474</v>
      </c>
      <c r="D158" s="239">
        <v>4500168801</v>
      </c>
      <c r="E158" s="238"/>
      <c r="F158" s="237" t="s">
        <v>942</v>
      </c>
      <c r="G158" s="240" t="s">
        <v>131</v>
      </c>
      <c r="H158" s="237" t="s">
        <v>132</v>
      </c>
      <c r="I158" s="247">
        <v>4023</v>
      </c>
      <c r="J158" s="247">
        <v>0</v>
      </c>
      <c r="K158" s="247">
        <v>27</v>
      </c>
      <c r="L158" s="247">
        <f t="shared" si="374"/>
        <v>149</v>
      </c>
      <c r="M158" s="248">
        <v>45853</v>
      </c>
      <c r="N158" s="248">
        <v>45849</v>
      </c>
      <c r="O158" s="212"/>
      <c r="P158" s="212" t="s">
        <v>107</v>
      </c>
      <c r="Q158" s="212" t="s">
        <v>943</v>
      </c>
      <c r="R158" s="274">
        <v>45811</v>
      </c>
      <c r="S158" s="273" t="s">
        <v>80</v>
      </c>
      <c r="T158" s="212" t="s">
        <v>944</v>
      </c>
      <c r="U158" s="212"/>
      <c r="V158" s="259" t="s">
        <v>945</v>
      </c>
      <c r="W158" s="248" t="s">
        <v>454</v>
      </c>
      <c r="X158" s="260">
        <v>0.7738</v>
      </c>
      <c r="Y158" s="247">
        <f t="shared" ref="Y158:Y160" si="413">X158*I158</f>
        <v>3112.9974</v>
      </c>
      <c r="Z158" s="248" t="s">
        <v>946</v>
      </c>
      <c r="AA158" s="259">
        <v>4023</v>
      </c>
      <c r="AB158" s="259">
        <f t="shared" si="275"/>
        <v>0</v>
      </c>
      <c r="AC158" s="212" t="s">
        <v>113</v>
      </c>
      <c r="AD158" s="212" t="s">
        <v>114</v>
      </c>
      <c r="AE158" s="248" t="s">
        <v>434</v>
      </c>
      <c r="AF158" s="248" t="s">
        <v>115</v>
      </c>
      <c r="AG158" s="267">
        <f t="shared" si="366"/>
        <v>4023</v>
      </c>
      <c r="AH158" s="267">
        <f t="shared" si="367"/>
        <v>4023</v>
      </c>
      <c r="AI158" s="267"/>
      <c r="AJ158" s="267"/>
      <c r="AK158" s="267"/>
      <c r="AL158" s="267">
        <f t="shared" ref="AL158:AL160" si="414">I158</f>
        <v>4023</v>
      </c>
      <c r="AM158" s="267"/>
      <c r="AN158" s="267"/>
      <c r="AO158" s="267">
        <f t="shared" si="369"/>
        <v>4023</v>
      </c>
      <c r="AP158" s="267"/>
      <c r="AQ158" s="267"/>
      <c r="AR158" s="267"/>
      <c r="AS158" s="267">
        <f>I158/27</f>
        <v>149</v>
      </c>
      <c r="AT158" s="267"/>
      <c r="AU158" s="267"/>
      <c r="AV158" s="267"/>
      <c r="AW158" s="267"/>
      <c r="AX158" s="267"/>
      <c r="AY158" s="267"/>
      <c r="AZ158" s="267"/>
      <c r="BA158" s="267"/>
      <c r="BB158" s="267"/>
      <c r="BC158" s="267"/>
      <c r="BD158" s="267"/>
      <c r="BE158" s="267"/>
      <c r="BF158" s="267"/>
      <c r="BG158" s="267"/>
      <c r="BH158" s="267"/>
      <c r="BI158" s="267"/>
      <c r="BJ158" s="269">
        <f t="shared" ref="BJ158:BR158" si="415">$I158*BJ$2</f>
        <v>492.398437499999</v>
      </c>
      <c r="BK158" s="269">
        <f t="shared" si="415"/>
        <v>492.398437499999</v>
      </c>
      <c r="BL158" s="269">
        <f t="shared" si="415"/>
        <v>492.398437499999</v>
      </c>
      <c r="BM158" s="269">
        <f t="shared" si="415"/>
        <v>492.398437499999</v>
      </c>
      <c r="BN158" s="269">
        <f t="shared" si="415"/>
        <v>492.398437499999</v>
      </c>
      <c r="BO158" s="269">
        <f t="shared" si="415"/>
        <v>492.398437499999</v>
      </c>
      <c r="BP158" s="269">
        <f t="shared" si="415"/>
        <v>492.398437499999</v>
      </c>
      <c r="BQ158" s="269">
        <f t="shared" si="415"/>
        <v>492.398437499999</v>
      </c>
      <c r="BR158" s="269">
        <f t="shared" si="415"/>
        <v>83.8124999999999</v>
      </c>
      <c r="BT158" s="60">
        <f t="shared" ref="BT158:CB158" si="416">BT157-BJ158</f>
        <v>66279.4791666667</v>
      </c>
      <c r="BU158" s="60">
        <f t="shared" si="416"/>
        <v>66279.4791666667</v>
      </c>
      <c r="BV158" s="60">
        <f t="shared" si="416"/>
        <v>66279.4791666667</v>
      </c>
      <c r="BW158" s="60">
        <f t="shared" si="416"/>
        <v>66279.4791666667</v>
      </c>
      <c r="BX158" s="60">
        <f t="shared" si="416"/>
        <v>66279.4791666667</v>
      </c>
      <c r="BY158" s="60">
        <f t="shared" si="416"/>
        <v>66279.4791666667</v>
      </c>
      <c r="BZ158" s="60">
        <f t="shared" si="416"/>
        <v>66279.4791666667</v>
      </c>
      <c r="CA158" s="60">
        <f t="shared" si="416"/>
        <v>66279.4791666667</v>
      </c>
      <c r="CB158" s="60">
        <f t="shared" si="416"/>
        <v>11233.1666666667</v>
      </c>
    </row>
    <row r="159" s="234" customFormat="1" ht="27" hidden="1" customHeight="1" spans="1:80">
      <c r="A159" s="236">
        <v>45797</v>
      </c>
      <c r="B159" s="237" t="s">
        <v>947</v>
      </c>
      <c r="C159" s="238" t="s">
        <v>948</v>
      </c>
      <c r="D159" s="239">
        <v>4500167181</v>
      </c>
      <c r="E159" s="238" t="s">
        <v>949</v>
      </c>
      <c r="F159" s="237" t="s">
        <v>950</v>
      </c>
      <c r="G159" s="240" t="s">
        <v>152</v>
      </c>
      <c r="H159" s="237" t="s">
        <v>153</v>
      </c>
      <c r="I159" s="247">
        <v>1300</v>
      </c>
      <c r="J159" s="247">
        <v>0</v>
      </c>
      <c r="K159" s="247">
        <v>13</v>
      </c>
      <c r="L159" s="247">
        <f t="shared" si="374"/>
        <v>100</v>
      </c>
      <c r="M159" s="248">
        <v>45854</v>
      </c>
      <c r="N159" s="248">
        <v>45850</v>
      </c>
      <c r="O159" s="212"/>
      <c r="P159" s="212" t="s">
        <v>224</v>
      </c>
      <c r="Q159" s="212" t="s">
        <v>938</v>
      </c>
      <c r="R159" s="274">
        <v>45797</v>
      </c>
      <c r="S159" s="273" t="s">
        <v>191</v>
      </c>
      <c r="T159" s="273" t="s">
        <v>951</v>
      </c>
      <c r="U159" s="273"/>
      <c r="V159" s="259" t="s">
        <v>952</v>
      </c>
      <c r="W159" s="248" t="s">
        <v>513</v>
      </c>
      <c r="X159" s="260">
        <v>0.7931</v>
      </c>
      <c r="Y159" s="247">
        <f t="shared" si="413"/>
        <v>1031.03</v>
      </c>
      <c r="Z159" s="248" t="s">
        <v>953</v>
      </c>
      <c r="AA159" s="259">
        <v>1300</v>
      </c>
      <c r="AB159" s="259">
        <f t="shared" si="275"/>
        <v>0</v>
      </c>
      <c r="AC159" s="212" t="s">
        <v>113</v>
      </c>
      <c r="AD159" s="212" t="s">
        <v>114</v>
      </c>
      <c r="AE159" s="248" t="s">
        <v>319</v>
      </c>
      <c r="AF159" s="248" t="s">
        <v>115</v>
      </c>
      <c r="AG159" s="267">
        <f t="shared" si="366"/>
        <v>1300</v>
      </c>
      <c r="AH159" s="267">
        <f t="shared" si="367"/>
        <v>1300</v>
      </c>
      <c r="AI159" s="267"/>
      <c r="AJ159" s="267"/>
      <c r="AK159" s="267"/>
      <c r="AL159" s="267">
        <f t="shared" si="414"/>
        <v>1300</v>
      </c>
      <c r="AM159" s="267"/>
      <c r="AN159" s="267"/>
      <c r="AO159" s="267">
        <f t="shared" si="369"/>
        <v>1300</v>
      </c>
      <c r="AP159" s="267"/>
      <c r="AQ159" s="267"/>
      <c r="AR159" s="267"/>
      <c r="AS159" s="267"/>
      <c r="AT159" s="267"/>
      <c r="AU159" s="267">
        <f t="shared" ref="AU159:AU163" si="417">I159/13</f>
        <v>100</v>
      </c>
      <c r="AV159" s="267"/>
      <c r="AW159" s="267"/>
      <c r="AX159" s="267"/>
      <c r="AY159" s="267"/>
      <c r="AZ159" s="267"/>
      <c r="BA159" s="267"/>
      <c r="BB159" s="267"/>
      <c r="BC159" s="267"/>
      <c r="BD159" s="267"/>
      <c r="BE159" s="267"/>
      <c r="BF159" s="267"/>
      <c r="BG159" s="267"/>
      <c r="BH159" s="267"/>
      <c r="BI159" s="267"/>
      <c r="BJ159" s="269">
        <f t="shared" ref="BJ159:BR159" si="418">$I159*BJ$2</f>
        <v>159.114583333333</v>
      </c>
      <c r="BK159" s="269">
        <f t="shared" si="418"/>
        <v>159.114583333333</v>
      </c>
      <c r="BL159" s="269">
        <f t="shared" si="418"/>
        <v>159.114583333333</v>
      </c>
      <c r="BM159" s="269">
        <f t="shared" si="418"/>
        <v>159.114583333333</v>
      </c>
      <c r="BN159" s="269">
        <f t="shared" si="418"/>
        <v>159.114583333333</v>
      </c>
      <c r="BO159" s="269">
        <f t="shared" si="418"/>
        <v>159.114583333333</v>
      </c>
      <c r="BP159" s="269">
        <f t="shared" si="418"/>
        <v>159.114583333333</v>
      </c>
      <c r="BQ159" s="269">
        <f t="shared" si="418"/>
        <v>159.114583333333</v>
      </c>
      <c r="BR159" s="269">
        <f t="shared" si="418"/>
        <v>27.0833333333333</v>
      </c>
      <c r="BT159" s="60">
        <f t="shared" ref="BT159:CB159" si="419">BT158-BJ159</f>
        <v>66120.3645833334</v>
      </c>
      <c r="BU159" s="60">
        <f t="shared" si="419"/>
        <v>66120.3645833334</v>
      </c>
      <c r="BV159" s="60">
        <f t="shared" si="419"/>
        <v>66120.3645833334</v>
      </c>
      <c r="BW159" s="60">
        <f t="shared" si="419"/>
        <v>66120.3645833334</v>
      </c>
      <c r="BX159" s="60">
        <f t="shared" si="419"/>
        <v>66120.3645833334</v>
      </c>
      <c r="BY159" s="60">
        <f t="shared" si="419"/>
        <v>66120.3645833334</v>
      </c>
      <c r="BZ159" s="60">
        <f t="shared" si="419"/>
        <v>66120.3645833334</v>
      </c>
      <c r="CA159" s="60">
        <f t="shared" si="419"/>
        <v>66120.3645833334</v>
      </c>
      <c r="CB159" s="60">
        <f t="shared" si="419"/>
        <v>11206.0833333333</v>
      </c>
    </row>
    <row r="160" s="234" customFormat="1" ht="27" hidden="1" customHeight="1" spans="1:80">
      <c r="A160" s="236">
        <v>45814</v>
      </c>
      <c r="B160" s="237" t="s">
        <v>954</v>
      </c>
      <c r="C160" s="238" t="s">
        <v>948</v>
      </c>
      <c r="D160" s="239">
        <v>4500169209</v>
      </c>
      <c r="E160" s="238" t="s">
        <v>955</v>
      </c>
      <c r="F160" s="237" t="s">
        <v>956</v>
      </c>
      <c r="G160" s="240" t="s">
        <v>152</v>
      </c>
      <c r="H160" s="237" t="s">
        <v>153</v>
      </c>
      <c r="I160" s="247">
        <v>2925</v>
      </c>
      <c r="J160" s="247">
        <v>0</v>
      </c>
      <c r="K160" s="247">
        <v>13</v>
      </c>
      <c r="L160" s="247">
        <f t="shared" si="374"/>
        <v>225</v>
      </c>
      <c r="M160" s="248">
        <v>45854</v>
      </c>
      <c r="N160" s="248">
        <v>45850</v>
      </c>
      <c r="O160" s="212" t="s">
        <v>957</v>
      </c>
      <c r="P160" s="212" t="s">
        <v>107</v>
      </c>
      <c r="Q160" s="212"/>
      <c r="R160" s="274">
        <v>45825</v>
      </c>
      <c r="S160" s="212" t="s">
        <v>80</v>
      </c>
      <c r="T160" s="212" t="s">
        <v>958</v>
      </c>
      <c r="U160" s="212"/>
      <c r="V160" s="259" t="s">
        <v>959</v>
      </c>
      <c r="W160" s="248" t="s">
        <v>513</v>
      </c>
      <c r="X160" s="260">
        <v>0.7931</v>
      </c>
      <c r="Y160" s="247">
        <f t="shared" si="413"/>
        <v>2319.8175</v>
      </c>
      <c r="Z160" s="248" t="s">
        <v>960</v>
      </c>
      <c r="AA160" s="259">
        <v>2925</v>
      </c>
      <c r="AB160" s="259">
        <f t="shared" si="275"/>
        <v>0</v>
      </c>
      <c r="AC160" s="212" t="s">
        <v>113</v>
      </c>
      <c r="AD160" s="212" t="s">
        <v>114</v>
      </c>
      <c r="AE160" s="248" t="s">
        <v>319</v>
      </c>
      <c r="AF160" s="248" t="s">
        <v>115</v>
      </c>
      <c r="AG160" s="267">
        <f t="shared" si="366"/>
        <v>2925</v>
      </c>
      <c r="AI160" s="267">
        <f>I160</f>
        <v>2925</v>
      </c>
      <c r="AJ160" s="267"/>
      <c r="AK160" s="267"/>
      <c r="AL160" s="267">
        <f t="shared" si="414"/>
        <v>2925</v>
      </c>
      <c r="AM160" s="267"/>
      <c r="AN160" s="267"/>
      <c r="AO160" s="267">
        <f t="shared" si="369"/>
        <v>2925</v>
      </c>
      <c r="AP160" s="267"/>
      <c r="AQ160" s="267"/>
      <c r="AR160" s="267"/>
      <c r="AS160" s="267"/>
      <c r="AT160" s="267"/>
      <c r="AU160" s="267">
        <f t="shared" si="417"/>
        <v>225</v>
      </c>
      <c r="AV160" s="267"/>
      <c r="AW160" s="267"/>
      <c r="AX160" s="267"/>
      <c r="AY160" s="267"/>
      <c r="AZ160" s="267"/>
      <c r="BA160" s="267"/>
      <c r="BB160" s="267"/>
      <c r="BC160" s="267"/>
      <c r="BD160" s="267"/>
      <c r="BE160" s="267"/>
      <c r="BF160" s="267"/>
      <c r="BG160" s="267"/>
      <c r="BH160" s="267"/>
      <c r="BI160" s="267"/>
      <c r="BJ160" s="269">
        <f t="shared" ref="BJ160:BR160" si="420">$I160*BJ$2</f>
        <v>358.007812499999</v>
      </c>
      <c r="BK160" s="269">
        <f t="shared" si="420"/>
        <v>358.007812499999</v>
      </c>
      <c r="BL160" s="269">
        <f t="shared" si="420"/>
        <v>358.007812499999</v>
      </c>
      <c r="BM160" s="269">
        <f t="shared" si="420"/>
        <v>358.007812499999</v>
      </c>
      <c r="BN160" s="269">
        <f t="shared" si="420"/>
        <v>358.007812499999</v>
      </c>
      <c r="BO160" s="269">
        <f t="shared" si="420"/>
        <v>358.007812499999</v>
      </c>
      <c r="BP160" s="269">
        <f t="shared" si="420"/>
        <v>358.007812499999</v>
      </c>
      <c r="BQ160" s="269">
        <f t="shared" si="420"/>
        <v>358.007812499999</v>
      </c>
      <c r="BR160" s="269">
        <f t="shared" si="420"/>
        <v>60.9374999999999</v>
      </c>
      <c r="BT160" s="60">
        <f t="shared" ref="BT160:CB160" si="421">BT159-BJ160</f>
        <v>65762.3567708334</v>
      </c>
      <c r="BU160" s="60">
        <f t="shared" si="421"/>
        <v>65762.3567708334</v>
      </c>
      <c r="BV160" s="60">
        <f t="shared" si="421"/>
        <v>65762.3567708334</v>
      </c>
      <c r="BW160" s="60">
        <f t="shared" si="421"/>
        <v>65762.3567708334</v>
      </c>
      <c r="BX160" s="60">
        <f t="shared" si="421"/>
        <v>65762.3567708334</v>
      </c>
      <c r="BY160" s="60">
        <f t="shared" si="421"/>
        <v>65762.3567708334</v>
      </c>
      <c r="BZ160" s="60">
        <f t="shared" si="421"/>
        <v>65762.3567708334</v>
      </c>
      <c r="CA160" s="60">
        <f t="shared" si="421"/>
        <v>65762.3567708334</v>
      </c>
      <c r="CB160" s="60">
        <f t="shared" si="421"/>
        <v>11145.1458333333</v>
      </c>
    </row>
    <row r="161" s="234" customFormat="1" ht="27" hidden="1" customHeight="1" spans="1:80">
      <c r="A161" s="236">
        <v>45792</v>
      </c>
      <c r="B161" s="237" t="s">
        <v>600</v>
      </c>
      <c r="C161" s="238" t="s">
        <v>117</v>
      </c>
      <c r="D161" s="239">
        <v>4500166543</v>
      </c>
      <c r="E161" s="304" t="s">
        <v>961</v>
      </c>
      <c r="F161" s="237" t="s">
        <v>962</v>
      </c>
      <c r="G161" s="240" t="s">
        <v>258</v>
      </c>
      <c r="H161" s="237" t="s">
        <v>259</v>
      </c>
      <c r="I161" s="247">
        <v>1152</v>
      </c>
      <c r="J161" s="247">
        <v>0</v>
      </c>
      <c r="K161" s="247">
        <v>1152</v>
      </c>
      <c r="L161" s="247">
        <f t="shared" si="374"/>
        <v>1</v>
      </c>
      <c r="M161" s="248">
        <v>45853</v>
      </c>
      <c r="N161" s="248">
        <v>45852</v>
      </c>
      <c r="O161" s="212" t="s">
        <v>963</v>
      </c>
      <c r="P161" s="212" t="s">
        <v>107</v>
      </c>
      <c r="Q161" s="212" t="s">
        <v>725</v>
      </c>
      <c r="R161" s="212" t="s">
        <v>331</v>
      </c>
      <c r="S161" s="212" t="s">
        <v>191</v>
      </c>
      <c r="T161" s="212" t="s">
        <v>605</v>
      </c>
      <c r="U161" s="212"/>
      <c r="V161" s="259" t="s">
        <v>606</v>
      </c>
      <c r="W161" s="248" t="s">
        <v>607</v>
      </c>
      <c r="X161" s="260">
        <v>555.88</v>
      </c>
      <c r="Y161" s="247">
        <f t="shared" si="410"/>
        <v>555.88</v>
      </c>
      <c r="Z161" s="248" t="s">
        <v>964</v>
      </c>
      <c r="AA161" s="259">
        <f>1116+36</f>
        <v>1152</v>
      </c>
      <c r="AB161" s="259">
        <f t="shared" si="275"/>
        <v>0</v>
      </c>
      <c r="AC161" s="212"/>
      <c r="AD161" s="212" t="s">
        <v>114</v>
      </c>
      <c r="AE161" s="248" t="s">
        <v>258</v>
      </c>
      <c r="AF161" s="248" t="s">
        <v>115</v>
      </c>
      <c r="AG161" s="267">
        <f t="shared" si="366"/>
        <v>1152</v>
      </c>
      <c r="AH161" s="267">
        <f t="shared" ref="AH161:AH170" si="422">I161</f>
        <v>1152</v>
      </c>
      <c r="AI161" s="267"/>
      <c r="AJ161" s="267"/>
      <c r="AK161" s="267">
        <f t="shared" ref="AK161:AK164" si="423">I161</f>
        <v>1152</v>
      </c>
      <c r="AL161" s="267"/>
      <c r="AM161" s="267"/>
      <c r="AN161" s="267"/>
      <c r="AO161" s="267">
        <f t="shared" si="369"/>
        <v>1152</v>
      </c>
      <c r="AP161" s="267"/>
      <c r="AQ161" s="267"/>
      <c r="AR161" s="267"/>
      <c r="AS161" s="267"/>
      <c r="AT161" s="267"/>
      <c r="AU161" s="267"/>
      <c r="AV161" s="267">
        <f t="shared" ref="AV161:AV166" si="424">I161/12</f>
        <v>96</v>
      </c>
      <c r="AW161" s="267"/>
      <c r="AX161" s="267"/>
      <c r="AY161" s="267"/>
      <c r="AZ161" s="267"/>
      <c r="BA161" s="267"/>
      <c r="BB161" s="267"/>
      <c r="BC161" s="267"/>
      <c r="BD161" s="267"/>
      <c r="BE161" s="267"/>
      <c r="BF161" s="267"/>
      <c r="BG161" s="267"/>
      <c r="BH161" s="267"/>
      <c r="BI161" s="267"/>
      <c r="BJ161" s="269">
        <f t="shared" ref="BJ161:BR161" si="425">$I161*BJ$2</f>
        <v>141</v>
      </c>
      <c r="BK161" s="269">
        <f t="shared" si="425"/>
        <v>141</v>
      </c>
      <c r="BL161" s="269">
        <f t="shared" si="425"/>
        <v>141</v>
      </c>
      <c r="BM161" s="269">
        <f t="shared" si="425"/>
        <v>141</v>
      </c>
      <c r="BN161" s="269">
        <f t="shared" si="425"/>
        <v>141</v>
      </c>
      <c r="BO161" s="269">
        <f t="shared" si="425"/>
        <v>141</v>
      </c>
      <c r="BP161" s="269">
        <f t="shared" si="425"/>
        <v>141</v>
      </c>
      <c r="BQ161" s="269">
        <f t="shared" si="425"/>
        <v>141</v>
      </c>
      <c r="BR161" s="269">
        <f t="shared" si="425"/>
        <v>24</v>
      </c>
      <c r="BT161" s="60">
        <f t="shared" ref="BT161:CB161" si="426">BT160-BJ161</f>
        <v>65621.3567708334</v>
      </c>
      <c r="BU161" s="60">
        <f t="shared" si="426"/>
        <v>65621.3567708334</v>
      </c>
      <c r="BV161" s="60">
        <f t="shared" si="426"/>
        <v>65621.3567708334</v>
      </c>
      <c r="BW161" s="60">
        <f t="shared" si="426"/>
        <v>65621.3567708334</v>
      </c>
      <c r="BX161" s="60">
        <f t="shared" si="426"/>
        <v>65621.3567708334</v>
      </c>
      <c r="BY161" s="60">
        <f t="shared" si="426"/>
        <v>65621.3567708334</v>
      </c>
      <c r="BZ161" s="60">
        <f t="shared" si="426"/>
        <v>65621.3567708334</v>
      </c>
      <c r="CA161" s="60">
        <f t="shared" si="426"/>
        <v>65621.3567708334</v>
      </c>
      <c r="CB161" s="60">
        <f t="shared" si="426"/>
        <v>11121.1458333333</v>
      </c>
    </row>
    <row r="162" s="234" customFormat="1" ht="27" hidden="1" customHeight="1" spans="1:80">
      <c r="A162" s="236">
        <v>45792</v>
      </c>
      <c r="B162" s="237" t="s">
        <v>600</v>
      </c>
      <c r="C162" s="238" t="s">
        <v>117</v>
      </c>
      <c r="D162" s="239">
        <v>4500166543</v>
      </c>
      <c r="E162" s="304" t="s">
        <v>965</v>
      </c>
      <c r="F162" s="237" t="s">
        <v>966</v>
      </c>
      <c r="G162" s="240" t="s">
        <v>258</v>
      </c>
      <c r="H162" s="237" t="s">
        <v>259</v>
      </c>
      <c r="I162" s="247">
        <v>1152</v>
      </c>
      <c r="J162" s="247">
        <v>0</v>
      </c>
      <c r="K162" s="247">
        <v>1152</v>
      </c>
      <c r="L162" s="247">
        <f t="shared" si="374"/>
        <v>1</v>
      </c>
      <c r="M162" s="248">
        <v>45853</v>
      </c>
      <c r="N162" s="248">
        <v>45852</v>
      </c>
      <c r="O162" s="212" t="s">
        <v>967</v>
      </c>
      <c r="P162" s="212" t="s">
        <v>107</v>
      </c>
      <c r="Q162" s="212" t="s">
        <v>943</v>
      </c>
      <c r="R162" s="212" t="s">
        <v>331</v>
      </c>
      <c r="S162" s="212" t="s">
        <v>191</v>
      </c>
      <c r="T162" s="212" t="s">
        <v>605</v>
      </c>
      <c r="U162" s="212"/>
      <c r="V162" s="259" t="s">
        <v>606</v>
      </c>
      <c r="W162" s="248" t="s">
        <v>607</v>
      </c>
      <c r="X162" s="260">
        <v>555.88</v>
      </c>
      <c r="Y162" s="247">
        <f t="shared" si="410"/>
        <v>555.88</v>
      </c>
      <c r="Z162" s="248" t="s">
        <v>968</v>
      </c>
      <c r="AA162" s="259">
        <f>1140+12</f>
        <v>1152</v>
      </c>
      <c r="AB162" s="259">
        <f t="shared" si="275"/>
        <v>0</v>
      </c>
      <c r="AC162" s="212"/>
      <c r="AD162" s="212" t="s">
        <v>114</v>
      </c>
      <c r="AE162" s="248" t="s">
        <v>258</v>
      </c>
      <c r="AF162" s="248" t="s">
        <v>115</v>
      </c>
      <c r="AG162" s="267">
        <f t="shared" si="366"/>
        <v>1152</v>
      </c>
      <c r="AH162" s="267">
        <f t="shared" si="422"/>
        <v>1152</v>
      </c>
      <c r="AI162" s="267"/>
      <c r="AJ162" s="267"/>
      <c r="AK162" s="267">
        <f t="shared" si="423"/>
        <v>1152</v>
      </c>
      <c r="AL162" s="267"/>
      <c r="AM162" s="267"/>
      <c r="AN162" s="267"/>
      <c r="AO162" s="267">
        <f t="shared" si="369"/>
        <v>1152</v>
      </c>
      <c r="AP162" s="267"/>
      <c r="AQ162" s="267"/>
      <c r="AR162" s="267"/>
      <c r="AS162" s="267"/>
      <c r="AT162" s="267"/>
      <c r="AU162" s="267"/>
      <c r="AV162" s="267">
        <f t="shared" si="424"/>
        <v>96</v>
      </c>
      <c r="AW162" s="267"/>
      <c r="AX162" s="267"/>
      <c r="AY162" s="267"/>
      <c r="AZ162" s="267"/>
      <c r="BA162" s="267"/>
      <c r="BB162" s="267"/>
      <c r="BC162" s="267"/>
      <c r="BD162" s="267"/>
      <c r="BE162" s="267"/>
      <c r="BF162" s="267"/>
      <c r="BG162" s="267"/>
      <c r="BH162" s="267"/>
      <c r="BI162" s="267"/>
      <c r="BJ162" s="269">
        <f t="shared" ref="BJ162:BR162" si="427">$I162*BJ$2</f>
        <v>141</v>
      </c>
      <c r="BK162" s="269">
        <f t="shared" si="427"/>
        <v>141</v>
      </c>
      <c r="BL162" s="269">
        <f t="shared" si="427"/>
        <v>141</v>
      </c>
      <c r="BM162" s="269">
        <f t="shared" si="427"/>
        <v>141</v>
      </c>
      <c r="BN162" s="269">
        <f t="shared" si="427"/>
        <v>141</v>
      </c>
      <c r="BO162" s="269">
        <f t="shared" si="427"/>
        <v>141</v>
      </c>
      <c r="BP162" s="269">
        <f t="shared" si="427"/>
        <v>141</v>
      </c>
      <c r="BQ162" s="269">
        <f t="shared" si="427"/>
        <v>141</v>
      </c>
      <c r="BR162" s="269">
        <f t="shared" si="427"/>
        <v>24</v>
      </c>
      <c r="BT162" s="60">
        <f t="shared" ref="BT162:CB162" si="428">BT161-BJ162</f>
        <v>65480.3567708334</v>
      </c>
      <c r="BU162" s="60">
        <f t="shared" si="428"/>
        <v>65480.3567708334</v>
      </c>
      <c r="BV162" s="60">
        <f t="shared" si="428"/>
        <v>65480.3567708334</v>
      </c>
      <c r="BW162" s="60">
        <f t="shared" si="428"/>
        <v>65480.3567708334</v>
      </c>
      <c r="BX162" s="60">
        <f t="shared" si="428"/>
        <v>65480.3567708334</v>
      </c>
      <c r="BY162" s="60">
        <f t="shared" si="428"/>
        <v>65480.3567708334</v>
      </c>
      <c r="BZ162" s="60">
        <f t="shared" si="428"/>
        <v>65480.3567708334</v>
      </c>
      <c r="CA162" s="60">
        <f t="shared" si="428"/>
        <v>65480.3567708334</v>
      </c>
      <c r="CB162" s="60">
        <f t="shared" si="428"/>
        <v>11097.1458333333</v>
      </c>
    </row>
    <row r="163" s="234" customFormat="1" ht="27" hidden="1" customHeight="1" spans="1:80">
      <c r="A163" s="236">
        <v>45814</v>
      </c>
      <c r="B163" s="237" t="s">
        <v>969</v>
      </c>
      <c r="C163" s="238" t="s">
        <v>948</v>
      </c>
      <c r="D163" s="239">
        <v>4500169319</v>
      </c>
      <c r="E163" s="238" t="s">
        <v>970</v>
      </c>
      <c r="F163" s="237" t="s">
        <v>971</v>
      </c>
      <c r="G163" s="240" t="s">
        <v>152</v>
      </c>
      <c r="H163" s="237" t="s">
        <v>153</v>
      </c>
      <c r="I163" s="247">
        <v>520</v>
      </c>
      <c r="J163" s="247">
        <v>0</v>
      </c>
      <c r="K163" s="247">
        <v>13</v>
      </c>
      <c r="L163" s="247">
        <f t="shared" si="374"/>
        <v>40</v>
      </c>
      <c r="M163" s="248">
        <v>45856</v>
      </c>
      <c r="N163" s="248">
        <v>45852</v>
      </c>
      <c r="O163" s="212"/>
      <c r="P163" s="212" t="s">
        <v>224</v>
      </c>
      <c r="Q163" s="212" t="s">
        <v>972</v>
      </c>
      <c r="R163" s="274">
        <v>45824</v>
      </c>
      <c r="S163" s="212" t="s">
        <v>80</v>
      </c>
      <c r="T163" s="212" t="s">
        <v>973</v>
      </c>
      <c r="U163" s="212"/>
      <c r="V163" s="259" t="s">
        <v>974</v>
      </c>
      <c r="W163" s="248" t="s">
        <v>975</v>
      </c>
      <c r="X163" s="260">
        <v>0.7812</v>
      </c>
      <c r="Y163" s="247">
        <f t="shared" ref="Y163:Y165" si="429">X163*I163</f>
        <v>406.224</v>
      </c>
      <c r="Z163" s="248" t="s">
        <v>976</v>
      </c>
      <c r="AA163" s="259">
        <f>507+13</f>
        <v>520</v>
      </c>
      <c r="AB163" s="259">
        <f t="shared" si="275"/>
        <v>0</v>
      </c>
      <c r="AC163" s="212" t="s">
        <v>113</v>
      </c>
      <c r="AD163" s="212" t="s">
        <v>114</v>
      </c>
      <c r="AE163" s="248" t="s">
        <v>319</v>
      </c>
      <c r="AF163" s="248" t="s">
        <v>115</v>
      </c>
      <c r="AG163" s="267">
        <f t="shared" si="366"/>
        <v>520</v>
      </c>
      <c r="AH163" s="267"/>
      <c r="AI163" s="267">
        <f>I163</f>
        <v>520</v>
      </c>
      <c r="AJ163" s="267"/>
      <c r="AK163" s="267"/>
      <c r="AL163" s="267">
        <f t="shared" ref="AL163:AL167" si="430">I163</f>
        <v>520</v>
      </c>
      <c r="AM163" s="267"/>
      <c r="AN163" s="267"/>
      <c r="AO163" s="267">
        <f t="shared" si="369"/>
        <v>520</v>
      </c>
      <c r="AP163" s="267"/>
      <c r="AQ163" s="267"/>
      <c r="AR163" s="267"/>
      <c r="AS163" s="267"/>
      <c r="AT163" s="267"/>
      <c r="AU163" s="267">
        <f t="shared" si="417"/>
        <v>40</v>
      </c>
      <c r="AV163" s="267"/>
      <c r="AW163" s="267"/>
      <c r="AX163" s="267"/>
      <c r="AY163" s="267"/>
      <c r="AZ163" s="267"/>
      <c r="BA163" s="267"/>
      <c r="BB163" s="267"/>
      <c r="BC163" s="267"/>
      <c r="BD163" s="267"/>
      <c r="BE163" s="267"/>
      <c r="BF163" s="267"/>
      <c r="BG163" s="267"/>
      <c r="BH163" s="267"/>
      <c r="BI163" s="267"/>
      <c r="BJ163" s="269">
        <f t="shared" ref="BJ163:BR163" si="431">$I163*BJ$2</f>
        <v>63.6458333333332</v>
      </c>
      <c r="BK163" s="269">
        <f t="shared" si="431"/>
        <v>63.6458333333332</v>
      </c>
      <c r="BL163" s="269">
        <f t="shared" si="431"/>
        <v>63.6458333333332</v>
      </c>
      <c r="BM163" s="269">
        <f t="shared" si="431"/>
        <v>63.6458333333332</v>
      </c>
      <c r="BN163" s="269">
        <f t="shared" si="431"/>
        <v>63.6458333333332</v>
      </c>
      <c r="BO163" s="269">
        <f t="shared" si="431"/>
        <v>63.6458333333332</v>
      </c>
      <c r="BP163" s="269">
        <f t="shared" si="431"/>
        <v>63.6458333333332</v>
      </c>
      <c r="BQ163" s="269">
        <f t="shared" si="431"/>
        <v>63.6458333333332</v>
      </c>
      <c r="BR163" s="269">
        <f t="shared" si="431"/>
        <v>10.8333333333333</v>
      </c>
      <c r="BT163" s="60">
        <f t="shared" ref="BT163:CB163" si="432">BT162-BJ163</f>
        <v>65416.7109375</v>
      </c>
      <c r="BU163" s="60">
        <f t="shared" si="432"/>
        <v>65416.7109375</v>
      </c>
      <c r="BV163" s="60">
        <f t="shared" si="432"/>
        <v>65416.7109375</v>
      </c>
      <c r="BW163" s="60">
        <f t="shared" si="432"/>
        <v>65416.7109375</v>
      </c>
      <c r="BX163" s="60">
        <f t="shared" si="432"/>
        <v>65416.7109375</v>
      </c>
      <c r="BY163" s="60">
        <f t="shared" si="432"/>
        <v>65416.7109375</v>
      </c>
      <c r="BZ163" s="60">
        <f t="shared" si="432"/>
        <v>65416.7109375</v>
      </c>
      <c r="CA163" s="60">
        <f t="shared" si="432"/>
        <v>65416.7109375</v>
      </c>
      <c r="CB163" s="60">
        <f t="shared" si="432"/>
        <v>11086.3125</v>
      </c>
    </row>
    <row r="164" s="234" customFormat="1" ht="27" hidden="1" customHeight="1" spans="1:80">
      <c r="A164" s="236">
        <v>45824</v>
      </c>
      <c r="B164" s="237" t="s">
        <v>977</v>
      </c>
      <c r="C164" s="238" t="s">
        <v>117</v>
      </c>
      <c r="D164" s="239">
        <v>4500170074</v>
      </c>
      <c r="E164" s="238" t="s">
        <v>978</v>
      </c>
      <c r="F164" s="237" t="s">
        <v>979</v>
      </c>
      <c r="G164" s="240" t="s">
        <v>152</v>
      </c>
      <c r="H164" s="237" t="s">
        <v>153</v>
      </c>
      <c r="I164" s="247">
        <v>26</v>
      </c>
      <c r="J164" s="247">
        <v>0</v>
      </c>
      <c r="K164" s="247">
        <v>13</v>
      </c>
      <c r="L164" s="247">
        <f t="shared" si="374"/>
        <v>2</v>
      </c>
      <c r="M164" s="248">
        <v>45856</v>
      </c>
      <c r="N164" s="248">
        <v>45852</v>
      </c>
      <c r="O164" s="212"/>
      <c r="P164" s="212" t="s">
        <v>224</v>
      </c>
      <c r="Q164" s="212" t="s">
        <v>980</v>
      </c>
      <c r="R164" s="212">
        <v>45825</v>
      </c>
      <c r="S164" s="212" t="s">
        <v>80</v>
      </c>
      <c r="T164" s="212" t="s">
        <v>80</v>
      </c>
      <c r="U164" s="212"/>
      <c r="V164" s="259" t="s">
        <v>981</v>
      </c>
      <c r="W164" s="248" t="s">
        <v>982</v>
      </c>
      <c r="X164" s="260">
        <v>0.5012</v>
      </c>
      <c r="Y164" s="247">
        <f t="shared" si="429"/>
        <v>13.0312</v>
      </c>
      <c r="Z164" s="247" t="s">
        <v>983</v>
      </c>
      <c r="AA164" s="259">
        <v>26</v>
      </c>
      <c r="AB164" s="259">
        <f t="shared" si="275"/>
        <v>0</v>
      </c>
      <c r="AC164" s="212" t="s">
        <v>80</v>
      </c>
      <c r="AD164" s="212" t="s">
        <v>114</v>
      </c>
      <c r="AE164" s="248" t="s">
        <v>152</v>
      </c>
      <c r="AF164" s="248" t="s">
        <v>115</v>
      </c>
      <c r="AG164" s="267">
        <f t="shared" si="366"/>
        <v>26</v>
      </c>
      <c r="AH164" s="267">
        <f t="shared" si="422"/>
        <v>26</v>
      </c>
      <c r="AI164" s="267"/>
      <c r="AJ164" s="267"/>
      <c r="AK164" s="267">
        <f t="shared" si="423"/>
        <v>26</v>
      </c>
      <c r="AL164" s="267"/>
      <c r="AM164" s="267"/>
      <c r="AN164" s="267"/>
      <c r="AO164" s="267">
        <f t="shared" si="369"/>
        <v>26</v>
      </c>
      <c r="AP164" s="267"/>
      <c r="AQ164" s="267"/>
      <c r="AR164" s="267"/>
      <c r="AS164" s="267"/>
      <c r="AT164" s="267">
        <f>I164/13</f>
        <v>2</v>
      </c>
      <c r="AU164" s="267"/>
      <c r="AV164" s="267"/>
      <c r="AW164" s="267"/>
      <c r="AX164" s="267"/>
      <c r="AY164" s="267"/>
      <c r="AZ164" s="267"/>
      <c r="BA164" s="267"/>
      <c r="BB164" s="267"/>
      <c r="BC164" s="267"/>
      <c r="BD164" s="267"/>
      <c r="BE164" s="267"/>
      <c r="BF164" s="267"/>
      <c r="BG164" s="267"/>
      <c r="BH164" s="267"/>
      <c r="BI164" s="267"/>
      <c r="BJ164" s="269">
        <f t="shared" ref="BJ164:BR164" si="433">$I164*BJ$2</f>
        <v>3.18229166666666</v>
      </c>
      <c r="BK164" s="269">
        <f t="shared" si="433"/>
        <v>3.18229166666666</v>
      </c>
      <c r="BL164" s="269">
        <f t="shared" si="433"/>
        <v>3.18229166666666</v>
      </c>
      <c r="BM164" s="269">
        <f t="shared" si="433"/>
        <v>3.18229166666666</v>
      </c>
      <c r="BN164" s="269">
        <f t="shared" si="433"/>
        <v>3.18229166666666</v>
      </c>
      <c r="BO164" s="269">
        <f t="shared" si="433"/>
        <v>3.18229166666666</v>
      </c>
      <c r="BP164" s="269">
        <f t="shared" si="433"/>
        <v>3.18229166666666</v>
      </c>
      <c r="BQ164" s="269">
        <f t="shared" si="433"/>
        <v>3.18229166666666</v>
      </c>
      <c r="BR164" s="269">
        <f t="shared" si="433"/>
        <v>0.541666666666666</v>
      </c>
      <c r="BT164" s="60">
        <f t="shared" ref="BT164:CB164" si="434">BT163-BJ164</f>
        <v>65413.5286458334</v>
      </c>
      <c r="BU164" s="60">
        <f t="shared" si="434"/>
        <v>65413.5286458334</v>
      </c>
      <c r="BV164" s="60">
        <f t="shared" si="434"/>
        <v>65413.5286458334</v>
      </c>
      <c r="BW164" s="60">
        <f t="shared" si="434"/>
        <v>65413.5286458334</v>
      </c>
      <c r="BX164" s="60">
        <f t="shared" si="434"/>
        <v>65413.5286458334</v>
      </c>
      <c r="BY164" s="60">
        <f t="shared" si="434"/>
        <v>65413.5286458334</v>
      </c>
      <c r="BZ164" s="60">
        <f t="shared" si="434"/>
        <v>65413.5286458334</v>
      </c>
      <c r="CA164" s="60">
        <f t="shared" si="434"/>
        <v>65413.5286458334</v>
      </c>
      <c r="CB164" s="60">
        <f t="shared" si="434"/>
        <v>11085.7708333333</v>
      </c>
    </row>
    <row r="165" s="234" customFormat="1" ht="27" hidden="1" customHeight="1" spans="1:80">
      <c r="A165" s="236">
        <v>45771</v>
      </c>
      <c r="B165" s="237" t="s">
        <v>984</v>
      </c>
      <c r="C165" s="238" t="s">
        <v>985</v>
      </c>
      <c r="D165" s="239">
        <v>4500159848</v>
      </c>
      <c r="E165" s="238" t="s">
        <v>986</v>
      </c>
      <c r="F165" s="237" t="s">
        <v>987</v>
      </c>
      <c r="G165" s="240" t="s">
        <v>78</v>
      </c>
      <c r="H165" s="237" t="s">
        <v>79</v>
      </c>
      <c r="I165" s="247">
        <v>270</v>
      </c>
      <c r="J165" s="247">
        <v>0</v>
      </c>
      <c r="K165" s="247">
        <v>54</v>
      </c>
      <c r="L165" s="247">
        <f t="shared" si="374"/>
        <v>5</v>
      </c>
      <c r="M165" s="248">
        <v>45859</v>
      </c>
      <c r="N165" s="248">
        <f t="shared" ref="N165:N167" si="435">M165-4</f>
        <v>45855</v>
      </c>
      <c r="O165" s="212" t="s">
        <v>988</v>
      </c>
      <c r="P165" s="212" t="s">
        <v>224</v>
      </c>
      <c r="Q165" s="212" t="s">
        <v>989</v>
      </c>
      <c r="R165" s="212">
        <v>45821</v>
      </c>
      <c r="S165" s="212" t="s">
        <v>80</v>
      </c>
      <c r="T165" s="212" t="s">
        <v>990</v>
      </c>
      <c r="U165" s="212"/>
      <c r="V165" s="259" t="s">
        <v>991</v>
      </c>
      <c r="W165" s="248" t="s">
        <v>228</v>
      </c>
      <c r="X165" s="260">
        <v>0.7967</v>
      </c>
      <c r="Y165" s="247">
        <f t="shared" si="429"/>
        <v>215.109</v>
      </c>
      <c r="Z165" s="248" t="s">
        <v>992</v>
      </c>
      <c r="AA165" s="259">
        <v>270</v>
      </c>
      <c r="AB165" s="259">
        <f t="shared" si="275"/>
        <v>0</v>
      </c>
      <c r="AC165" s="212" t="s">
        <v>113</v>
      </c>
      <c r="AD165" s="212" t="s">
        <v>114</v>
      </c>
      <c r="AE165" s="248" t="s">
        <v>230</v>
      </c>
      <c r="AF165" s="248" t="s">
        <v>115</v>
      </c>
      <c r="AG165" s="267">
        <f t="shared" si="366"/>
        <v>270</v>
      </c>
      <c r="AH165" s="267">
        <f t="shared" si="422"/>
        <v>270</v>
      </c>
      <c r="AI165" s="267"/>
      <c r="AJ165" s="267"/>
      <c r="AK165" s="267"/>
      <c r="AL165" s="267">
        <f t="shared" si="430"/>
        <v>270</v>
      </c>
      <c r="AM165" s="267"/>
      <c r="AN165" s="267"/>
      <c r="AO165" s="267">
        <f t="shared" si="369"/>
        <v>270</v>
      </c>
      <c r="AP165" s="267"/>
      <c r="AQ165" s="267"/>
      <c r="AR165" s="267">
        <f>I165/27</f>
        <v>10</v>
      </c>
      <c r="AS165" s="267"/>
      <c r="AT165" s="267"/>
      <c r="AU165" s="267"/>
      <c r="AV165" s="267"/>
      <c r="AW165" s="267"/>
      <c r="AX165" s="267"/>
      <c r="AY165" s="267"/>
      <c r="AZ165" s="267"/>
      <c r="BA165" s="267"/>
      <c r="BB165" s="267"/>
      <c r="BC165" s="267"/>
      <c r="BD165" s="267"/>
      <c r="BE165" s="267"/>
      <c r="BF165" s="267"/>
      <c r="BG165" s="267"/>
      <c r="BH165" s="267"/>
      <c r="BI165" s="267"/>
      <c r="BJ165" s="269">
        <f t="shared" ref="BJ165:BR165" si="436">$I165*BJ$2</f>
        <v>33.0468749999999</v>
      </c>
      <c r="BK165" s="269">
        <f t="shared" si="436"/>
        <v>33.0468749999999</v>
      </c>
      <c r="BL165" s="269">
        <f t="shared" si="436"/>
        <v>33.0468749999999</v>
      </c>
      <c r="BM165" s="269">
        <f t="shared" si="436"/>
        <v>33.0468749999999</v>
      </c>
      <c r="BN165" s="269">
        <f t="shared" si="436"/>
        <v>33.0468749999999</v>
      </c>
      <c r="BO165" s="269">
        <f t="shared" si="436"/>
        <v>33.0468749999999</v>
      </c>
      <c r="BP165" s="269">
        <f t="shared" si="436"/>
        <v>33.0468749999999</v>
      </c>
      <c r="BQ165" s="269">
        <f t="shared" si="436"/>
        <v>33.0468749999999</v>
      </c>
      <c r="BR165" s="269">
        <f t="shared" si="436"/>
        <v>5.62499999999999</v>
      </c>
      <c r="BT165" s="60">
        <f t="shared" ref="BT165:CB165" si="437">BT164-BJ165</f>
        <v>65380.4817708334</v>
      </c>
      <c r="BU165" s="60">
        <f t="shared" si="437"/>
        <v>65380.4817708334</v>
      </c>
      <c r="BV165" s="60">
        <f t="shared" si="437"/>
        <v>65380.4817708334</v>
      </c>
      <c r="BW165" s="60">
        <f t="shared" si="437"/>
        <v>65380.4817708334</v>
      </c>
      <c r="BX165" s="60">
        <f t="shared" si="437"/>
        <v>65380.4817708334</v>
      </c>
      <c r="BY165" s="60">
        <f t="shared" si="437"/>
        <v>65380.4817708334</v>
      </c>
      <c r="BZ165" s="60">
        <f t="shared" si="437"/>
        <v>65380.4817708334</v>
      </c>
      <c r="CA165" s="60">
        <f t="shared" si="437"/>
        <v>65380.4817708334</v>
      </c>
      <c r="CB165" s="60">
        <f t="shared" si="437"/>
        <v>11080.1458333333</v>
      </c>
    </row>
    <row r="166" s="234" customFormat="1" ht="27" hidden="1" customHeight="1" spans="1:80">
      <c r="A166" s="236">
        <v>45792</v>
      </c>
      <c r="B166" s="237" t="s">
        <v>600</v>
      </c>
      <c r="C166" s="238" t="s">
        <v>117</v>
      </c>
      <c r="D166" s="239">
        <v>4500166545</v>
      </c>
      <c r="E166" s="304" t="s">
        <v>993</v>
      </c>
      <c r="F166" s="237" t="s">
        <v>994</v>
      </c>
      <c r="G166" s="240" t="s">
        <v>258</v>
      </c>
      <c r="H166" s="237" t="s">
        <v>259</v>
      </c>
      <c r="I166" s="247">
        <v>1152</v>
      </c>
      <c r="J166" s="247">
        <v>0</v>
      </c>
      <c r="K166" s="247">
        <v>1152</v>
      </c>
      <c r="L166" s="247">
        <f t="shared" si="374"/>
        <v>1</v>
      </c>
      <c r="M166" s="248">
        <v>45859</v>
      </c>
      <c r="N166" s="248">
        <f t="shared" si="435"/>
        <v>45855</v>
      </c>
      <c r="O166" s="212" t="s">
        <v>995</v>
      </c>
      <c r="P166" s="212" t="s">
        <v>107</v>
      </c>
      <c r="Q166" s="212" t="s">
        <v>878</v>
      </c>
      <c r="R166" s="212" t="s">
        <v>331</v>
      </c>
      <c r="S166" s="212" t="s">
        <v>191</v>
      </c>
      <c r="T166" s="212" t="s">
        <v>605</v>
      </c>
      <c r="U166" s="212"/>
      <c r="V166" s="259" t="s">
        <v>606</v>
      </c>
      <c r="W166" s="248" t="s">
        <v>607</v>
      </c>
      <c r="X166" s="260">
        <v>555.88</v>
      </c>
      <c r="Y166" s="247">
        <f t="shared" ref="Y166:Y169" si="438">X166*L166</f>
        <v>555.88</v>
      </c>
      <c r="Z166" s="248" t="s">
        <v>996</v>
      </c>
      <c r="AA166" s="259">
        <v>1152</v>
      </c>
      <c r="AB166" s="259">
        <f t="shared" si="275"/>
        <v>0</v>
      </c>
      <c r="AC166" s="212"/>
      <c r="AD166" s="212" t="s">
        <v>114</v>
      </c>
      <c r="AE166" s="248" t="s">
        <v>258</v>
      </c>
      <c r="AF166" s="248" t="s">
        <v>115</v>
      </c>
      <c r="AG166" s="267">
        <f t="shared" si="366"/>
        <v>1152</v>
      </c>
      <c r="AH166" s="267">
        <f t="shared" si="422"/>
        <v>1152</v>
      </c>
      <c r="AI166" s="267"/>
      <c r="AJ166" s="267"/>
      <c r="AK166" s="267">
        <f t="shared" ref="AK166:AK170" si="439">I166</f>
        <v>1152</v>
      </c>
      <c r="AL166" s="267"/>
      <c r="AM166" s="267"/>
      <c r="AN166" s="267"/>
      <c r="AO166" s="267">
        <f t="shared" si="369"/>
        <v>1152</v>
      </c>
      <c r="AP166" s="267"/>
      <c r="AQ166" s="267"/>
      <c r="AR166" s="267"/>
      <c r="AS166" s="267"/>
      <c r="AT166" s="267"/>
      <c r="AU166" s="267"/>
      <c r="AV166" s="267">
        <f t="shared" si="424"/>
        <v>96</v>
      </c>
      <c r="AW166" s="267"/>
      <c r="AX166" s="267"/>
      <c r="AY166" s="267"/>
      <c r="AZ166" s="267"/>
      <c r="BA166" s="267"/>
      <c r="BB166" s="267"/>
      <c r="BC166" s="267"/>
      <c r="BD166" s="267"/>
      <c r="BE166" s="267"/>
      <c r="BF166" s="267"/>
      <c r="BG166" s="267"/>
      <c r="BH166" s="267"/>
      <c r="BI166" s="267"/>
      <c r="BJ166" s="269">
        <f t="shared" ref="BJ166:BR166" si="440">$I166*BJ$2</f>
        <v>141</v>
      </c>
      <c r="BK166" s="269">
        <f t="shared" si="440"/>
        <v>141</v>
      </c>
      <c r="BL166" s="269">
        <f t="shared" si="440"/>
        <v>141</v>
      </c>
      <c r="BM166" s="269">
        <f t="shared" si="440"/>
        <v>141</v>
      </c>
      <c r="BN166" s="269">
        <f t="shared" si="440"/>
        <v>141</v>
      </c>
      <c r="BO166" s="269">
        <f t="shared" si="440"/>
        <v>141</v>
      </c>
      <c r="BP166" s="269">
        <f t="shared" si="440"/>
        <v>141</v>
      </c>
      <c r="BQ166" s="269">
        <f t="shared" si="440"/>
        <v>141</v>
      </c>
      <c r="BR166" s="269">
        <f t="shared" si="440"/>
        <v>24</v>
      </c>
      <c r="BT166" s="60">
        <f t="shared" ref="BT166:CB166" si="441">BT165-BJ166</f>
        <v>65239.4817708334</v>
      </c>
      <c r="BU166" s="60">
        <f t="shared" si="441"/>
        <v>65239.4817708334</v>
      </c>
      <c r="BV166" s="60">
        <f t="shared" si="441"/>
        <v>65239.4817708334</v>
      </c>
      <c r="BW166" s="60">
        <f t="shared" si="441"/>
        <v>65239.4817708334</v>
      </c>
      <c r="BX166" s="60">
        <f t="shared" si="441"/>
        <v>65239.4817708334</v>
      </c>
      <c r="BY166" s="60">
        <f t="shared" si="441"/>
        <v>65239.4817708334</v>
      </c>
      <c r="BZ166" s="60">
        <f t="shared" si="441"/>
        <v>65239.4817708334</v>
      </c>
      <c r="CA166" s="60">
        <f t="shared" si="441"/>
        <v>65239.4817708334</v>
      </c>
      <c r="CB166" s="60">
        <f t="shared" si="441"/>
        <v>11056.1458333333</v>
      </c>
    </row>
    <row r="167" s="234" customFormat="1" ht="27" hidden="1" customHeight="1" spans="1:80">
      <c r="A167" s="236">
        <v>45799</v>
      </c>
      <c r="B167" s="237" t="s">
        <v>997</v>
      </c>
      <c r="C167" s="238" t="s">
        <v>574</v>
      </c>
      <c r="D167" s="239">
        <v>4500167249</v>
      </c>
      <c r="E167" s="238">
        <v>5040017</v>
      </c>
      <c r="F167" s="237" t="s">
        <v>998</v>
      </c>
      <c r="G167" s="240" t="s">
        <v>78</v>
      </c>
      <c r="H167" s="237" t="s">
        <v>79</v>
      </c>
      <c r="I167" s="247">
        <v>4266</v>
      </c>
      <c r="J167" s="247">
        <v>0</v>
      </c>
      <c r="K167" s="247">
        <v>54</v>
      </c>
      <c r="L167" s="247">
        <f t="shared" si="374"/>
        <v>79</v>
      </c>
      <c r="M167" s="248">
        <v>45859</v>
      </c>
      <c r="N167" s="248">
        <f t="shared" si="435"/>
        <v>45855</v>
      </c>
      <c r="O167" s="212"/>
      <c r="P167" s="212" t="s">
        <v>107</v>
      </c>
      <c r="Q167" s="277" t="s">
        <v>999</v>
      </c>
      <c r="R167" s="212">
        <v>45831</v>
      </c>
      <c r="S167" s="212" t="s">
        <v>80</v>
      </c>
      <c r="T167" s="212" t="s">
        <v>1000</v>
      </c>
      <c r="U167" s="212"/>
      <c r="V167" s="259" t="s">
        <v>1001</v>
      </c>
      <c r="W167" s="248" t="s">
        <v>581</v>
      </c>
      <c r="X167" s="260">
        <v>0.7913</v>
      </c>
      <c r="Y167" s="247">
        <f t="shared" ref="Y167:Y179" si="442">X167*I167</f>
        <v>3375.6858</v>
      </c>
      <c r="Z167" s="248" t="s">
        <v>1002</v>
      </c>
      <c r="AA167" s="259">
        <v>4266</v>
      </c>
      <c r="AB167" s="259">
        <f t="shared" si="275"/>
        <v>0</v>
      </c>
      <c r="AC167" s="212" t="s">
        <v>113</v>
      </c>
      <c r="AD167" s="212" t="s">
        <v>114</v>
      </c>
      <c r="AE167" s="248" t="s">
        <v>230</v>
      </c>
      <c r="AF167" s="248" t="s">
        <v>115</v>
      </c>
      <c r="AG167" s="267">
        <f t="shared" si="366"/>
        <v>4266</v>
      </c>
      <c r="AH167" s="267">
        <f t="shared" si="422"/>
        <v>4266</v>
      </c>
      <c r="AI167" s="267"/>
      <c r="AJ167" s="267"/>
      <c r="AK167" s="267"/>
      <c r="AL167" s="267">
        <f t="shared" si="430"/>
        <v>4266</v>
      </c>
      <c r="AM167" s="267"/>
      <c r="AN167" s="267"/>
      <c r="AO167" s="267">
        <f t="shared" si="369"/>
        <v>4266</v>
      </c>
      <c r="AP167" s="267"/>
      <c r="AQ167" s="267"/>
      <c r="AR167" s="267">
        <f>I167/27</f>
        <v>158</v>
      </c>
      <c r="AS167" s="267"/>
      <c r="AT167" s="267"/>
      <c r="AU167" s="267"/>
      <c r="AV167" s="267"/>
      <c r="AW167" s="267"/>
      <c r="AX167" s="267"/>
      <c r="AY167" s="267"/>
      <c r="AZ167" s="267"/>
      <c r="BA167" s="267"/>
      <c r="BB167" s="267"/>
      <c r="BC167" s="267"/>
      <c r="BD167" s="267"/>
      <c r="BE167" s="267"/>
      <c r="BF167" s="267"/>
      <c r="BG167" s="267"/>
      <c r="BH167" s="267"/>
      <c r="BI167" s="267"/>
      <c r="BJ167" s="269">
        <f t="shared" ref="BJ167:BR167" si="443">$I167*BJ$2</f>
        <v>522.140624999999</v>
      </c>
      <c r="BK167" s="269">
        <f t="shared" si="443"/>
        <v>522.140624999999</v>
      </c>
      <c r="BL167" s="269">
        <f t="shared" si="443"/>
        <v>522.140624999999</v>
      </c>
      <c r="BM167" s="269">
        <f t="shared" si="443"/>
        <v>522.140624999999</v>
      </c>
      <c r="BN167" s="269">
        <f t="shared" si="443"/>
        <v>522.140624999999</v>
      </c>
      <c r="BO167" s="269">
        <f t="shared" si="443"/>
        <v>522.140624999999</v>
      </c>
      <c r="BP167" s="269">
        <f t="shared" si="443"/>
        <v>522.140624999999</v>
      </c>
      <c r="BQ167" s="269">
        <f t="shared" si="443"/>
        <v>522.140624999999</v>
      </c>
      <c r="BR167" s="269">
        <f t="shared" si="443"/>
        <v>88.8749999999999</v>
      </c>
      <c r="BT167" s="60">
        <f t="shared" ref="BT167:CB167" si="444">BT166-BJ167</f>
        <v>64717.3411458334</v>
      </c>
      <c r="BU167" s="60">
        <f t="shared" si="444"/>
        <v>64717.3411458334</v>
      </c>
      <c r="BV167" s="60">
        <f t="shared" si="444"/>
        <v>64717.3411458334</v>
      </c>
      <c r="BW167" s="60">
        <f t="shared" si="444"/>
        <v>64717.3411458334</v>
      </c>
      <c r="BX167" s="60">
        <f t="shared" si="444"/>
        <v>64717.3411458334</v>
      </c>
      <c r="BY167" s="60">
        <f t="shared" si="444"/>
        <v>64717.3411458334</v>
      </c>
      <c r="BZ167" s="60">
        <f t="shared" si="444"/>
        <v>64717.3411458334</v>
      </c>
      <c r="CA167" s="60">
        <f t="shared" si="444"/>
        <v>64717.3411458334</v>
      </c>
      <c r="CB167" s="60">
        <f t="shared" si="444"/>
        <v>10967.2708333333</v>
      </c>
    </row>
    <row r="168" s="234" customFormat="1" ht="27" hidden="1" customHeight="1" spans="1:80">
      <c r="A168" s="236">
        <v>45792</v>
      </c>
      <c r="B168" s="237" t="s">
        <v>600</v>
      </c>
      <c r="C168" s="238" t="s">
        <v>117</v>
      </c>
      <c r="D168" s="239">
        <v>4500166547</v>
      </c>
      <c r="E168" s="304" t="s">
        <v>1003</v>
      </c>
      <c r="F168" s="237" t="s">
        <v>1004</v>
      </c>
      <c r="G168" s="240" t="s">
        <v>258</v>
      </c>
      <c r="H168" s="237" t="s">
        <v>259</v>
      </c>
      <c r="I168" s="247">
        <v>1152</v>
      </c>
      <c r="J168" s="247">
        <v>0</v>
      </c>
      <c r="K168" s="247">
        <v>1152</v>
      </c>
      <c r="L168" s="247">
        <f t="shared" si="374"/>
        <v>1</v>
      </c>
      <c r="M168" s="248">
        <v>45867</v>
      </c>
      <c r="N168" s="248">
        <v>45856</v>
      </c>
      <c r="O168" s="212" t="s">
        <v>1005</v>
      </c>
      <c r="P168" s="212" t="s">
        <v>107</v>
      </c>
      <c r="Q168" s="212" t="s">
        <v>1006</v>
      </c>
      <c r="R168" s="212" t="s">
        <v>331</v>
      </c>
      <c r="S168" s="212" t="s">
        <v>191</v>
      </c>
      <c r="T168" s="212" t="s">
        <v>605</v>
      </c>
      <c r="U168" s="212"/>
      <c r="V168" s="259" t="s">
        <v>606</v>
      </c>
      <c r="W168" s="248" t="s">
        <v>607</v>
      </c>
      <c r="X168" s="260">
        <v>926.4718</v>
      </c>
      <c r="Y168" s="247">
        <f t="shared" si="438"/>
        <v>926.4718</v>
      </c>
      <c r="Z168" s="248" t="s">
        <v>1007</v>
      </c>
      <c r="AA168" s="259">
        <v>1152</v>
      </c>
      <c r="AB168" s="259">
        <f t="shared" si="275"/>
        <v>0</v>
      </c>
      <c r="AC168" s="212"/>
      <c r="AD168" s="212" t="s">
        <v>114</v>
      </c>
      <c r="AE168" s="248" t="s">
        <v>258</v>
      </c>
      <c r="AF168" s="248" t="s">
        <v>115</v>
      </c>
      <c r="AG168" s="267">
        <f t="shared" si="366"/>
        <v>1152</v>
      </c>
      <c r="AH168" s="267">
        <f t="shared" si="422"/>
        <v>1152</v>
      </c>
      <c r="AI168" s="267"/>
      <c r="AJ168" s="267"/>
      <c r="AK168" s="267">
        <f t="shared" si="439"/>
        <v>1152</v>
      </c>
      <c r="AL168" s="267"/>
      <c r="AM168" s="267"/>
      <c r="AN168" s="267"/>
      <c r="AO168" s="267">
        <f t="shared" si="369"/>
        <v>1152</v>
      </c>
      <c r="AP168" s="267"/>
      <c r="AQ168" s="267"/>
      <c r="AR168" s="267"/>
      <c r="AS168" s="267"/>
      <c r="AT168" s="267"/>
      <c r="AU168" s="267"/>
      <c r="AV168" s="267">
        <f>I168/12</f>
        <v>96</v>
      </c>
      <c r="AW168" s="267"/>
      <c r="AX168" s="267"/>
      <c r="AY168" s="267"/>
      <c r="AZ168" s="267"/>
      <c r="BA168" s="267"/>
      <c r="BB168" s="267"/>
      <c r="BC168" s="267"/>
      <c r="BD168" s="267"/>
      <c r="BE168" s="267"/>
      <c r="BF168" s="267"/>
      <c r="BG168" s="267"/>
      <c r="BH168" s="267"/>
      <c r="BI168" s="267"/>
      <c r="BJ168" s="269">
        <f t="shared" ref="BJ168:BR168" si="445">$I168*BJ$2</f>
        <v>141</v>
      </c>
      <c r="BK168" s="269">
        <f t="shared" si="445"/>
        <v>141</v>
      </c>
      <c r="BL168" s="269">
        <f t="shared" si="445"/>
        <v>141</v>
      </c>
      <c r="BM168" s="269">
        <f t="shared" si="445"/>
        <v>141</v>
      </c>
      <c r="BN168" s="269">
        <f t="shared" si="445"/>
        <v>141</v>
      </c>
      <c r="BO168" s="269">
        <f t="shared" si="445"/>
        <v>141</v>
      </c>
      <c r="BP168" s="269">
        <f t="shared" si="445"/>
        <v>141</v>
      </c>
      <c r="BQ168" s="269">
        <f t="shared" si="445"/>
        <v>141</v>
      </c>
      <c r="BR168" s="269">
        <f t="shared" si="445"/>
        <v>24</v>
      </c>
      <c r="BT168" s="60">
        <f t="shared" ref="BT168:CB168" si="446">BT167-BJ168</f>
        <v>64576.3411458334</v>
      </c>
      <c r="BU168" s="60">
        <f t="shared" si="446"/>
        <v>64576.3411458334</v>
      </c>
      <c r="BV168" s="60">
        <f t="shared" si="446"/>
        <v>64576.3411458334</v>
      </c>
      <c r="BW168" s="60">
        <f t="shared" si="446"/>
        <v>64576.3411458334</v>
      </c>
      <c r="BX168" s="60">
        <f t="shared" si="446"/>
        <v>64576.3411458334</v>
      </c>
      <c r="BY168" s="60">
        <f t="shared" si="446"/>
        <v>64576.3411458334</v>
      </c>
      <c r="BZ168" s="60">
        <f t="shared" si="446"/>
        <v>64576.3411458334</v>
      </c>
      <c r="CA168" s="60">
        <f t="shared" si="446"/>
        <v>64576.3411458334</v>
      </c>
      <c r="CB168" s="60">
        <f t="shared" si="446"/>
        <v>10943.2708333333</v>
      </c>
    </row>
    <row r="169" s="234" customFormat="1" ht="27" hidden="1" customHeight="1" spans="1:80">
      <c r="A169" s="236">
        <v>45792</v>
      </c>
      <c r="B169" s="237" t="s">
        <v>600</v>
      </c>
      <c r="C169" s="238" t="s">
        <v>117</v>
      </c>
      <c r="D169" s="239">
        <v>4500166547</v>
      </c>
      <c r="E169" s="304" t="s">
        <v>1008</v>
      </c>
      <c r="F169" s="237" t="s">
        <v>1009</v>
      </c>
      <c r="G169" s="240" t="s">
        <v>258</v>
      </c>
      <c r="H169" s="237" t="s">
        <v>259</v>
      </c>
      <c r="I169" s="247">
        <v>1152</v>
      </c>
      <c r="J169" s="247">
        <v>0</v>
      </c>
      <c r="K169" s="247">
        <v>1152</v>
      </c>
      <c r="L169" s="247">
        <f t="shared" si="374"/>
        <v>1</v>
      </c>
      <c r="M169" s="248">
        <v>45867</v>
      </c>
      <c r="N169" s="248">
        <v>45856</v>
      </c>
      <c r="O169" s="212" t="s">
        <v>1005</v>
      </c>
      <c r="P169" s="212" t="s">
        <v>107</v>
      </c>
      <c r="Q169" s="212" t="s">
        <v>1010</v>
      </c>
      <c r="R169" s="212" t="s">
        <v>331</v>
      </c>
      <c r="S169" s="212" t="s">
        <v>191</v>
      </c>
      <c r="T169" s="212" t="s">
        <v>605</v>
      </c>
      <c r="U169" s="212"/>
      <c r="V169" s="259" t="s">
        <v>606</v>
      </c>
      <c r="W169" s="248" t="s">
        <v>607</v>
      </c>
      <c r="X169" s="260">
        <v>926.4718</v>
      </c>
      <c r="Y169" s="247">
        <f t="shared" si="438"/>
        <v>926.4718</v>
      </c>
      <c r="Z169" s="248" t="s">
        <v>1011</v>
      </c>
      <c r="AA169" s="259">
        <v>1152</v>
      </c>
      <c r="AB169" s="259">
        <f t="shared" si="275"/>
        <v>0</v>
      </c>
      <c r="AC169" s="212"/>
      <c r="AD169" s="212" t="s">
        <v>114</v>
      </c>
      <c r="AE169" s="248" t="s">
        <v>258</v>
      </c>
      <c r="AF169" s="248" t="s">
        <v>115</v>
      </c>
      <c r="AG169" s="267">
        <f t="shared" si="366"/>
        <v>1152</v>
      </c>
      <c r="AH169" s="267">
        <f t="shared" si="422"/>
        <v>1152</v>
      </c>
      <c r="AI169" s="267"/>
      <c r="AJ169" s="267"/>
      <c r="AK169" s="267">
        <f t="shared" si="439"/>
        <v>1152</v>
      </c>
      <c r="AL169" s="267"/>
      <c r="AM169" s="267"/>
      <c r="AN169" s="267"/>
      <c r="AO169" s="267">
        <f t="shared" si="369"/>
        <v>1152</v>
      </c>
      <c r="AP169" s="267"/>
      <c r="AQ169" s="267"/>
      <c r="AR169" s="267"/>
      <c r="AS169" s="267"/>
      <c r="AT169" s="267"/>
      <c r="AU169" s="267"/>
      <c r="AV169" s="267">
        <f>I169/12</f>
        <v>96</v>
      </c>
      <c r="AW169" s="267"/>
      <c r="AX169" s="267"/>
      <c r="AY169" s="267"/>
      <c r="AZ169" s="267"/>
      <c r="BA169" s="267"/>
      <c r="BB169" s="267"/>
      <c r="BC169" s="267"/>
      <c r="BD169" s="267"/>
      <c r="BE169" s="267"/>
      <c r="BF169" s="267"/>
      <c r="BG169" s="267"/>
      <c r="BH169" s="267"/>
      <c r="BI169" s="267"/>
      <c r="BJ169" s="269">
        <f t="shared" ref="BJ169:BR169" si="447">$I169*BJ$2</f>
        <v>141</v>
      </c>
      <c r="BK169" s="269">
        <f t="shared" si="447"/>
        <v>141</v>
      </c>
      <c r="BL169" s="269">
        <f t="shared" si="447"/>
        <v>141</v>
      </c>
      <c r="BM169" s="269">
        <f t="shared" si="447"/>
        <v>141</v>
      </c>
      <c r="BN169" s="269">
        <f t="shared" si="447"/>
        <v>141</v>
      </c>
      <c r="BO169" s="269">
        <f t="shared" si="447"/>
        <v>141</v>
      </c>
      <c r="BP169" s="269">
        <f t="shared" si="447"/>
        <v>141</v>
      </c>
      <c r="BQ169" s="269">
        <f t="shared" si="447"/>
        <v>141</v>
      </c>
      <c r="BR169" s="269">
        <f t="shared" si="447"/>
        <v>24</v>
      </c>
      <c r="BT169" s="60">
        <f t="shared" ref="BT169:CB169" si="448">BT168-BJ169</f>
        <v>64435.3411458334</v>
      </c>
      <c r="BU169" s="60">
        <f t="shared" si="448"/>
        <v>64435.3411458334</v>
      </c>
      <c r="BV169" s="60">
        <f t="shared" si="448"/>
        <v>64435.3411458334</v>
      </c>
      <c r="BW169" s="60">
        <f t="shared" si="448"/>
        <v>64435.3411458334</v>
      </c>
      <c r="BX169" s="60">
        <f t="shared" si="448"/>
        <v>64435.3411458334</v>
      </c>
      <c r="BY169" s="60">
        <f t="shared" si="448"/>
        <v>64435.3411458334</v>
      </c>
      <c r="BZ169" s="60">
        <f t="shared" si="448"/>
        <v>64435.3411458334</v>
      </c>
      <c r="CA169" s="60">
        <f t="shared" si="448"/>
        <v>64435.3411458334</v>
      </c>
      <c r="CB169" s="60">
        <f t="shared" si="448"/>
        <v>10919.2708333333</v>
      </c>
    </row>
    <row r="170" s="234" customFormat="1" ht="27" hidden="1" customHeight="1" spans="1:80">
      <c r="A170" s="236">
        <v>45821</v>
      </c>
      <c r="B170" s="237" t="s">
        <v>1012</v>
      </c>
      <c r="C170" s="238" t="s">
        <v>396</v>
      </c>
      <c r="D170" s="239">
        <v>4500170043</v>
      </c>
      <c r="E170" s="238" t="s">
        <v>1013</v>
      </c>
      <c r="F170" s="237" t="s">
        <v>1014</v>
      </c>
      <c r="G170" s="240" t="s">
        <v>463</v>
      </c>
      <c r="H170" s="237" t="s">
        <v>464</v>
      </c>
      <c r="I170" s="247">
        <v>540</v>
      </c>
      <c r="J170" s="247">
        <v>27</v>
      </c>
      <c r="K170" s="247">
        <v>54</v>
      </c>
      <c r="L170" s="247">
        <f t="shared" si="374"/>
        <v>10</v>
      </c>
      <c r="M170" s="248">
        <v>45863</v>
      </c>
      <c r="N170" s="248">
        <v>45857</v>
      </c>
      <c r="O170" s="212"/>
      <c r="P170" s="212" t="s">
        <v>224</v>
      </c>
      <c r="Q170" s="212" t="s">
        <v>725</v>
      </c>
      <c r="R170" s="274">
        <v>45834</v>
      </c>
      <c r="S170" s="212" t="s">
        <v>80</v>
      </c>
      <c r="T170" s="212" t="s">
        <v>80</v>
      </c>
      <c r="U170" s="212"/>
      <c r="V170" s="259" t="s">
        <v>1015</v>
      </c>
      <c r="W170" s="248" t="s">
        <v>467</v>
      </c>
      <c r="X170" s="260">
        <v>0.8032</v>
      </c>
      <c r="Y170" s="247">
        <f t="shared" si="442"/>
        <v>433.728</v>
      </c>
      <c r="Z170" s="248" t="s">
        <v>1016</v>
      </c>
      <c r="AA170" s="259">
        <v>540</v>
      </c>
      <c r="AB170" s="259">
        <f t="shared" ref="AB170:AB233" si="449">AA170-I170</f>
        <v>0</v>
      </c>
      <c r="AC170" s="212" t="s">
        <v>80</v>
      </c>
      <c r="AD170" s="212" t="s">
        <v>114</v>
      </c>
      <c r="AE170" s="248" t="s">
        <v>463</v>
      </c>
      <c r="AF170" s="248" t="s">
        <v>115</v>
      </c>
      <c r="AG170" s="267">
        <f t="shared" si="366"/>
        <v>540</v>
      </c>
      <c r="AH170" s="267">
        <f t="shared" si="422"/>
        <v>540</v>
      </c>
      <c r="AI170" s="267"/>
      <c r="AJ170" s="267"/>
      <c r="AK170" s="267">
        <f t="shared" si="439"/>
        <v>540</v>
      </c>
      <c r="AL170" s="267"/>
      <c r="AM170" s="267"/>
      <c r="AN170" s="267"/>
      <c r="AO170" s="267">
        <f t="shared" si="369"/>
        <v>540</v>
      </c>
      <c r="AP170" s="267"/>
      <c r="AQ170" s="267">
        <f>I170/27</f>
        <v>20</v>
      </c>
      <c r="AR170" s="267"/>
      <c r="AS170" s="267"/>
      <c r="AT170" s="267"/>
      <c r="AU170" s="267"/>
      <c r="AV170" s="267"/>
      <c r="AW170" s="267"/>
      <c r="AX170" s="267"/>
      <c r="AY170" s="267"/>
      <c r="AZ170" s="267"/>
      <c r="BA170" s="267"/>
      <c r="BB170" s="267"/>
      <c r="BC170" s="267"/>
      <c r="BD170" s="267"/>
      <c r="BE170" s="267"/>
      <c r="BF170" s="267"/>
      <c r="BG170" s="267"/>
      <c r="BH170" s="267"/>
      <c r="BI170" s="267"/>
      <c r="BJ170" s="269">
        <f t="shared" ref="BJ170:BR170" si="450">$I170*BJ$2</f>
        <v>66.0937499999998</v>
      </c>
      <c r="BK170" s="269">
        <f t="shared" si="450"/>
        <v>66.0937499999998</v>
      </c>
      <c r="BL170" s="269">
        <f t="shared" si="450"/>
        <v>66.0937499999998</v>
      </c>
      <c r="BM170" s="269">
        <f t="shared" si="450"/>
        <v>66.0937499999998</v>
      </c>
      <c r="BN170" s="269">
        <f t="shared" si="450"/>
        <v>66.0937499999998</v>
      </c>
      <c r="BO170" s="269">
        <f t="shared" si="450"/>
        <v>66.0937499999998</v>
      </c>
      <c r="BP170" s="269">
        <f t="shared" si="450"/>
        <v>66.0937499999998</v>
      </c>
      <c r="BQ170" s="269">
        <f t="shared" si="450"/>
        <v>66.0937499999998</v>
      </c>
      <c r="BR170" s="269">
        <f t="shared" si="450"/>
        <v>11.25</v>
      </c>
      <c r="BT170" s="60">
        <f t="shared" ref="BT170:CB170" si="451">BT169-BJ170</f>
        <v>64369.2473958334</v>
      </c>
      <c r="BU170" s="60">
        <f t="shared" si="451"/>
        <v>64369.2473958334</v>
      </c>
      <c r="BV170" s="60">
        <f t="shared" si="451"/>
        <v>64369.2473958334</v>
      </c>
      <c r="BW170" s="60">
        <f t="shared" si="451"/>
        <v>64369.2473958334</v>
      </c>
      <c r="BX170" s="60">
        <f t="shared" si="451"/>
        <v>64369.2473958334</v>
      </c>
      <c r="BY170" s="60">
        <f t="shared" si="451"/>
        <v>64369.2473958334</v>
      </c>
      <c r="BZ170" s="60">
        <f t="shared" si="451"/>
        <v>64369.2473958334</v>
      </c>
      <c r="CA170" s="60">
        <f t="shared" si="451"/>
        <v>64369.2473958334</v>
      </c>
      <c r="CB170" s="60">
        <f t="shared" si="451"/>
        <v>10908.0208333333</v>
      </c>
    </row>
    <row r="171" s="234" customFormat="1" ht="27" hidden="1" customHeight="1" spans="1:80">
      <c r="A171" s="236">
        <v>45826</v>
      </c>
      <c r="B171" s="237" t="s">
        <v>388</v>
      </c>
      <c r="C171" s="238" t="s">
        <v>389</v>
      </c>
      <c r="D171" s="239">
        <v>4500168979</v>
      </c>
      <c r="E171" s="238">
        <v>3501527807</v>
      </c>
      <c r="F171" s="237" t="s">
        <v>1017</v>
      </c>
      <c r="G171" s="240" t="s">
        <v>152</v>
      </c>
      <c r="H171" s="237" t="s">
        <v>153</v>
      </c>
      <c r="I171" s="247">
        <v>1287</v>
      </c>
      <c r="J171" s="247">
        <v>0</v>
      </c>
      <c r="K171" s="247">
        <v>13</v>
      </c>
      <c r="L171" s="247">
        <f t="shared" si="374"/>
        <v>99</v>
      </c>
      <c r="M171" s="248">
        <v>45860</v>
      </c>
      <c r="N171" s="248">
        <v>45857</v>
      </c>
      <c r="O171" s="212" t="s">
        <v>1018</v>
      </c>
      <c r="P171" s="212" t="s">
        <v>107</v>
      </c>
      <c r="Q171" s="212" t="s">
        <v>1019</v>
      </c>
      <c r="R171" s="212">
        <v>45826</v>
      </c>
      <c r="S171" s="212" t="s">
        <v>80</v>
      </c>
      <c r="T171" s="212" t="s">
        <v>1020</v>
      </c>
      <c r="U171" s="212"/>
      <c r="V171" s="259" t="s">
        <v>1021</v>
      </c>
      <c r="W171" s="248" t="s">
        <v>395</v>
      </c>
      <c r="X171" s="260">
        <v>0.7758</v>
      </c>
      <c r="Y171" s="247">
        <f t="shared" si="442"/>
        <v>998.4546</v>
      </c>
      <c r="Z171" s="248"/>
      <c r="AA171" s="259">
        <f>1248+39</f>
        <v>1287</v>
      </c>
      <c r="AB171" s="259">
        <f t="shared" si="449"/>
        <v>0</v>
      </c>
      <c r="AC171" s="212" t="s">
        <v>113</v>
      </c>
      <c r="AD171" s="212" t="s">
        <v>114</v>
      </c>
      <c r="AE171" s="248" t="s">
        <v>319</v>
      </c>
      <c r="AF171" s="248" t="s">
        <v>115</v>
      </c>
      <c r="AG171" s="267">
        <f t="shared" si="366"/>
        <v>1287</v>
      </c>
      <c r="AH171" s="267"/>
      <c r="AI171" s="267">
        <f>I171</f>
        <v>1287</v>
      </c>
      <c r="AJ171" s="267"/>
      <c r="AK171" s="267"/>
      <c r="AL171" s="267">
        <f t="shared" ref="AL171:AL174" si="452">I171</f>
        <v>1287</v>
      </c>
      <c r="AM171" s="267"/>
      <c r="AN171" s="267"/>
      <c r="AO171" s="267">
        <f t="shared" si="369"/>
        <v>1287</v>
      </c>
      <c r="AP171" s="267"/>
      <c r="AQ171" s="267"/>
      <c r="AR171" s="267"/>
      <c r="AS171" s="267"/>
      <c r="AT171" s="267"/>
      <c r="AU171" s="267">
        <f>I171/13</f>
        <v>99</v>
      </c>
      <c r="AV171" s="267"/>
      <c r="AW171" s="267"/>
      <c r="AX171" s="267"/>
      <c r="AY171" s="267"/>
      <c r="AZ171" s="267"/>
      <c r="BA171" s="267"/>
      <c r="BB171" s="267"/>
      <c r="BC171" s="267"/>
      <c r="BD171" s="267"/>
      <c r="BE171" s="267"/>
      <c r="BF171" s="267"/>
      <c r="BG171" s="267"/>
      <c r="BH171" s="267"/>
      <c r="BI171" s="267"/>
      <c r="BJ171" s="269">
        <f t="shared" ref="BJ171:BR171" si="453">$I171*BJ$2</f>
        <v>157.5234375</v>
      </c>
      <c r="BK171" s="269">
        <f t="shared" si="453"/>
        <v>157.5234375</v>
      </c>
      <c r="BL171" s="269">
        <f t="shared" si="453"/>
        <v>157.5234375</v>
      </c>
      <c r="BM171" s="269">
        <f t="shared" si="453"/>
        <v>157.5234375</v>
      </c>
      <c r="BN171" s="269">
        <f t="shared" si="453"/>
        <v>157.5234375</v>
      </c>
      <c r="BO171" s="269">
        <f t="shared" si="453"/>
        <v>157.5234375</v>
      </c>
      <c r="BP171" s="269">
        <f t="shared" si="453"/>
        <v>157.5234375</v>
      </c>
      <c r="BQ171" s="269">
        <f t="shared" si="453"/>
        <v>157.5234375</v>
      </c>
      <c r="BR171" s="269">
        <f t="shared" si="453"/>
        <v>26.8125</v>
      </c>
      <c r="BT171" s="60">
        <f t="shared" ref="BT171:CB171" si="454">BT170-BJ171</f>
        <v>64211.7239583334</v>
      </c>
      <c r="BU171" s="60">
        <f t="shared" si="454"/>
        <v>64211.7239583334</v>
      </c>
      <c r="BV171" s="60">
        <f t="shared" si="454"/>
        <v>64211.7239583334</v>
      </c>
      <c r="BW171" s="60">
        <f t="shared" si="454"/>
        <v>64211.7239583334</v>
      </c>
      <c r="BX171" s="60">
        <f t="shared" si="454"/>
        <v>64211.7239583334</v>
      </c>
      <c r="BY171" s="60">
        <f t="shared" si="454"/>
        <v>64211.7239583334</v>
      </c>
      <c r="BZ171" s="60">
        <f t="shared" si="454"/>
        <v>64211.7239583334</v>
      </c>
      <c r="CA171" s="60">
        <f t="shared" si="454"/>
        <v>64211.7239583334</v>
      </c>
      <c r="CB171" s="60">
        <f t="shared" si="454"/>
        <v>10881.2083333333</v>
      </c>
    </row>
    <row r="172" s="234" customFormat="1" ht="27" hidden="1" customHeight="1" spans="1:80">
      <c r="A172" s="236">
        <v>45771</v>
      </c>
      <c r="B172" s="237" t="s">
        <v>1022</v>
      </c>
      <c r="C172" s="238" t="s">
        <v>281</v>
      </c>
      <c r="D172" s="239">
        <v>4500164774</v>
      </c>
      <c r="E172" s="238" t="s">
        <v>1023</v>
      </c>
      <c r="F172" s="237" t="s">
        <v>1024</v>
      </c>
      <c r="G172" s="240" t="s">
        <v>78</v>
      </c>
      <c r="H172" s="237" t="s">
        <v>79</v>
      </c>
      <c r="I172" s="247">
        <v>486</v>
      </c>
      <c r="J172" s="247">
        <v>0</v>
      </c>
      <c r="K172" s="247">
        <v>54</v>
      </c>
      <c r="L172" s="247">
        <f t="shared" si="374"/>
        <v>9</v>
      </c>
      <c r="M172" s="248">
        <v>45859</v>
      </c>
      <c r="N172" s="248">
        <v>45857</v>
      </c>
      <c r="O172" s="212" t="s">
        <v>988</v>
      </c>
      <c r="P172" s="212" t="s">
        <v>224</v>
      </c>
      <c r="Q172" s="212" t="s">
        <v>1025</v>
      </c>
      <c r="R172" s="212">
        <v>45821</v>
      </c>
      <c r="S172" s="212" t="s">
        <v>80</v>
      </c>
      <c r="T172" s="212" t="s">
        <v>1026</v>
      </c>
      <c r="U172" s="212"/>
      <c r="V172" s="259" t="s">
        <v>1027</v>
      </c>
      <c r="W172" s="248" t="s">
        <v>228</v>
      </c>
      <c r="X172" s="260">
        <v>0.7967</v>
      </c>
      <c r="Y172" s="247">
        <f t="shared" si="442"/>
        <v>387.1962</v>
      </c>
      <c r="Z172" s="248" t="s">
        <v>1028</v>
      </c>
      <c r="AA172" s="259">
        <v>486</v>
      </c>
      <c r="AB172" s="259">
        <f t="shared" si="449"/>
        <v>0</v>
      </c>
      <c r="AC172" s="212" t="s">
        <v>113</v>
      </c>
      <c r="AD172" s="212" t="s">
        <v>114</v>
      </c>
      <c r="AE172" s="248" t="s">
        <v>230</v>
      </c>
      <c r="AF172" s="248" t="s">
        <v>115</v>
      </c>
      <c r="AG172" s="267">
        <f t="shared" si="366"/>
        <v>486</v>
      </c>
      <c r="AH172" s="267">
        <f>I172</f>
        <v>486</v>
      </c>
      <c r="AI172" s="267"/>
      <c r="AJ172" s="267"/>
      <c r="AK172" s="267"/>
      <c r="AL172" s="267">
        <f t="shared" si="452"/>
        <v>486</v>
      </c>
      <c r="AM172" s="267"/>
      <c r="AN172" s="267"/>
      <c r="AO172" s="267">
        <f t="shared" si="369"/>
        <v>486</v>
      </c>
      <c r="AP172" s="267"/>
      <c r="AQ172" s="267"/>
      <c r="AR172" s="267">
        <f>I172/27</f>
        <v>18</v>
      </c>
      <c r="AS172" s="267"/>
      <c r="AT172" s="267"/>
      <c r="AU172" s="267"/>
      <c r="AV172" s="267"/>
      <c r="AW172" s="267"/>
      <c r="AX172" s="267"/>
      <c r="AY172" s="267"/>
      <c r="AZ172" s="267"/>
      <c r="BA172" s="267"/>
      <c r="BB172" s="267"/>
      <c r="BC172" s="267"/>
      <c r="BD172" s="267"/>
      <c r="BE172" s="267"/>
      <c r="BF172" s="267"/>
      <c r="BG172" s="267"/>
      <c r="BH172" s="267"/>
      <c r="BI172" s="267"/>
      <c r="BJ172" s="269">
        <f t="shared" ref="BJ172:BR172" si="455">$I172*BJ$2</f>
        <v>59.4843749999998</v>
      </c>
      <c r="BK172" s="269">
        <f t="shared" si="455"/>
        <v>59.4843749999998</v>
      </c>
      <c r="BL172" s="269">
        <f t="shared" si="455"/>
        <v>59.4843749999998</v>
      </c>
      <c r="BM172" s="269">
        <f t="shared" si="455"/>
        <v>59.4843749999998</v>
      </c>
      <c r="BN172" s="269">
        <f t="shared" si="455"/>
        <v>59.4843749999998</v>
      </c>
      <c r="BO172" s="269">
        <f t="shared" si="455"/>
        <v>59.4843749999998</v>
      </c>
      <c r="BP172" s="269">
        <f t="shared" si="455"/>
        <v>59.4843749999998</v>
      </c>
      <c r="BQ172" s="269">
        <f t="shared" si="455"/>
        <v>59.4843749999998</v>
      </c>
      <c r="BR172" s="269">
        <f t="shared" si="455"/>
        <v>10.125</v>
      </c>
      <c r="BT172" s="60">
        <f t="shared" ref="BT172:CB172" si="456">BT171-BJ172</f>
        <v>64152.2395833334</v>
      </c>
      <c r="BU172" s="60">
        <f t="shared" si="456"/>
        <v>64152.2395833334</v>
      </c>
      <c r="BV172" s="60">
        <f t="shared" si="456"/>
        <v>64152.2395833334</v>
      </c>
      <c r="BW172" s="60">
        <f t="shared" si="456"/>
        <v>64152.2395833334</v>
      </c>
      <c r="BX172" s="60">
        <f t="shared" si="456"/>
        <v>64152.2395833334</v>
      </c>
      <c r="BY172" s="60">
        <f t="shared" si="456"/>
        <v>64152.2395833334</v>
      </c>
      <c r="BZ172" s="60">
        <f t="shared" si="456"/>
        <v>64152.2395833334</v>
      </c>
      <c r="CA172" s="60">
        <f t="shared" si="456"/>
        <v>64152.2395833334</v>
      </c>
      <c r="CB172" s="60">
        <f t="shared" si="456"/>
        <v>10871.0833333333</v>
      </c>
    </row>
    <row r="173" s="234" customFormat="1" ht="27" hidden="1" customHeight="1" spans="1:80">
      <c r="A173" s="236">
        <v>45807</v>
      </c>
      <c r="B173" s="237" t="s">
        <v>1029</v>
      </c>
      <c r="C173" s="238" t="s">
        <v>117</v>
      </c>
      <c r="D173" s="239">
        <v>4500168600</v>
      </c>
      <c r="E173" s="238" t="s">
        <v>1030</v>
      </c>
      <c r="F173" s="237" t="s">
        <v>1031</v>
      </c>
      <c r="G173" s="240" t="s">
        <v>188</v>
      </c>
      <c r="H173" s="237" t="s">
        <v>120</v>
      </c>
      <c r="I173" s="247">
        <v>108</v>
      </c>
      <c r="J173" s="247">
        <v>0</v>
      </c>
      <c r="K173" s="247">
        <v>12</v>
      </c>
      <c r="L173" s="247">
        <f t="shared" si="374"/>
        <v>9</v>
      </c>
      <c r="M173" s="248">
        <v>45860</v>
      </c>
      <c r="N173" s="248">
        <v>45857</v>
      </c>
      <c r="O173" s="212"/>
      <c r="P173" s="212" t="s">
        <v>224</v>
      </c>
      <c r="Q173" s="212" t="s">
        <v>943</v>
      </c>
      <c r="R173" s="274">
        <v>45807</v>
      </c>
      <c r="S173" s="212" t="s">
        <v>191</v>
      </c>
      <c r="T173" s="212" t="s">
        <v>1032</v>
      </c>
      <c r="U173" s="212" t="s">
        <v>1033</v>
      </c>
      <c r="V173" s="259" t="s">
        <v>1034</v>
      </c>
      <c r="W173" s="248" t="s">
        <v>291</v>
      </c>
      <c r="X173" s="260">
        <v>1.8626</v>
      </c>
      <c r="Y173" s="247">
        <f t="shared" si="442"/>
        <v>201.1608</v>
      </c>
      <c r="Z173" s="248" t="s">
        <v>1035</v>
      </c>
      <c r="AA173" s="259">
        <v>108</v>
      </c>
      <c r="AB173" s="259">
        <f t="shared" si="449"/>
        <v>0</v>
      </c>
      <c r="AC173" s="212" t="s">
        <v>113</v>
      </c>
      <c r="AD173" s="212" t="s">
        <v>114</v>
      </c>
      <c r="AE173" s="248" t="s">
        <v>119</v>
      </c>
      <c r="AF173" s="248" t="s">
        <v>115</v>
      </c>
      <c r="AG173" s="267">
        <f t="shared" ref="AG173:AG178" si="457">I173*2</f>
        <v>216</v>
      </c>
      <c r="AH173" s="267">
        <f t="shared" ref="AH173:AH178" si="458">I173*2</f>
        <v>216</v>
      </c>
      <c r="AI173" s="267"/>
      <c r="AJ173" s="267"/>
      <c r="AK173" s="267">
        <f t="shared" ref="AK173:AK178" si="459">I173*2</f>
        <v>216</v>
      </c>
      <c r="AL173" s="267"/>
      <c r="AM173" s="267"/>
      <c r="AN173" s="267"/>
      <c r="AO173" s="267">
        <f t="shared" ref="AO173:AO178" si="460">I173*2</f>
        <v>216</v>
      </c>
      <c r="AP173" s="267"/>
      <c r="AQ173" s="267"/>
      <c r="AR173" s="267"/>
      <c r="AS173" s="267"/>
      <c r="AT173" s="267"/>
      <c r="AU173" s="267"/>
      <c r="AV173" s="267"/>
      <c r="AW173" s="267"/>
      <c r="AX173" s="267"/>
      <c r="AY173" s="267"/>
      <c r="AZ173" s="267"/>
      <c r="BA173" s="267"/>
      <c r="BB173" s="267"/>
      <c r="BC173" s="267"/>
      <c r="BD173" s="267"/>
      <c r="BE173" s="267"/>
      <c r="BF173" s="267">
        <f t="shared" ref="BF173:BF178" si="461">I173</f>
        <v>108</v>
      </c>
      <c r="BG173" s="267">
        <f t="shared" ref="BG173:BG178" si="462">I173</f>
        <v>108</v>
      </c>
      <c r="BH173" s="267"/>
      <c r="BI173" s="267"/>
      <c r="BJ173" s="269">
        <f t="shared" ref="BJ173:BR173" si="463">$I173*BJ$2*2</f>
        <v>26.4374999999999</v>
      </c>
      <c r="BK173" s="269">
        <f t="shared" si="463"/>
        <v>26.4374999999999</v>
      </c>
      <c r="BL173" s="269">
        <f t="shared" si="463"/>
        <v>26.4374999999999</v>
      </c>
      <c r="BM173" s="269">
        <f t="shared" si="463"/>
        <v>26.4374999999999</v>
      </c>
      <c r="BN173" s="269">
        <f t="shared" si="463"/>
        <v>26.4374999999999</v>
      </c>
      <c r="BO173" s="269">
        <f t="shared" si="463"/>
        <v>26.4374999999999</v>
      </c>
      <c r="BP173" s="269">
        <f t="shared" si="463"/>
        <v>26.4374999999999</v>
      </c>
      <c r="BQ173" s="269">
        <f t="shared" si="463"/>
        <v>26.4374999999999</v>
      </c>
      <c r="BR173" s="269">
        <f t="shared" si="463"/>
        <v>4.49999999999999</v>
      </c>
      <c r="BT173" s="60">
        <f t="shared" ref="BT173:CB173" si="464">BT172-BJ173</f>
        <v>64125.8020833334</v>
      </c>
      <c r="BU173" s="60">
        <f t="shared" si="464"/>
        <v>64125.8020833334</v>
      </c>
      <c r="BV173" s="60">
        <f t="shared" si="464"/>
        <v>64125.8020833334</v>
      </c>
      <c r="BW173" s="60">
        <f t="shared" si="464"/>
        <v>64125.8020833334</v>
      </c>
      <c r="BX173" s="60">
        <f t="shared" si="464"/>
        <v>64125.8020833334</v>
      </c>
      <c r="BY173" s="60">
        <f t="shared" si="464"/>
        <v>64125.8020833334</v>
      </c>
      <c r="BZ173" s="60">
        <f t="shared" si="464"/>
        <v>64125.8020833334</v>
      </c>
      <c r="CA173" s="60">
        <f t="shared" si="464"/>
        <v>64125.8020833334</v>
      </c>
      <c r="CB173" s="60">
        <f t="shared" si="464"/>
        <v>10866.5833333333</v>
      </c>
    </row>
    <row r="174" s="234" customFormat="1" ht="27" hidden="1" customHeight="1" spans="1:80">
      <c r="A174" s="236">
        <v>45791</v>
      </c>
      <c r="B174" s="237" t="s">
        <v>1036</v>
      </c>
      <c r="C174" s="238" t="s">
        <v>129</v>
      </c>
      <c r="D174" s="239">
        <v>4500166172</v>
      </c>
      <c r="E174" s="238">
        <v>4503547613</v>
      </c>
      <c r="F174" s="237" t="s">
        <v>1037</v>
      </c>
      <c r="G174" s="240" t="s">
        <v>152</v>
      </c>
      <c r="H174" s="237" t="s">
        <v>153</v>
      </c>
      <c r="I174" s="247">
        <v>2860</v>
      </c>
      <c r="J174" s="247">
        <v>0</v>
      </c>
      <c r="K174" s="247">
        <v>13</v>
      </c>
      <c r="L174" s="247">
        <f t="shared" si="374"/>
        <v>220</v>
      </c>
      <c r="M174" s="248">
        <v>45866</v>
      </c>
      <c r="N174" s="248">
        <v>45857</v>
      </c>
      <c r="O174" s="212"/>
      <c r="P174" s="212" t="s">
        <v>107</v>
      </c>
      <c r="Q174" s="212" t="s">
        <v>1025</v>
      </c>
      <c r="R174" s="212">
        <v>45791</v>
      </c>
      <c r="S174" s="212" t="s">
        <v>80</v>
      </c>
      <c r="T174" s="212" t="s">
        <v>1038</v>
      </c>
      <c r="U174" s="212" t="s">
        <v>156</v>
      </c>
      <c r="V174" s="259" t="s">
        <v>1039</v>
      </c>
      <c r="W174" s="248" t="s">
        <v>1040</v>
      </c>
      <c r="X174" s="260">
        <v>0.7931</v>
      </c>
      <c r="Y174" s="247">
        <f t="shared" si="442"/>
        <v>2268.266</v>
      </c>
      <c r="Z174" s="248" t="s">
        <v>1041</v>
      </c>
      <c r="AA174" s="259">
        <v>2860</v>
      </c>
      <c r="AB174" s="259">
        <f t="shared" si="449"/>
        <v>0</v>
      </c>
      <c r="AC174" s="212"/>
      <c r="AD174" s="212" t="s">
        <v>114</v>
      </c>
      <c r="AE174" s="248" t="s">
        <v>319</v>
      </c>
      <c r="AF174" s="248" t="s">
        <v>115</v>
      </c>
      <c r="AG174" s="267">
        <f>I174</f>
        <v>2860</v>
      </c>
      <c r="AH174" s="267">
        <f>I174</f>
        <v>2860</v>
      </c>
      <c r="AI174" s="267"/>
      <c r="AJ174" s="267"/>
      <c r="AK174" s="267"/>
      <c r="AL174" s="267">
        <f t="shared" si="452"/>
        <v>2860</v>
      </c>
      <c r="AM174" s="267"/>
      <c r="AN174" s="267"/>
      <c r="AO174" s="267">
        <f>I174</f>
        <v>2860</v>
      </c>
      <c r="AP174" s="267"/>
      <c r="AQ174" s="267"/>
      <c r="AR174" s="267"/>
      <c r="AS174" s="267"/>
      <c r="AT174" s="267"/>
      <c r="AU174" s="267">
        <f>I174/13</f>
        <v>220</v>
      </c>
      <c r="AV174" s="267"/>
      <c r="AW174" s="267"/>
      <c r="AX174" s="267"/>
      <c r="AY174" s="267"/>
      <c r="AZ174" s="267"/>
      <c r="BA174" s="267"/>
      <c r="BB174" s="267"/>
      <c r="BC174" s="267"/>
      <c r="BD174" s="267"/>
      <c r="BE174" s="267"/>
      <c r="BF174" s="267"/>
      <c r="BG174" s="267"/>
      <c r="BH174" s="267"/>
      <c r="BI174" s="267"/>
      <c r="BJ174" s="269">
        <f t="shared" ref="BJ174:BR174" si="465">$I174*BJ$2</f>
        <v>350.052083333332</v>
      </c>
      <c r="BK174" s="269">
        <f t="shared" si="465"/>
        <v>350.052083333332</v>
      </c>
      <c r="BL174" s="269">
        <f t="shared" si="465"/>
        <v>350.052083333332</v>
      </c>
      <c r="BM174" s="269">
        <f t="shared" si="465"/>
        <v>350.052083333332</v>
      </c>
      <c r="BN174" s="269">
        <f t="shared" si="465"/>
        <v>350.052083333332</v>
      </c>
      <c r="BO174" s="269">
        <f t="shared" si="465"/>
        <v>350.052083333332</v>
      </c>
      <c r="BP174" s="269">
        <f t="shared" si="465"/>
        <v>350.052083333332</v>
      </c>
      <c r="BQ174" s="269">
        <f t="shared" si="465"/>
        <v>350.052083333332</v>
      </c>
      <c r="BR174" s="269">
        <f t="shared" si="465"/>
        <v>59.5833333333332</v>
      </c>
      <c r="BT174" s="60">
        <f t="shared" ref="BT174:CB174" si="466">BT173-BJ174</f>
        <v>63775.75</v>
      </c>
      <c r="BU174" s="60">
        <f t="shared" si="466"/>
        <v>63775.75</v>
      </c>
      <c r="BV174" s="60">
        <f t="shared" si="466"/>
        <v>63775.75</v>
      </c>
      <c r="BW174" s="60">
        <f t="shared" si="466"/>
        <v>63775.75</v>
      </c>
      <c r="BX174" s="60">
        <f t="shared" si="466"/>
        <v>63775.75</v>
      </c>
      <c r="BY174" s="60">
        <f t="shared" si="466"/>
        <v>63775.75</v>
      </c>
      <c r="BZ174" s="60">
        <f t="shared" si="466"/>
        <v>63775.75</v>
      </c>
      <c r="CA174" s="60">
        <f t="shared" si="466"/>
        <v>63775.75</v>
      </c>
      <c r="CB174" s="60">
        <f t="shared" si="466"/>
        <v>10807</v>
      </c>
    </row>
    <row r="175" s="234" customFormat="1" ht="27" hidden="1" customHeight="1" spans="1:80">
      <c r="A175" s="236">
        <v>45813</v>
      </c>
      <c r="B175" s="237" t="s">
        <v>1029</v>
      </c>
      <c r="C175" s="238" t="s">
        <v>117</v>
      </c>
      <c r="D175" s="239">
        <v>4500169031</v>
      </c>
      <c r="E175" s="238" t="s">
        <v>1042</v>
      </c>
      <c r="F175" s="237" t="s">
        <v>1043</v>
      </c>
      <c r="G175" s="240" t="s">
        <v>188</v>
      </c>
      <c r="H175" s="237" t="s">
        <v>120</v>
      </c>
      <c r="I175" s="247">
        <v>60</v>
      </c>
      <c r="J175" s="247">
        <v>0</v>
      </c>
      <c r="K175" s="247">
        <v>12</v>
      </c>
      <c r="L175" s="247">
        <f t="shared" si="374"/>
        <v>5</v>
      </c>
      <c r="M175" s="248">
        <v>45866</v>
      </c>
      <c r="N175" s="248">
        <v>45857</v>
      </c>
      <c r="O175" s="212"/>
      <c r="P175" s="212" t="s">
        <v>224</v>
      </c>
      <c r="Q175" s="212" t="s">
        <v>1044</v>
      </c>
      <c r="R175" s="212">
        <v>45813</v>
      </c>
      <c r="S175" s="212" t="s">
        <v>191</v>
      </c>
      <c r="T175" s="212" t="s">
        <v>1032</v>
      </c>
      <c r="U175" s="212" t="s">
        <v>1033</v>
      </c>
      <c r="V175" s="259" t="s">
        <v>1034</v>
      </c>
      <c r="W175" s="248" t="s">
        <v>291</v>
      </c>
      <c r="X175" s="260">
        <v>1.8626</v>
      </c>
      <c r="Y175" s="247">
        <f t="shared" si="442"/>
        <v>111.756</v>
      </c>
      <c r="Z175" s="248" t="s">
        <v>1045</v>
      </c>
      <c r="AA175" s="259">
        <v>60</v>
      </c>
      <c r="AB175" s="259">
        <f t="shared" si="449"/>
        <v>0</v>
      </c>
      <c r="AC175" s="212" t="s">
        <v>113</v>
      </c>
      <c r="AD175" s="212" t="s">
        <v>114</v>
      </c>
      <c r="AE175" s="248" t="s">
        <v>119</v>
      </c>
      <c r="AF175" s="248" t="s">
        <v>115</v>
      </c>
      <c r="AG175" s="267">
        <f t="shared" si="457"/>
        <v>120</v>
      </c>
      <c r="AH175" s="267">
        <f t="shared" si="458"/>
        <v>120</v>
      </c>
      <c r="AI175" s="267"/>
      <c r="AJ175" s="267"/>
      <c r="AK175" s="267">
        <f t="shared" si="459"/>
        <v>120</v>
      </c>
      <c r="AL175" s="267"/>
      <c r="AM175" s="267"/>
      <c r="AN175" s="267"/>
      <c r="AO175" s="267">
        <f t="shared" si="460"/>
        <v>120</v>
      </c>
      <c r="AP175" s="267"/>
      <c r="AQ175" s="267"/>
      <c r="AR175" s="267"/>
      <c r="AS175" s="267"/>
      <c r="AT175" s="267"/>
      <c r="AU175" s="267"/>
      <c r="AV175" s="267"/>
      <c r="AW175" s="267"/>
      <c r="AX175" s="267"/>
      <c r="AY175" s="267"/>
      <c r="AZ175" s="267"/>
      <c r="BA175" s="267"/>
      <c r="BB175" s="267"/>
      <c r="BC175" s="267"/>
      <c r="BD175" s="267"/>
      <c r="BE175" s="267"/>
      <c r="BF175" s="267">
        <f t="shared" si="461"/>
        <v>60</v>
      </c>
      <c r="BG175" s="267">
        <f t="shared" si="462"/>
        <v>60</v>
      </c>
      <c r="BH175" s="267"/>
      <c r="BI175" s="267"/>
      <c r="BJ175" s="269">
        <f t="shared" ref="BJ175:BR175" si="467">$I175*BJ$2*2</f>
        <v>14.6875</v>
      </c>
      <c r="BK175" s="269">
        <f t="shared" si="467"/>
        <v>14.6875</v>
      </c>
      <c r="BL175" s="269">
        <f t="shared" si="467"/>
        <v>14.6875</v>
      </c>
      <c r="BM175" s="269">
        <f t="shared" si="467"/>
        <v>14.6875</v>
      </c>
      <c r="BN175" s="269">
        <f t="shared" si="467"/>
        <v>14.6875</v>
      </c>
      <c r="BO175" s="269">
        <f t="shared" si="467"/>
        <v>14.6875</v>
      </c>
      <c r="BP175" s="269">
        <f t="shared" si="467"/>
        <v>14.6875</v>
      </c>
      <c r="BQ175" s="269">
        <f t="shared" si="467"/>
        <v>14.6875</v>
      </c>
      <c r="BR175" s="269">
        <f t="shared" si="467"/>
        <v>2.5</v>
      </c>
      <c r="BT175" s="60">
        <f t="shared" ref="BT175:CB175" si="468">BT174-BJ175</f>
        <v>63761.0625</v>
      </c>
      <c r="BU175" s="60">
        <f t="shared" si="468"/>
        <v>63761.0625</v>
      </c>
      <c r="BV175" s="60">
        <f t="shared" si="468"/>
        <v>63761.0625</v>
      </c>
      <c r="BW175" s="60">
        <f t="shared" si="468"/>
        <v>63761.0625</v>
      </c>
      <c r="BX175" s="60">
        <f t="shared" si="468"/>
        <v>63761.0625</v>
      </c>
      <c r="BY175" s="60">
        <f t="shared" si="468"/>
        <v>63761.0625</v>
      </c>
      <c r="BZ175" s="60">
        <f t="shared" si="468"/>
        <v>63761.0625</v>
      </c>
      <c r="CA175" s="60">
        <f t="shared" si="468"/>
        <v>63761.0625</v>
      </c>
      <c r="CB175" s="60">
        <f t="shared" si="468"/>
        <v>10804.5</v>
      </c>
    </row>
    <row r="176" s="234" customFormat="1" ht="27" hidden="1" customHeight="1" spans="1:80">
      <c r="A176" s="236">
        <v>45813</v>
      </c>
      <c r="B176" s="237" t="s">
        <v>1029</v>
      </c>
      <c r="C176" s="238" t="s">
        <v>117</v>
      </c>
      <c r="D176" s="239">
        <v>4500168994</v>
      </c>
      <c r="E176" s="238" t="s">
        <v>1046</v>
      </c>
      <c r="F176" s="237" t="s">
        <v>1047</v>
      </c>
      <c r="G176" s="240" t="s">
        <v>188</v>
      </c>
      <c r="H176" s="237" t="s">
        <v>120</v>
      </c>
      <c r="I176" s="247">
        <v>12</v>
      </c>
      <c r="J176" s="247">
        <v>0</v>
      </c>
      <c r="K176" s="247">
        <v>12</v>
      </c>
      <c r="L176" s="247">
        <f t="shared" si="374"/>
        <v>1</v>
      </c>
      <c r="M176" s="248">
        <v>45866</v>
      </c>
      <c r="N176" s="248">
        <v>45857</v>
      </c>
      <c r="O176" s="212"/>
      <c r="P176" s="212" t="s">
        <v>224</v>
      </c>
      <c r="Q176" s="212" t="s">
        <v>1044</v>
      </c>
      <c r="R176" s="212">
        <v>45813</v>
      </c>
      <c r="S176" s="212" t="s">
        <v>191</v>
      </c>
      <c r="T176" s="212" t="s">
        <v>1048</v>
      </c>
      <c r="U176" s="212" t="s">
        <v>1033</v>
      </c>
      <c r="V176" s="259" t="s">
        <v>1049</v>
      </c>
      <c r="W176" s="248" t="s">
        <v>291</v>
      </c>
      <c r="X176" s="260">
        <v>1.8626</v>
      </c>
      <c r="Y176" s="247">
        <f t="shared" si="442"/>
        <v>22.3512</v>
      </c>
      <c r="Z176" s="248" t="s">
        <v>1050</v>
      </c>
      <c r="AA176" s="259">
        <v>12</v>
      </c>
      <c r="AB176" s="259">
        <f t="shared" si="449"/>
        <v>0</v>
      </c>
      <c r="AC176" s="212" t="s">
        <v>113</v>
      </c>
      <c r="AD176" s="212" t="s">
        <v>114</v>
      </c>
      <c r="AE176" s="248" t="s">
        <v>119</v>
      </c>
      <c r="AF176" s="248" t="s">
        <v>115</v>
      </c>
      <c r="AG176" s="267">
        <f t="shared" si="457"/>
        <v>24</v>
      </c>
      <c r="AH176" s="267">
        <f t="shared" si="458"/>
        <v>24</v>
      </c>
      <c r="AI176" s="267"/>
      <c r="AJ176" s="267"/>
      <c r="AK176" s="267">
        <f t="shared" si="459"/>
        <v>24</v>
      </c>
      <c r="AL176" s="267"/>
      <c r="AM176" s="267"/>
      <c r="AN176" s="267"/>
      <c r="AO176" s="267">
        <f t="shared" si="460"/>
        <v>24</v>
      </c>
      <c r="AP176" s="267"/>
      <c r="AQ176" s="267"/>
      <c r="AR176" s="267"/>
      <c r="AS176" s="267"/>
      <c r="AT176" s="267"/>
      <c r="AU176" s="267"/>
      <c r="AV176" s="267"/>
      <c r="AW176" s="267"/>
      <c r="AX176" s="267"/>
      <c r="AY176" s="267"/>
      <c r="AZ176" s="267"/>
      <c r="BA176" s="267"/>
      <c r="BB176" s="267"/>
      <c r="BC176" s="267"/>
      <c r="BD176" s="267"/>
      <c r="BE176" s="267"/>
      <c r="BF176" s="267">
        <f t="shared" si="461"/>
        <v>12</v>
      </c>
      <c r="BG176" s="267">
        <f t="shared" si="462"/>
        <v>12</v>
      </c>
      <c r="BH176" s="267"/>
      <c r="BI176" s="267"/>
      <c r="BJ176" s="269">
        <f t="shared" ref="BJ176:BR176" si="469">$I176*BJ$2*2</f>
        <v>2.93749999999999</v>
      </c>
      <c r="BK176" s="269">
        <f t="shared" si="469"/>
        <v>2.93749999999999</v>
      </c>
      <c r="BL176" s="269">
        <f t="shared" si="469"/>
        <v>2.93749999999999</v>
      </c>
      <c r="BM176" s="269">
        <f t="shared" si="469"/>
        <v>2.93749999999999</v>
      </c>
      <c r="BN176" s="269">
        <f t="shared" si="469"/>
        <v>2.93749999999999</v>
      </c>
      <c r="BO176" s="269">
        <f t="shared" si="469"/>
        <v>2.93749999999999</v>
      </c>
      <c r="BP176" s="269">
        <f t="shared" si="469"/>
        <v>2.93749999999999</v>
      </c>
      <c r="BQ176" s="269">
        <f t="shared" si="469"/>
        <v>2.93749999999999</v>
      </c>
      <c r="BR176" s="269">
        <f t="shared" si="469"/>
        <v>0.499999999999999</v>
      </c>
      <c r="BT176" s="60">
        <f t="shared" ref="BT176:CB176" si="470">BT175-BJ176</f>
        <v>63758.125</v>
      </c>
      <c r="BU176" s="60">
        <f t="shared" si="470"/>
        <v>63758.125</v>
      </c>
      <c r="BV176" s="60">
        <f t="shared" si="470"/>
        <v>63758.125</v>
      </c>
      <c r="BW176" s="60">
        <f t="shared" si="470"/>
        <v>63758.125</v>
      </c>
      <c r="BX176" s="60">
        <f t="shared" si="470"/>
        <v>63758.125</v>
      </c>
      <c r="BY176" s="60">
        <f t="shared" si="470"/>
        <v>63758.125</v>
      </c>
      <c r="BZ176" s="60">
        <f t="shared" si="470"/>
        <v>63758.125</v>
      </c>
      <c r="CA176" s="60">
        <f t="shared" si="470"/>
        <v>63758.125</v>
      </c>
      <c r="CB176" s="60">
        <f t="shared" si="470"/>
        <v>10804</v>
      </c>
    </row>
    <row r="177" s="234" customFormat="1" ht="27" hidden="1" customHeight="1" spans="1:80">
      <c r="A177" s="236">
        <v>45813</v>
      </c>
      <c r="B177" s="237" t="s">
        <v>1029</v>
      </c>
      <c r="C177" s="238" t="s">
        <v>117</v>
      </c>
      <c r="D177" s="239">
        <v>4500168994</v>
      </c>
      <c r="E177" s="238" t="s">
        <v>1051</v>
      </c>
      <c r="F177" s="237" t="s">
        <v>1052</v>
      </c>
      <c r="G177" s="240" t="s">
        <v>188</v>
      </c>
      <c r="H177" s="237" t="s">
        <v>120</v>
      </c>
      <c r="I177" s="247">
        <v>168</v>
      </c>
      <c r="J177" s="247">
        <v>0</v>
      </c>
      <c r="K177" s="247">
        <v>12</v>
      </c>
      <c r="L177" s="247">
        <f t="shared" si="374"/>
        <v>14</v>
      </c>
      <c r="M177" s="248">
        <v>45866</v>
      </c>
      <c r="N177" s="248">
        <v>45857</v>
      </c>
      <c r="O177" s="212"/>
      <c r="P177" s="212" t="s">
        <v>224</v>
      </c>
      <c r="Q177" s="212" t="s">
        <v>1044</v>
      </c>
      <c r="R177" s="212">
        <v>45813</v>
      </c>
      <c r="S177" s="212" t="s">
        <v>191</v>
      </c>
      <c r="T177" s="212" t="s">
        <v>1048</v>
      </c>
      <c r="U177" s="212" t="s">
        <v>1033</v>
      </c>
      <c r="V177" s="259" t="s">
        <v>1049</v>
      </c>
      <c r="W177" s="248" t="s">
        <v>291</v>
      </c>
      <c r="X177" s="260">
        <v>1.8626</v>
      </c>
      <c r="Y177" s="247">
        <f t="shared" si="442"/>
        <v>312.9168</v>
      </c>
      <c r="Z177" s="248"/>
      <c r="AA177" s="259">
        <v>168</v>
      </c>
      <c r="AB177" s="259">
        <f t="shared" si="449"/>
        <v>0</v>
      </c>
      <c r="AC177" s="212" t="s">
        <v>113</v>
      </c>
      <c r="AD177" s="212" t="s">
        <v>114</v>
      </c>
      <c r="AE177" s="248" t="s">
        <v>119</v>
      </c>
      <c r="AF177" s="248" t="s">
        <v>115</v>
      </c>
      <c r="AG177" s="267">
        <f t="shared" si="457"/>
        <v>336</v>
      </c>
      <c r="AH177" s="267">
        <f t="shared" si="458"/>
        <v>336</v>
      </c>
      <c r="AI177" s="267"/>
      <c r="AJ177" s="267"/>
      <c r="AK177" s="267">
        <f t="shared" si="459"/>
        <v>336</v>
      </c>
      <c r="AL177" s="267"/>
      <c r="AM177" s="267"/>
      <c r="AN177" s="267"/>
      <c r="AO177" s="267">
        <f t="shared" si="460"/>
        <v>336</v>
      </c>
      <c r="AP177" s="267"/>
      <c r="AQ177" s="267"/>
      <c r="AR177" s="267"/>
      <c r="AS177" s="267"/>
      <c r="AT177" s="267"/>
      <c r="AU177" s="267"/>
      <c r="AV177" s="267"/>
      <c r="AW177" s="267"/>
      <c r="AX177" s="267"/>
      <c r="AY177" s="267"/>
      <c r="AZ177" s="267"/>
      <c r="BA177" s="267"/>
      <c r="BB177" s="267"/>
      <c r="BC177" s="267"/>
      <c r="BD177" s="267"/>
      <c r="BE177" s="267"/>
      <c r="BF177" s="267">
        <f t="shared" si="461"/>
        <v>168</v>
      </c>
      <c r="BG177" s="267">
        <f t="shared" si="462"/>
        <v>168</v>
      </c>
      <c r="BH177" s="267"/>
      <c r="BI177" s="267"/>
      <c r="BJ177" s="269">
        <f t="shared" ref="BJ177:BR177" si="471">$I177*BJ$2*2</f>
        <v>41.1249999999999</v>
      </c>
      <c r="BK177" s="269">
        <f t="shared" si="471"/>
        <v>41.1249999999999</v>
      </c>
      <c r="BL177" s="269">
        <f t="shared" si="471"/>
        <v>41.1249999999999</v>
      </c>
      <c r="BM177" s="269">
        <f t="shared" si="471"/>
        <v>41.1249999999999</v>
      </c>
      <c r="BN177" s="269">
        <f t="shared" si="471"/>
        <v>41.1249999999999</v>
      </c>
      <c r="BO177" s="269">
        <f t="shared" si="471"/>
        <v>41.1249999999999</v>
      </c>
      <c r="BP177" s="269">
        <f t="shared" si="471"/>
        <v>41.1249999999999</v>
      </c>
      <c r="BQ177" s="269">
        <f t="shared" si="471"/>
        <v>41.1249999999999</v>
      </c>
      <c r="BR177" s="269">
        <f t="shared" si="471"/>
        <v>6.99999999999999</v>
      </c>
      <c r="BT177" s="60">
        <f t="shared" ref="BT177:CB177" si="472">BT176-BJ177</f>
        <v>63717</v>
      </c>
      <c r="BU177" s="60">
        <f t="shared" si="472"/>
        <v>63717</v>
      </c>
      <c r="BV177" s="60">
        <f t="shared" si="472"/>
        <v>63717</v>
      </c>
      <c r="BW177" s="60">
        <f t="shared" si="472"/>
        <v>63717</v>
      </c>
      <c r="BX177" s="60">
        <f t="shared" si="472"/>
        <v>63717</v>
      </c>
      <c r="BY177" s="60">
        <f t="shared" si="472"/>
        <v>63717</v>
      </c>
      <c r="BZ177" s="60">
        <f t="shared" si="472"/>
        <v>63717</v>
      </c>
      <c r="CA177" s="60">
        <f t="shared" si="472"/>
        <v>63717</v>
      </c>
      <c r="CB177" s="60">
        <f t="shared" si="472"/>
        <v>10797</v>
      </c>
    </row>
    <row r="178" s="234" customFormat="1" ht="27" hidden="1" customHeight="1" spans="1:80">
      <c r="A178" s="236">
        <v>45818</v>
      </c>
      <c r="B178" s="237" t="s">
        <v>116</v>
      </c>
      <c r="C178" s="238" t="s">
        <v>117</v>
      </c>
      <c r="D178" s="239">
        <v>4500169495</v>
      </c>
      <c r="E178" s="238" t="s">
        <v>286</v>
      </c>
      <c r="F178" s="237" t="s">
        <v>1053</v>
      </c>
      <c r="G178" s="240" t="s">
        <v>119</v>
      </c>
      <c r="H178" s="237" t="s">
        <v>120</v>
      </c>
      <c r="I178" s="247">
        <v>1992</v>
      </c>
      <c r="J178" s="247">
        <v>0</v>
      </c>
      <c r="K178" s="247">
        <v>12</v>
      </c>
      <c r="L178" s="247">
        <f t="shared" si="374"/>
        <v>166</v>
      </c>
      <c r="M178" s="248">
        <v>45855</v>
      </c>
      <c r="N178" s="248">
        <v>45859</v>
      </c>
      <c r="O178" s="212"/>
      <c r="P178" s="212" t="s">
        <v>107</v>
      </c>
      <c r="Q178" s="212" t="s">
        <v>989</v>
      </c>
      <c r="R178" s="274">
        <v>45818</v>
      </c>
      <c r="S178" s="212" t="s">
        <v>80</v>
      </c>
      <c r="T178" s="212" t="s">
        <v>1054</v>
      </c>
      <c r="U178" s="212"/>
      <c r="V178" s="259" t="s">
        <v>1055</v>
      </c>
      <c r="W178" s="248" t="s">
        <v>291</v>
      </c>
      <c r="X178" s="260">
        <v>1.1176</v>
      </c>
      <c r="Y178" s="247">
        <f t="shared" si="442"/>
        <v>2226.2592</v>
      </c>
      <c r="Z178" s="248" t="s">
        <v>1056</v>
      </c>
      <c r="AA178" s="259">
        <f>1968+24</f>
        <v>1992</v>
      </c>
      <c r="AB178" s="259">
        <f t="shared" si="449"/>
        <v>0</v>
      </c>
      <c r="AC178" s="212" t="s">
        <v>113</v>
      </c>
      <c r="AD178" s="212" t="s">
        <v>114</v>
      </c>
      <c r="AE178" s="248" t="s">
        <v>119</v>
      </c>
      <c r="AF178" s="248" t="s">
        <v>115</v>
      </c>
      <c r="AG178" s="267">
        <f t="shared" si="457"/>
        <v>3984</v>
      </c>
      <c r="AH178" s="267">
        <f t="shared" si="458"/>
        <v>3984</v>
      </c>
      <c r="AI178" s="267"/>
      <c r="AJ178" s="267"/>
      <c r="AK178" s="267">
        <f t="shared" si="459"/>
        <v>3984</v>
      </c>
      <c r="AL178" s="267"/>
      <c r="AM178" s="267"/>
      <c r="AO178" s="267">
        <f t="shared" si="460"/>
        <v>3984</v>
      </c>
      <c r="AP178" s="267"/>
      <c r="AQ178" s="267"/>
      <c r="AR178" s="267"/>
      <c r="AS178" s="267"/>
      <c r="AT178" s="267"/>
      <c r="AU178" s="267"/>
      <c r="AV178" s="267"/>
      <c r="AW178" s="267"/>
      <c r="AX178" s="267"/>
      <c r="AY178" s="267"/>
      <c r="AZ178" s="267"/>
      <c r="BA178" s="267"/>
      <c r="BB178" s="267"/>
      <c r="BC178" s="267"/>
      <c r="BD178" s="267"/>
      <c r="BE178" s="267"/>
      <c r="BF178" s="267">
        <f t="shared" si="461"/>
        <v>1992</v>
      </c>
      <c r="BG178" s="267">
        <f t="shared" si="462"/>
        <v>1992</v>
      </c>
      <c r="BH178" s="267"/>
      <c r="BI178" s="267"/>
      <c r="BJ178" s="269">
        <f t="shared" ref="BJ178:BR178" si="473">$I178*BJ$2*2</f>
        <v>487.624999999999</v>
      </c>
      <c r="BK178" s="269">
        <f t="shared" si="473"/>
        <v>487.624999999999</v>
      </c>
      <c r="BL178" s="269">
        <f t="shared" si="473"/>
        <v>487.624999999999</v>
      </c>
      <c r="BM178" s="269">
        <f t="shared" si="473"/>
        <v>487.624999999999</v>
      </c>
      <c r="BN178" s="269">
        <f t="shared" si="473"/>
        <v>487.624999999999</v>
      </c>
      <c r="BO178" s="269">
        <f t="shared" si="473"/>
        <v>487.624999999999</v>
      </c>
      <c r="BP178" s="269">
        <f t="shared" si="473"/>
        <v>487.624999999999</v>
      </c>
      <c r="BQ178" s="269">
        <f t="shared" si="473"/>
        <v>487.624999999999</v>
      </c>
      <c r="BR178" s="269">
        <f t="shared" si="473"/>
        <v>82.9999999999999</v>
      </c>
      <c r="BT178" s="60">
        <f t="shared" ref="BT178:CB178" si="474">BT177-BJ178</f>
        <v>63229.375</v>
      </c>
      <c r="BU178" s="60">
        <f t="shared" si="474"/>
        <v>63229.375</v>
      </c>
      <c r="BV178" s="60">
        <f t="shared" si="474"/>
        <v>63229.375</v>
      </c>
      <c r="BW178" s="60">
        <f t="shared" si="474"/>
        <v>63229.375</v>
      </c>
      <c r="BX178" s="60">
        <f t="shared" si="474"/>
        <v>63229.375</v>
      </c>
      <c r="BY178" s="60">
        <f t="shared" si="474"/>
        <v>63229.375</v>
      </c>
      <c r="BZ178" s="60">
        <f t="shared" si="474"/>
        <v>63229.375</v>
      </c>
      <c r="CA178" s="60">
        <f t="shared" si="474"/>
        <v>63229.375</v>
      </c>
      <c r="CB178" s="60">
        <f t="shared" si="474"/>
        <v>10714</v>
      </c>
    </row>
    <row r="179" s="234" customFormat="1" ht="27" hidden="1" customHeight="1" spans="1:80">
      <c r="A179" s="236">
        <v>45826</v>
      </c>
      <c r="B179" s="237" t="s">
        <v>103</v>
      </c>
      <c r="C179" s="238" t="s">
        <v>104</v>
      </c>
      <c r="D179" s="239">
        <v>4500170480</v>
      </c>
      <c r="E179" s="238">
        <v>84438</v>
      </c>
      <c r="F179" s="237" t="s">
        <v>1057</v>
      </c>
      <c r="G179" s="240" t="s">
        <v>131</v>
      </c>
      <c r="H179" s="237" t="s">
        <v>132</v>
      </c>
      <c r="I179" s="247">
        <v>1350</v>
      </c>
      <c r="J179" s="247">
        <v>0</v>
      </c>
      <c r="K179" s="247">
        <v>27</v>
      </c>
      <c r="L179" s="247">
        <f t="shared" si="374"/>
        <v>50</v>
      </c>
      <c r="M179" s="248">
        <v>45862</v>
      </c>
      <c r="N179" s="248">
        <v>45859</v>
      </c>
      <c r="O179" s="212"/>
      <c r="P179" s="212" t="s">
        <v>224</v>
      </c>
      <c r="Q179" s="212" t="s">
        <v>742</v>
      </c>
      <c r="R179" s="274">
        <v>45826</v>
      </c>
      <c r="S179" s="273" t="s">
        <v>80</v>
      </c>
      <c r="T179" s="212" t="s">
        <v>1058</v>
      </c>
      <c r="U179" s="212"/>
      <c r="V179" s="259" t="s">
        <v>1059</v>
      </c>
      <c r="W179" s="248" t="s">
        <v>214</v>
      </c>
      <c r="X179" s="260">
        <v>0.7738</v>
      </c>
      <c r="Y179" s="247">
        <f t="shared" si="442"/>
        <v>1044.63</v>
      </c>
      <c r="Z179" s="248" t="s">
        <v>1060</v>
      </c>
      <c r="AA179" s="259">
        <f>1350</f>
        <v>1350</v>
      </c>
      <c r="AB179" s="259">
        <f t="shared" si="449"/>
        <v>0</v>
      </c>
      <c r="AC179" s="212" t="s">
        <v>113</v>
      </c>
      <c r="AD179" s="212" t="s">
        <v>114</v>
      </c>
      <c r="AE179" s="248" t="s">
        <v>131</v>
      </c>
      <c r="AF179" s="248" t="s">
        <v>115</v>
      </c>
      <c r="AG179" s="267">
        <f t="shared" ref="AG179:AG181" si="475">I179</f>
        <v>1350</v>
      </c>
      <c r="AH179" s="267">
        <f t="shared" ref="AH179:AH181" si="476">I179</f>
        <v>1350</v>
      </c>
      <c r="AI179" s="267"/>
      <c r="AJ179" s="267"/>
      <c r="AK179" s="267">
        <f t="shared" ref="AK179:AK181" si="477">I179</f>
        <v>1350</v>
      </c>
      <c r="AL179" s="267"/>
      <c r="AM179" s="267"/>
      <c r="AN179" s="267"/>
      <c r="AO179" s="267">
        <f>I179</f>
        <v>1350</v>
      </c>
      <c r="AP179" s="267"/>
      <c r="AQ179" s="267">
        <f>I179/27</f>
        <v>50</v>
      </c>
      <c r="AR179" s="267"/>
      <c r="AS179" s="267"/>
      <c r="AT179" s="267"/>
      <c r="AU179" s="267"/>
      <c r="AV179" s="267"/>
      <c r="AW179" s="267"/>
      <c r="AX179" s="267"/>
      <c r="AY179" s="267"/>
      <c r="AZ179" s="267"/>
      <c r="BA179" s="267"/>
      <c r="BB179" s="267"/>
      <c r="BC179" s="267"/>
      <c r="BD179" s="267"/>
      <c r="BE179" s="267"/>
      <c r="BF179" s="267"/>
      <c r="BG179" s="267"/>
      <c r="BH179" s="267"/>
      <c r="BI179" s="267"/>
      <c r="BJ179" s="269">
        <f t="shared" ref="BJ179:BR179" si="478">$I179*BJ$2</f>
        <v>165.234375</v>
      </c>
      <c r="BK179" s="269">
        <f t="shared" si="478"/>
        <v>165.234375</v>
      </c>
      <c r="BL179" s="269">
        <f t="shared" si="478"/>
        <v>165.234375</v>
      </c>
      <c r="BM179" s="269">
        <f t="shared" si="478"/>
        <v>165.234375</v>
      </c>
      <c r="BN179" s="269">
        <f t="shared" si="478"/>
        <v>165.234375</v>
      </c>
      <c r="BO179" s="269">
        <f t="shared" si="478"/>
        <v>165.234375</v>
      </c>
      <c r="BP179" s="269">
        <f t="shared" si="478"/>
        <v>165.234375</v>
      </c>
      <c r="BQ179" s="269">
        <f t="shared" si="478"/>
        <v>165.234375</v>
      </c>
      <c r="BR179" s="269">
        <f t="shared" si="478"/>
        <v>28.125</v>
      </c>
      <c r="BT179" s="60">
        <f t="shared" ref="BT179:CB179" si="479">BT178-BJ179</f>
        <v>63064.140625</v>
      </c>
      <c r="BU179" s="60">
        <f t="shared" si="479"/>
        <v>63064.140625</v>
      </c>
      <c r="BV179" s="60">
        <f t="shared" si="479"/>
        <v>63064.140625</v>
      </c>
      <c r="BW179" s="60">
        <f t="shared" si="479"/>
        <v>63064.140625</v>
      </c>
      <c r="BX179" s="60">
        <f t="shared" si="479"/>
        <v>63064.140625</v>
      </c>
      <c r="BY179" s="60">
        <f t="shared" si="479"/>
        <v>63064.140625</v>
      </c>
      <c r="BZ179" s="60">
        <f t="shared" si="479"/>
        <v>63064.140625</v>
      </c>
      <c r="CA179" s="60">
        <f t="shared" si="479"/>
        <v>63064.140625</v>
      </c>
      <c r="CB179" s="60">
        <f t="shared" si="479"/>
        <v>10685.875</v>
      </c>
    </row>
    <row r="180" s="234" customFormat="1" ht="27" hidden="1" customHeight="1" spans="1:80">
      <c r="A180" s="236">
        <v>45828</v>
      </c>
      <c r="B180" s="237" t="s">
        <v>701</v>
      </c>
      <c r="C180" s="238" t="s">
        <v>396</v>
      </c>
      <c r="D180" s="239">
        <v>4500170362</v>
      </c>
      <c r="E180" s="238">
        <v>2950866849</v>
      </c>
      <c r="F180" s="237" t="s">
        <v>1061</v>
      </c>
      <c r="G180" s="240" t="s">
        <v>703</v>
      </c>
      <c r="H180" s="237" t="s">
        <v>704</v>
      </c>
      <c r="I180" s="247">
        <v>1040</v>
      </c>
      <c r="J180" s="247">
        <v>0</v>
      </c>
      <c r="K180" s="247">
        <v>1040</v>
      </c>
      <c r="L180" s="247">
        <f t="shared" si="374"/>
        <v>1</v>
      </c>
      <c r="M180" s="248">
        <v>45866</v>
      </c>
      <c r="N180" s="248">
        <v>45862</v>
      </c>
      <c r="O180" s="212"/>
      <c r="P180" s="212" t="s">
        <v>224</v>
      </c>
      <c r="Q180" s="212" t="s">
        <v>1062</v>
      </c>
      <c r="R180" s="212">
        <v>45831</v>
      </c>
      <c r="S180" s="212" t="s">
        <v>80</v>
      </c>
      <c r="T180" s="212" t="s">
        <v>706</v>
      </c>
      <c r="U180" s="212"/>
      <c r="V180" s="259" t="s">
        <v>1063</v>
      </c>
      <c r="W180" s="248" t="s">
        <v>467</v>
      </c>
      <c r="X180" s="260">
        <v>824.6621</v>
      </c>
      <c r="Y180" s="247">
        <f>X180*L180</f>
        <v>824.6621</v>
      </c>
      <c r="Z180" s="246"/>
      <c r="AA180" s="259">
        <v>1040</v>
      </c>
      <c r="AB180" s="259">
        <f t="shared" si="449"/>
        <v>0</v>
      </c>
      <c r="AC180" s="212"/>
      <c r="AD180" s="212" t="s">
        <v>114</v>
      </c>
      <c r="AE180" s="248" t="s">
        <v>703</v>
      </c>
      <c r="AF180" s="248" t="s">
        <v>115</v>
      </c>
      <c r="AG180" s="267">
        <f t="shared" si="475"/>
        <v>1040</v>
      </c>
      <c r="AH180" s="267">
        <f t="shared" si="476"/>
        <v>1040</v>
      </c>
      <c r="AI180" s="267"/>
      <c r="AJ180" s="267"/>
      <c r="AK180" s="267">
        <f t="shared" si="477"/>
        <v>1040</v>
      </c>
      <c r="AL180" s="267"/>
      <c r="AM180" s="267"/>
      <c r="AN180" s="267"/>
      <c r="AO180" s="267">
        <f>I180</f>
        <v>1040</v>
      </c>
      <c r="AP180" s="267"/>
      <c r="AQ180" s="267"/>
      <c r="AR180" s="267"/>
      <c r="AS180" s="267"/>
      <c r="AT180" s="267">
        <f>I180/13</f>
        <v>80</v>
      </c>
      <c r="AU180" s="267"/>
      <c r="AV180" s="267"/>
      <c r="AW180" s="267"/>
      <c r="AX180" s="267"/>
      <c r="AY180" s="267"/>
      <c r="AZ180" s="267"/>
      <c r="BA180" s="267"/>
      <c r="BB180" s="267"/>
      <c r="BC180" s="267"/>
      <c r="BD180" s="267"/>
      <c r="BE180" s="267"/>
      <c r="BF180" s="267"/>
      <c r="BG180" s="267"/>
      <c r="BH180" s="267"/>
      <c r="BI180" s="267"/>
      <c r="BJ180" s="269">
        <f t="shared" ref="BJ180:BR180" si="480">$I180*BJ$2</f>
        <v>127.291666666666</v>
      </c>
      <c r="BK180" s="269">
        <f t="shared" si="480"/>
        <v>127.291666666666</v>
      </c>
      <c r="BL180" s="269">
        <f t="shared" si="480"/>
        <v>127.291666666666</v>
      </c>
      <c r="BM180" s="269">
        <f t="shared" si="480"/>
        <v>127.291666666666</v>
      </c>
      <c r="BN180" s="269">
        <f t="shared" si="480"/>
        <v>127.291666666666</v>
      </c>
      <c r="BO180" s="269">
        <f t="shared" si="480"/>
        <v>127.291666666666</v>
      </c>
      <c r="BP180" s="269">
        <f t="shared" si="480"/>
        <v>127.291666666666</v>
      </c>
      <c r="BQ180" s="269">
        <f t="shared" si="480"/>
        <v>127.291666666666</v>
      </c>
      <c r="BR180" s="269">
        <f t="shared" si="480"/>
        <v>21.6666666666666</v>
      </c>
      <c r="BT180" s="60">
        <f t="shared" ref="BT180:CB180" si="481">BT179-BJ180</f>
        <v>62936.8489583334</v>
      </c>
      <c r="BU180" s="60">
        <f t="shared" si="481"/>
        <v>62936.8489583334</v>
      </c>
      <c r="BV180" s="60">
        <f t="shared" si="481"/>
        <v>62936.8489583334</v>
      </c>
      <c r="BW180" s="60">
        <f t="shared" si="481"/>
        <v>62936.8489583334</v>
      </c>
      <c r="BX180" s="60">
        <f t="shared" si="481"/>
        <v>62936.8489583334</v>
      </c>
      <c r="BY180" s="60">
        <f t="shared" si="481"/>
        <v>62936.8489583334</v>
      </c>
      <c r="BZ180" s="60">
        <f t="shared" si="481"/>
        <v>62936.8489583334</v>
      </c>
      <c r="CA180" s="60">
        <f t="shared" si="481"/>
        <v>62936.8489583334</v>
      </c>
      <c r="CB180" s="60">
        <f t="shared" si="481"/>
        <v>10664.2083333333</v>
      </c>
    </row>
    <row r="181" s="234" customFormat="1" ht="27" hidden="1" customHeight="1" spans="1:80">
      <c r="A181" s="236">
        <v>45835</v>
      </c>
      <c r="B181" s="237" t="s">
        <v>699</v>
      </c>
      <c r="C181" s="238" t="s">
        <v>689</v>
      </c>
      <c r="D181" s="239">
        <v>4500171640</v>
      </c>
      <c r="E181" s="238">
        <v>5000001933</v>
      </c>
      <c r="F181" s="237" t="s">
        <v>1064</v>
      </c>
      <c r="G181" s="240" t="s">
        <v>152</v>
      </c>
      <c r="H181" s="237" t="s">
        <v>153</v>
      </c>
      <c r="I181" s="247">
        <v>650</v>
      </c>
      <c r="J181" s="247">
        <v>0</v>
      </c>
      <c r="K181" s="247">
        <v>13</v>
      </c>
      <c r="L181" s="247">
        <f t="shared" si="374"/>
        <v>50</v>
      </c>
      <c r="M181" s="248">
        <v>45866</v>
      </c>
      <c r="N181" s="248">
        <v>45864</v>
      </c>
      <c r="O181" s="212"/>
      <c r="P181" s="212" t="s">
        <v>224</v>
      </c>
      <c r="Q181" s="212" t="s">
        <v>1065</v>
      </c>
      <c r="R181" s="274" t="s">
        <v>1066</v>
      </c>
      <c r="S181" s="212" t="s">
        <v>80</v>
      </c>
      <c r="T181" s="212" t="s">
        <v>693</v>
      </c>
      <c r="U181" s="212"/>
      <c r="V181" s="259" t="s">
        <v>1067</v>
      </c>
      <c r="W181" s="248" t="s">
        <v>1068</v>
      </c>
      <c r="X181" s="260">
        <v>0.7812</v>
      </c>
      <c r="Y181" s="247">
        <f t="shared" ref="Y181:Y236" si="482">X181*I181</f>
        <v>507.78</v>
      </c>
      <c r="Z181" s="246"/>
      <c r="AA181" s="259">
        <v>650</v>
      </c>
      <c r="AB181" s="259">
        <f t="shared" si="449"/>
        <v>0</v>
      </c>
      <c r="AC181" s="212" t="s">
        <v>113</v>
      </c>
      <c r="AD181" s="212" t="s">
        <v>114</v>
      </c>
      <c r="AE181" s="248" t="s">
        <v>696</v>
      </c>
      <c r="AF181" s="248" t="s">
        <v>115</v>
      </c>
      <c r="AG181" s="267">
        <f t="shared" si="475"/>
        <v>650</v>
      </c>
      <c r="AH181" s="267">
        <f t="shared" si="476"/>
        <v>650</v>
      </c>
      <c r="AI181" s="267"/>
      <c r="AJ181" s="267"/>
      <c r="AK181" s="267">
        <f t="shared" si="477"/>
        <v>650</v>
      </c>
      <c r="AL181" s="267"/>
      <c r="AM181" s="267"/>
      <c r="AN181" s="267"/>
      <c r="AO181" s="267"/>
      <c r="AP181" s="267">
        <f>I181</f>
        <v>650</v>
      </c>
      <c r="AQ181" s="267"/>
      <c r="AR181" s="267"/>
      <c r="AS181" s="267"/>
      <c r="AT181" s="267">
        <f>I181/13</f>
        <v>50</v>
      </c>
      <c r="AU181" s="267"/>
      <c r="AV181" s="267"/>
      <c r="AW181" s="267"/>
      <c r="AX181" s="267"/>
      <c r="AY181" s="267"/>
      <c r="AZ181" s="267"/>
      <c r="BA181" s="267"/>
      <c r="BB181" s="267"/>
      <c r="BC181" s="267"/>
      <c r="BD181" s="267"/>
      <c r="BE181" s="267"/>
      <c r="BF181" s="267"/>
      <c r="BG181" s="267"/>
      <c r="BH181" s="267"/>
      <c r="BI181" s="267"/>
      <c r="BJ181" s="269">
        <f t="shared" ref="BJ181:BR181" si="483">$I181*BJ$2</f>
        <v>79.5572916666664</v>
      </c>
      <c r="BK181" s="269">
        <f t="shared" si="483"/>
        <v>79.5572916666664</v>
      </c>
      <c r="BL181" s="269">
        <f t="shared" si="483"/>
        <v>79.5572916666664</v>
      </c>
      <c r="BM181" s="269">
        <f t="shared" si="483"/>
        <v>79.5572916666664</v>
      </c>
      <c r="BN181" s="269">
        <f t="shared" si="483"/>
        <v>79.5572916666664</v>
      </c>
      <c r="BO181" s="269">
        <f t="shared" si="483"/>
        <v>79.5572916666664</v>
      </c>
      <c r="BP181" s="269">
        <f t="shared" si="483"/>
        <v>79.5572916666664</v>
      </c>
      <c r="BQ181" s="269">
        <f t="shared" si="483"/>
        <v>79.5572916666664</v>
      </c>
      <c r="BR181" s="269">
        <f t="shared" si="483"/>
        <v>13.5416666666666</v>
      </c>
      <c r="BT181" s="60">
        <f t="shared" ref="BT181:CB181" si="484">BT180-BJ181</f>
        <v>62857.2916666667</v>
      </c>
      <c r="BU181" s="60">
        <f t="shared" si="484"/>
        <v>62857.2916666667</v>
      </c>
      <c r="BV181" s="60">
        <f t="shared" si="484"/>
        <v>62857.2916666667</v>
      </c>
      <c r="BW181" s="60">
        <f t="shared" si="484"/>
        <v>62857.2916666667</v>
      </c>
      <c r="BX181" s="60">
        <f t="shared" si="484"/>
        <v>62857.2916666667</v>
      </c>
      <c r="BY181" s="60">
        <f t="shared" si="484"/>
        <v>62857.2916666667</v>
      </c>
      <c r="BZ181" s="60">
        <f t="shared" si="484"/>
        <v>62857.2916666667</v>
      </c>
      <c r="CA181" s="60">
        <f t="shared" si="484"/>
        <v>62857.2916666667</v>
      </c>
      <c r="CB181" s="60">
        <f t="shared" si="484"/>
        <v>10650.6666666667</v>
      </c>
    </row>
    <row r="182" s="234" customFormat="1" ht="27" hidden="1" customHeight="1" spans="1:80">
      <c r="A182" s="236">
        <v>45827</v>
      </c>
      <c r="B182" s="237" t="s">
        <v>196</v>
      </c>
      <c r="C182" s="238" t="s">
        <v>129</v>
      </c>
      <c r="D182" s="239">
        <v>4500170600</v>
      </c>
      <c r="E182" s="238" t="s">
        <v>1069</v>
      </c>
      <c r="F182" s="237" t="s">
        <v>1070</v>
      </c>
      <c r="G182" s="240" t="s">
        <v>188</v>
      </c>
      <c r="H182" s="237" t="s">
        <v>120</v>
      </c>
      <c r="I182" s="247">
        <v>492</v>
      </c>
      <c r="J182" s="247">
        <v>0</v>
      </c>
      <c r="K182" s="247">
        <v>12</v>
      </c>
      <c r="L182" s="247">
        <f t="shared" si="374"/>
        <v>41</v>
      </c>
      <c r="M182" s="248">
        <v>45868</v>
      </c>
      <c r="N182" s="248">
        <v>45864</v>
      </c>
      <c r="O182" s="212"/>
      <c r="P182" s="212" t="s">
        <v>224</v>
      </c>
      <c r="Q182" s="212" t="s">
        <v>1071</v>
      </c>
      <c r="R182" s="212" t="s">
        <v>836</v>
      </c>
      <c r="S182" s="212" t="s">
        <v>191</v>
      </c>
      <c r="T182" s="212" t="s">
        <v>1072</v>
      </c>
      <c r="U182" s="212"/>
      <c r="V182" s="259" t="s">
        <v>1073</v>
      </c>
      <c r="W182" s="248" t="s">
        <v>194</v>
      </c>
      <c r="X182" s="260">
        <v>1.8626</v>
      </c>
      <c r="Y182" s="247">
        <f t="shared" si="482"/>
        <v>916.3992</v>
      </c>
      <c r="Z182" s="246"/>
      <c r="AA182" s="259">
        <v>492</v>
      </c>
      <c r="AB182" s="259">
        <f t="shared" si="449"/>
        <v>0</v>
      </c>
      <c r="AC182" s="212"/>
      <c r="AD182" s="212" t="s">
        <v>114</v>
      </c>
      <c r="AE182" s="248" t="s">
        <v>188</v>
      </c>
      <c r="AF182" s="248" t="s">
        <v>115</v>
      </c>
      <c r="AG182" s="267">
        <f t="shared" ref="AG182:AG192" si="485">I182*2</f>
        <v>984</v>
      </c>
      <c r="AH182" s="267">
        <f t="shared" ref="AH182:AH184" si="486">I182*2</f>
        <v>984</v>
      </c>
      <c r="AI182" s="267"/>
      <c r="AJ182" s="267"/>
      <c r="AK182" s="267"/>
      <c r="AL182" s="267">
        <f>I182*2</f>
        <v>984</v>
      </c>
      <c r="AM182" s="267"/>
      <c r="AN182" s="267"/>
      <c r="AO182" s="267">
        <f t="shared" ref="AO182:AO192" si="487">I182*2</f>
        <v>984</v>
      </c>
      <c r="AP182" s="267"/>
      <c r="AQ182" s="267"/>
      <c r="AR182" s="267"/>
      <c r="AS182" s="267"/>
      <c r="AT182" s="267"/>
      <c r="AU182" s="267"/>
      <c r="AV182" s="267"/>
      <c r="AW182" s="267"/>
      <c r="AX182" s="267"/>
      <c r="AY182" s="267"/>
      <c r="AZ182" s="267"/>
      <c r="BA182" s="267"/>
      <c r="BB182" s="267"/>
      <c r="BC182" s="267"/>
      <c r="BD182" s="267"/>
      <c r="BE182" s="267"/>
      <c r="BF182" s="267">
        <f t="shared" ref="BF182:BF192" si="488">I182</f>
        <v>492</v>
      </c>
      <c r="BG182" s="267">
        <f t="shared" ref="BG182:BG192" si="489">I182</f>
        <v>492</v>
      </c>
      <c r="BH182" s="267"/>
      <c r="BI182" s="267"/>
      <c r="BJ182" s="269">
        <f t="shared" ref="BJ182:BR182" si="490">$I182*BJ$2*2</f>
        <v>120.4375</v>
      </c>
      <c r="BK182" s="269">
        <f t="shared" si="490"/>
        <v>120.4375</v>
      </c>
      <c r="BL182" s="269">
        <f t="shared" si="490"/>
        <v>120.4375</v>
      </c>
      <c r="BM182" s="269">
        <f t="shared" si="490"/>
        <v>120.4375</v>
      </c>
      <c r="BN182" s="269">
        <f t="shared" si="490"/>
        <v>120.4375</v>
      </c>
      <c r="BO182" s="269">
        <f t="shared" si="490"/>
        <v>120.4375</v>
      </c>
      <c r="BP182" s="269">
        <f t="shared" si="490"/>
        <v>120.4375</v>
      </c>
      <c r="BQ182" s="269">
        <f t="shared" si="490"/>
        <v>120.4375</v>
      </c>
      <c r="BR182" s="269">
        <f t="shared" si="490"/>
        <v>20.5</v>
      </c>
      <c r="BT182" s="60">
        <f t="shared" ref="BT182:CB182" si="491">BT181-BJ182</f>
        <v>62736.8541666667</v>
      </c>
      <c r="BU182" s="60">
        <f t="shared" si="491"/>
        <v>62736.8541666667</v>
      </c>
      <c r="BV182" s="60">
        <f t="shared" si="491"/>
        <v>62736.8541666667</v>
      </c>
      <c r="BW182" s="60">
        <f t="shared" si="491"/>
        <v>62736.8541666667</v>
      </c>
      <c r="BX182" s="60">
        <f t="shared" si="491"/>
        <v>62736.8541666667</v>
      </c>
      <c r="BY182" s="60">
        <f t="shared" si="491"/>
        <v>62736.8541666667</v>
      </c>
      <c r="BZ182" s="60">
        <f t="shared" si="491"/>
        <v>62736.8541666667</v>
      </c>
      <c r="CA182" s="60">
        <f t="shared" si="491"/>
        <v>62736.8541666667</v>
      </c>
      <c r="CB182" s="60">
        <f t="shared" si="491"/>
        <v>10630.1666666667</v>
      </c>
    </row>
    <row r="183" s="234" customFormat="1" ht="27" hidden="1" customHeight="1" spans="1:80">
      <c r="A183" s="236">
        <v>45838</v>
      </c>
      <c r="B183" s="237" t="s">
        <v>1074</v>
      </c>
      <c r="C183" s="238" t="s">
        <v>117</v>
      </c>
      <c r="D183" s="239">
        <v>4500171922</v>
      </c>
      <c r="E183" s="238" t="s">
        <v>1075</v>
      </c>
      <c r="F183" s="237" t="s">
        <v>1076</v>
      </c>
      <c r="G183" s="240" t="s">
        <v>188</v>
      </c>
      <c r="H183" s="237" t="s">
        <v>120</v>
      </c>
      <c r="I183" s="247">
        <v>900</v>
      </c>
      <c r="J183" s="247">
        <v>0</v>
      </c>
      <c r="K183" s="247">
        <v>12</v>
      </c>
      <c r="L183" s="247">
        <f t="shared" si="374"/>
        <v>75</v>
      </c>
      <c r="M183" s="248">
        <v>45870</v>
      </c>
      <c r="N183" s="248">
        <f t="shared" ref="N183:N192" si="492">M183-4</f>
        <v>45866</v>
      </c>
      <c r="O183" s="212"/>
      <c r="P183" s="212" t="s">
        <v>107</v>
      </c>
      <c r="Q183" s="284" t="s">
        <v>1019</v>
      </c>
      <c r="R183" s="274">
        <v>45840</v>
      </c>
      <c r="S183" s="212" t="s">
        <v>80</v>
      </c>
      <c r="T183" s="212" t="s">
        <v>1077</v>
      </c>
      <c r="U183" s="212"/>
      <c r="V183" s="259" t="s">
        <v>1078</v>
      </c>
      <c r="W183" s="248" t="s">
        <v>1079</v>
      </c>
      <c r="X183" s="260">
        <v>1.1176</v>
      </c>
      <c r="Y183" s="247">
        <f t="shared" si="482"/>
        <v>1005.84</v>
      </c>
      <c r="Z183" s="248" t="s">
        <v>1080</v>
      </c>
      <c r="AA183" s="259">
        <v>900</v>
      </c>
      <c r="AB183" s="259">
        <f t="shared" si="449"/>
        <v>0</v>
      </c>
      <c r="AC183" s="212" t="s">
        <v>113</v>
      </c>
      <c r="AD183" s="212" t="s">
        <v>114</v>
      </c>
      <c r="AE183" s="248" t="s">
        <v>119</v>
      </c>
      <c r="AF183" s="248" t="s">
        <v>115</v>
      </c>
      <c r="AG183" s="267">
        <f t="shared" si="485"/>
        <v>1800</v>
      </c>
      <c r="AH183" s="267">
        <f t="shared" si="486"/>
        <v>1800</v>
      </c>
      <c r="AI183" s="267"/>
      <c r="AJ183" s="267"/>
      <c r="AK183" s="267">
        <f t="shared" ref="AK183:AK192" si="493">I183*2</f>
        <v>1800</v>
      </c>
      <c r="AL183" s="267"/>
      <c r="AM183" s="267"/>
      <c r="AN183" s="267"/>
      <c r="AO183" s="267">
        <f t="shared" si="487"/>
        <v>1800</v>
      </c>
      <c r="AP183" s="267"/>
      <c r="AQ183" s="267"/>
      <c r="AR183" s="267"/>
      <c r="AS183" s="267"/>
      <c r="AT183" s="267"/>
      <c r="AU183" s="267"/>
      <c r="AV183" s="267"/>
      <c r="AW183" s="267"/>
      <c r="AX183" s="267"/>
      <c r="AY183" s="267"/>
      <c r="AZ183" s="267"/>
      <c r="BA183" s="267"/>
      <c r="BB183" s="267"/>
      <c r="BC183" s="267"/>
      <c r="BD183" s="267"/>
      <c r="BE183" s="267"/>
      <c r="BF183" s="267">
        <f t="shared" si="488"/>
        <v>900</v>
      </c>
      <c r="BG183" s="267">
        <f t="shared" si="489"/>
        <v>900</v>
      </c>
      <c r="BH183" s="267"/>
      <c r="BI183" s="267"/>
      <c r="BJ183" s="269">
        <f t="shared" ref="BJ183:BR183" si="494">$I183*BJ$2*2</f>
        <v>220.312499999999</v>
      </c>
      <c r="BK183" s="269">
        <f t="shared" si="494"/>
        <v>220.312499999999</v>
      </c>
      <c r="BL183" s="269">
        <f t="shared" si="494"/>
        <v>220.312499999999</v>
      </c>
      <c r="BM183" s="269">
        <f t="shared" si="494"/>
        <v>220.312499999999</v>
      </c>
      <c r="BN183" s="269">
        <f t="shared" si="494"/>
        <v>220.312499999999</v>
      </c>
      <c r="BO183" s="269">
        <f t="shared" si="494"/>
        <v>220.312499999999</v>
      </c>
      <c r="BP183" s="269">
        <f t="shared" si="494"/>
        <v>220.312499999999</v>
      </c>
      <c r="BQ183" s="269">
        <f t="shared" si="494"/>
        <v>220.312499999999</v>
      </c>
      <c r="BR183" s="269">
        <f t="shared" si="494"/>
        <v>37.4999999999999</v>
      </c>
      <c r="BT183" s="60">
        <f t="shared" ref="BT183:CB183" si="495">BT182-BJ183</f>
        <v>62516.5416666667</v>
      </c>
      <c r="BU183" s="60">
        <f t="shared" si="495"/>
        <v>62516.5416666667</v>
      </c>
      <c r="BV183" s="60">
        <f t="shared" si="495"/>
        <v>62516.5416666667</v>
      </c>
      <c r="BW183" s="60">
        <f t="shared" si="495"/>
        <v>62516.5416666667</v>
      </c>
      <c r="BX183" s="60">
        <f t="shared" si="495"/>
        <v>62516.5416666667</v>
      </c>
      <c r="BY183" s="60">
        <f t="shared" si="495"/>
        <v>62516.5416666667</v>
      </c>
      <c r="BZ183" s="60">
        <f t="shared" si="495"/>
        <v>62516.5416666667</v>
      </c>
      <c r="CA183" s="60">
        <f t="shared" si="495"/>
        <v>62516.5416666667</v>
      </c>
      <c r="CB183" s="60">
        <f t="shared" si="495"/>
        <v>10592.6666666667</v>
      </c>
    </row>
    <row r="184" s="234" customFormat="1" ht="27" hidden="1" customHeight="1" spans="1:80">
      <c r="A184" s="236">
        <v>45838</v>
      </c>
      <c r="B184" s="237" t="s">
        <v>1074</v>
      </c>
      <c r="C184" s="238" t="s">
        <v>117</v>
      </c>
      <c r="D184" s="239">
        <v>4500171921</v>
      </c>
      <c r="E184" s="238" t="s">
        <v>1081</v>
      </c>
      <c r="F184" s="237" t="s">
        <v>1082</v>
      </c>
      <c r="G184" s="240" t="s">
        <v>188</v>
      </c>
      <c r="H184" s="237" t="s">
        <v>120</v>
      </c>
      <c r="I184" s="247">
        <v>1200</v>
      </c>
      <c r="J184" s="247">
        <v>0</v>
      </c>
      <c r="K184" s="247">
        <v>12</v>
      </c>
      <c r="L184" s="247">
        <f t="shared" si="374"/>
        <v>100</v>
      </c>
      <c r="M184" s="248">
        <v>45870</v>
      </c>
      <c r="N184" s="248">
        <f t="shared" si="492"/>
        <v>45866</v>
      </c>
      <c r="O184" s="212"/>
      <c r="P184" s="212" t="s">
        <v>107</v>
      </c>
      <c r="Q184" s="212" t="s">
        <v>1083</v>
      </c>
      <c r="R184" s="274">
        <v>45840</v>
      </c>
      <c r="S184" s="212" t="s">
        <v>80</v>
      </c>
      <c r="T184" s="212" t="s">
        <v>1077</v>
      </c>
      <c r="U184" s="212"/>
      <c r="V184" s="259" t="s">
        <v>1078</v>
      </c>
      <c r="W184" s="248" t="s">
        <v>1079</v>
      </c>
      <c r="X184" s="260">
        <v>1.0937</v>
      </c>
      <c r="Y184" s="247">
        <f t="shared" si="482"/>
        <v>1312.44</v>
      </c>
      <c r="Z184" s="286" t="s">
        <v>1084</v>
      </c>
      <c r="AA184" s="259">
        <v>1200</v>
      </c>
      <c r="AB184" s="259">
        <f t="shared" si="449"/>
        <v>0</v>
      </c>
      <c r="AC184" s="212" t="s">
        <v>113</v>
      </c>
      <c r="AD184" s="212" t="s">
        <v>114</v>
      </c>
      <c r="AE184" s="248" t="s">
        <v>119</v>
      </c>
      <c r="AF184" s="248" t="s">
        <v>115</v>
      </c>
      <c r="AG184" s="267">
        <f t="shared" si="485"/>
        <v>2400</v>
      </c>
      <c r="AH184" s="267">
        <f t="shared" si="486"/>
        <v>2400</v>
      </c>
      <c r="AI184" s="267"/>
      <c r="AJ184" s="267"/>
      <c r="AK184" s="267">
        <f t="shared" si="493"/>
        <v>2400</v>
      </c>
      <c r="AL184" s="267"/>
      <c r="AM184" s="267"/>
      <c r="AN184" s="267"/>
      <c r="AO184" s="267">
        <f t="shared" si="487"/>
        <v>2400</v>
      </c>
      <c r="AP184" s="267"/>
      <c r="AQ184" s="267"/>
      <c r="AR184" s="267"/>
      <c r="AS184" s="267"/>
      <c r="AT184" s="267"/>
      <c r="AU184" s="267"/>
      <c r="AV184" s="267"/>
      <c r="AW184" s="267"/>
      <c r="AX184" s="267"/>
      <c r="AY184" s="267"/>
      <c r="AZ184" s="267"/>
      <c r="BA184" s="267"/>
      <c r="BB184" s="267"/>
      <c r="BC184" s="267"/>
      <c r="BD184" s="267"/>
      <c r="BE184" s="267"/>
      <c r="BF184" s="267">
        <f t="shared" si="488"/>
        <v>1200</v>
      </c>
      <c r="BG184" s="267">
        <f t="shared" si="489"/>
        <v>1200</v>
      </c>
      <c r="BH184" s="267"/>
      <c r="BI184" s="267"/>
      <c r="BJ184" s="269">
        <f t="shared" ref="BJ184:BR184" si="496">$I184*BJ$2*2</f>
        <v>293.749999999999</v>
      </c>
      <c r="BK184" s="269">
        <f t="shared" si="496"/>
        <v>293.749999999999</v>
      </c>
      <c r="BL184" s="269">
        <f t="shared" si="496"/>
        <v>293.749999999999</v>
      </c>
      <c r="BM184" s="269">
        <f t="shared" si="496"/>
        <v>293.749999999999</v>
      </c>
      <c r="BN184" s="269">
        <f t="shared" si="496"/>
        <v>293.749999999999</v>
      </c>
      <c r="BO184" s="269">
        <f t="shared" si="496"/>
        <v>293.749999999999</v>
      </c>
      <c r="BP184" s="269">
        <f t="shared" si="496"/>
        <v>293.749999999999</v>
      </c>
      <c r="BQ184" s="269">
        <f t="shared" si="496"/>
        <v>293.749999999999</v>
      </c>
      <c r="BR184" s="269">
        <f t="shared" si="496"/>
        <v>49.9999999999999</v>
      </c>
      <c r="BT184" s="60">
        <f t="shared" ref="BT184:CB184" si="497">BT183-BJ184</f>
        <v>62222.7916666667</v>
      </c>
      <c r="BU184" s="60">
        <f t="shared" si="497"/>
        <v>62222.7916666667</v>
      </c>
      <c r="BV184" s="60">
        <f t="shared" si="497"/>
        <v>62222.7916666667</v>
      </c>
      <c r="BW184" s="60">
        <f t="shared" si="497"/>
        <v>62222.7916666667</v>
      </c>
      <c r="BX184" s="60">
        <f t="shared" si="497"/>
        <v>62222.7916666667</v>
      </c>
      <c r="BY184" s="60">
        <f t="shared" si="497"/>
        <v>62222.7916666667</v>
      </c>
      <c r="BZ184" s="60">
        <f t="shared" si="497"/>
        <v>62222.7916666667</v>
      </c>
      <c r="CA184" s="60">
        <f t="shared" si="497"/>
        <v>62222.7916666667</v>
      </c>
      <c r="CB184" s="60">
        <f t="shared" si="497"/>
        <v>10542.6666666667</v>
      </c>
    </row>
    <row r="185" s="234" customFormat="1" ht="27" hidden="1" customHeight="1" spans="1:80">
      <c r="A185" s="236">
        <v>45838</v>
      </c>
      <c r="B185" s="237" t="s">
        <v>1074</v>
      </c>
      <c r="C185" s="238" t="s">
        <v>117</v>
      </c>
      <c r="D185" s="239">
        <v>4500171924</v>
      </c>
      <c r="E185" s="238" t="s">
        <v>1085</v>
      </c>
      <c r="F185" s="237" t="s">
        <v>1086</v>
      </c>
      <c r="G185" s="240" t="s">
        <v>188</v>
      </c>
      <c r="H185" s="237" t="s">
        <v>120</v>
      </c>
      <c r="I185" s="247">
        <v>900</v>
      </c>
      <c r="J185" s="247">
        <v>0</v>
      </c>
      <c r="K185" s="247">
        <v>12</v>
      </c>
      <c r="L185" s="247">
        <f t="shared" si="374"/>
        <v>75</v>
      </c>
      <c r="M185" s="248">
        <v>45870</v>
      </c>
      <c r="N185" s="248">
        <f t="shared" si="492"/>
        <v>45866</v>
      </c>
      <c r="O185" s="212"/>
      <c r="P185" s="212" t="s">
        <v>107</v>
      </c>
      <c r="Q185" s="284" t="s">
        <v>1019</v>
      </c>
      <c r="R185" s="274">
        <v>45840</v>
      </c>
      <c r="S185" s="212" t="s">
        <v>80</v>
      </c>
      <c r="T185" s="212" t="s">
        <v>1077</v>
      </c>
      <c r="U185" s="212"/>
      <c r="V185" s="259" t="s">
        <v>1078</v>
      </c>
      <c r="W185" s="248" t="s">
        <v>1079</v>
      </c>
      <c r="X185" s="260">
        <v>1.1176</v>
      </c>
      <c r="Y185" s="247">
        <f t="shared" si="482"/>
        <v>1005.84</v>
      </c>
      <c r="Z185" s="287" t="s">
        <v>1087</v>
      </c>
      <c r="AA185" s="259">
        <v>900</v>
      </c>
      <c r="AB185" s="259">
        <f t="shared" si="449"/>
        <v>0</v>
      </c>
      <c r="AC185" s="212" t="s">
        <v>113</v>
      </c>
      <c r="AD185" s="212" t="s">
        <v>114</v>
      </c>
      <c r="AE185" s="248" t="s">
        <v>119</v>
      </c>
      <c r="AF185" s="248" t="s">
        <v>115</v>
      </c>
      <c r="AG185" s="267">
        <f t="shared" si="485"/>
        <v>1800</v>
      </c>
      <c r="AI185" s="267">
        <f>I185*2</f>
        <v>1800</v>
      </c>
      <c r="AJ185" s="267"/>
      <c r="AK185" s="267">
        <f t="shared" si="493"/>
        <v>1800</v>
      </c>
      <c r="AL185" s="267"/>
      <c r="AM185" s="267"/>
      <c r="AN185" s="267"/>
      <c r="AO185" s="267">
        <f t="shared" si="487"/>
        <v>1800</v>
      </c>
      <c r="AP185" s="267"/>
      <c r="AQ185" s="267"/>
      <c r="AR185" s="267"/>
      <c r="AS185" s="267"/>
      <c r="AT185" s="267"/>
      <c r="AU185" s="267"/>
      <c r="AV185" s="267"/>
      <c r="AW185" s="267"/>
      <c r="AX185" s="267"/>
      <c r="AY185" s="267"/>
      <c r="AZ185" s="267"/>
      <c r="BA185" s="267"/>
      <c r="BB185" s="267"/>
      <c r="BC185" s="267"/>
      <c r="BD185" s="267"/>
      <c r="BE185" s="267"/>
      <c r="BF185" s="267">
        <f t="shared" si="488"/>
        <v>900</v>
      </c>
      <c r="BG185" s="267">
        <f t="shared" si="489"/>
        <v>900</v>
      </c>
      <c r="BH185" s="267"/>
      <c r="BI185" s="267"/>
      <c r="BJ185" s="269">
        <f t="shared" ref="BJ185:BR185" si="498">$I185*BJ$2*2</f>
        <v>220.312499999999</v>
      </c>
      <c r="BK185" s="269">
        <f t="shared" si="498"/>
        <v>220.312499999999</v>
      </c>
      <c r="BL185" s="269">
        <f t="shared" si="498"/>
        <v>220.312499999999</v>
      </c>
      <c r="BM185" s="269">
        <f t="shared" si="498"/>
        <v>220.312499999999</v>
      </c>
      <c r="BN185" s="269">
        <f t="shared" si="498"/>
        <v>220.312499999999</v>
      </c>
      <c r="BO185" s="269">
        <f t="shared" si="498"/>
        <v>220.312499999999</v>
      </c>
      <c r="BP185" s="269">
        <f t="shared" si="498"/>
        <v>220.312499999999</v>
      </c>
      <c r="BQ185" s="269">
        <f t="shared" si="498"/>
        <v>220.312499999999</v>
      </c>
      <c r="BR185" s="269">
        <f t="shared" si="498"/>
        <v>37.4999999999999</v>
      </c>
      <c r="BT185" s="60">
        <f t="shared" ref="BT185:CB185" si="499">BT184-BJ185</f>
        <v>62002.4791666667</v>
      </c>
      <c r="BU185" s="60">
        <f t="shared" si="499"/>
        <v>62002.4791666667</v>
      </c>
      <c r="BV185" s="60">
        <f t="shared" si="499"/>
        <v>62002.4791666667</v>
      </c>
      <c r="BW185" s="60">
        <f t="shared" si="499"/>
        <v>62002.4791666667</v>
      </c>
      <c r="BX185" s="60">
        <f t="shared" si="499"/>
        <v>62002.4791666667</v>
      </c>
      <c r="BY185" s="60">
        <f t="shared" si="499"/>
        <v>62002.4791666667</v>
      </c>
      <c r="BZ185" s="60">
        <f t="shared" si="499"/>
        <v>62002.4791666667</v>
      </c>
      <c r="CA185" s="60">
        <f t="shared" si="499"/>
        <v>62002.4791666667</v>
      </c>
      <c r="CB185" s="60">
        <f t="shared" si="499"/>
        <v>10505.1666666667</v>
      </c>
    </row>
    <row r="186" s="234" customFormat="1" ht="27" hidden="1" customHeight="1" spans="1:80">
      <c r="A186" s="236">
        <v>45838</v>
      </c>
      <c r="B186" s="237" t="s">
        <v>1074</v>
      </c>
      <c r="C186" s="238" t="s">
        <v>117</v>
      </c>
      <c r="D186" s="239">
        <v>4500171907</v>
      </c>
      <c r="E186" s="238" t="s">
        <v>1088</v>
      </c>
      <c r="F186" s="237" t="s">
        <v>1089</v>
      </c>
      <c r="G186" s="240" t="s">
        <v>188</v>
      </c>
      <c r="H186" s="237" t="s">
        <v>120</v>
      </c>
      <c r="I186" s="247">
        <v>600</v>
      </c>
      <c r="J186" s="247">
        <v>0</v>
      </c>
      <c r="K186" s="247">
        <v>12</v>
      </c>
      <c r="L186" s="247">
        <f t="shared" si="374"/>
        <v>50</v>
      </c>
      <c r="M186" s="248">
        <v>45870</v>
      </c>
      <c r="N186" s="248">
        <f t="shared" si="492"/>
        <v>45866</v>
      </c>
      <c r="O186" s="212"/>
      <c r="P186" s="212" t="s">
        <v>107</v>
      </c>
      <c r="Q186" s="212" t="s">
        <v>1090</v>
      </c>
      <c r="R186" s="274">
        <v>45840</v>
      </c>
      <c r="S186" s="212" t="s">
        <v>80</v>
      </c>
      <c r="T186" s="212" t="s">
        <v>1091</v>
      </c>
      <c r="U186" s="212"/>
      <c r="V186" s="259" t="s">
        <v>1092</v>
      </c>
      <c r="W186" s="248" t="s">
        <v>1079</v>
      </c>
      <c r="X186" s="260">
        <v>1.0937</v>
      </c>
      <c r="Y186" s="247">
        <f t="shared" si="482"/>
        <v>656.22</v>
      </c>
      <c r="Z186" s="286" t="s">
        <v>1093</v>
      </c>
      <c r="AA186" s="259">
        <v>600</v>
      </c>
      <c r="AB186" s="259">
        <f t="shared" si="449"/>
        <v>0</v>
      </c>
      <c r="AC186" s="212" t="s">
        <v>113</v>
      </c>
      <c r="AD186" s="212" t="s">
        <v>114</v>
      </c>
      <c r="AE186" s="248" t="s">
        <v>119</v>
      </c>
      <c r="AF186" s="248" t="s">
        <v>115</v>
      </c>
      <c r="AG186" s="267">
        <f t="shared" si="485"/>
        <v>1200</v>
      </c>
      <c r="AH186" s="267">
        <f t="shared" ref="AH186:AH189" si="500">I186*2</f>
        <v>1200</v>
      </c>
      <c r="AI186" s="267"/>
      <c r="AJ186" s="267"/>
      <c r="AK186" s="267">
        <f t="shared" si="493"/>
        <v>1200</v>
      </c>
      <c r="AL186" s="267"/>
      <c r="AM186" s="267"/>
      <c r="AN186" s="267"/>
      <c r="AO186" s="267">
        <f t="shared" si="487"/>
        <v>1200</v>
      </c>
      <c r="AP186" s="267"/>
      <c r="AQ186" s="267"/>
      <c r="AR186" s="267"/>
      <c r="AS186" s="267"/>
      <c r="AT186" s="267"/>
      <c r="AU186" s="267"/>
      <c r="AV186" s="267"/>
      <c r="AW186" s="267"/>
      <c r="AX186" s="267"/>
      <c r="AY186" s="267"/>
      <c r="AZ186" s="267"/>
      <c r="BA186" s="267"/>
      <c r="BB186" s="267"/>
      <c r="BC186" s="267"/>
      <c r="BD186" s="267"/>
      <c r="BE186" s="267"/>
      <c r="BF186" s="267">
        <f t="shared" si="488"/>
        <v>600</v>
      </c>
      <c r="BG186" s="267">
        <f t="shared" si="489"/>
        <v>600</v>
      </c>
      <c r="BH186" s="267"/>
      <c r="BI186" s="267"/>
      <c r="BJ186" s="269">
        <f t="shared" ref="BJ186:BR186" si="501">$I186*BJ$2*2</f>
        <v>146.875</v>
      </c>
      <c r="BK186" s="269">
        <f t="shared" si="501"/>
        <v>146.875</v>
      </c>
      <c r="BL186" s="269">
        <f t="shared" si="501"/>
        <v>146.875</v>
      </c>
      <c r="BM186" s="269">
        <f t="shared" si="501"/>
        <v>146.875</v>
      </c>
      <c r="BN186" s="269">
        <f t="shared" si="501"/>
        <v>146.875</v>
      </c>
      <c r="BO186" s="269">
        <f t="shared" si="501"/>
        <v>146.875</v>
      </c>
      <c r="BP186" s="269">
        <f t="shared" si="501"/>
        <v>146.875</v>
      </c>
      <c r="BQ186" s="269">
        <f t="shared" si="501"/>
        <v>146.875</v>
      </c>
      <c r="BR186" s="269">
        <f t="shared" si="501"/>
        <v>25</v>
      </c>
      <c r="BT186" s="60">
        <f t="shared" ref="BT186:CB186" si="502">BT185-BJ186</f>
        <v>61855.6041666667</v>
      </c>
      <c r="BU186" s="60">
        <f t="shared" si="502"/>
        <v>61855.6041666667</v>
      </c>
      <c r="BV186" s="60">
        <f t="shared" si="502"/>
        <v>61855.6041666667</v>
      </c>
      <c r="BW186" s="60">
        <f t="shared" si="502"/>
        <v>61855.6041666667</v>
      </c>
      <c r="BX186" s="60">
        <f t="shared" si="502"/>
        <v>61855.6041666667</v>
      </c>
      <c r="BY186" s="60">
        <f t="shared" si="502"/>
        <v>61855.6041666667</v>
      </c>
      <c r="BZ186" s="60">
        <f t="shared" si="502"/>
        <v>61855.6041666667</v>
      </c>
      <c r="CA186" s="60">
        <f t="shared" si="502"/>
        <v>61855.6041666667</v>
      </c>
      <c r="CB186" s="60">
        <f t="shared" si="502"/>
        <v>10480.1666666667</v>
      </c>
    </row>
    <row r="187" s="234" customFormat="1" ht="27" hidden="1" customHeight="1" spans="1:80">
      <c r="A187" s="236">
        <v>45838</v>
      </c>
      <c r="B187" s="237" t="s">
        <v>1074</v>
      </c>
      <c r="C187" s="238" t="s">
        <v>117</v>
      </c>
      <c r="D187" s="239">
        <v>4500171908</v>
      </c>
      <c r="E187" s="238" t="s">
        <v>1094</v>
      </c>
      <c r="F187" s="237" t="s">
        <v>1095</v>
      </c>
      <c r="G187" s="240" t="s">
        <v>188</v>
      </c>
      <c r="H187" s="237" t="s">
        <v>120</v>
      </c>
      <c r="I187" s="247">
        <v>804</v>
      </c>
      <c r="J187" s="247">
        <v>0</v>
      </c>
      <c r="K187" s="247">
        <v>12</v>
      </c>
      <c r="L187" s="247">
        <f t="shared" si="374"/>
        <v>67</v>
      </c>
      <c r="M187" s="248">
        <v>45870</v>
      </c>
      <c r="N187" s="248">
        <f t="shared" si="492"/>
        <v>45866</v>
      </c>
      <c r="O187" s="212"/>
      <c r="P187" s="212" t="s">
        <v>107</v>
      </c>
      <c r="Q187" s="212" t="s">
        <v>1090</v>
      </c>
      <c r="R187" s="274">
        <v>45840</v>
      </c>
      <c r="S187" s="212" t="s">
        <v>80</v>
      </c>
      <c r="T187" s="212" t="s">
        <v>1077</v>
      </c>
      <c r="U187" s="212"/>
      <c r="V187" s="259" t="s">
        <v>1096</v>
      </c>
      <c r="W187" s="248" t="s">
        <v>1079</v>
      </c>
      <c r="X187" s="260">
        <v>1.1176</v>
      </c>
      <c r="Y187" s="247">
        <f t="shared" si="482"/>
        <v>898.5504</v>
      </c>
      <c r="Z187" s="288" t="s">
        <v>1097</v>
      </c>
      <c r="AA187" s="259">
        <v>804</v>
      </c>
      <c r="AB187" s="259">
        <f t="shared" si="449"/>
        <v>0</v>
      </c>
      <c r="AC187" s="212" t="s">
        <v>113</v>
      </c>
      <c r="AD187" s="212" t="s">
        <v>114</v>
      </c>
      <c r="AE187" s="248" t="s">
        <v>119</v>
      </c>
      <c r="AF187" s="248" t="s">
        <v>115</v>
      </c>
      <c r="AG187" s="267">
        <f t="shared" si="485"/>
        <v>1608</v>
      </c>
      <c r="AH187" s="267">
        <f t="shared" si="500"/>
        <v>1608</v>
      </c>
      <c r="AJ187" s="267"/>
      <c r="AK187" s="267">
        <f t="shared" si="493"/>
        <v>1608</v>
      </c>
      <c r="AL187" s="267"/>
      <c r="AM187" s="267"/>
      <c r="AN187" s="267"/>
      <c r="AO187" s="267">
        <f t="shared" si="487"/>
        <v>1608</v>
      </c>
      <c r="AP187" s="267"/>
      <c r="AQ187" s="267"/>
      <c r="AR187" s="267"/>
      <c r="AS187" s="267"/>
      <c r="AT187" s="267"/>
      <c r="AU187" s="267"/>
      <c r="AV187" s="267"/>
      <c r="AW187" s="267"/>
      <c r="AX187" s="267"/>
      <c r="AY187" s="267"/>
      <c r="AZ187" s="267"/>
      <c r="BA187" s="267"/>
      <c r="BB187" s="267"/>
      <c r="BC187" s="267"/>
      <c r="BD187" s="267"/>
      <c r="BE187" s="267"/>
      <c r="BF187" s="267">
        <f t="shared" si="488"/>
        <v>804</v>
      </c>
      <c r="BG187" s="267">
        <f t="shared" si="489"/>
        <v>804</v>
      </c>
      <c r="BH187" s="267"/>
      <c r="BI187" s="267"/>
      <c r="BJ187" s="269">
        <f t="shared" ref="BJ187:BR187" si="503">$I187*BJ$2*2</f>
        <v>196.812499999999</v>
      </c>
      <c r="BK187" s="269">
        <f t="shared" si="503"/>
        <v>196.812499999999</v>
      </c>
      <c r="BL187" s="269">
        <f t="shared" si="503"/>
        <v>196.812499999999</v>
      </c>
      <c r="BM187" s="269">
        <f t="shared" si="503"/>
        <v>196.812499999999</v>
      </c>
      <c r="BN187" s="269">
        <f t="shared" si="503"/>
        <v>196.812499999999</v>
      </c>
      <c r="BO187" s="269">
        <f t="shared" si="503"/>
        <v>196.812499999999</v>
      </c>
      <c r="BP187" s="269">
        <f t="shared" si="503"/>
        <v>196.812499999999</v>
      </c>
      <c r="BQ187" s="269">
        <f t="shared" si="503"/>
        <v>196.812499999999</v>
      </c>
      <c r="BR187" s="269">
        <f t="shared" si="503"/>
        <v>33.5</v>
      </c>
      <c r="BT187" s="60">
        <f t="shared" ref="BT187:CB187" si="504">BT186-BJ187</f>
        <v>61658.7916666667</v>
      </c>
      <c r="BU187" s="60">
        <f t="shared" si="504"/>
        <v>61658.7916666667</v>
      </c>
      <c r="BV187" s="60">
        <f t="shared" si="504"/>
        <v>61658.7916666667</v>
      </c>
      <c r="BW187" s="60">
        <f t="shared" si="504"/>
        <v>61658.7916666667</v>
      </c>
      <c r="BX187" s="60">
        <f t="shared" si="504"/>
        <v>61658.7916666667</v>
      </c>
      <c r="BY187" s="60">
        <f t="shared" si="504"/>
        <v>61658.7916666667</v>
      </c>
      <c r="BZ187" s="60">
        <f t="shared" si="504"/>
        <v>61658.7916666667</v>
      </c>
      <c r="CA187" s="60">
        <f t="shared" si="504"/>
        <v>61658.7916666667</v>
      </c>
      <c r="CB187" s="60">
        <f t="shared" si="504"/>
        <v>10446.6666666667</v>
      </c>
    </row>
    <row r="188" s="234" customFormat="1" ht="27" hidden="1" customHeight="1" spans="1:80">
      <c r="A188" s="236">
        <v>45838</v>
      </c>
      <c r="B188" s="237" t="s">
        <v>1074</v>
      </c>
      <c r="C188" s="238" t="s">
        <v>117</v>
      </c>
      <c r="D188" s="239">
        <v>4500171919</v>
      </c>
      <c r="E188" s="238" t="s">
        <v>1098</v>
      </c>
      <c r="F188" s="237" t="s">
        <v>1099</v>
      </c>
      <c r="G188" s="240" t="s">
        <v>188</v>
      </c>
      <c r="H188" s="237" t="s">
        <v>120</v>
      </c>
      <c r="I188" s="247">
        <v>996</v>
      </c>
      <c r="J188" s="247">
        <v>0</v>
      </c>
      <c r="K188" s="247">
        <v>12</v>
      </c>
      <c r="L188" s="247">
        <f t="shared" si="374"/>
        <v>83</v>
      </c>
      <c r="M188" s="248">
        <v>45870</v>
      </c>
      <c r="N188" s="248">
        <f t="shared" si="492"/>
        <v>45866</v>
      </c>
      <c r="O188" s="212"/>
      <c r="P188" s="212" t="s">
        <v>107</v>
      </c>
      <c r="Q188" s="284" t="s">
        <v>1019</v>
      </c>
      <c r="R188" s="274">
        <v>45840</v>
      </c>
      <c r="S188" s="212" t="s">
        <v>80</v>
      </c>
      <c r="T188" s="212" t="s">
        <v>1077</v>
      </c>
      <c r="U188" s="212"/>
      <c r="V188" s="259" t="s">
        <v>1096</v>
      </c>
      <c r="W188" s="248" t="s">
        <v>1079</v>
      </c>
      <c r="X188" s="260">
        <v>1.0937</v>
      </c>
      <c r="Y188" s="247">
        <f t="shared" si="482"/>
        <v>1089.3252</v>
      </c>
      <c r="Z188" s="248" t="s">
        <v>1100</v>
      </c>
      <c r="AA188" s="259">
        <v>996</v>
      </c>
      <c r="AB188" s="259">
        <f t="shared" si="449"/>
        <v>0</v>
      </c>
      <c r="AC188" s="212" t="s">
        <v>113</v>
      </c>
      <c r="AD188" s="212" t="s">
        <v>114</v>
      </c>
      <c r="AE188" s="248" t="s">
        <v>119</v>
      </c>
      <c r="AF188" s="248" t="s">
        <v>115</v>
      </c>
      <c r="AG188" s="267">
        <f t="shared" si="485"/>
        <v>1992</v>
      </c>
      <c r="AH188" s="267">
        <f t="shared" si="500"/>
        <v>1992</v>
      </c>
      <c r="AI188" s="267"/>
      <c r="AJ188" s="267"/>
      <c r="AK188" s="267">
        <f t="shared" si="493"/>
        <v>1992</v>
      </c>
      <c r="AL188" s="267"/>
      <c r="AM188" s="267"/>
      <c r="AN188" s="267"/>
      <c r="AO188" s="267">
        <f t="shared" si="487"/>
        <v>1992</v>
      </c>
      <c r="AP188" s="267"/>
      <c r="AQ188" s="267"/>
      <c r="AR188" s="267"/>
      <c r="AS188" s="267"/>
      <c r="AT188" s="267"/>
      <c r="AU188" s="267"/>
      <c r="AV188" s="267"/>
      <c r="AW188" s="267"/>
      <c r="AX188" s="267"/>
      <c r="AY188" s="267"/>
      <c r="AZ188" s="267"/>
      <c r="BA188" s="267"/>
      <c r="BB188" s="267"/>
      <c r="BC188" s="267"/>
      <c r="BD188" s="267"/>
      <c r="BE188" s="267"/>
      <c r="BF188" s="267">
        <f t="shared" si="488"/>
        <v>996</v>
      </c>
      <c r="BG188" s="267">
        <f t="shared" si="489"/>
        <v>996</v>
      </c>
      <c r="BH188" s="267"/>
      <c r="BI188" s="267"/>
      <c r="BJ188" s="269">
        <f t="shared" ref="BJ188:BR188" si="505">$I188*BJ$2*2</f>
        <v>243.812499999999</v>
      </c>
      <c r="BK188" s="269">
        <f t="shared" si="505"/>
        <v>243.812499999999</v>
      </c>
      <c r="BL188" s="269">
        <f t="shared" si="505"/>
        <v>243.812499999999</v>
      </c>
      <c r="BM188" s="269">
        <f t="shared" si="505"/>
        <v>243.812499999999</v>
      </c>
      <c r="BN188" s="269">
        <f t="shared" si="505"/>
        <v>243.812499999999</v>
      </c>
      <c r="BO188" s="269">
        <f t="shared" si="505"/>
        <v>243.812499999999</v>
      </c>
      <c r="BP188" s="269">
        <f t="shared" si="505"/>
        <v>243.812499999999</v>
      </c>
      <c r="BQ188" s="269">
        <f t="shared" si="505"/>
        <v>243.812499999999</v>
      </c>
      <c r="BR188" s="269">
        <f t="shared" si="505"/>
        <v>41.4999999999999</v>
      </c>
      <c r="BT188" s="60">
        <f t="shared" ref="BT188:CB188" si="506">BT187-BJ188</f>
        <v>61414.9791666667</v>
      </c>
      <c r="BU188" s="60">
        <f t="shared" si="506"/>
        <v>61414.9791666667</v>
      </c>
      <c r="BV188" s="60">
        <f t="shared" si="506"/>
        <v>61414.9791666667</v>
      </c>
      <c r="BW188" s="60">
        <f t="shared" si="506"/>
        <v>61414.9791666667</v>
      </c>
      <c r="BX188" s="60">
        <f t="shared" si="506"/>
        <v>61414.9791666667</v>
      </c>
      <c r="BY188" s="60">
        <f t="shared" si="506"/>
        <v>61414.9791666667</v>
      </c>
      <c r="BZ188" s="60">
        <f t="shared" si="506"/>
        <v>61414.9791666667</v>
      </c>
      <c r="CA188" s="60">
        <f t="shared" si="506"/>
        <v>61414.9791666667</v>
      </c>
      <c r="CB188" s="60">
        <f t="shared" si="506"/>
        <v>10405.1666666667</v>
      </c>
    </row>
    <row r="189" s="234" customFormat="1" ht="27" hidden="1" customHeight="1" spans="1:80">
      <c r="A189" s="236">
        <v>45838</v>
      </c>
      <c r="B189" s="237" t="s">
        <v>1074</v>
      </c>
      <c r="C189" s="238" t="s">
        <v>117</v>
      </c>
      <c r="D189" s="239">
        <v>4500171916</v>
      </c>
      <c r="E189" s="238" t="s">
        <v>1101</v>
      </c>
      <c r="F189" s="237" t="s">
        <v>1102</v>
      </c>
      <c r="G189" s="240" t="s">
        <v>188</v>
      </c>
      <c r="H189" s="237" t="s">
        <v>120</v>
      </c>
      <c r="I189" s="247">
        <v>600</v>
      </c>
      <c r="J189" s="247">
        <v>0</v>
      </c>
      <c r="K189" s="247">
        <v>12</v>
      </c>
      <c r="L189" s="247">
        <f t="shared" si="374"/>
        <v>50</v>
      </c>
      <c r="M189" s="248">
        <v>45870</v>
      </c>
      <c r="N189" s="248">
        <f t="shared" si="492"/>
        <v>45866</v>
      </c>
      <c r="O189" s="212"/>
      <c r="P189" s="212" t="s">
        <v>107</v>
      </c>
      <c r="Q189" s="212" t="s">
        <v>1090</v>
      </c>
      <c r="R189" s="274">
        <v>45840</v>
      </c>
      <c r="S189" s="212" t="s">
        <v>80</v>
      </c>
      <c r="T189" s="212" t="s">
        <v>1077</v>
      </c>
      <c r="U189" s="212"/>
      <c r="V189" s="259" t="s">
        <v>1092</v>
      </c>
      <c r="W189" s="248" t="s">
        <v>1079</v>
      </c>
      <c r="X189" s="260">
        <v>1.1176</v>
      </c>
      <c r="Y189" s="247">
        <f t="shared" si="482"/>
        <v>670.56</v>
      </c>
      <c r="Z189" s="248" t="s">
        <v>1103</v>
      </c>
      <c r="AA189" s="259">
        <v>600</v>
      </c>
      <c r="AB189" s="259">
        <f t="shared" si="449"/>
        <v>0</v>
      </c>
      <c r="AC189" s="212" t="s">
        <v>113</v>
      </c>
      <c r="AD189" s="212" t="s">
        <v>114</v>
      </c>
      <c r="AE189" s="248" t="s">
        <v>119</v>
      </c>
      <c r="AF189" s="248" t="s">
        <v>115</v>
      </c>
      <c r="AG189" s="267">
        <f t="shared" si="485"/>
        <v>1200</v>
      </c>
      <c r="AH189" s="267">
        <f t="shared" si="500"/>
        <v>1200</v>
      </c>
      <c r="AJ189" s="267"/>
      <c r="AK189" s="267">
        <f t="shared" si="493"/>
        <v>1200</v>
      </c>
      <c r="AL189" s="267"/>
      <c r="AM189" s="267"/>
      <c r="AN189" s="267"/>
      <c r="AO189" s="267">
        <f t="shared" si="487"/>
        <v>1200</v>
      </c>
      <c r="AP189" s="267"/>
      <c r="AQ189" s="267"/>
      <c r="AR189" s="267"/>
      <c r="AS189" s="267"/>
      <c r="AT189" s="267"/>
      <c r="AU189" s="267"/>
      <c r="AV189" s="267"/>
      <c r="AW189" s="267"/>
      <c r="AX189" s="267"/>
      <c r="AY189" s="267"/>
      <c r="AZ189" s="267"/>
      <c r="BA189" s="267"/>
      <c r="BB189" s="267"/>
      <c r="BC189" s="267"/>
      <c r="BD189" s="267"/>
      <c r="BE189" s="267"/>
      <c r="BF189" s="267">
        <f t="shared" si="488"/>
        <v>600</v>
      </c>
      <c r="BG189" s="267">
        <f t="shared" si="489"/>
        <v>600</v>
      </c>
      <c r="BH189" s="267"/>
      <c r="BI189" s="267"/>
      <c r="BJ189" s="269">
        <f t="shared" ref="BJ189:BR189" si="507">$I189*BJ$2*2</f>
        <v>146.875</v>
      </c>
      <c r="BK189" s="269">
        <f t="shared" si="507"/>
        <v>146.875</v>
      </c>
      <c r="BL189" s="269">
        <f t="shared" si="507"/>
        <v>146.875</v>
      </c>
      <c r="BM189" s="269">
        <f t="shared" si="507"/>
        <v>146.875</v>
      </c>
      <c r="BN189" s="269">
        <f t="shared" si="507"/>
        <v>146.875</v>
      </c>
      <c r="BO189" s="269">
        <f t="shared" si="507"/>
        <v>146.875</v>
      </c>
      <c r="BP189" s="269">
        <f t="shared" si="507"/>
        <v>146.875</v>
      </c>
      <c r="BQ189" s="269">
        <f t="shared" si="507"/>
        <v>146.875</v>
      </c>
      <c r="BR189" s="269">
        <f t="shared" si="507"/>
        <v>25</v>
      </c>
      <c r="BT189" s="60">
        <f t="shared" ref="BT189:CB189" si="508">BT188-BJ189</f>
        <v>61268.1041666667</v>
      </c>
      <c r="BU189" s="60">
        <f t="shared" si="508"/>
        <v>61268.1041666667</v>
      </c>
      <c r="BV189" s="60">
        <f t="shared" si="508"/>
        <v>61268.1041666667</v>
      </c>
      <c r="BW189" s="60">
        <f t="shared" si="508"/>
        <v>61268.1041666667</v>
      </c>
      <c r="BX189" s="60">
        <f t="shared" si="508"/>
        <v>61268.1041666667</v>
      </c>
      <c r="BY189" s="60">
        <f t="shared" si="508"/>
        <v>61268.1041666667</v>
      </c>
      <c r="BZ189" s="60">
        <f t="shared" si="508"/>
        <v>61268.1041666667</v>
      </c>
      <c r="CA189" s="60">
        <f t="shared" si="508"/>
        <v>61268.1041666667</v>
      </c>
      <c r="CB189" s="60">
        <f t="shared" si="508"/>
        <v>10380.1666666667</v>
      </c>
    </row>
    <row r="190" s="234" customFormat="1" ht="27" hidden="1" customHeight="1" spans="1:80">
      <c r="A190" s="236">
        <v>45838</v>
      </c>
      <c r="B190" s="237" t="s">
        <v>1074</v>
      </c>
      <c r="C190" s="238" t="s">
        <v>117</v>
      </c>
      <c r="D190" s="239">
        <v>4500171914</v>
      </c>
      <c r="E190" s="238" t="s">
        <v>1104</v>
      </c>
      <c r="F190" s="237" t="s">
        <v>1105</v>
      </c>
      <c r="G190" s="240" t="s">
        <v>188</v>
      </c>
      <c r="H190" s="237" t="s">
        <v>120</v>
      </c>
      <c r="I190" s="247">
        <v>600</v>
      </c>
      <c r="J190" s="247">
        <v>0</v>
      </c>
      <c r="K190" s="247">
        <v>12</v>
      </c>
      <c r="L190" s="247">
        <f t="shared" si="374"/>
        <v>50</v>
      </c>
      <c r="M190" s="248">
        <v>45870</v>
      </c>
      <c r="N190" s="248">
        <f t="shared" si="492"/>
        <v>45866</v>
      </c>
      <c r="O190" s="212"/>
      <c r="P190" s="212" t="s">
        <v>107</v>
      </c>
      <c r="Q190" s="212" t="s">
        <v>1083</v>
      </c>
      <c r="R190" s="274">
        <v>45840</v>
      </c>
      <c r="S190" s="212" t="s">
        <v>80</v>
      </c>
      <c r="T190" s="212" t="s">
        <v>1077</v>
      </c>
      <c r="U190" s="212"/>
      <c r="V190" s="259" t="s">
        <v>1092</v>
      </c>
      <c r="W190" s="248" t="s">
        <v>1079</v>
      </c>
      <c r="X190" s="260">
        <v>1.1176</v>
      </c>
      <c r="Y190" s="247">
        <f t="shared" si="482"/>
        <v>670.56</v>
      </c>
      <c r="Z190" s="248" t="s">
        <v>1106</v>
      </c>
      <c r="AA190" s="259">
        <v>600</v>
      </c>
      <c r="AB190" s="259">
        <f t="shared" si="449"/>
        <v>0</v>
      </c>
      <c r="AC190" s="212" t="s">
        <v>113</v>
      </c>
      <c r="AD190" s="212" t="s">
        <v>114</v>
      </c>
      <c r="AE190" s="248" t="s">
        <v>119</v>
      </c>
      <c r="AF190" s="248" t="s">
        <v>115</v>
      </c>
      <c r="AG190" s="267">
        <f t="shared" si="485"/>
        <v>1200</v>
      </c>
      <c r="AH190" s="267"/>
      <c r="AI190" s="267">
        <f t="shared" ref="AI190:AI192" si="509">I190*2</f>
        <v>1200</v>
      </c>
      <c r="AJ190" s="267"/>
      <c r="AK190" s="267">
        <f t="shared" si="493"/>
        <v>1200</v>
      </c>
      <c r="AL190" s="267"/>
      <c r="AM190" s="267"/>
      <c r="AN190" s="267"/>
      <c r="AO190" s="267">
        <f t="shared" si="487"/>
        <v>1200</v>
      </c>
      <c r="AP190" s="267"/>
      <c r="AQ190" s="267"/>
      <c r="AR190" s="267"/>
      <c r="AS190" s="267"/>
      <c r="AT190" s="267"/>
      <c r="AU190" s="267"/>
      <c r="AV190" s="267"/>
      <c r="AW190" s="267"/>
      <c r="AX190" s="267"/>
      <c r="AY190" s="267"/>
      <c r="AZ190" s="267"/>
      <c r="BA190" s="267"/>
      <c r="BB190" s="267"/>
      <c r="BC190" s="267"/>
      <c r="BD190" s="267"/>
      <c r="BE190" s="267"/>
      <c r="BF190" s="267">
        <f t="shared" si="488"/>
        <v>600</v>
      </c>
      <c r="BG190" s="267">
        <f t="shared" si="489"/>
        <v>600</v>
      </c>
      <c r="BH190" s="267"/>
      <c r="BI190" s="267"/>
      <c r="BJ190" s="269">
        <f t="shared" ref="BJ190:BR190" si="510">$I190*BJ$2*2</f>
        <v>146.875</v>
      </c>
      <c r="BK190" s="269">
        <f t="shared" si="510"/>
        <v>146.875</v>
      </c>
      <c r="BL190" s="269">
        <f t="shared" si="510"/>
        <v>146.875</v>
      </c>
      <c r="BM190" s="269">
        <f t="shared" si="510"/>
        <v>146.875</v>
      </c>
      <c r="BN190" s="269">
        <f t="shared" si="510"/>
        <v>146.875</v>
      </c>
      <c r="BO190" s="269">
        <f t="shared" si="510"/>
        <v>146.875</v>
      </c>
      <c r="BP190" s="269">
        <f t="shared" si="510"/>
        <v>146.875</v>
      </c>
      <c r="BQ190" s="269">
        <f t="shared" si="510"/>
        <v>146.875</v>
      </c>
      <c r="BR190" s="269">
        <f t="shared" si="510"/>
        <v>25</v>
      </c>
      <c r="BT190" s="60">
        <f t="shared" ref="BT190:CB190" si="511">BT189-BJ190</f>
        <v>61121.2291666667</v>
      </c>
      <c r="BU190" s="60">
        <f t="shared" si="511"/>
        <v>61121.2291666667</v>
      </c>
      <c r="BV190" s="60">
        <f t="shared" si="511"/>
        <v>61121.2291666667</v>
      </c>
      <c r="BW190" s="60">
        <f t="shared" si="511"/>
        <v>61121.2291666667</v>
      </c>
      <c r="BX190" s="60">
        <f t="shared" si="511"/>
        <v>61121.2291666667</v>
      </c>
      <c r="BY190" s="60">
        <f t="shared" si="511"/>
        <v>61121.2291666667</v>
      </c>
      <c r="BZ190" s="60">
        <f t="shared" si="511"/>
        <v>61121.2291666667</v>
      </c>
      <c r="CA190" s="60">
        <f t="shared" si="511"/>
        <v>61121.2291666667</v>
      </c>
      <c r="CB190" s="60">
        <f t="shared" si="511"/>
        <v>10355.1666666667</v>
      </c>
    </row>
    <row r="191" s="234" customFormat="1" ht="27" hidden="1" customHeight="1" spans="1:80">
      <c r="A191" s="236">
        <v>45838</v>
      </c>
      <c r="B191" s="237" t="s">
        <v>1074</v>
      </c>
      <c r="C191" s="238" t="s">
        <v>117</v>
      </c>
      <c r="D191" s="239">
        <v>4500171918</v>
      </c>
      <c r="E191" s="238" t="s">
        <v>1107</v>
      </c>
      <c r="F191" s="237" t="s">
        <v>1108</v>
      </c>
      <c r="G191" s="240" t="s">
        <v>188</v>
      </c>
      <c r="H191" s="237" t="s">
        <v>120</v>
      </c>
      <c r="I191" s="247">
        <v>900</v>
      </c>
      <c r="J191" s="247">
        <v>0</v>
      </c>
      <c r="K191" s="247">
        <v>12</v>
      </c>
      <c r="L191" s="247">
        <f t="shared" si="374"/>
        <v>75</v>
      </c>
      <c r="M191" s="248">
        <v>45870</v>
      </c>
      <c r="N191" s="248">
        <f t="shared" si="492"/>
        <v>45866</v>
      </c>
      <c r="O191" s="212"/>
      <c r="P191" s="212" t="s">
        <v>107</v>
      </c>
      <c r="Q191" s="284" t="s">
        <v>1109</v>
      </c>
      <c r="R191" s="274">
        <v>45840</v>
      </c>
      <c r="S191" s="212" t="s">
        <v>80</v>
      </c>
      <c r="T191" s="212" t="s">
        <v>1077</v>
      </c>
      <c r="U191" s="212"/>
      <c r="V191" s="259" t="s">
        <v>1078</v>
      </c>
      <c r="W191" s="248" t="s">
        <v>1079</v>
      </c>
      <c r="X191" s="260">
        <v>1.1176</v>
      </c>
      <c r="Y191" s="247">
        <f t="shared" si="482"/>
        <v>1005.84</v>
      </c>
      <c r="Z191" s="248" t="s">
        <v>1110</v>
      </c>
      <c r="AA191" s="259">
        <v>900</v>
      </c>
      <c r="AB191" s="259">
        <f t="shared" si="449"/>
        <v>0</v>
      </c>
      <c r="AC191" s="212" t="s">
        <v>113</v>
      </c>
      <c r="AD191" s="212" t="s">
        <v>114</v>
      </c>
      <c r="AE191" s="248" t="s">
        <v>119</v>
      </c>
      <c r="AF191" s="248" t="s">
        <v>115</v>
      </c>
      <c r="AG191" s="267">
        <f t="shared" si="485"/>
        <v>1800</v>
      </c>
      <c r="AH191" s="267"/>
      <c r="AI191" s="267">
        <f t="shared" si="509"/>
        <v>1800</v>
      </c>
      <c r="AJ191" s="267"/>
      <c r="AK191" s="267">
        <f t="shared" si="493"/>
        <v>1800</v>
      </c>
      <c r="AL191" s="267"/>
      <c r="AM191" s="267"/>
      <c r="AN191" s="267"/>
      <c r="AO191" s="267">
        <f t="shared" si="487"/>
        <v>1800</v>
      </c>
      <c r="AP191" s="267"/>
      <c r="AQ191" s="267"/>
      <c r="AR191" s="267"/>
      <c r="AS191" s="267"/>
      <c r="AT191" s="267"/>
      <c r="AU191" s="267"/>
      <c r="AV191" s="267"/>
      <c r="AW191" s="267"/>
      <c r="AX191" s="267"/>
      <c r="AY191" s="267"/>
      <c r="AZ191" s="267"/>
      <c r="BA191" s="267"/>
      <c r="BB191" s="267"/>
      <c r="BC191" s="267"/>
      <c r="BD191" s="267"/>
      <c r="BE191" s="267"/>
      <c r="BF191" s="267">
        <f t="shared" si="488"/>
        <v>900</v>
      </c>
      <c r="BG191" s="267">
        <f t="shared" si="489"/>
        <v>900</v>
      </c>
      <c r="BH191" s="267"/>
      <c r="BI191" s="267"/>
      <c r="BJ191" s="269">
        <f t="shared" ref="BJ191:BR191" si="512">$I191*BJ$2*2</f>
        <v>220.312499999999</v>
      </c>
      <c r="BK191" s="269">
        <f t="shared" si="512"/>
        <v>220.312499999999</v>
      </c>
      <c r="BL191" s="269">
        <f t="shared" si="512"/>
        <v>220.312499999999</v>
      </c>
      <c r="BM191" s="269">
        <f t="shared" si="512"/>
        <v>220.312499999999</v>
      </c>
      <c r="BN191" s="269">
        <f t="shared" si="512"/>
        <v>220.312499999999</v>
      </c>
      <c r="BO191" s="269">
        <f t="shared" si="512"/>
        <v>220.312499999999</v>
      </c>
      <c r="BP191" s="269">
        <f t="shared" si="512"/>
        <v>220.312499999999</v>
      </c>
      <c r="BQ191" s="269">
        <f t="shared" si="512"/>
        <v>220.312499999999</v>
      </c>
      <c r="BR191" s="269">
        <f t="shared" si="512"/>
        <v>37.4999999999999</v>
      </c>
      <c r="BT191" s="60">
        <f t="shared" ref="BT191:CB191" si="513">BT190-BJ191</f>
        <v>60900.9166666667</v>
      </c>
      <c r="BU191" s="60">
        <f t="shared" si="513"/>
        <v>60900.9166666667</v>
      </c>
      <c r="BV191" s="60">
        <f t="shared" si="513"/>
        <v>60900.9166666667</v>
      </c>
      <c r="BW191" s="60">
        <f t="shared" si="513"/>
        <v>60900.9166666667</v>
      </c>
      <c r="BX191" s="60">
        <f t="shared" si="513"/>
        <v>60900.9166666667</v>
      </c>
      <c r="BY191" s="60">
        <f t="shared" si="513"/>
        <v>60900.9166666667</v>
      </c>
      <c r="BZ191" s="60">
        <f t="shared" si="513"/>
        <v>60900.9166666667</v>
      </c>
      <c r="CA191" s="60">
        <f t="shared" si="513"/>
        <v>60900.9166666667</v>
      </c>
      <c r="CB191" s="60">
        <f t="shared" si="513"/>
        <v>10317.6666666667</v>
      </c>
    </row>
    <row r="192" s="234" customFormat="1" ht="27" hidden="1" customHeight="1" spans="1:80">
      <c r="A192" s="236">
        <v>45838</v>
      </c>
      <c r="B192" s="237" t="s">
        <v>1074</v>
      </c>
      <c r="C192" s="238" t="s">
        <v>117</v>
      </c>
      <c r="D192" s="239">
        <v>4500171912</v>
      </c>
      <c r="E192" s="238" t="s">
        <v>1111</v>
      </c>
      <c r="F192" s="237" t="s">
        <v>1112</v>
      </c>
      <c r="G192" s="240" t="s">
        <v>188</v>
      </c>
      <c r="H192" s="237" t="s">
        <v>120</v>
      </c>
      <c r="I192" s="247">
        <v>996</v>
      </c>
      <c r="J192" s="247">
        <v>0</v>
      </c>
      <c r="K192" s="247">
        <v>12</v>
      </c>
      <c r="L192" s="247">
        <f t="shared" si="374"/>
        <v>83</v>
      </c>
      <c r="M192" s="248">
        <v>45870</v>
      </c>
      <c r="N192" s="248">
        <f t="shared" si="492"/>
        <v>45866</v>
      </c>
      <c r="O192" s="212"/>
      <c r="P192" s="212" t="s">
        <v>107</v>
      </c>
      <c r="Q192" s="212" t="s">
        <v>1083</v>
      </c>
      <c r="R192" s="274">
        <v>45840</v>
      </c>
      <c r="S192" s="212" t="s">
        <v>80</v>
      </c>
      <c r="T192" s="212" t="s">
        <v>1077</v>
      </c>
      <c r="U192" s="212"/>
      <c r="V192" s="259" t="s">
        <v>1113</v>
      </c>
      <c r="W192" s="248" t="s">
        <v>1079</v>
      </c>
      <c r="X192" s="260">
        <v>1.1176</v>
      </c>
      <c r="Y192" s="247">
        <f t="shared" si="482"/>
        <v>1113.1296</v>
      </c>
      <c r="Z192" s="248"/>
      <c r="AA192" s="259">
        <v>996</v>
      </c>
      <c r="AB192" s="259">
        <f t="shared" si="449"/>
        <v>0</v>
      </c>
      <c r="AC192" s="212" t="s">
        <v>113</v>
      </c>
      <c r="AD192" s="212" t="s">
        <v>114</v>
      </c>
      <c r="AE192" s="248" t="s">
        <v>119</v>
      </c>
      <c r="AF192" s="248" t="s">
        <v>115</v>
      </c>
      <c r="AG192" s="267">
        <f t="shared" si="485"/>
        <v>1992</v>
      </c>
      <c r="AH192" s="267"/>
      <c r="AI192" s="267">
        <f t="shared" si="509"/>
        <v>1992</v>
      </c>
      <c r="AJ192" s="267"/>
      <c r="AK192" s="267">
        <f t="shared" si="493"/>
        <v>1992</v>
      </c>
      <c r="AL192" s="267"/>
      <c r="AM192" s="267"/>
      <c r="AN192" s="267"/>
      <c r="AO192" s="267">
        <f t="shared" si="487"/>
        <v>1992</v>
      </c>
      <c r="AP192" s="267"/>
      <c r="AQ192" s="267"/>
      <c r="AR192" s="267"/>
      <c r="AS192" s="267"/>
      <c r="AT192" s="267"/>
      <c r="AU192" s="267"/>
      <c r="AV192" s="267"/>
      <c r="AW192" s="267"/>
      <c r="AX192" s="267"/>
      <c r="AY192" s="267"/>
      <c r="AZ192" s="267"/>
      <c r="BA192" s="267"/>
      <c r="BB192" s="267"/>
      <c r="BC192" s="267"/>
      <c r="BD192" s="267"/>
      <c r="BE192" s="267"/>
      <c r="BF192" s="267">
        <f t="shared" si="488"/>
        <v>996</v>
      </c>
      <c r="BG192" s="267">
        <f t="shared" si="489"/>
        <v>996</v>
      </c>
      <c r="BH192" s="267"/>
      <c r="BI192" s="267"/>
      <c r="BJ192" s="269">
        <f t="shared" ref="BJ192:BR192" si="514">$I192*BJ$2*2</f>
        <v>243.812499999999</v>
      </c>
      <c r="BK192" s="269">
        <f t="shared" si="514"/>
        <v>243.812499999999</v>
      </c>
      <c r="BL192" s="269">
        <f t="shared" si="514"/>
        <v>243.812499999999</v>
      </c>
      <c r="BM192" s="269">
        <f t="shared" si="514"/>
        <v>243.812499999999</v>
      </c>
      <c r="BN192" s="269">
        <f t="shared" si="514"/>
        <v>243.812499999999</v>
      </c>
      <c r="BO192" s="269">
        <f t="shared" si="514"/>
        <v>243.812499999999</v>
      </c>
      <c r="BP192" s="269">
        <f t="shared" si="514"/>
        <v>243.812499999999</v>
      </c>
      <c r="BQ192" s="269">
        <f t="shared" si="514"/>
        <v>243.812499999999</v>
      </c>
      <c r="BR192" s="269">
        <f t="shared" si="514"/>
        <v>41.4999999999999</v>
      </c>
      <c r="BT192" s="60">
        <f t="shared" ref="BT192:CB192" si="515">BT191-BJ192</f>
        <v>60657.1041666667</v>
      </c>
      <c r="BU192" s="60">
        <f t="shared" si="515"/>
        <v>60657.1041666667</v>
      </c>
      <c r="BV192" s="60">
        <f t="shared" si="515"/>
        <v>60657.1041666667</v>
      </c>
      <c r="BW192" s="60">
        <f t="shared" si="515"/>
        <v>60657.1041666667</v>
      </c>
      <c r="BX192" s="60">
        <f t="shared" si="515"/>
        <v>60657.1041666667</v>
      </c>
      <c r="BY192" s="60">
        <f t="shared" si="515"/>
        <v>60657.1041666667</v>
      </c>
      <c r="BZ192" s="60">
        <f t="shared" si="515"/>
        <v>60657.1041666667</v>
      </c>
      <c r="CA192" s="60">
        <f t="shared" si="515"/>
        <v>60657.1041666667</v>
      </c>
      <c r="CB192" s="60">
        <f t="shared" si="515"/>
        <v>10276.1666666667</v>
      </c>
    </row>
    <row r="193" s="234" customFormat="1" ht="27" hidden="1" customHeight="1" spans="1:80">
      <c r="A193" s="236">
        <v>45828</v>
      </c>
      <c r="B193" s="237" t="s">
        <v>803</v>
      </c>
      <c r="C193" s="238" t="s">
        <v>104</v>
      </c>
      <c r="D193" s="239">
        <v>4500170710</v>
      </c>
      <c r="E193" s="238" t="s">
        <v>1114</v>
      </c>
      <c r="F193" s="237" t="s">
        <v>1115</v>
      </c>
      <c r="G193" s="240" t="s">
        <v>94</v>
      </c>
      <c r="H193" s="237" t="s">
        <v>211</v>
      </c>
      <c r="I193" s="247">
        <v>520</v>
      </c>
      <c r="J193" s="247">
        <v>0</v>
      </c>
      <c r="K193" s="247">
        <v>52</v>
      </c>
      <c r="L193" s="247">
        <f t="shared" si="374"/>
        <v>10</v>
      </c>
      <c r="M193" s="248">
        <v>45870</v>
      </c>
      <c r="N193" s="248">
        <v>45866</v>
      </c>
      <c r="O193" s="212"/>
      <c r="P193" s="212" t="s">
        <v>224</v>
      </c>
      <c r="Q193" s="212" t="s">
        <v>1116</v>
      </c>
      <c r="R193" s="274">
        <v>45828</v>
      </c>
      <c r="S193" s="212" t="s">
        <v>80</v>
      </c>
      <c r="T193" s="212" t="s">
        <v>1117</v>
      </c>
      <c r="U193" s="212"/>
      <c r="V193" s="259" t="s">
        <v>1118</v>
      </c>
      <c r="W193" s="248" t="s">
        <v>1119</v>
      </c>
      <c r="X193" s="260">
        <v>0.8434</v>
      </c>
      <c r="Y193" s="247">
        <f t="shared" si="482"/>
        <v>438.568</v>
      </c>
      <c r="Z193" s="248" t="s">
        <v>1120</v>
      </c>
      <c r="AA193" s="259">
        <v>520</v>
      </c>
      <c r="AB193" s="259">
        <f t="shared" si="449"/>
        <v>0</v>
      </c>
      <c r="AC193" s="280" t="s">
        <v>113</v>
      </c>
      <c r="AD193" s="212" t="s">
        <v>114</v>
      </c>
      <c r="AE193" s="248" t="s">
        <v>94</v>
      </c>
      <c r="AF193" s="248" t="s">
        <v>115</v>
      </c>
      <c r="AG193" s="267">
        <f t="shared" ref="AG193:AG196" si="516">I193</f>
        <v>520</v>
      </c>
      <c r="AH193" s="267">
        <f t="shared" ref="AH193:AH196" si="517">I193</f>
        <v>520</v>
      </c>
      <c r="AI193" s="267"/>
      <c r="AJ193" s="267"/>
      <c r="AK193" s="267">
        <f t="shared" ref="AK193:AK196" si="518">I193</f>
        <v>520</v>
      </c>
      <c r="AL193" s="267"/>
      <c r="AM193" s="267"/>
      <c r="AN193" s="267"/>
      <c r="AO193" s="267">
        <f t="shared" ref="AO193:AO196" si="519">I193</f>
        <v>520</v>
      </c>
      <c r="AP193" s="267"/>
      <c r="AQ193" s="267"/>
      <c r="AR193" s="267"/>
      <c r="AS193" s="267"/>
      <c r="AT193" s="267">
        <f t="shared" ref="AT193:AT196" si="520">I193/13</f>
        <v>40</v>
      </c>
      <c r="AU193" s="267"/>
      <c r="AV193" s="267"/>
      <c r="AW193" s="267"/>
      <c r="AX193" s="267"/>
      <c r="AY193" s="267"/>
      <c r="AZ193" s="267"/>
      <c r="BA193" s="267"/>
      <c r="BB193" s="267"/>
      <c r="BC193" s="267"/>
      <c r="BD193" s="267"/>
      <c r="BE193" s="267"/>
      <c r="BF193" s="267"/>
      <c r="BG193" s="267"/>
      <c r="BH193" s="267"/>
      <c r="BI193" s="267"/>
      <c r="BJ193" s="269">
        <f t="shared" ref="BJ193:BR193" si="521">$I193*BJ$2</f>
        <v>63.6458333333332</v>
      </c>
      <c r="BK193" s="269">
        <f t="shared" si="521"/>
        <v>63.6458333333332</v>
      </c>
      <c r="BL193" s="269">
        <f t="shared" si="521"/>
        <v>63.6458333333332</v>
      </c>
      <c r="BM193" s="269">
        <f t="shared" si="521"/>
        <v>63.6458333333332</v>
      </c>
      <c r="BN193" s="269">
        <f t="shared" si="521"/>
        <v>63.6458333333332</v>
      </c>
      <c r="BO193" s="269">
        <f t="shared" si="521"/>
        <v>63.6458333333332</v>
      </c>
      <c r="BP193" s="269">
        <f t="shared" si="521"/>
        <v>63.6458333333332</v>
      </c>
      <c r="BQ193" s="269">
        <f t="shared" si="521"/>
        <v>63.6458333333332</v>
      </c>
      <c r="BR193" s="269">
        <f t="shared" si="521"/>
        <v>10.8333333333333</v>
      </c>
      <c r="BT193" s="60">
        <f t="shared" ref="BT193:CB193" si="522">BT192-BJ193</f>
        <v>60593.4583333334</v>
      </c>
      <c r="BU193" s="60">
        <f t="shared" si="522"/>
        <v>60593.4583333334</v>
      </c>
      <c r="BV193" s="60">
        <f t="shared" si="522"/>
        <v>60593.4583333334</v>
      </c>
      <c r="BW193" s="60">
        <f t="shared" si="522"/>
        <v>60593.4583333334</v>
      </c>
      <c r="BX193" s="60">
        <f t="shared" si="522"/>
        <v>60593.4583333334</v>
      </c>
      <c r="BY193" s="60">
        <f t="shared" si="522"/>
        <v>60593.4583333334</v>
      </c>
      <c r="BZ193" s="60">
        <f t="shared" si="522"/>
        <v>60593.4583333334</v>
      </c>
      <c r="CA193" s="60">
        <f t="shared" si="522"/>
        <v>60593.4583333334</v>
      </c>
      <c r="CB193" s="60">
        <f t="shared" si="522"/>
        <v>10265.3333333333</v>
      </c>
    </row>
    <row r="194" s="234" customFormat="1" ht="27" hidden="1" customHeight="1" spans="1:80">
      <c r="A194" s="236">
        <v>45828</v>
      </c>
      <c r="B194" s="237" t="s">
        <v>803</v>
      </c>
      <c r="C194" s="238" t="s">
        <v>104</v>
      </c>
      <c r="D194" s="239">
        <v>4500170710</v>
      </c>
      <c r="E194" s="238" t="s">
        <v>1121</v>
      </c>
      <c r="F194" s="237" t="s">
        <v>1122</v>
      </c>
      <c r="G194" s="240" t="s">
        <v>94</v>
      </c>
      <c r="H194" s="237" t="s">
        <v>211</v>
      </c>
      <c r="I194" s="247">
        <v>468</v>
      </c>
      <c r="J194" s="247">
        <v>0</v>
      </c>
      <c r="K194" s="247">
        <v>52</v>
      </c>
      <c r="L194" s="247">
        <f t="shared" si="374"/>
        <v>9</v>
      </c>
      <c r="M194" s="248">
        <v>45870</v>
      </c>
      <c r="N194" s="248">
        <v>45866</v>
      </c>
      <c r="O194" s="212"/>
      <c r="P194" s="212" t="s">
        <v>224</v>
      </c>
      <c r="Q194" s="212" t="s">
        <v>1116</v>
      </c>
      <c r="R194" s="274">
        <v>45828</v>
      </c>
      <c r="S194" s="212" t="s">
        <v>80</v>
      </c>
      <c r="T194" s="212" t="s">
        <v>1117</v>
      </c>
      <c r="U194" s="212"/>
      <c r="V194" s="259" t="s">
        <v>1118</v>
      </c>
      <c r="W194" s="248" t="s">
        <v>1119</v>
      </c>
      <c r="X194" s="260">
        <v>0.8434</v>
      </c>
      <c r="Y194" s="247">
        <f t="shared" si="482"/>
        <v>394.7112</v>
      </c>
      <c r="Z194" s="248" t="s">
        <v>1120</v>
      </c>
      <c r="AA194" s="259">
        <v>468</v>
      </c>
      <c r="AB194" s="259">
        <f t="shared" si="449"/>
        <v>0</v>
      </c>
      <c r="AC194" s="285"/>
      <c r="AD194" s="212" t="s">
        <v>114</v>
      </c>
      <c r="AE194" s="248" t="s">
        <v>94</v>
      </c>
      <c r="AF194" s="248" t="s">
        <v>115</v>
      </c>
      <c r="AG194" s="267">
        <f t="shared" si="516"/>
        <v>468</v>
      </c>
      <c r="AH194" s="267">
        <f t="shared" si="517"/>
        <v>468</v>
      </c>
      <c r="AI194" s="267"/>
      <c r="AJ194" s="267"/>
      <c r="AK194" s="267">
        <f t="shared" si="518"/>
        <v>468</v>
      </c>
      <c r="AL194" s="267"/>
      <c r="AM194" s="267"/>
      <c r="AN194" s="267"/>
      <c r="AO194" s="267">
        <f t="shared" si="519"/>
        <v>468</v>
      </c>
      <c r="AP194" s="267"/>
      <c r="AQ194" s="267"/>
      <c r="AR194" s="267"/>
      <c r="AS194" s="267"/>
      <c r="AT194" s="267">
        <f t="shared" si="520"/>
        <v>36</v>
      </c>
      <c r="AU194" s="267"/>
      <c r="AV194" s="267"/>
      <c r="AW194" s="267"/>
      <c r="AX194" s="267"/>
      <c r="AY194" s="267"/>
      <c r="AZ194" s="267"/>
      <c r="BA194" s="267"/>
      <c r="BB194" s="267"/>
      <c r="BC194" s="267"/>
      <c r="BD194" s="267"/>
      <c r="BE194" s="267"/>
      <c r="BF194" s="267"/>
      <c r="BG194" s="267"/>
      <c r="BH194" s="267"/>
      <c r="BI194" s="267"/>
      <c r="BJ194" s="269">
        <f t="shared" ref="BJ194:BR194" si="523">$I194*BJ$2</f>
        <v>57.2812499999998</v>
      </c>
      <c r="BK194" s="269">
        <f t="shared" si="523"/>
        <v>57.2812499999998</v>
      </c>
      <c r="BL194" s="269">
        <f t="shared" si="523"/>
        <v>57.2812499999998</v>
      </c>
      <c r="BM194" s="269">
        <f t="shared" si="523"/>
        <v>57.2812499999998</v>
      </c>
      <c r="BN194" s="269">
        <f t="shared" si="523"/>
        <v>57.2812499999998</v>
      </c>
      <c r="BO194" s="269">
        <f t="shared" si="523"/>
        <v>57.2812499999998</v>
      </c>
      <c r="BP194" s="269">
        <f t="shared" si="523"/>
        <v>57.2812499999998</v>
      </c>
      <c r="BQ194" s="269">
        <f t="shared" si="523"/>
        <v>57.2812499999998</v>
      </c>
      <c r="BR194" s="269">
        <f t="shared" si="523"/>
        <v>9.74999999999998</v>
      </c>
      <c r="BT194" s="60">
        <f t="shared" ref="BT194:CB194" si="524">BT193-BJ194</f>
        <v>60536.1770833334</v>
      </c>
      <c r="BU194" s="60">
        <f t="shared" si="524"/>
        <v>60536.1770833334</v>
      </c>
      <c r="BV194" s="60">
        <f t="shared" si="524"/>
        <v>60536.1770833334</v>
      </c>
      <c r="BW194" s="60">
        <f t="shared" si="524"/>
        <v>60536.1770833334</v>
      </c>
      <c r="BX194" s="60">
        <f t="shared" si="524"/>
        <v>60536.1770833334</v>
      </c>
      <c r="BY194" s="60">
        <f t="shared" si="524"/>
        <v>60536.1770833334</v>
      </c>
      <c r="BZ194" s="60">
        <f t="shared" si="524"/>
        <v>60536.1770833334</v>
      </c>
      <c r="CA194" s="60">
        <f t="shared" si="524"/>
        <v>60536.1770833334</v>
      </c>
      <c r="CB194" s="60">
        <f t="shared" si="524"/>
        <v>10255.5833333333</v>
      </c>
    </row>
    <row r="195" s="234" customFormat="1" ht="27" hidden="1" customHeight="1" spans="1:80">
      <c r="A195" s="236">
        <v>45828</v>
      </c>
      <c r="B195" s="237" t="s">
        <v>803</v>
      </c>
      <c r="C195" s="238" t="s">
        <v>104</v>
      </c>
      <c r="D195" s="239">
        <v>4500170710</v>
      </c>
      <c r="E195" s="238" t="s">
        <v>1123</v>
      </c>
      <c r="F195" s="237" t="s">
        <v>1124</v>
      </c>
      <c r="G195" s="240" t="s">
        <v>94</v>
      </c>
      <c r="H195" s="237" t="s">
        <v>211</v>
      </c>
      <c r="I195" s="247">
        <v>364</v>
      </c>
      <c r="J195" s="247">
        <v>0</v>
      </c>
      <c r="K195" s="247">
        <v>52</v>
      </c>
      <c r="L195" s="247">
        <f t="shared" si="374"/>
        <v>7</v>
      </c>
      <c r="M195" s="248">
        <v>45870</v>
      </c>
      <c r="N195" s="248">
        <v>45866</v>
      </c>
      <c r="O195" s="212"/>
      <c r="P195" s="212" t="s">
        <v>224</v>
      </c>
      <c r="Q195" s="212" t="s">
        <v>1125</v>
      </c>
      <c r="R195" s="274">
        <v>45828</v>
      </c>
      <c r="S195" s="212" t="s">
        <v>80</v>
      </c>
      <c r="T195" s="212" t="s">
        <v>1117</v>
      </c>
      <c r="U195" s="212"/>
      <c r="V195" s="259" t="s">
        <v>1118</v>
      </c>
      <c r="W195" s="248" t="s">
        <v>1119</v>
      </c>
      <c r="X195" s="260">
        <v>0.8434</v>
      </c>
      <c r="Y195" s="247">
        <f t="shared" si="482"/>
        <v>306.9976</v>
      </c>
      <c r="Z195" s="248" t="s">
        <v>1120</v>
      </c>
      <c r="AA195" s="259">
        <v>364</v>
      </c>
      <c r="AB195" s="259">
        <f t="shared" si="449"/>
        <v>0</v>
      </c>
      <c r="AC195" s="285"/>
      <c r="AD195" s="212" t="s">
        <v>114</v>
      </c>
      <c r="AE195" s="248" t="s">
        <v>94</v>
      </c>
      <c r="AF195" s="248" t="s">
        <v>115</v>
      </c>
      <c r="AG195" s="267">
        <f t="shared" si="516"/>
        <v>364</v>
      </c>
      <c r="AH195" s="267">
        <f t="shared" si="517"/>
        <v>364</v>
      </c>
      <c r="AI195" s="267"/>
      <c r="AJ195" s="267"/>
      <c r="AK195" s="267">
        <f t="shared" si="518"/>
        <v>364</v>
      </c>
      <c r="AL195" s="267"/>
      <c r="AM195" s="267"/>
      <c r="AN195" s="267"/>
      <c r="AO195" s="267">
        <f t="shared" si="519"/>
        <v>364</v>
      </c>
      <c r="AP195" s="267"/>
      <c r="AQ195" s="267"/>
      <c r="AR195" s="267"/>
      <c r="AS195" s="267"/>
      <c r="AT195" s="267">
        <f t="shared" si="520"/>
        <v>28</v>
      </c>
      <c r="AU195" s="267"/>
      <c r="AV195" s="267"/>
      <c r="AW195" s="267"/>
      <c r="AX195" s="267"/>
      <c r="AY195" s="267"/>
      <c r="AZ195" s="267"/>
      <c r="BA195" s="267"/>
      <c r="BB195" s="267"/>
      <c r="BC195" s="267"/>
      <c r="BD195" s="267"/>
      <c r="BE195" s="267"/>
      <c r="BF195" s="267"/>
      <c r="BG195" s="267"/>
      <c r="BH195" s="267"/>
      <c r="BI195" s="267"/>
      <c r="BJ195" s="269">
        <f t="shared" ref="BJ195:BR195" si="525">$I195*BJ$2</f>
        <v>44.5520833333332</v>
      </c>
      <c r="BK195" s="269">
        <f t="shared" si="525"/>
        <v>44.5520833333332</v>
      </c>
      <c r="BL195" s="269">
        <f t="shared" si="525"/>
        <v>44.5520833333332</v>
      </c>
      <c r="BM195" s="269">
        <f t="shared" si="525"/>
        <v>44.5520833333332</v>
      </c>
      <c r="BN195" s="269">
        <f t="shared" si="525"/>
        <v>44.5520833333332</v>
      </c>
      <c r="BO195" s="269">
        <f t="shared" si="525"/>
        <v>44.5520833333332</v>
      </c>
      <c r="BP195" s="269">
        <f t="shared" si="525"/>
        <v>44.5520833333332</v>
      </c>
      <c r="BQ195" s="269">
        <f t="shared" si="525"/>
        <v>44.5520833333332</v>
      </c>
      <c r="BR195" s="269">
        <f t="shared" si="525"/>
        <v>7.58333333333332</v>
      </c>
      <c r="BT195" s="60">
        <f t="shared" ref="BT195:CB195" si="526">BT194-BJ195</f>
        <v>60491.625</v>
      </c>
      <c r="BU195" s="60">
        <f t="shared" si="526"/>
        <v>60491.625</v>
      </c>
      <c r="BV195" s="60">
        <f t="shared" si="526"/>
        <v>60491.625</v>
      </c>
      <c r="BW195" s="60">
        <f t="shared" si="526"/>
        <v>60491.625</v>
      </c>
      <c r="BX195" s="60">
        <f t="shared" si="526"/>
        <v>60491.625</v>
      </c>
      <c r="BY195" s="60">
        <f t="shared" si="526"/>
        <v>60491.625</v>
      </c>
      <c r="BZ195" s="60">
        <f t="shared" si="526"/>
        <v>60491.625</v>
      </c>
      <c r="CA195" s="60">
        <f t="shared" si="526"/>
        <v>60491.625</v>
      </c>
      <c r="CB195" s="60">
        <f t="shared" si="526"/>
        <v>10248</v>
      </c>
    </row>
    <row r="196" s="234" customFormat="1" ht="27" hidden="1" customHeight="1" spans="1:80">
      <c r="A196" s="236">
        <v>45828</v>
      </c>
      <c r="B196" s="237" t="s">
        <v>803</v>
      </c>
      <c r="C196" s="238" t="s">
        <v>104</v>
      </c>
      <c r="D196" s="239">
        <v>4500170710</v>
      </c>
      <c r="E196" s="238" t="s">
        <v>1126</v>
      </c>
      <c r="F196" s="237" t="s">
        <v>1127</v>
      </c>
      <c r="G196" s="240" t="s">
        <v>94</v>
      </c>
      <c r="H196" s="237" t="s">
        <v>211</v>
      </c>
      <c r="I196" s="247">
        <v>156</v>
      </c>
      <c r="J196" s="247">
        <v>0</v>
      </c>
      <c r="K196" s="247">
        <v>52</v>
      </c>
      <c r="L196" s="247">
        <f t="shared" si="374"/>
        <v>3</v>
      </c>
      <c r="M196" s="248">
        <v>45870</v>
      </c>
      <c r="N196" s="248">
        <v>45866</v>
      </c>
      <c r="O196" s="212"/>
      <c r="P196" s="212" t="s">
        <v>224</v>
      </c>
      <c r="Q196" s="212" t="s">
        <v>1128</v>
      </c>
      <c r="R196" s="274">
        <v>45828</v>
      </c>
      <c r="S196" s="212" t="s">
        <v>80</v>
      </c>
      <c r="T196" s="212" t="s">
        <v>1117</v>
      </c>
      <c r="U196" s="212"/>
      <c r="V196" s="259" t="s">
        <v>1118</v>
      </c>
      <c r="W196" s="248" t="s">
        <v>1119</v>
      </c>
      <c r="X196" s="260">
        <v>0.8434</v>
      </c>
      <c r="Y196" s="247">
        <f t="shared" si="482"/>
        <v>131.5704</v>
      </c>
      <c r="Z196" s="248" t="s">
        <v>1120</v>
      </c>
      <c r="AA196" s="259">
        <v>156</v>
      </c>
      <c r="AB196" s="259">
        <f t="shared" si="449"/>
        <v>0</v>
      </c>
      <c r="AC196" s="254"/>
      <c r="AD196" s="212" t="s">
        <v>114</v>
      </c>
      <c r="AE196" s="248" t="s">
        <v>94</v>
      </c>
      <c r="AF196" s="248" t="s">
        <v>115</v>
      </c>
      <c r="AG196" s="267">
        <f t="shared" si="516"/>
        <v>156</v>
      </c>
      <c r="AH196" s="267">
        <f t="shared" si="517"/>
        <v>156</v>
      </c>
      <c r="AI196" s="267"/>
      <c r="AJ196" s="267"/>
      <c r="AK196" s="267">
        <f t="shared" si="518"/>
        <v>156</v>
      </c>
      <c r="AL196" s="267"/>
      <c r="AM196" s="267"/>
      <c r="AN196" s="267"/>
      <c r="AO196" s="267">
        <f t="shared" si="519"/>
        <v>156</v>
      </c>
      <c r="AP196" s="267"/>
      <c r="AQ196" s="267"/>
      <c r="AR196" s="267"/>
      <c r="AS196" s="267"/>
      <c r="AT196" s="267">
        <f t="shared" si="520"/>
        <v>12</v>
      </c>
      <c r="AU196" s="267"/>
      <c r="AV196" s="267"/>
      <c r="AW196" s="267"/>
      <c r="AX196" s="267"/>
      <c r="AY196" s="267"/>
      <c r="AZ196" s="267"/>
      <c r="BA196" s="267"/>
      <c r="BB196" s="267"/>
      <c r="BC196" s="267"/>
      <c r="BD196" s="267"/>
      <c r="BE196" s="267"/>
      <c r="BF196" s="267"/>
      <c r="BG196" s="267"/>
      <c r="BH196" s="267"/>
      <c r="BI196" s="267"/>
      <c r="BJ196" s="269">
        <f t="shared" ref="BJ196:BR196" si="527">$I196*BJ$2</f>
        <v>19.0937499999999</v>
      </c>
      <c r="BK196" s="269">
        <f t="shared" si="527"/>
        <v>19.0937499999999</v>
      </c>
      <c r="BL196" s="269">
        <f t="shared" si="527"/>
        <v>19.0937499999999</v>
      </c>
      <c r="BM196" s="269">
        <f t="shared" si="527"/>
        <v>19.0937499999999</v>
      </c>
      <c r="BN196" s="269">
        <f t="shared" si="527"/>
        <v>19.0937499999999</v>
      </c>
      <c r="BO196" s="269">
        <f t="shared" si="527"/>
        <v>19.0937499999999</v>
      </c>
      <c r="BP196" s="269">
        <f t="shared" si="527"/>
        <v>19.0937499999999</v>
      </c>
      <c r="BQ196" s="269">
        <f t="shared" si="527"/>
        <v>19.0937499999999</v>
      </c>
      <c r="BR196" s="269">
        <f t="shared" si="527"/>
        <v>3.24999999999999</v>
      </c>
      <c r="BT196" s="60">
        <f t="shared" ref="BT196:CB196" si="528">BT195-BJ196</f>
        <v>60472.53125</v>
      </c>
      <c r="BU196" s="60">
        <f t="shared" si="528"/>
        <v>60472.53125</v>
      </c>
      <c r="BV196" s="60">
        <f t="shared" si="528"/>
        <v>60472.53125</v>
      </c>
      <c r="BW196" s="60">
        <f t="shared" si="528"/>
        <v>60472.53125</v>
      </c>
      <c r="BX196" s="60">
        <f t="shared" si="528"/>
        <v>60472.53125</v>
      </c>
      <c r="BY196" s="60">
        <f t="shared" si="528"/>
        <v>60472.53125</v>
      </c>
      <c r="BZ196" s="60">
        <f t="shared" si="528"/>
        <v>60472.53125</v>
      </c>
      <c r="CA196" s="60">
        <f t="shared" si="528"/>
        <v>60472.53125</v>
      </c>
      <c r="CB196" s="60">
        <f t="shared" si="528"/>
        <v>10244.75</v>
      </c>
    </row>
    <row r="197" s="234" customFormat="1" ht="27" hidden="1" customHeight="1" spans="1:80">
      <c r="A197" s="236">
        <v>45838</v>
      </c>
      <c r="B197" s="237" t="s">
        <v>1129</v>
      </c>
      <c r="C197" s="238" t="s">
        <v>117</v>
      </c>
      <c r="D197" s="239">
        <v>4500171114</v>
      </c>
      <c r="E197" s="238">
        <v>1614867</v>
      </c>
      <c r="F197" s="237" t="s">
        <v>1130</v>
      </c>
      <c r="G197" s="240" t="s">
        <v>188</v>
      </c>
      <c r="H197" s="237" t="s">
        <v>120</v>
      </c>
      <c r="I197" s="247">
        <v>2016</v>
      </c>
      <c r="J197" s="247">
        <v>0</v>
      </c>
      <c r="K197" s="247">
        <v>12</v>
      </c>
      <c r="L197" s="247">
        <f t="shared" si="374"/>
        <v>168</v>
      </c>
      <c r="M197" s="248">
        <v>45875</v>
      </c>
      <c r="N197" s="248">
        <v>45871</v>
      </c>
      <c r="O197" s="212"/>
      <c r="P197" s="212" t="s">
        <v>224</v>
      </c>
      <c r="Q197" s="212" t="s">
        <v>1062</v>
      </c>
      <c r="R197" s="274">
        <v>45839</v>
      </c>
      <c r="S197" s="212" t="s">
        <v>80</v>
      </c>
      <c r="T197" s="273" t="s">
        <v>1131</v>
      </c>
      <c r="U197" s="212"/>
      <c r="V197" s="259" t="s">
        <v>1132</v>
      </c>
      <c r="W197" s="248" t="s">
        <v>1133</v>
      </c>
      <c r="X197" s="260">
        <v>0.8908</v>
      </c>
      <c r="Y197" s="247">
        <f t="shared" si="482"/>
        <v>1795.8528</v>
      </c>
      <c r="Z197" s="248" t="s">
        <v>1134</v>
      </c>
      <c r="AA197" s="259">
        <f>2004+12</f>
        <v>2016</v>
      </c>
      <c r="AB197" s="259">
        <f t="shared" si="449"/>
        <v>0</v>
      </c>
      <c r="AC197" s="212" t="s">
        <v>113</v>
      </c>
      <c r="AD197" s="212" t="s">
        <v>114</v>
      </c>
      <c r="AE197" s="248" t="s">
        <v>119</v>
      </c>
      <c r="AF197" s="248" t="s">
        <v>115</v>
      </c>
      <c r="AG197" s="267">
        <f>I197*2</f>
        <v>4032</v>
      </c>
      <c r="AH197" s="267"/>
      <c r="AI197" s="267">
        <f>I197*2</f>
        <v>4032</v>
      </c>
      <c r="AJ197" s="267"/>
      <c r="AK197" s="267">
        <f>I197*2</f>
        <v>4032</v>
      </c>
      <c r="AL197" s="267"/>
      <c r="AM197" s="267"/>
      <c r="AN197" s="267"/>
      <c r="AO197" s="267">
        <f>I197*2</f>
        <v>4032</v>
      </c>
      <c r="AP197" s="267"/>
      <c r="AR197" s="267"/>
      <c r="AS197" s="267"/>
      <c r="AT197" s="267"/>
      <c r="AU197" s="267"/>
      <c r="AV197" s="267"/>
      <c r="AW197" s="267"/>
      <c r="AX197" s="267"/>
      <c r="AY197" s="267"/>
      <c r="AZ197" s="267"/>
      <c r="BA197" s="267"/>
      <c r="BB197" s="267"/>
      <c r="BC197" s="267"/>
      <c r="BD197" s="267"/>
      <c r="BE197" s="267"/>
      <c r="BF197" s="267">
        <f>I197</f>
        <v>2016</v>
      </c>
      <c r="BG197" s="267">
        <f>I197</f>
        <v>2016</v>
      </c>
      <c r="BH197" s="267"/>
      <c r="BI197" s="267"/>
      <c r="BJ197" s="269">
        <f t="shared" ref="BJ197:BR197" si="529">$I197*BJ$2*2</f>
        <v>493.499999999999</v>
      </c>
      <c r="BK197" s="269">
        <f t="shared" si="529"/>
        <v>493.499999999999</v>
      </c>
      <c r="BL197" s="269">
        <f t="shared" si="529"/>
        <v>493.499999999999</v>
      </c>
      <c r="BM197" s="269">
        <f t="shared" si="529"/>
        <v>493.499999999999</v>
      </c>
      <c r="BN197" s="269">
        <f t="shared" si="529"/>
        <v>493.499999999999</v>
      </c>
      <c r="BO197" s="269">
        <f t="shared" si="529"/>
        <v>493.499999999999</v>
      </c>
      <c r="BP197" s="269">
        <f t="shared" si="529"/>
        <v>493.499999999999</v>
      </c>
      <c r="BQ197" s="269">
        <f t="shared" si="529"/>
        <v>493.499999999999</v>
      </c>
      <c r="BR197" s="269">
        <f t="shared" si="529"/>
        <v>83.9999999999999</v>
      </c>
      <c r="BT197" s="60">
        <f t="shared" ref="BT197:CB197" si="530">BT196-BJ197</f>
        <v>59979.03125</v>
      </c>
      <c r="BU197" s="60">
        <f t="shared" si="530"/>
        <v>59979.03125</v>
      </c>
      <c r="BV197" s="60">
        <f t="shared" si="530"/>
        <v>59979.03125</v>
      </c>
      <c r="BW197" s="60">
        <f t="shared" si="530"/>
        <v>59979.03125</v>
      </c>
      <c r="BX197" s="60">
        <f t="shared" si="530"/>
        <v>59979.03125</v>
      </c>
      <c r="BY197" s="60">
        <f t="shared" si="530"/>
        <v>59979.03125</v>
      </c>
      <c r="BZ197" s="60">
        <f t="shared" si="530"/>
        <v>59979.03125</v>
      </c>
      <c r="CA197" s="60">
        <f t="shared" si="530"/>
        <v>59979.03125</v>
      </c>
      <c r="CB197" s="60">
        <f t="shared" si="530"/>
        <v>10160.75</v>
      </c>
    </row>
    <row r="198" s="234" customFormat="1" ht="27" hidden="1" customHeight="1" spans="1:80">
      <c r="A198" s="236">
        <v>45838</v>
      </c>
      <c r="B198" s="237" t="s">
        <v>1129</v>
      </c>
      <c r="C198" s="238" t="s">
        <v>117</v>
      </c>
      <c r="D198" s="239">
        <v>4500171115</v>
      </c>
      <c r="E198" s="238">
        <v>1614868</v>
      </c>
      <c r="F198" s="237" t="s">
        <v>1135</v>
      </c>
      <c r="G198" s="240" t="s">
        <v>188</v>
      </c>
      <c r="H198" s="237" t="s">
        <v>120</v>
      </c>
      <c r="I198" s="247">
        <v>996</v>
      </c>
      <c r="J198" s="247">
        <v>0</v>
      </c>
      <c r="K198" s="247">
        <v>12</v>
      </c>
      <c r="L198" s="247">
        <f t="shared" si="374"/>
        <v>83</v>
      </c>
      <c r="M198" s="248">
        <v>45875</v>
      </c>
      <c r="N198" s="248">
        <v>45871</v>
      </c>
      <c r="O198" s="212"/>
      <c r="P198" s="212" t="s">
        <v>224</v>
      </c>
      <c r="Q198" s="212" t="s">
        <v>1062</v>
      </c>
      <c r="R198" s="274">
        <v>45839</v>
      </c>
      <c r="S198" s="212" t="s">
        <v>80</v>
      </c>
      <c r="T198" s="273" t="s">
        <v>1131</v>
      </c>
      <c r="U198" s="212"/>
      <c r="V198" s="259" t="s">
        <v>1132</v>
      </c>
      <c r="W198" s="248" t="s">
        <v>1133</v>
      </c>
      <c r="X198" s="260">
        <v>1.0937</v>
      </c>
      <c r="Y198" s="247">
        <f t="shared" si="482"/>
        <v>1089.3252</v>
      </c>
      <c r="Z198" s="248" t="s">
        <v>1136</v>
      </c>
      <c r="AA198" s="259">
        <v>996</v>
      </c>
      <c r="AB198" s="259">
        <f t="shared" si="449"/>
        <v>0</v>
      </c>
      <c r="AC198" s="212" t="s">
        <v>113</v>
      </c>
      <c r="AD198" s="212" t="s">
        <v>114</v>
      </c>
      <c r="AE198" s="248" t="s">
        <v>119</v>
      </c>
      <c r="AF198" s="248" t="s">
        <v>115</v>
      </c>
      <c r="AG198" s="267">
        <f>I198*2</f>
        <v>1992</v>
      </c>
      <c r="AH198" s="267"/>
      <c r="AI198" s="267">
        <f>I198*2</f>
        <v>1992</v>
      </c>
      <c r="AJ198" s="267"/>
      <c r="AK198" s="267">
        <f>I198*2</f>
        <v>1992</v>
      </c>
      <c r="AL198" s="267"/>
      <c r="AM198" s="267"/>
      <c r="AN198" s="267"/>
      <c r="AO198" s="267">
        <f>I198*2</f>
        <v>1992</v>
      </c>
      <c r="AP198" s="267"/>
      <c r="AR198" s="267"/>
      <c r="AS198" s="267"/>
      <c r="AT198" s="267"/>
      <c r="AU198" s="267"/>
      <c r="AV198" s="267"/>
      <c r="AW198" s="267"/>
      <c r="AX198" s="267"/>
      <c r="AY198" s="267"/>
      <c r="AZ198" s="267"/>
      <c r="BA198" s="267"/>
      <c r="BB198" s="267"/>
      <c r="BC198" s="267"/>
      <c r="BD198" s="267"/>
      <c r="BE198" s="267"/>
      <c r="BF198" s="267">
        <f>I198</f>
        <v>996</v>
      </c>
      <c r="BG198" s="267">
        <f>I198</f>
        <v>996</v>
      </c>
      <c r="BH198" s="267"/>
      <c r="BI198" s="267"/>
      <c r="BJ198" s="269">
        <f t="shared" ref="BJ198:BR198" si="531">$I198*BJ$2*2</f>
        <v>243.812499999999</v>
      </c>
      <c r="BK198" s="269">
        <f t="shared" si="531"/>
        <v>243.812499999999</v>
      </c>
      <c r="BL198" s="269">
        <f t="shared" si="531"/>
        <v>243.812499999999</v>
      </c>
      <c r="BM198" s="269">
        <f t="shared" si="531"/>
        <v>243.812499999999</v>
      </c>
      <c r="BN198" s="269">
        <f t="shared" si="531"/>
        <v>243.812499999999</v>
      </c>
      <c r="BO198" s="269">
        <f t="shared" si="531"/>
        <v>243.812499999999</v>
      </c>
      <c r="BP198" s="269">
        <f t="shared" si="531"/>
        <v>243.812499999999</v>
      </c>
      <c r="BQ198" s="269">
        <f t="shared" si="531"/>
        <v>243.812499999999</v>
      </c>
      <c r="BR198" s="269">
        <f t="shared" si="531"/>
        <v>41.4999999999999</v>
      </c>
      <c r="BT198" s="60">
        <f t="shared" ref="BT198:CB198" si="532">BT197-BJ198</f>
        <v>59735.21875</v>
      </c>
      <c r="BU198" s="60">
        <f t="shared" si="532"/>
        <v>59735.21875</v>
      </c>
      <c r="BV198" s="60">
        <f t="shared" si="532"/>
        <v>59735.21875</v>
      </c>
      <c r="BW198" s="60">
        <f t="shared" si="532"/>
        <v>59735.21875</v>
      </c>
      <c r="BX198" s="60">
        <f t="shared" si="532"/>
        <v>59735.21875</v>
      </c>
      <c r="BY198" s="60">
        <f t="shared" si="532"/>
        <v>59735.21875</v>
      </c>
      <c r="BZ198" s="60">
        <f t="shared" si="532"/>
        <v>59735.21875</v>
      </c>
      <c r="CA198" s="60">
        <f t="shared" si="532"/>
        <v>59735.21875</v>
      </c>
      <c r="CB198" s="60">
        <f t="shared" si="532"/>
        <v>10119.25</v>
      </c>
    </row>
    <row r="199" s="234" customFormat="1" ht="27" hidden="1" customHeight="1" spans="1:80">
      <c r="A199" s="236">
        <v>45835</v>
      </c>
      <c r="B199" s="237" t="s">
        <v>149</v>
      </c>
      <c r="C199" s="238" t="s">
        <v>117</v>
      </c>
      <c r="D199" s="239">
        <v>4500171577</v>
      </c>
      <c r="E199" s="238" t="s">
        <v>1137</v>
      </c>
      <c r="F199" s="237" t="s">
        <v>1138</v>
      </c>
      <c r="G199" s="240" t="s">
        <v>152</v>
      </c>
      <c r="H199" s="237" t="s">
        <v>153</v>
      </c>
      <c r="I199" s="247">
        <v>5005</v>
      </c>
      <c r="J199" s="247">
        <v>0</v>
      </c>
      <c r="K199" s="247">
        <v>13</v>
      </c>
      <c r="L199" s="247">
        <f t="shared" si="374"/>
        <v>385</v>
      </c>
      <c r="M199" s="248">
        <v>45868</v>
      </c>
      <c r="N199" s="248">
        <v>45871</v>
      </c>
      <c r="O199" s="212"/>
      <c r="P199" s="212" t="s">
        <v>107</v>
      </c>
      <c r="Q199" s="212" t="s">
        <v>1139</v>
      </c>
      <c r="R199" s="274">
        <v>45841</v>
      </c>
      <c r="S199" s="212" t="s">
        <v>191</v>
      </c>
      <c r="T199" s="212" t="s">
        <v>1140</v>
      </c>
      <c r="U199" s="212"/>
      <c r="V199" s="259" t="s">
        <v>1141</v>
      </c>
      <c r="W199" s="248" t="s">
        <v>158</v>
      </c>
      <c r="X199" s="260">
        <v>0.4622</v>
      </c>
      <c r="Y199" s="247">
        <f t="shared" si="482"/>
        <v>2313.311</v>
      </c>
      <c r="Z199" s="248" t="s">
        <v>1142</v>
      </c>
      <c r="AA199" s="259">
        <f>4992+13</f>
        <v>5005</v>
      </c>
      <c r="AB199" s="259">
        <f t="shared" si="449"/>
        <v>0</v>
      </c>
      <c r="AC199" s="212" t="s">
        <v>113</v>
      </c>
      <c r="AD199" s="212" t="s">
        <v>114</v>
      </c>
      <c r="AE199" s="248" t="s">
        <v>152</v>
      </c>
      <c r="AF199" s="248" t="s">
        <v>115</v>
      </c>
      <c r="AG199" s="267">
        <f t="shared" ref="AG199:AG204" si="533">I199</f>
        <v>5005</v>
      </c>
      <c r="AH199" s="267">
        <f>I199</f>
        <v>5005</v>
      </c>
      <c r="AI199" s="267"/>
      <c r="AJ199" s="267"/>
      <c r="AK199" s="267">
        <f t="shared" ref="AK199:AK204" si="534">I199</f>
        <v>5005</v>
      </c>
      <c r="AL199" s="267"/>
      <c r="AM199" s="267"/>
      <c r="AN199" s="267"/>
      <c r="AO199" s="267">
        <f t="shared" ref="AO199:AO204" si="535">I199</f>
        <v>5005</v>
      </c>
      <c r="AP199" s="267"/>
      <c r="AQ199" s="267"/>
      <c r="AR199" s="267"/>
      <c r="AS199" s="267"/>
      <c r="AT199" s="267">
        <f t="shared" ref="AT199:AT204" si="536">I199/13</f>
        <v>385</v>
      </c>
      <c r="AU199" s="267"/>
      <c r="AV199" s="267"/>
      <c r="AW199" s="267"/>
      <c r="AX199" s="267"/>
      <c r="AY199" s="267"/>
      <c r="AZ199" s="267"/>
      <c r="BA199" s="267"/>
      <c r="BB199" s="267"/>
      <c r="BC199" s="267"/>
      <c r="BD199" s="267"/>
      <c r="BE199" s="267"/>
      <c r="BF199" s="267"/>
      <c r="BG199" s="267"/>
      <c r="BH199" s="267"/>
      <c r="BI199" s="267"/>
      <c r="BJ199" s="269">
        <f t="shared" ref="BJ199:BR199" si="537">$I199*BJ$2</f>
        <v>612.591145833332</v>
      </c>
      <c r="BK199" s="269">
        <f t="shared" si="537"/>
        <v>612.591145833332</v>
      </c>
      <c r="BL199" s="269">
        <f t="shared" si="537"/>
        <v>612.591145833332</v>
      </c>
      <c r="BM199" s="269">
        <f t="shared" si="537"/>
        <v>612.591145833332</v>
      </c>
      <c r="BN199" s="269">
        <f t="shared" si="537"/>
        <v>612.591145833332</v>
      </c>
      <c r="BO199" s="269">
        <f t="shared" si="537"/>
        <v>612.591145833332</v>
      </c>
      <c r="BP199" s="269">
        <f t="shared" si="537"/>
        <v>612.591145833332</v>
      </c>
      <c r="BQ199" s="269">
        <f t="shared" si="537"/>
        <v>612.591145833332</v>
      </c>
      <c r="BR199" s="269">
        <f t="shared" si="537"/>
        <v>104.270833333333</v>
      </c>
      <c r="BT199" s="60">
        <f t="shared" ref="BT199:CB199" si="538">BT198-BJ199</f>
        <v>59122.6276041667</v>
      </c>
      <c r="BU199" s="60">
        <f t="shared" si="538"/>
        <v>59122.6276041667</v>
      </c>
      <c r="BV199" s="60">
        <f t="shared" si="538"/>
        <v>59122.6276041667</v>
      </c>
      <c r="BW199" s="60">
        <f t="shared" si="538"/>
        <v>59122.6276041667</v>
      </c>
      <c r="BX199" s="60">
        <f t="shared" si="538"/>
        <v>59122.6276041667</v>
      </c>
      <c r="BY199" s="60">
        <f t="shared" si="538"/>
        <v>59122.6276041667</v>
      </c>
      <c r="BZ199" s="60">
        <f t="shared" si="538"/>
        <v>59122.6276041667</v>
      </c>
      <c r="CA199" s="60">
        <f t="shared" si="538"/>
        <v>59122.6276041667</v>
      </c>
      <c r="CB199" s="60">
        <f t="shared" si="538"/>
        <v>10014.9791666667</v>
      </c>
    </row>
    <row r="200" s="234" customFormat="1" ht="27" hidden="1" customHeight="1" spans="1:80">
      <c r="A200" s="236">
        <v>45833</v>
      </c>
      <c r="B200" s="237" t="s">
        <v>275</v>
      </c>
      <c r="C200" s="238" t="s">
        <v>203</v>
      </c>
      <c r="D200" s="239">
        <v>4500171129</v>
      </c>
      <c r="E200" s="238" t="s">
        <v>1143</v>
      </c>
      <c r="F200" s="237" t="s">
        <v>1144</v>
      </c>
      <c r="G200" s="240" t="s">
        <v>131</v>
      </c>
      <c r="H200" s="237" t="s">
        <v>132</v>
      </c>
      <c r="I200" s="247">
        <v>2916</v>
      </c>
      <c r="J200" s="247">
        <v>0</v>
      </c>
      <c r="K200" s="247">
        <v>27</v>
      </c>
      <c r="L200" s="247">
        <f t="shared" si="374"/>
        <v>108</v>
      </c>
      <c r="M200" s="248">
        <v>45874</v>
      </c>
      <c r="N200" s="248">
        <v>45871</v>
      </c>
      <c r="O200" s="212"/>
      <c r="P200" s="212" t="s">
        <v>107</v>
      </c>
      <c r="Q200" s="212" t="s">
        <v>989</v>
      </c>
      <c r="R200" s="274">
        <v>45833</v>
      </c>
      <c r="S200" s="273" t="s">
        <v>80</v>
      </c>
      <c r="T200" s="273" t="s">
        <v>1145</v>
      </c>
      <c r="U200" s="212"/>
      <c r="V200" s="259" t="s">
        <v>1146</v>
      </c>
      <c r="W200" s="248" t="s">
        <v>1147</v>
      </c>
      <c r="X200" s="260">
        <v>0.7738</v>
      </c>
      <c r="Y200" s="247">
        <f t="shared" si="482"/>
        <v>2256.4008</v>
      </c>
      <c r="Z200" s="248"/>
      <c r="AA200" s="259">
        <f>2916</f>
        <v>2916</v>
      </c>
      <c r="AB200" s="259">
        <f t="shared" si="449"/>
        <v>0</v>
      </c>
      <c r="AC200" s="212" t="s">
        <v>113</v>
      </c>
      <c r="AD200" s="212" t="s">
        <v>114</v>
      </c>
      <c r="AE200" s="248" t="s">
        <v>434</v>
      </c>
      <c r="AF200" s="248" t="s">
        <v>115</v>
      </c>
      <c r="AG200" s="267">
        <f t="shared" si="533"/>
        <v>2916</v>
      </c>
      <c r="AH200" s="267"/>
      <c r="AI200" s="267">
        <f t="shared" ref="AI200:AI204" si="539">I200</f>
        <v>2916</v>
      </c>
      <c r="AJ200" s="267"/>
      <c r="AL200" s="267">
        <f t="shared" ref="AL200:AL203" si="540">I200</f>
        <v>2916</v>
      </c>
      <c r="AM200" s="267"/>
      <c r="AN200" s="267"/>
      <c r="AO200" s="267">
        <f t="shared" si="535"/>
        <v>2916</v>
      </c>
      <c r="AP200" s="267"/>
      <c r="AR200" s="267">
        <f>I200/27</f>
        <v>108</v>
      </c>
      <c r="AS200" s="267"/>
      <c r="AT200" s="267"/>
      <c r="AU200" s="267"/>
      <c r="AV200" s="267"/>
      <c r="AW200" s="267"/>
      <c r="AX200" s="267"/>
      <c r="AY200" s="267"/>
      <c r="AZ200" s="267"/>
      <c r="BA200" s="267"/>
      <c r="BB200" s="267"/>
      <c r="BC200" s="267"/>
      <c r="BD200" s="267"/>
      <c r="BE200" s="267"/>
      <c r="BF200" s="267"/>
      <c r="BG200" s="267"/>
      <c r="BH200" s="267"/>
      <c r="BI200" s="267"/>
      <c r="BJ200" s="269">
        <f t="shared" ref="BJ200:BR200" si="541">$I200*BJ$2</f>
        <v>356.906249999999</v>
      </c>
      <c r="BK200" s="269">
        <f t="shared" si="541"/>
        <v>356.906249999999</v>
      </c>
      <c r="BL200" s="269">
        <f t="shared" si="541"/>
        <v>356.906249999999</v>
      </c>
      <c r="BM200" s="269">
        <f t="shared" si="541"/>
        <v>356.906249999999</v>
      </c>
      <c r="BN200" s="269">
        <f t="shared" si="541"/>
        <v>356.906249999999</v>
      </c>
      <c r="BO200" s="269">
        <f t="shared" si="541"/>
        <v>356.906249999999</v>
      </c>
      <c r="BP200" s="269">
        <f t="shared" si="541"/>
        <v>356.906249999999</v>
      </c>
      <c r="BQ200" s="269">
        <f t="shared" si="541"/>
        <v>356.906249999999</v>
      </c>
      <c r="BR200" s="269">
        <f t="shared" si="541"/>
        <v>60.7499999999999</v>
      </c>
      <c r="BT200" s="60">
        <f t="shared" ref="BT200:CB200" si="542">BT199-BJ200</f>
        <v>58765.7213541667</v>
      </c>
      <c r="BU200" s="60">
        <f t="shared" si="542"/>
        <v>58765.7213541667</v>
      </c>
      <c r="BV200" s="60">
        <f t="shared" si="542"/>
        <v>58765.7213541667</v>
      </c>
      <c r="BW200" s="60">
        <f t="shared" si="542"/>
        <v>58765.7213541667</v>
      </c>
      <c r="BX200" s="60">
        <f t="shared" si="542"/>
        <v>58765.7213541667</v>
      </c>
      <c r="BY200" s="60">
        <f t="shared" si="542"/>
        <v>58765.7213541667</v>
      </c>
      <c r="BZ200" s="60">
        <f t="shared" si="542"/>
        <v>58765.7213541667</v>
      </c>
      <c r="CA200" s="60">
        <f t="shared" si="542"/>
        <v>58765.7213541667</v>
      </c>
      <c r="CB200" s="60">
        <f t="shared" si="542"/>
        <v>9954.22916666667</v>
      </c>
    </row>
    <row r="201" s="234" customFormat="1" ht="27" hidden="1" customHeight="1" spans="1:80">
      <c r="A201" s="236">
        <v>45838</v>
      </c>
      <c r="B201" s="237" t="s">
        <v>1148</v>
      </c>
      <c r="C201" s="238" t="s">
        <v>876</v>
      </c>
      <c r="D201" s="239">
        <v>4500172103</v>
      </c>
      <c r="E201" s="238"/>
      <c r="F201" s="237" t="s">
        <v>1149</v>
      </c>
      <c r="G201" s="240" t="s">
        <v>78</v>
      </c>
      <c r="H201" s="237" t="s">
        <v>79</v>
      </c>
      <c r="I201" s="247">
        <v>1350</v>
      </c>
      <c r="J201" s="247">
        <v>0</v>
      </c>
      <c r="K201" s="247">
        <v>54</v>
      </c>
      <c r="L201" s="247">
        <f t="shared" si="374"/>
        <v>25</v>
      </c>
      <c r="M201" s="248">
        <v>45874</v>
      </c>
      <c r="N201" s="248">
        <v>45874</v>
      </c>
      <c r="O201" s="212"/>
      <c r="P201" s="212" t="s">
        <v>107</v>
      </c>
      <c r="Q201" s="212" t="s">
        <v>1150</v>
      </c>
      <c r="R201" s="212">
        <v>45845</v>
      </c>
      <c r="S201" s="212" t="s">
        <v>80</v>
      </c>
      <c r="T201" s="273" t="s">
        <v>1151</v>
      </c>
      <c r="U201" s="212"/>
      <c r="V201" s="259" t="s">
        <v>1152</v>
      </c>
      <c r="W201" s="248" t="s">
        <v>881</v>
      </c>
      <c r="X201" s="260">
        <v>0.7913</v>
      </c>
      <c r="Y201" s="247">
        <f t="shared" si="482"/>
        <v>1068.255</v>
      </c>
      <c r="Z201" s="290" t="s">
        <v>1153</v>
      </c>
      <c r="AA201" s="259">
        <v>1350</v>
      </c>
      <c r="AB201" s="259">
        <f t="shared" si="449"/>
        <v>0</v>
      </c>
      <c r="AC201" s="212" t="s">
        <v>113</v>
      </c>
      <c r="AD201" s="212" t="s">
        <v>114</v>
      </c>
      <c r="AE201" s="248" t="s">
        <v>230</v>
      </c>
      <c r="AF201" s="248" t="s">
        <v>115</v>
      </c>
      <c r="AG201" s="267">
        <f t="shared" si="533"/>
        <v>1350</v>
      </c>
      <c r="AH201" s="267"/>
      <c r="AI201" s="267">
        <f t="shared" si="539"/>
        <v>1350</v>
      </c>
      <c r="AJ201" s="267"/>
      <c r="AL201" s="267">
        <f t="shared" si="540"/>
        <v>1350</v>
      </c>
      <c r="AM201" s="267"/>
      <c r="AN201" s="267"/>
      <c r="AO201" s="267">
        <f t="shared" si="535"/>
        <v>1350</v>
      </c>
      <c r="AP201" s="267"/>
      <c r="AR201" s="267">
        <f>I201/27</f>
        <v>50</v>
      </c>
      <c r="AS201" s="267"/>
      <c r="AT201" s="267"/>
      <c r="AU201" s="267"/>
      <c r="AV201" s="267"/>
      <c r="AW201" s="267"/>
      <c r="AX201" s="267"/>
      <c r="AY201" s="267"/>
      <c r="AZ201" s="267"/>
      <c r="BA201" s="267"/>
      <c r="BB201" s="267"/>
      <c r="BC201" s="267"/>
      <c r="BD201" s="267"/>
      <c r="BE201" s="267"/>
      <c r="BF201" s="267"/>
      <c r="BG201" s="267"/>
      <c r="BH201" s="267"/>
      <c r="BI201" s="267"/>
      <c r="BJ201" s="269">
        <f t="shared" ref="BJ201:BR201" si="543">$I201*BJ$2</f>
        <v>165.234375</v>
      </c>
      <c r="BK201" s="269">
        <f t="shared" si="543"/>
        <v>165.234375</v>
      </c>
      <c r="BL201" s="269">
        <f t="shared" si="543"/>
        <v>165.234375</v>
      </c>
      <c r="BM201" s="269">
        <f t="shared" si="543"/>
        <v>165.234375</v>
      </c>
      <c r="BN201" s="269">
        <f t="shared" si="543"/>
        <v>165.234375</v>
      </c>
      <c r="BO201" s="269">
        <f t="shared" si="543"/>
        <v>165.234375</v>
      </c>
      <c r="BP201" s="269">
        <f t="shared" si="543"/>
        <v>165.234375</v>
      </c>
      <c r="BQ201" s="269">
        <f t="shared" si="543"/>
        <v>165.234375</v>
      </c>
      <c r="BR201" s="269">
        <f t="shared" si="543"/>
        <v>28.125</v>
      </c>
      <c r="BT201" s="60">
        <f t="shared" ref="BT201:CB201" si="544">BT200-BJ201</f>
        <v>58600.4869791667</v>
      </c>
      <c r="BU201" s="60">
        <f t="shared" si="544"/>
        <v>58600.4869791667</v>
      </c>
      <c r="BV201" s="60">
        <f t="shared" si="544"/>
        <v>58600.4869791667</v>
      </c>
      <c r="BW201" s="60">
        <f t="shared" si="544"/>
        <v>58600.4869791667</v>
      </c>
      <c r="BX201" s="60">
        <f t="shared" si="544"/>
        <v>58600.4869791667</v>
      </c>
      <c r="BY201" s="60">
        <f t="shared" si="544"/>
        <v>58600.4869791667</v>
      </c>
      <c r="BZ201" s="60">
        <f t="shared" si="544"/>
        <v>58600.4869791667</v>
      </c>
      <c r="CA201" s="60">
        <f t="shared" si="544"/>
        <v>58600.4869791667</v>
      </c>
      <c r="CB201" s="60">
        <f t="shared" si="544"/>
        <v>9926.10416666667</v>
      </c>
    </row>
    <row r="202" s="234" customFormat="1" ht="27" hidden="1" customHeight="1" spans="1:80">
      <c r="A202" s="236">
        <v>45744</v>
      </c>
      <c r="B202" s="237" t="s">
        <v>1154</v>
      </c>
      <c r="C202" s="238" t="s">
        <v>1155</v>
      </c>
      <c r="D202" s="239">
        <v>4500161685</v>
      </c>
      <c r="E202" s="238"/>
      <c r="F202" s="237" t="s">
        <v>1156</v>
      </c>
      <c r="G202" s="240" t="s">
        <v>94</v>
      </c>
      <c r="H202" s="237" t="s">
        <v>211</v>
      </c>
      <c r="I202" s="247">
        <v>104</v>
      </c>
      <c r="J202" s="247">
        <v>0</v>
      </c>
      <c r="K202" s="247">
        <v>52</v>
      </c>
      <c r="L202" s="247">
        <f t="shared" si="374"/>
        <v>2</v>
      </c>
      <c r="M202" s="248">
        <v>45880</v>
      </c>
      <c r="N202" s="248">
        <v>45876</v>
      </c>
      <c r="O202" s="212"/>
      <c r="P202" s="212" t="s">
        <v>224</v>
      </c>
      <c r="Q202" s="212" t="s">
        <v>1157</v>
      </c>
      <c r="R202" s="212">
        <v>45783</v>
      </c>
      <c r="S202" s="212" t="s">
        <v>80</v>
      </c>
      <c r="T202" s="212" t="s">
        <v>1158</v>
      </c>
      <c r="U202" s="212"/>
      <c r="V202" s="259" t="s">
        <v>1159</v>
      </c>
      <c r="W202" s="248" t="s">
        <v>657</v>
      </c>
      <c r="X202" s="260">
        <v>0.8094</v>
      </c>
      <c r="Y202" s="247">
        <f t="shared" si="482"/>
        <v>84.1776</v>
      </c>
      <c r="Z202" s="248"/>
      <c r="AA202" s="259">
        <v>104</v>
      </c>
      <c r="AB202" s="259">
        <f t="shared" si="449"/>
        <v>0</v>
      </c>
      <c r="AC202" s="212" t="s">
        <v>113</v>
      </c>
      <c r="AD202" s="212" t="s">
        <v>114</v>
      </c>
      <c r="AE202" s="248" t="s">
        <v>94</v>
      </c>
      <c r="AF202" s="248" t="s">
        <v>115</v>
      </c>
      <c r="AG202" s="267">
        <f t="shared" si="533"/>
        <v>104</v>
      </c>
      <c r="AH202" s="267"/>
      <c r="AI202" s="267">
        <f t="shared" si="539"/>
        <v>104</v>
      </c>
      <c r="AJ202" s="267"/>
      <c r="AK202" s="267">
        <f t="shared" si="534"/>
        <v>104</v>
      </c>
      <c r="AL202" s="267"/>
      <c r="AM202" s="267"/>
      <c r="AN202" s="267"/>
      <c r="AO202" s="267">
        <f t="shared" si="535"/>
        <v>104</v>
      </c>
      <c r="AP202" s="267"/>
      <c r="AQ202" s="267"/>
      <c r="AR202" s="267"/>
      <c r="AS202" s="267"/>
      <c r="AT202" s="267">
        <f t="shared" si="536"/>
        <v>8</v>
      </c>
      <c r="AU202" s="267"/>
      <c r="AV202" s="267"/>
      <c r="AW202" s="267"/>
      <c r="AX202" s="267"/>
      <c r="AY202" s="267"/>
      <c r="AZ202" s="267"/>
      <c r="BA202" s="267"/>
      <c r="BB202" s="267"/>
      <c r="BC202" s="267"/>
      <c r="BD202" s="267"/>
      <c r="BE202" s="267"/>
      <c r="BF202" s="267"/>
      <c r="BG202" s="267"/>
      <c r="BH202" s="267"/>
      <c r="BI202" s="267"/>
      <c r="BJ202" s="269">
        <f t="shared" ref="BJ202:BR202" si="545">$I202*BJ$2</f>
        <v>12.7291666666666</v>
      </c>
      <c r="BK202" s="269">
        <f t="shared" si="545"/>
        <v>12.7291666666666</v>
      </c>
      <c r="BL202" s="269">
        <f t="shared" si="545"/>
        <v>12.7291666666666</v>
      </c>
      <c r="BM202" s="269">
        <f t="shared" si="545"/>
        <v>12.7291666666666</v>
      </c>
      <c r="BN202" s="269">
        <f t="shared" si="545"/>
        <v>12.7291666666666</v>
      </c>
      <c r="BO202" s="269">
        <f t="shared" si="545"/>
        <v>12.7291666666666</v>
      </c>
      <c r="BP202" s="269">
        <f t="shared" si="545"/>
        <v>12.7291666666666</v>
      </c>
      <c r="BQ202" s="269">
        <f t="shared" si="545"/>
        <v>12.7291666666666</v>
      </c>
      <c r="BR202" s="269">
        <f t="shared" si="545"/>
        <v>2.16666666666666</v>
      </c>
      <c r="BT202" s="60">
        <f t="shared" ref="BT202:CB202" si="546">BT201-BJ202</f>
        <v>58587.7578125</v>
      </c>
      <c r="BU202" s="60">
        <f t="shared" si="546"/>
        <v>58587.7578125</v>
      </c>
      <c r="BV202" s="60">
        <f t="shared" si="546"/>
        <v>58587.7578125</v>
      </c>
      <c r="BW202" s="60">
        <f t="shared" si="546"/>
        <v>58587.7578125</v>
      </c>
      <c r="BX202" s="60">
        <f t="shared" si="546"/>
        <v>58587.7578125</v>
      </c>
      <c r="BY202" s="60">
        <f t="shared" si="546"/>
        <v>58587.7578125</v>
      </c>
      <c r="BZ202" s="60">
        <f t="shared" si="546"/>
        <v>58587.7578125</v>
      </c>
      <c r="CA202" s="60">
        <f t="shared" si="546"/>
        <v>58587.7578125</v>
      </c>
      <c r="CB202" s="60">
        <f t="shared" si="546"/>
        <v>9923.9375</v>
      </c>
    </row>
    <row r="203" s="234" customFormat="1" ht="27" hidden="1" customHeight="1" spans="1:80">
      <c r="A203" s="236">
        <v>45831</v>
      </c>
      <c r="B203" s="237" t="s">
        <v>1160</v>
      </c>
      <c r="C203" s="238" t="s">
        <v>389</v>
      </c>
      <c r="D203" s="239">
        <v>4500170899</v>
      </c>
      <c r="E203" s="238" t="s">
        <v>1161</v>
      </c>
      <c r="F203" s="237" t="s">
        <v>1162</v>
      </c>
      <c r="G203" s="240" t="s">
        <v>152</v>
      </c>
      <c r="H203" s="237" t="s">
        <v>153</v>
      </c>
      <c r="I203" s="247">
        <v>1300</v>
      </c>
      <c r="J203" s="247">
        <v>0</v>
      </c>
      <c r="K203" s="247">
        <v>13</v>
      </c>
      <c r="L203" s="247">
        <f t="shared" si="374"/>
        <v>100</v>
      </c>
      <c r="M203" s="248">
        <v>45880</v>
      </c>
      <c r="N203" s="248">
        <v>45876</v>
      </c>
      <c r="O203" s="212"/>
      <c r="P203" s="212" t="s">
        <v>224</v>
      </c>
      <c r="Q203" s="212" t="s">
        <v>1128</v>
      </c>
      <c r="R203" s="212">
        <v>45831</v>
      </c>
      <c r="S203" s="212" t="s">
        <v>80</v>
      </c>
      <c r="T203" s="212" t="s">
        <v>951</v>
      </c>
      <c r="U203" s="212"/>
      <c r="V203" s="259" t="s">
        <v>1163</v>
      </c>
      <c r="W203" s="248" t="s">
        <v>513</v>
      </c>
      <c r="X203" s="260">
        <v>0.7931</v>
      </c>
      <c r="Y203" s="247">
        <f t="shared" si="482"/>
        <v>1031.03</v>
      </c>
      <c r="Z203" s="248"/>
      <c r="AA203" s="259">
        <v>1300</v>
      </c>
      <c r="AB203" s="259">
        <f t="shared" si="449"/>
        <v>0</v>
      </c>
      <c r="AC203" s="212" t="s">
        <v>113</v>
      </c>
      <c r="AD203" s="212" t="s">
        <v>114</v>
      </c>
      <c r="AE203" s="248" t="s">
        <v>319</v>
      </c>
      <c r="AF203" s="248" t="s">
        <v>115</v>
      </c>
      <c r="AG203" s="267">
        <f t="shared" si="533"/>
        <v>1300</v>
      </c>
      <c r="AH203" s="267"/>
      <c r="AI203" s="267">
        <f t="shared" si="539"/>
        <v>1300</v>
      </c>
      <c r="AJ203" s="267"/>
      <c r="AK203" s="267"/>
      <c r="AL203" s="267">
        <f t="shared" si="540"/>
        <v>1300</v>
      </c>
      <c r="AM203" s="267"/>
      <c r="AN203" s="267"/>
      <c r="AO203" s="267">
        <f t="shared" si="535"/>
        <v>1300</v>
      </c>
      <c r="AP203" s="267"/>
      <c r="AQ203" s="267"/>
      <c r="AR203" s="267"/>
      <c r="AS203" s="267"/>
      <c r="AT203" s="267"/>
      <c r="AU203" s="267">
        <f>I203/13</f>
        <v>100</v>
      </c>
      <c r="AV203" s="267"/>
      <c r="AW203" s="267"/>
      <c r="AX203" s="267"/>
      <c r="AY203" s="267"/>
      <c r="AZ203" s="267"/>
      <c r="BA203" s="267"/>
      <c r="BB203" s="267"/>
      <c r="BC203" s="267"/>
      <c r="BD203" s="267"/>
      <c r="BE203" s="267"/>
      <c r="BF203" s="267"/>
      <c r="BG203" s="267"/>
      <c r="BH203" s="267"/>
      <c r="BI203" s="267"/>
      <c r="BJ203" s="269">
        <f t="shared" ref="BJ203:BR203" si="547">$I203*BJ$2</f>
        <v>159.114583333333</v>
      </c>
      <c r="BK203" s="269">
        <f t="shared" si="547"/>
        <v>159.114583333333</v>
      </c>
      <c r="BL203" s="269">
        <f t="shared" si="547"/>
        <v>159.114583333333</v>
      </c>
      <c r="BM203" s="269">
        <f t="shared" si="547"/>
        <v>159.114583333333</v>
      </c>
      <c r="BN203" s="269">
        <f t="shared" si="547"/>
        <v>159.114583333333</v>
      </c>
      <c r="BO203" s="269">
        <f t="shared" si="547"/>
        <v>159.114583333333</v>
      </c>
      <c r="BP203" s="269">
        <f t="shared" si="547"/>
        <v>159.114583333333</v>
      </c>
      <c r="BQ203" s="269">
        <f t="shared" si="547"/>
        <v>159.114583333333</v>
      </c>
      <c r="BR203" s="269">
        <f t="shared" si="547"/>
        <v>27.0833333333333</v>
      </c>
      <c r="BT203" s="60">
        <f t="shared" ref="BT203:CB203" si="548">BT202-BJ203</f>
        <v>58428.6432291667</v>
      </c>
      <c r="BU203" s="60">
        <f t="shared" si="548"/>
        <v>58428.6432291667</v>
      </c>
      <c r="BV203" s="60">
        <f t="shared" si="548"/>
        <v>58428.6432291667</v>
      </c>
      <c r="BW203" s="60">
        <f t="shared" si="548"/>
        <v>58428.6432291667</v>
      </c>
      <c r="BX203" s="60">
        <f t="shared" si="548"/>
        <v>58428.6432291667</v>
      </c>
      <c r="BY203" s="60">
        <f t="shared" si="548"/>
        <v>58428.6432291667</v>
      </c>
      <c r="BZ203" s="60">
        <f t="shared" si="548"/>
        <v>58428.6432291667</v>
      </c>
      <c r="CA203" s="60">
        <f t="shared" si="548"/>
        <v>58428.6432291667</v>
      </c>
      <c r="CB203" s="60">
        <f t="shared" si="548"/>
        <v>9896.85416666667</v>
      </c>
    </row>
    <row r="204" s="234" customFormat="1" ht="27" hidden="1" customHeight="1" spans="1:80">
      <c r="A204" s="236">
        <v>45832</v>
      </c>
      <c r="B204" s="237" t="s">
        <v>729</v>
      </c>
      <c r="C204" s="238" t="s">
        <v>117</v>
      </c>
      <c r="D204" s="239">
        <v>4500169184</v>
      </c>
      <c r="E204" s="238" t="s">
        <v>1164</v>
      </c>
      <c r="F204" s="237" t="s">
        <v>1165</v>
      </c>
      <c r="G204" s="240" t="s">
        <v>152</v>
      </c>
      <c r="H204" s="237" t="s">
        <v>153</v>
      </c>
      <c r="I204" s="247">
        <v>10309</v>
      </c>
      <c r="J204" s="247">
        <v>0</v>
      </c>
      <c r="K204" s="247">
        <v>13</v>
      </c>
      <c r="L204" s="247">
        <f t="shared" si="374"/>
        <v>793</v>
      </c>
      <c r="M204" s="248">
        <v>45881</v>
      </c>
      <c r="N204" s="248">
        <v>45877</v>
      </c>
      <c r="O204" s="212" t="s">
        <v>1166</v>
      </c>
      <c r="P204" s="234" t="s">
        <v>107</v>
      </c>
      <c r="Q204" s="212" t="s">
        <v>1167</v>
      </c>
      <c r="R204" s="212">
        <v>45832</v>
      </c>
      <c r="S204" s="212" t="s">
        <v>80</v>
      </c>
      <c r="T204" s="212" t="s">
        <v>80</v>
      </c>
      <c r="U204" s="212" t="s">
        <v>156</v>
      </c>
      <c r="V204" s="259" t="s">
        <v>1168</v>
      </c>
      <c r="W204" s="248" t="s">
        <v>1169</v>
      </c>
      <c r="X204" s="260">
        <v>0.4694</v>
      </c>
      <c r="Y204" s="247">
        <f t="shared" si="482"/>
        <v>4839.0446</v>
      </c>
      <c r="Z204" s="248"/>
      <c r="AA204" s="259">
        <v>10309</v>
      </c>
      <c r="AB204" s="259">
        <f t="shared" si="449"/>
        <v>0</v>
      </c>
      <c r="AC204" s="212" t="s">
        <v>80</v>
      </c>
      <c r="AD204" s="212" t="s">
        <v>114</v>
      </c>
      <c r="AE204" s="248" t="s">
        <v>152</v>
      </c>
      <c r="AF204" s="248" t="s">
        <v>115</v>
      </c>
      <c r="AG204" s="267">
        <f t="shared" si="533"/>
        <v>10309</v>
      </c>
      <c r="AH204" s="267"/>
      <c r="AI204" s="267">
        <f t="shared" si="539"/>
        <v>10309</v>
      </c>
      <c r="AJ204" s="267"/>
      <c r="AK204" s="267">
        <f t="shared" si="534"/>
        <v>10309</v>
      </c>
      <c r="AL204" s="267"/>
      <c r="AM204" s="267"/>
      <c r="AN204" s="267"/>
      <c r="AO204" s="267">
        <f t="shared" si="535"/>
        <v>10309</v>
      </c>
      <c r="AP204" s="267"/>
      <c r="AQ204" s="267"/>
      <c r="AR204" s="267"/>
      <c r="AS204" s="267"/>
      <c r="AT204" s="267">
        <f t="shared" si="536"/>
        <v>793</v>
      </c>
      <c r="AU204" s="267"/>
      <c r="AV204" s="267"/>
      <c r="AW204" s="267"/>
      <c r="AX204" s="267"/>
      <c r="AY204" s="267"/>
      <c r="AZ204" s="267"/>
      <c r="BA204" s="267"/>
      <c r="BB204" s="267"/>
      <c r="BC204" s="267"/>
      <c r="BD204" s="267"/>
      <c r="BE204" s="267"/>
      <c r="BF204" s="267"/>
      <c r="BG204" s="267"/>
      <c r="BH204" s="267"/>
      <c r="BI204" s="267"/>
      <c r="BJ204" s="269">
        <f t="shared" ref="BJ204:BR204" si="549">$I204*BJ$2</f>
        <v>1261.77864583333</v>
      </c>
      <c r="BK204" s="269">
        <f t="shared" si="549"/>
        <v>1261.77864583333</v>
      </c>
      <c r="BL204" s="269">
        <f t="shared" si="549"/>
        <v>1261.77864583333</v>
      </c>
      <c r="BM204" s="269">
        <f t="shared" si="549"/>
        <v>1261.77864583333</v>
      </c>
      <c r="BN204" s="269">
        <f t="shared" si="549"/>
        <v>1261.77864583333</v>
      </c>
      <c r="BO204" s="269">
        <f t="shared" si="549"/>
        <v>1261.77864583333</v>
      </c>
      <c r="BP204" s="269">
        <f t="shared" si="549"/>
        <v>1261.77864583333</v>
      </c>
      <c r="BQ204" s="269">
        <f t="shared" si="549"/>
        <v>1261.77864583333</v>
      </c>
      <c r="BR204" s="269">
        <f t="shared" si="549"/>
        <v>214.770833333333</v>
      </c>
      <c r="BT204" s="60">
        <f t="shared" ref="BT204:CB204" si="550">BT203-BJ204</f>
        <v>57166.8645833334</v>
      </c>
      <c r="BU204" s="60">
        <f t="shared" si="550"/>
        <v>57166.8645833334</v>
      </c>
      <c r="BV204" s="60">
        <f t="shared" si="550"/>
        <v>57166.8645833334</v>
      </c>
      <c r="BW204" s="60">
        <f t="shared" si="550"/>
        <v>57166.8645833334</v>
      </c>
      <c r="BX204" s="60">
        <f t="shared" si="550"/>
        <v>57166.8645833334</v>
      </c>
      <c r="BY204" s="60">
        <f t="shared" si="550"/>
        <v>57166.8645833334</v>
      </c>
      <c r="BZ204" s="60">
        <f t="shared" si="550"/>
        <v>57166.8645833334</v>
      </c>
      <c r="CA204" s="60">
        <f t="shared" si="550"/>
        <v>57166.8645833334</v>
      </c>
      <c r="CB204" s="60">
        <f t="shared" si="550"/>
        <v>9682.08333333334</v>
      </c>
    </row>
    <row r="205" s="234" customFormat="1" ht="27" hidden="1" customHeight="1" spans="1:80">
      <c r="A205" s="236">
        <v>45836</v>
      </c>
      <c r="B205" s="237" t="s">
        <v>1170</v>
      </c>
      <c r="C205" s="238" t="s">
        <v>117</v>
      </c>
      <c r="D205" s="239">
        <v>4500171855</v>
      </c>
      <c r="E205" s="238">
        <v>70073078</v>
      </c>
      <c r="F205" s="237" t="s">
        <v>1171</v>
      </c>
      <c r="G205" s="240" t="s">
        <v>188</v>
      </c>
      <c r="H205" s="237" t="s">
        <v>120</v>
      </c>
      <c r="I205" s="247">
        <v>300</v>
      </c>
      <c r="J205" s="247">
        <v>0</v>
      </c>
      <c r="K205" s="247">
        <v>12</v>
      </c>
      <c r="L205" s="247">
        <f t="shared" si="374"/>
        <v>25</v>
      </c>
      <c r="M205" s="248">
        <v>45881</v>
      </c>
      <c r="N205" s="248">
        <v>45877</v>
      </c>
      <c r="O205" s="212"/>
      <c r="P205" s="212" t="s">
        <v>224</v>
      </c>
      <c r="Q205" s="212"/>
      <c r="R205" s="212">
        <v>45846</v>
      </c>
      <c r="S205" s="212" t="s">
        <v>80</v>
      </c>
      <c r="T205" s="273" t="s">
        <v>1172</v>
      </c>
      <c r="U205" s="212"/>
      <c r="V205" s="259" t="s">
        <v>1173</v>
      </c>
      <c r="W205" s="248" t="s">
        <v>1174</v>
      </c>
      <c r="X205" s="260">
        <v>1.1176</v>
      </c>
      <c r="Y205" s="247">
        <f t="shared" si="482"/>
        <v>335.28</v>
      </c>
      <c r="Z205" s="248"/>
      <c r="AA205" s="259">
        <v>300</v>
      </c>
      <c r="AB205" s="259">
        <f t="shared" si="449"/>
        <v>0</v>
      </c>
      <c r="AC205" s="212" t="s">
        <v>113</v>
      </c>
      <c r="AD205" s="212" t="s">
        <v>114</v>
      </c>
      <c r="AE205" s="248" t="s">
        <v>119</v>
      </c>
      <c r="AF205" s="248" t="s">
        <v>115</v>
      </c>
      <c r="AG205" s="267">
        <f>I205*2</f>
        <v>600</v>
      </c>
      <c r="AH205" s="267"/>
      <c r="AI205" s="267">
        <f>I205*2</f>
        <v>600</v>
      </c>
      <c r="AJ205" s="267"/>
      <c r="AK205" s="267">
        <f>I205*2</f>
        <v>600</v>
      </c>
      <c r="AL205" s="267"/>
      <c r="AM205" s="267"/>
      <c r="AN205" s="267"/>
      <c r="AO205" s="267">
        <f>I205*2</f>
        <v>600</v>
      </c>
      <c r="AP205" s="267"/>
      <c r="AQ205" s="267"/>
      <c r="AR205" s="267"/>
      <c r="AS205" s="267"/>
      <c r="AT205" s="267"/>
      <c r="AU205" s="267"/>
      <c r="AV205" s="267"/>
      <c r="AW205" s="267"/>
      <c r="AX205" s="267"/>
      <c r="AY205" s="267"/>
      <c r="AZ205" s="267"/>
      <c r="BA205" s="267"/>
      <c r="BB205" s="267"/>
      <c r="BC205" s="267"/>
      <c r="BD205" s="267"/>
      <c r="BE205" s="267"/>
      <c r="BF205" s="267">
        <f>I205</f>
        <v>300</v>
      </c>
      <c r="BG205" s="267">
        <f>I205</f>
        <v>300</v>
      </c>
      <c r="BH205" s="267"/>
      <c r="BI205" s="267"/>
      <c r="BJ205" s="269">
        <f t="shared" ref="BJ205:BR205" si="551">$I205*BJ$2*2</f>
        <v>73.4374999999998</v>
      </c>
      <c r="BK205" s="269">
        <f t="shared" si="551"/>
        <v>73.4374999999998</v>
      </c>
      <c r="BL205" s="269">
        <f t="shared" si="551"/>
        <v>73.4374999999998</v>
      </c>
      <c r="BM205" s="269">
        <f t="shared" si="551"/>
        <v>73.4374999999998</v>
      </c>
      <c r="BN205" s="269">
        <f t="shared" si="551"/>
        <v>73.4374999999998</v>
      </c>
      <c r="BO205" s="269">
        <f t="shared" si="551"/>
        <v>73.4374999999998</v>
      </c>
      <c r="BP205" s="269">
        <f t="shared" si="551"/>
        <v>73.4374999999998</v>
      </c>
      <c r="BQ205" s="269">
        <f t="shared" si="551"/>
        <v>73.4374999999998</v>
      </c>
      <c r="BR205" s="269">
        <f t="shared" si="551"/>
        <v>12.5</v>
      </c>
      <c r="BT205" s="60">
        <f t="shared" ref="BT205:CB205" si="552">BT204-BJ205</f>
        <v>57093.4270833334</v>
      </c>
      <c r="BU205" s="60">
        <f t="shared" si="552"/>
        <v>57093.4270833334</v>
      </c>
      <c r="BV205" s="60">
        <f t="shared" si="552"/>
        <v>57093.4270833334</v>
      </c>
      <c r="BW205" s="60">
        <f t="shared" si="552"/>
        <v>57093.4270833334</v>
      </c>
      <c r="BX205" s="60">
        <f t="shared" si="552"/>
        <v>57093.4270833334</v>
      </c>
      <c r="BY205" s="60">
        <f t="shared" si="552"/>
        <v>57093.4270833334</v>
      </c>
      <c r="BZ205" s="60">
        <f t="shared" si="552"/>
        <v>57093.4270833334</v>
      </c>
      <c r="CA205" s="60">
        <f t="shared" si="552"/>
        <v>57093.4270833334</v>
      </c>
      <c r="CB205" s="60">
        <f t="shared" si="552"/>
        <v>9669.58333333334</v>
      </c>
    </row>
    <row r="206" s="234" customFormat="1" ht="27" hidden="1" customHeight="1" spans="1:80">
      <c r="A206" s="236">
        <v>45847</v>
      </c>
      <c r="B206" s="237" t="s">
        <v>1175</v>
      </c>
      <c r="C206" s="238" t="s">
        <v>170</v>
      </c>
      <c r="D206" s="239">
        <v>4500173065</v>
      </c>
      <c r="E206" s="238">
        <v>11259</v>
      </c>
      <c r="F206" s="237" t="s">
        <v>1176</v>
      </c>
      <c r="G206" s="240" t="s">
        <v>152</v>
      </c>
      <c r="H206" s="237" t="s">
        <v>153</v>
      </c>
      <c r="I206" s="247">
        <v>650</v>
      </c>
      <c r="J206" s="247">
        <v>0</v>
      </c>
      <c r="K206" s="247">
        <v>13</v>
      </c>
      <c r="L206" s="247">
        <f t="shared" ref="L206:L269" si="553">I206/K206</f>
        <v>50</v>
      </c>
      <c r="M206" s="248">
        <v>45882</v>
      </c>
      <c r="N206" s="248">
        <v>45878</v>
      </c>
      <c r="O206" s="212"/>
      <c r="P206" s="212" t="s">
        <v>224</v>
      </c>
      <c r="Q206" s="212" t="s">
        <v>1177</v>
      </c>
      <c r="R206" s="212">
        <v>45848</v>
      </c>
      <c r="S206" s="212" t="s">
        <v>80</v>
      </c>
      <c r="T206" s="212" t="s">
        <v>80</v>
      </c>
      <c r="U206" s="212"/>
      <c r="V206" s="259" t="s">
        <v>1178</v>
      </c>
      <c r="W206" s="248" t="s">
        <v>1179</v>
      </c>
      <c r="X206" s="260">
        <v>0.7812</v>
      </c>
      <c r="Y206" s="247">
        <f t="shared" si="482"/>
        <v>507.78</v>
      </c>
      <c r="Z206" s="248"/>
      <c r="AA206" s="259">
        <v>650</v>
      </c>
      <c r="AB206" s="259">
        <f t="shared" si="449"/>
        <v>0</v>
      </c>
      <c r="AC206" s="212" t="s">
        <v>80</v>
      </c>
      <c r="AD206" s="212" t="s">
        <v>114</v>
      </c>
      <c r="AE206" s="248" t="s">
        <v>152</v>
      </c>
      <c r="AF206" s="248" t="s">
        <v>115</v>
      </c>
      <c r="AG206" s="267">
        <f t="shared" ref="AG206:AG210" si="554">I206</f>
        <v>650</v>
      </c>
      <c r="AH206" s="267"/>
      <c r="AI206" s="267">
        <f t="shared" ref="AI206:AI210" si="555">I206</f>
        <v>650</v>
      </c>
      <c r="AJ206" s="267"/>
      <c r="AK206" s="267">
        <f t="shared" ref="AK206:AK208" si="556">I206</f>
        <v>650</v>
      </c>
      <c r="AL206" s="267"/>
      <c r="AM206" s="267"/>
      <c r="AN206" s="267"/>
      <c r="AO206" s="267">
        <f t="shared" ref="AO206:AO210" si="557">I206</f>
        <v>650</v>
      </c>
      <c r="AP206" s="267"/>
      <c r="AQ206" s="267"/>
      <c r="AR206" s="267"/>
      <c r="AS206" s="267"/>
      <c r="AT206" s="267">
        <f t="shared" ref="AT206:AT208" si="558">I206/13</f>
        <v>50</v>
      </c>
      <c r="AU206" s="267"/>
      <c r="AV206" s="267"/>
      <c r="AW206" s="267"/>
      <c r="AX206" s="267"/>
      <c r="AY206" s="267"/>
      <c r="AZ206" s="267"/>
      <c r="BA206" s="267"/>
      <c r="BB206" s="267"/>
      <c r="BC206" s="267"/>
      <c r="BD206" s="267"/>
      <c r="BE206" s="267"/>
      <c r="BF206" s="267"/>
      <c r="BG206" s="267"/>
      <c r="BH206" s="267"/>
      <c r="BI206" s="267"/>
      <c r="BJ206" s="269">
        <f t="shared" ref="BJ206:BR206" si="559">$I206*BJ$2</f>
        <v>79.5572916666664</v>
      </c>
      <c r="BK206" s="269">
        <f t="shared" si="559"/>
        <v>79.5572916666664</v>
      </c>
      <c r="BL206" s="269">
        <f t="shared" si="559"/>
        <v>79.5572916666664</v>
      </c>
      <c r="BM206" s="269">
        <f t="shared" si="559"/>
        <v>79.5572916666664</v>
      </c>
      <c r="BN206" s="269">
        <f t="shared" si="559"/>
        <v>79.5572916666664</v>
      </c>
      <c r="BO206" s="269">
        <f t="shared" si="559"/>
        <v>79.5572916666664</v>
      </c>
      <c r="BP206" s="269">
        <f t="shared" si="559"/>
        <v>79.5572916666664</v>
      </c>
      <c r="BQ206" s="269">
        <f t="shared" si="559"/>
        <v>79.5572916666664</v>
      </c>
      <c r="BR206" s="269">
        <f t="shared" si="559"/>
        <v>13.5416666666666</v>
      </c>
      <c r="BT206" s="60">
        <f t="shared" ref="BT206:CB206" si="560">BT205-BJ206</f>
        <v>57013.8697916667</v>
      </c>
      <c r="BU206" s="60">
        <f t="shared" si="560"/>
        <v>57013.8697916667</v>
      </c>
      <c r="BV206" s="60">
        <f t="shared" si="560"/>
        <v>57013.8697916667</v>
      </c>
      <c r="BW206" s="60">
        <f t="shared" si="560"/>
        <v>57013.8697916667</v>
      </c>
      <c r="BX206" s="60">
        <f t="shared" si="560"/>
        <v>57013.8697916667</v>
      </c>
      <c r="BY206" s="60">
        <f t="shared" si="560"/>
        <v>57013.8697916667</v>
      </c>
      <c r="BZ206" s="60">
        <f t="shared" si="560"/>
        <v>57013.8697916667</v>
      </c>
      <c r="CA206" s="60">
        <f t="shared" si="560"/>
        <v>57013.8697916667</v>
      </c>
      <c r="CB206" s="60">
        <f t="shared" si="560"/>
        <v>9656.04166666667</v>
      </c>
    </row>
    <row r="207" s="234" customFormat="1" ht="27" hidden="1" customHeight="1" spans="1:80">
      <c r="A207" s="236">
        <v>45842</v>
      </c>
      <c r="B207" s="237" t="s">
        <v>149</v>
      </c>
      <c r="C207" s="238" t="s">
        <v>117</v>
      </c>
      <c r="D207" s="239">
        <v>4500172802</v>
      </c>
      <c r="E207" s="238" t="s">
        <v>1180</v>
      </c>
      <c r="F207" s="237" t="s">
        <v>1181</v>
      </c>
      <c r="G207" s="240" t="s">
        <v>152</v>
      </c>
      <c r="H207" s="237" t="s">
        <v>153</v>
      </c>
      <c r="I207" s="247">
        <v>6006</v>
      </c>
      <c r="J207" s="247">
        <v>0</v>
      </c>
      <c r="K207" s="247">
        <v>13</v>
      </c>
      <c r="L207" s="247">
        <f t="shared" si="553"/>
        <v>462</v>
      </c>
      <c r="M207" s="248">
        <v>45884</v>
      </c>
      <c r="N207" s="248">
        <v>45880</v>
      </c>
      <c r="O207" s="212"/>
      <c r="P207" s="212" t="s">
        <v>107</v>
      </c>
      <c r="Q207" s="212" t="s">
        <v>1010</v>
      </c>
      <c r="R207" s="212">
        <v>45854</v>
      </c>
      <c r="S207" s="212" t="s">
        <v>191</v>
      </c>
      <c r="T207" s="212" t="s">
        <v>1182</v>
      </c>
      <c r="U207" s="212"/>
      <c r="V207" s="259" t="s">
        <v>356</v>
      </c>
      <c r="W207" s="248" t="s">
        <v>158</v>
      </c>
      <c r="X207" s="260">
        <v>0.4622</v>
      </c>
      <c r="Y207" s="247">
        <f t="shared" si="482"/>
        <v>2775.9732</v>
      </c>
      <c r="Z207" s="248"/>
      <c r="AA207" s="259">
        <v>6006</v>
      </c>
      <c r="AB207" s="259">
        <f t="shared" si="449"/>
        <v>0</v>
      </c>
      <c r="AC207" s="212" t="s">
        <v>113</v>
      </c>
      <c r="AD207" s="212" t="s">
        <v>114</v>
      </c>
      <c r="AE207" s="248" t="s">
        <v>152</v>
      </c>
      <c r="AF207" s="248" t="s">
        <v>115</v>
      </c>
      <c r="AG207" s="267">
        <f t="shared" si="554"/>
        <v>6006</v>
      </c>
      <c r="AH207" s="267"/>
      <c r="AI207" s="267">
        <f t="shared" si="555"/>
        <v>6006</v>
      </c>
      <c r="AJ207" s="267"/>
      <c r="AK207" s="267">
        <f t="shared" si="556"/>
        <v>6006</v>
      </c>
      <c r="AL207" s="267"/>
      <c r="AM207" s="267"/>
      <c r="AN207" s="267"/>
      <c r="AO207" s="267">
        <f t="shared" si="557"/>
        <v>6006</v>
      </c>
      <c r="AP207" s="267"/>
      <c r="AQ207" s="267"/>
      <c r="AR207" s="267"/>
      <c r="AS207" s="267"/>
      <c r="AT207" s="267">
        <f t="shared" si="558"/>
        <v>462</v>
      </c>
      <c r="AU207" s="267"/>
      <c r="AV207" s="267"/>
      <c r="AW207" s="267"/>
      <c r="AX207" s="267"/>
      <c r="AY207" s="267"/>
      <c r="AZ207" s="267"/>
      <c r="BA207" s="267"/>
      <c r="BB207" s="267"/>
      <c r="BC207" s="267"/>
      <c r="BD207" s="267"/>
      <c r="BE207" s="267"/>
      <c r="BF207" s="267"/>
      <c r="BG207" s="267"/>
      <c r="BH207" s="267"/>
      <c r="BI207" s="267"/>
      <c r="BJ207" s="269">
        <f t="shared" ref="BJ207:BR207" si="561">$I207*BJ$2</f>
        <v>735.109374999998</v>
      </c>
      <c r="BK207" s="269">
        <f t="shared" si="561"/>
        <v>735.109374999998</v>
      </c>
      <c r="BL207" s="269">
        <f t="shared" si="561"/>
        <v>735.109374999998</v>
      </c>
      <c r="BM207" s="269">
        <f t="shared" si="561"/>
        <v>735.109374999998</v>
      </c>
      <c r="BN207" s="269">
        <f t="shared" si="561"/>
        <v>735.109374999998</v>
      </c>
      <c r="BO207" s="269">
        <f t="shared" si="561"/>
        <v>735.109374999998</v>
      </c>
      <c r="BP207" s="269">
        <f t="shared" si="561"/>
        <v>735.109374999998</v>
      </c>
      <c r="BQ207" s="269">
        <f t="shared" si="561"/>
        <v>735.109374999998</v>
      </c>
      <c r="BR207" s="269">
        <f t="shared" si="561"/>
        <v>125.125</v>
      </c>
      <c r="BT207" s="60">
        <f t="shared" ref="BT207:CB207" si="562">BT206-BJ207</f>
        <v>56278.7604166667</v>
      </c>
      <c r="BU207" s="60">
        <f t="shared" si="562"/>
        <v>56278.7604166667</v>
      </c>
      <c r="BV207" s="60">
        <f t="shared" si="562"/>
        <v>56278.7604166667</v>
      </c>
      <c r="BW207" s="60">
        <f t="shared" si="562"/>
        <v>56278.7604166667</v>
      </c>
      <c r="BX207" s="60">
        <f t="shared" si="562"/>
        <v>56278.7604166667</v>
      </c>
      <c r="BY207" s="60">
        <f t="shared" si="562"/>
        <v>56278.7604166667</v>
      </c>
      <c r="BZ207" s="60">
        <f t="shared" si="562"/>
        <v>56278.7604166667</v>
      </c>
      <c r="CA207" s="60">
        <f t="shared" si="562"/>
        <v>56278.7604166667</v>
      </c>
      <c r="CB207" s="60">
        <f t="shared" si="562"/>
        <v>9530.91666666667</v>
      </c>
    </row>
    <row r="208" s="234" customFormat="1" ht="27" hidden="1" customHeight="1" spans="1:80">
      <c r="A208" s="236">
        <v>45842</v>
      </c>
      <c r="B208" s="237" t="s">
        <v>149</v>
      </c>
      <c r="C208" s="238" t="s">
        <v>117</v>
      </c>
      <c r="D208" s="239">
        <v>4500172800</v>
      </c>
      <c r="E208" s="238" t="s">
        <v>1183</v>
      </c>
      <c r="F208" s="237" t="s">
        <v>1184</v>
      </c>
      <c r="G208" s="240" t="s">
        <v>152</v>
      </c>
      <c r="H208" s="237" t="s">
        <v>153</v>
      </c>
      <c r="I208" s="247">
        <v>7007</v>
      </c>
      <c r="J208" s="247">
        <v>0</v>
      </c>
      <c r="K208" s="247">
        <v>13</v>
      </c>
      <c r="L208" s="247">
        <f t="shared" si="553"/>
        <v>539</v>
      </c>
      <c r="M208" s="248">
        <v>45884</v>
      </c>
      <c r="N208" s="248">
        <v>45880</v>
      </c>
      <c r="O208" s="212"/>
      <c r="P208" s="212" t="s">
        <v>107</v>
      </c>
      <c r="Q208" s="212" t="s">
        <v>1185</v>
      </c>
      <c r="R208" s="212">
        <v>45854</v>
      </c>
      <c r="S208" s="212" t="s">
        <v>191</v>
      </c>
      <c r="T208" s="212" t="s">
        <v>1186</v>
      </c>
      <c r="U208" s="212"/>
      <c r="V208" s="259" t="s">
        <v>356</v>
      </c>
      <c r="W208" s="248" t="s">
        <v>158</v>
      </c>
      <c r="X208" s="260">
        <v>0.4622</v>
      </c>
      <c r="Y208" s="247">
        <f t="shared" si="482"/>
        <v>3238.6354</v>
      </c>
      <c r="Z208" s="248"/>
      <c r="AA208" s="259">
        <v>7007</v>
      </c>
      <c r="AB208" s="259">
        <f t="shared" si="449"/>
        <v>0</v>
      </c>
      <c r="AC208" s="212" t="s">
        <v>113</v>
      </c>
      <c r="AD208" s="212" t="s">
        <v>114</v>
      </c>
      <c r="AE208" s="248" t="s">
        <v>152</v>
      </c>
      <c r="AF208" s="248" t="s">
        <v>115</v>
      </c>
      <c r="AG208" s="267">
        <f t="shared" si="554"/>
        <v>7007</v>
      </c>
      <c r="AH208" s="267"/>
      <c r="AI208" s="267">
        <f t="shared" si="555"/>
        <v>7007</v>
      </c>
      <c r="AJ208" s="267"/>
      <c r="AK208" s="267">
        <f t="shared" si="556"/>
        <v>7007</v>
      </c>
      <c r="AL208" s="267"/>
      <c r="AM208" s="267"/>
      <c r="AN208" s="267"/>
      <c r="AO208" s="267">
        <f t="shared" si="557"/>
        <v>7007</v>
      </c>
      <c r="AP208" s="267"/>
      <c r="AQ208" s="267"/>
      <c r="AR208" s="267"/>
      <c r="AS208" s="267"/>
      <c r="AT208" s="267">
        <f t="shared" si="558"/>
        <v>539</v>
      </c>
      <c r="AU208" s="267"/>
      <c r="AV208" s="267"/>
      <c r="AW208" s="267"/>
      <c r="AX208" s="267"/>
      <c r="AY208" s="267"/>
      <c r="AZ208" s="267"/>
      <c r="BA208" s="267"/>
      <c r="BB208" s="267"/>
      <c r="BC208" s="267"/>
      <c r="BD208" s="267"/>
      <c r="BE208" s="267"/>
      <c r="BF208" s="267"/>
      <c r="BG208" s="267"/>
      <c r="BH208" s="267"/>
      <c r="BI208" s="267"/>
      <c r="BJ208" s="269">
        <f t="shared" ref="BJ208:BR208" si="563">$I208*BJ$2</f>
        <v>857.627604166664</v>
      </c>
      <c r="BK208" s="269">
        <f t="shared" si="563"/>
        <v>857.627604166664</v>
      </c>
      <c r="BL208" s="269">
        <f t="shared" si="563"/>
        <v>857.627604166664</v>
      </c>
      <c r="BM208" s="269">
        <f t="shared" si="563"/>
        <v>857.627604166664</v>
      </c>
      <c r="BN208" s="269">
        <f t="shared" si="563"/>
        <v>857.627604166664</v>
      </c>
      <c r="BO208" s="269">
        <f t="shared" si="563"/>
        <v>857.627604166664</v>
      </c>
      <c r="BP208" s="269">
        <f t="shared" si="563"/>
        <v>857.627604166664</v>
      </c>
      <c r="BQ208" s="269">
        <f t="shared" si="563"/>
        <v>857.627604166664</v>
      </c>
      <c r="BR208" s="269">
        <f t="shared" si="563"/>
        <v>145.979166666666</v>
      </c>
      <c r="BT208" s="60">
        <f t="shared" ref="BT208:CB208" si="564">BT207-BJ208</f>
        <v>55421.1328125001</v>
      </c>
      <c r="BU208" s="60">
        <f t="shared" si="564"/>
        <v>55421.1328125001</v>
      </c>
      <c r="BV208" s="60">
        <f t="shared" si="564"/>
        <v>55421.1328125001</v>
      </c>
      <c r="BW208" s="60">
        <f t="shared" si="564"/>
        <v>55421.1328125001</v>
      </c>
      <c r="BX208" s="60">
        <f t="shared" si="564"/>
        <v>55421.1328125001</v>
      </c>
      <c r="BY208" s="60">
        <f t="shared" si="564"/>
        <v>55421.1328125001</v>
      </c>
      <c r="BZ208" s="60">
        <f t="shared" si="564"/>
        <v>55421.1328125001</v>
      </c>
      <c r="CA208" s="60">
        <f t="shared" si="564"/>
        <v>55421.1328125001</v>
      </c>
      <c r="CB208" s="60">
        <f t="shared" si="564"/>
        <v>9384.93750000001</v>
      </c>
    </row>
    <row r="209" s="234" customFormat="1" ht="27" hidden="1" customHeight="1" spans="1:80">
      <c r="A209" s="236">
        <v>45825</v>
      </c>
      <c r="B209" s="237" t="s">
        <v>1187</v>
      </c>
      <c r="C209" s="238" t="s">
        <v>985</v>
      </c>
      <c r="D209" s="239">
        <v>4500170167</v>
      </c>
      <c r="E209" s="238" t="s">
        <v>1188</v>
      </c>
      <c r="F209" s="237" t="s">
        <v>1189</v>
      </c>
      <c r="G209" s="240" t="s">
        <v>78</v>
      </c>
      <c r="H209" s="237" t="s">
        <v>79</v>
      </c>
      <c r="I209" s="247">
        <v>2052</v>
      </c>
      <c r="J209" s="247">
        <v>0</v>
      </c>
      <c r="K209" s="247">
        <v>54</v>
      </c>
      <c r="L209" s="247">
        <f t="shared" si="553"/>
        <v>38</v>
      </c>
      <c r="M209" s="248">
        <v>45891</v>
      </c>
      <c r="N209" s="248">
        <v>45887</v>
      </c>
      <c r="O209" s="212"/>
      <c r="P209" s="212" t="s">
        <v>224</v>
      </c>
      <c r="Q209" s="212" t="s">
        <v>1190</v>
      </c>
      <c r="R209" s="212">
        <v>45827</v>
      </c>
      <c r="S209" s="212" t="s">
        <v>80</v>
      </c>
      <c r="T209" s="212" t="s">
        <v>1191</v>
      </c>
      <c r="U209" s="212"/>
      <c r="V209" s="259" t="s">
        <v>1192</v>
      </c>
      <c r="W209" s="248" t="s">
        <v>228</v>
      </c>
      <c r="X209" s="260">
        <v>0.7741</v>
      </c>
      <c r="Y209" s="247">
        <f t="shared" si="482"/>
        <v>1588.4532</v>
      </c>
      <c r="Z209" s="248" t="s">
        <v>1193</v>
      </c>
      <c r="AA209" s="259">
        <v>2052</v>
      </c>
      <c r="AB209" s="259">
        <f t="shared" si="449"/>
        <v>0</v>
      </c>
      <c r="AC209" s="212" t="s">
        <v>113</v>
      </c>
      <c r="AD209" s="212" t="s">
        <v>114</v>
      </c>
      <c r="AE209" s="248" t="s">
        <v>230</v>
      </c>
      <c r="AF209" s="248" t="s">
        <v>115</v>
      </c>
      <c r="AG209" s="267">
        <f t="shared" si="554"/>
        <v>2052</v>
      </c>
      <c r="AH209" s="267"/>
      <c r="AI209" s="267">
        <f t="shared" si="555"/>
        <v>2052</v>
      </c>
      <c r="AJ209" s="267"/>
      <c r="AK209" s="267"/>
      <c r="AL209" s="267">
        <f>I209</f>
        <v>2052</v>
      </c>
      <c r="AM209" s="267"/>
      <c r="AN209" s="267"/>
      <c r="AO209" s="267">
        <f t="shared" si="557"/>
        <v>2052</v>
      </c>
      <c r="AP209" s="267"/>
      <c r="AQ209" s="267"/>
      <c r="AS209" s="267">
        <f>I209/27</f>
        <v>76</v>
      </c>
      <c r="AT209" s="267"/>
      <c r="AU209" s="267"/>
      <c r="AV209" s="267"/>
      <c r="AW209" s="267"/>
      <c r="AX209" s="267"/>
      <c r="AY209" s="267"/>
      <c r="AZ209" s="267"/>
      <c r="BA209" s="267"/>
      <c r="BB209" s="267"/>
      <c r="BC209" s="267"/>
      <c r="BD209" s="267"/>
      <c r="BE209" s="267"/>
      <c r="BF209" s="267"/>
      <c r="BG209" s="267"/>
      <c r="BH209" s="267"/>
      <c r="BI209" s="267"/>
      <c r="BJ209" s="269">
        <f t="shared" ref="BJ209:BR209" si="565">$I209*BJ$2</f>
        <v>251.156249999999</v>
      </c>
      <c r="BK209" s="269">
        <f t="shared" si="565"/>
        <v>251.156249999999</v>
      </c>
      <c r="BL209" s="269">
        <f t="shared" si="565"/>
        <v>251.156249999999</v>
      </c>
      <c r="BM209" s="269">
        <f t="shared" si="565"/>
        <v>251.156249999999</v>
      </c>
      <c r="BN209" s="269">
        <f t="shared" si="565"/>
        <v>251.156249999999</v>
      </c>
      <c r="BO209" s="269">
        <f t="shared" si="565"/>
        <v>251.156249999999</v>
      </c>
      <c r="BP209" s="269">
        <f t="shared" si="565"/>
        <v>251.156249999999</v>
      </c>
      <c r="BQ209" s="269">
        <f t="shared" si="565"/>
        <v>251.156249999999</v>
      </c>
      <c r="BR209" s="269">
        <f t="shared" si="565"/>
        <v>42.7499999999999</v>
      </c>
      <c r="BT209" s="60">
        <f t="shared" ref="BT209:CB209" si="566">BT208-BJ209</f>
        <v>55169.9765625001</v>
      </c>
      <c r="BU209" s="60">
        <f t="shared" si="566"/>
        <v>55169.9765625001</v>
      </c>
      <c r="BV209" s="60">
        <f t="shared" si="566"/>
        <v>55169.9765625001</v>
      </c>
      <c r="BW209" s="60">
        <f t="shared" si="566"/>
        <v>55169.9765625001</v>
      </c>
      <c r="BX209" s="60">
        <f t="shared" si="566"/>
        <v>55169.9765625001</v>
      </c>
      <c r="BY209" s="60">
        <f t="shared" si="566"/>
        <v>55169.9765625001</v>
      </c>
      <c r="BZ209" s="60">
        <f t="shared" si="566"/>
        <v>55169.9765625001</v>
      </c>
      <c r="CA209" s="60">
        <f t="shared" si="566"/>
        <v>55169.9765625001</v>
      </c>
      <c r="CB209" s="60">
        <f t="shared" si="566"/>
        <v>9342.18750000001</v>
      </c>
    </row>
    <row r="210" s="234" customFormat="1" ht="27" hidden="1" customHeight="1" spans="1:80">
      <c r="A210" s="236">
        <v>45841</v>
      </c>
      <c r="B210" s="237" t="s">
        <v>103</v>
      </c>
      <c r="C210" s="238" t="s">
        <v>104</v>
      </c>
      <c r="D210" s="239">
        <v>4500172669</v>
      </c>
      <c r="E210" s="238">
        <v>84443</v>
      </c>
      <c r="F210" s="237" t="s">
        <v>1194</v>
      </c>
      <c r="G210" s="240" t="s">
        <v>131</v>
      </c>
      <c r="H210" s="237" t="s">
        <v>132</v>
      </c>
      <c r="I210" s="247">
        <v>1350</v>
      </c>
      <c r="J210" s="247">
        <v>0</v>
      </c>
      <c r="K210" s="247">
        <v>27</v>
      </c>
      <c r="L210" s="247">
        <f t="shared" si="553"/>
        <v>50</v>
      </c>
      <c r="M210" s="248">
        <v>45890</v>
      </c>
      <c r="N210" s="248">
        <v>45887</v>
      </c>
      <c r="O210" s="212"/>
      <c r="P210" s="212" t="s">
        <v>224</v>
      </c>
      <c r="Q210" s="212" t="s">
        <v>1195</v>
      </c>
      <c r="R210" s="212">
        <v>45842</v>
      </c>
      <c r="S210" s="273" t="s">
        <v>80</v>
      </c>
      <c r="T210" s="212" t="s">
        <v>1196</v>
      </c>
      <c r="U210" s="212"/>
      <c r="V210" s="259" t="s">
        <v>1197</v>
      </c>
      <c r="W210" s="248" t="s">
        <v>214</v>
      </c>
      <c r="X210" s="260">
        <v>0.7738</v>
      </c>
      <c r="Y210" s="247">
        <f t="shared" si="482"/>
        <v>1044.63</v>
      </c>
      <c r="Z210" s="248"/>
      <c r="AA210" s="259">
        <v>1350</v>
      </c>
      <c r="AB210" s="259">
        <f t="shared" si="449"/>
        <v>0</v>
      </c>
      <c r="AC210" s="234" t="s">
        <v>113</v>
      </c>
      <c r="AD210" s="212" t="s">
        <v>114</v>
      </c>
      <c r="AE210" s="248" t="s">
        <v>131</v>
      </c>
      <c r="AF210" s="212" t="s">
        <v>115</v>
      </c>
      <c r="AG210" s="267">
        <f t="shared" si="554"/>
        <v>1350</v>
      </c>
      <c r="AH210" s="267"/>
      <c r="AI210" s="267">
        <f t="shared" si="555"/>
        <v>1350</v>
      </c>
      <c r="AJ210" s="267"/>
      <c r="AK210" s="267">
        <f t="shared" ref="AK210:AK238" si="567">I210</f>
        <v>1350</v>
      </c>
      <c r="AL210" s="267"/>
      <c r="AM210" s="267"/>
      <c r="AN210" s="267"/>
      <c r="AO210" s="267">
        <f t="shared" si="557"/>
        <v>1350</v>
      </c>
      <c r="AP210" s="267"/>
      <c r="AQ210" s="267">
        <f>I210/27</f>
        <v>50</v>
      </c>
      <c r="AR210" s="267"/>
      <c r="AS210" s="267"/>
      <c r="AT210" s="267"/>
      <c r="AU210" s="267"/>
      <c r="AV210" s="267"/>
      <c r="AW210" s="267"/>
      <c r="AX210" s="267"/>
      <c r="AY210" s="267"/>
      <c r="AZ210" s="267"/>
      <c r="BA210" s="267"/>
      <c r="BB210" s="267"/>
      <c r="BC210" s="267"/>
      <c r="BD210" s="267"/>
      <c r="BE210" s="267"/>
      <c r="BF210" s="267"/>
      <c r="BG210" s="267"/>
      <c r="BH210" s="267"/>
      <c r="BI210" s="267"/>
      <c r="BJ210" s="269">
        <f t="shared" ref="BJ210:BR210" si="568">$I210*BJ$2</f>
        <v>165.234375</v>
      </c>
      <c r="BK210" s="269">
        <f t="shared" si="568"/>
        <v>165.234375</v>
      </c>
      <c r="BL210" s="269">
        <f t="shared" si="568"/>
        <v>165.234375</v>
      </c>
      <c r="BM210" s="269">
        <f t="shared" si="568"/>
        <v>165.234375</v>
      </c>
      <c r="BN210" s="269">
        <f t="shared" si="568"/>
        <v>165.234375</v>
      </c>
      <c r="BO210" s="269">
        <f t="shared" si="568"/>
        <v>165.234375</v>
      </c>
      <c r="BP210" s="269">
        <f t="shared" si="568"/>
        <v>165.234375</v>
      </c>
      <c r="BQ210" s="269">
        <f t="shared" si="568"/>
        <v>165.234375</v>
      </c>
      <c r="BR210" s="269">
        <f t="shared" si="568"/>
        <v>28.125</v>
      </c>
      <c r="BT210" s="60">
        <f t="shared" ref="BT210:CB210" si="569">BT209-BJ210</f>
        <v>55004.7421875001</v>
      </c>
      <c r="BU210" s="60">
        <f t="shared" si="569"/>
        <v>55004.7421875001</v>
      </c>
      <c r="BV210" s="60">
        <f t="shared" si="569"/>
        <v>55004.7421875001</v>
      </c>
      <c r="BW210" s="60">
        <f t="shared" si="569"/>
        <v>55004.7421875001</v>
      </c>
      <c r="BX210" s="60">
        <f t="shared" si="569"/>
        <v>55004.7421875001</v>
      </c>
      <c r="BY210" s="60">
        <f t="shared" si="569"/>
        <v>55004.7421875001</v>
      </c>
      <c r="BZ210" s="60">
        <f t="shared" si="569"/>
        <v>55004.7421875001</v>
      </c>
      <c r="CA210" s="60">
        <f t="shared" si="569"/>
        <v>55004.7421875001</v>
      </c>
      <c r="CB210" s="60">
        <f t="shared" si="569"/>
        <v>9314.06250000001</v>
      </c>
    </row>
    <row r="211" s="234" customFormat="1" ht="27" hidden="1" customHeight="1" spans="1:80">
      <c r="A211" s="236">
        <v>45836</v>
      </c>
      <c r="B211" s="237" t="s">
        <v>1170</v>
      </c>
      <c r="C211" s="238" t="s">
        <v>117</v>
      </c>
      <c r="D211" s="239">
        <v>4500171859</v>
      </c>
      <c r="E211" s="238">
        <v>70073083</v>
      </c>
      <c r="F211" s="237" t="s">
        <v>1198</v>
      </c>
      <c r="G211" s="240" t="s">
        <v>188</v>
      </c>
      <c r="H211" s="237" t="s">
        <v>120</v>
      </c>
      <c r="I211" s="247">
        <v>300</v>
      </c>
      <c r="J211" s="247">
        <v>0</v>
      </c>
      <c r="K211" s="247">
        <v>12</v>
      </c>
      <c r="L211" s="247">
        <f t="shared" si="553"/>
        <v>25</v>
      </c>
      <c r="M211" s="248">
        <v>45891</v>
      </c>
      <c r="N211" s="248">
        <v>45887</v>
      </c>
      <c r="O211" s="212"/>
      <c r="P211" s="212" t="s">
        <v>224</v>
      </c>
      <c r="Q211" s="212" t="s">
        <v>1199</v>
      </c>
      <c r="R211" s="212">
        <v>45846</v>
      </c>
      <c r="S211" s="212" t="s">
        <v>80</v>
      </c>
      <c r="T211" s="273" t="s">
        <v>1200</v>
      </c>
      <c r="U211" s="212"/>
      <c r="V211" s="259" t="s">
        <v>1173</v>
      </c>
      <c r="W211" s="248" t="s">
        <v>1174</v>
      </c>
      <c r="X211" s="260">
        <v>1.1176</v>
      </c>
      <c r="Y211" s="247">
        <f t="shared" si="482"/>
        <v>335.28</v>
      </c>
      <c r="Z211" s="248"/>
      <c r="AA211" s="259">
        <v>300</v>
      </c>
      <c r="AB211" s="259">
        <f t="shared" si="449"/>
        <v>0</v>
      </c>
      <c r="AC211" s="212" t="s">
        <v>113</v>
      </c>
      <c r="AD211" s="212" t="s">
        <v>114</v>
      </c>
      <c r="AE211" s="248" t="s">
        <v>119</v>
      </c>
      <c r="AF211" s="248" t="s">
        <v>115</v>
      </c>
      <c r="AG211" s="267">
        <f>I211*2</f>
        <v>600</v>
      </c>
      <c r="AH211" s="267"/>
      <c r="AI211" s="267">
        <f>I211*2</f>
        <v>600</v>
      </c>
      <c r="AJ211" s="267"/>
      <c r="AK211" s="267">
        <f>I211*2</f>
        <v>600</v>
      </c>
      <c r="AL211" s="267"/>
      <c r="AM211" s="267"/>
      <c r="AN211" s="267"/>
      <c r="AO211" s="267">
        <f>I211*2</f>
        <v>600</v>
      </c>
      <c r="AP211" s="267"/>
      <c r="AQ211" s="267"/>
      <c r="AR211" s="267"/>
      <c r="AS211" s="267"/>
      <c r="AT211" s="267"/>
      <c r="AU211" s="267"/>
      <c r="AV211" s="267"/>
      <c r="AW211" s="267"/>
      <c r="AX211" s="267"/>
      <c r="AY211" s="267"/>
      <c r="AZ211" s="267"/>
      <c r="BA211" s="267"/>
      <c r="BB211" s="267"/>
      <c r="BC211" s="267"/>
      <c r="BD211" s="267"/>
      <c r="BE211" s="267"/>
      <c r="BF211" s="267">
        <f>I211</f>
        <v>300</v>
      </c>
      <c r="BG211" s="267">
        <f>I211</f>
        <v>300</v>
      </c>
      <c r="BH211" s="267"/>
      <c r="BI211" s="267"/>
      <c r="BJ211" s="269">
        <f t="shared" ref="BJ211:BR211" si="570">$I211*BJ$2*2</f>
        <v>73.4374999999998</v>
      </c>
      <c r="BK211" s="269">
        <f t="shared" si="570"/>
        <v>73.4374999999998</v>
      </c>
      <c r="BL211" s="269">
        <f t="shared" si="570"/>
        <v>73.4374999999998</v>
      </c>
      <c r="BM211" s="269">
        <f t="shared" si="570"/>
        <v>73.4374999999998</v>
      </c>
      <c r="BN211" s="269">
        <f t="shared" si="570"/>
        <v>73.4374999999998</v>
      </c>
      <c r="BO211" s="269">
        <f t="shared" si="570"/>
        <v>73.4374999999998</v>
      </c>
      <c r="BP211" s="269">
        <f t="shared" si="570"/>
        <v>73.4374999999998</v>
      </c>
      <c r="BQ211" s="269">
        <f t="shared" si="570"/>
        <v>73.4374999999998</v>
      </c>
      <c r="BR211" s="269">
        <f t="shared" si="570"/>
        <v>12.5</v>
      </c>
      <c r="BT211" s="60">
        <f t="shared" ref="BT211:CB211" si="571">BT210-BJ211</f>
        <v>54931.3046875001</v>
      </c>
      <c r="BU211" s="60">
        <f t="shared" si="571"/>
        <v>54931.3046875001</v>
      </c>
      <c r="BV211" s="60">
        <f t="shared" si="571"/>
        <v>54931.3046875001</v>
      </c>
      <c r="BW211" s="60">
        <f t="shared" si="571"/>
        <v>54931.3046875001</v>
      </c>
      <c r="BX211" s="60">
        <f t="shared" si="571"/>
        <v>54931.3046875001</v>
      </c>
      <c r="BY211" s="60">
        <f t="shared" si="571"/>
        <v>54931.3046875001</v>
      </c>
      <c r="BZ211" s="60">
        <f t="shared" si="571"/>
        <v>54931.3046875001</v>
      </c>
      <c r="CA211" s="60">
        <f t="shared" si="571"/>
        <v>54931.3046875001</v>
      </c>
      <c r="CB211" s="60">
        <f t="shared" si="571"/>
        <v>9301.56250000001</v>
      </c>
    </row>
    <row r="212" s="234" customFormat="1" ht="27" hidden="1" customHeight="1" spans="1:80">
      <c r="A212" s="236">
        <v>45855</v>
      </c>
      <c r="B212" s="237" t="s">
        <v>415</v>
      </c>
      <c r="C212" s="238" t="s">
        <v>83</v>
      </c>
      <c r="D212" s="239" t="s">
        <v>1201</v>
      </c>
      <c r="E212" s="238" t="s">
        <v>1202</v>
      </c>
      <c r="F212" s="237"/>
      <c r="G212" s="240" t="s">
        <v>94</v>
      </c>
      <c r="H212" s="237" t="s">
        <v>211</v>
      </c>
      <c r="I212" s="247">
        <v>260</v>
      </c>
      <c r="J212" s="247">
        <v>0</v>
      </c>
      <c r="K212" s="247">
        <v>52</v>
      </c>
      <c r="L212" s="247">
        <f t="shared" si="553"/>
        <v>5</v>
      </c>
      <c r="M212" s="248">
        <v>45899</v>
      </c>
      <c r="N212" s="248">
        <v>45895</v>
      </c>
      <c r="O212" s="212"/>
      <c r="P212" s="212" t="s">
        <v>224</v>
      </c>
      <c r="Q212" s="212" t="s">
        <v>1203</v>
      </c>
      <c r="R212" s="212" t="s">
        <v>1204</v>
      </c>
      <c r="S212" s="212" t="s">
        <v>80</v>
      </c>
      <c r="T212" s="273" t="s">
        <v>1205</v>
      </c>
      <c r="U212" s="212"/>
      <c r="V212" s="259" t="s">
        <v>1206</v>
      </c>
      <c r="W212" s="248" t="s">
        <v>1207</v>
      </c>
      <c r="X212" s="260">
        <v>0.86</v>
      </c>
      <c r="Y212" s="247">
        <f t="shared" si="482"/>
        <v>223.6</v>
      </c>
      <c r="Z212" s="248" t="s">
        <v>1208</v>
      </c>
      <c r="AA212" s="259">
        <v>260</v>
      </c>
      <c r="AB212" s="259">
        <f t="shared" si="449"/>
        <v>0</v>
      </c>
      <c r="AC212" s="212" t="s">
        <v>113</v>
      </c>
      <c r="AD212" s="212" t="s">
        <v>114</v>
      </c>
      <c r="AE212" s="248" t="s">
        <v>94</v>
      </c>
      <c r="AF212" s="248" t="s">
        <v>115</v>
      </c>
      <c r="AG212" s="267">
        <f t="shared" ref="AG212:AG238" si="572">I212</f>
        <v>260</v>
      </c>
      <c r="AH212" s="267"/>
      <c r="AI212" s="267">
        <f t="shared" ref="AI212:AI238" si="573">I212</f>
        <v>260</v>
      </c>
      <c r="AJ212" s="267"/>
      <c r="AK212" s="267">
        <f t="shared" si="567"/>
        <v>260</v>
      </c>
      <c r="AL212" s="267"/>
      <c r="AM212" s="267"/>
      <c r="AN212" s="267"/>
      <c r="AO212" s="267">
        <f t="shared" ref="AO212:AO238" si="574">I212</f>
        <v>260</v>
      </c>
      <c r="AP212" s="267"/>
      <c r="AQ212" s="267"/>
      <c r="AR212" s="267"/>
      <c r="AS212" s="267"/>
      <c r="AT212" s="267">
        <f t="shared" ref="AT212:AT220" si="575">I212/13</f>
        <v>20</v>
      </c>
      <c r="AU212" s="267"/>
      <c r="AV212" s="267"/>
      <c r="AW212" s="267"/>
      <c r="AX212" s="267"/>
      <c r="AY212" s="267"/>
      <c r="AZ212" s="267"/>
      <c r="BA212" s="267"/>
      <c r="BB212" s="267"/>
      <c r="BC212" s="267"/>
      <c r="BD212" s="267"/>
      <c r="BE212" s="267"/>
      <c r="BF212" s="267"/>
      <c r="BG212" s="267"/>
      <c r="BH212" s="267"/>
      <c r="BI212" s="267"/>
      <c r="BJ212" s="269">
        <f t="shared" ref="BJ212:BR212" si="576">$I212*BJ$2</f>
        <v>31.8229166666666</v>
      </c>
      <c r="BK212" s="269">
        <f t="shared" si="576"/>
        <v>31.8229166666666</v>
      </c>
      <c r="BL212" s="269">
        <f t="shared" si="576"/>
        <v>31.8229166666666</v>
      </c>
      <c r="BM212" s="269">
        <f t="shared" si="576"/>
        <v>31.8229166666666</v>
      </c>
      <c r="BN212" s="269">
        <f t="shared" si="576"/>
        <v>31.8229166666666</v>
      </c>
      <c r="BO212" s="269">
        <f t="shared" si="576"/>
        <v>31.8229166666666</v>
      </c>
      <c r="BP212" s="269">
        <f t="shared" si="576"/>
        <v>31.8229166666666</v>
      </c>
      <c r="BQ212" s="269">
        <f t="shared" si="576"/>
        <v>31.8229166666666</v>
      </c>
      <c r="BR212" s="269">
        <f t="shared" si="576"/>
        <v>5.41666666666666</v>
      </c>
      <c r="BT212" s="60">
        <f t="shared" ref="BT212:CB212" si="577">BT211-BJ212</f>
        <v>54899.4817708334</v>
      </c>
      <c r="BU212" s="60">
        <f t="shared" si="577"/>
        <v>54899.4817708334</v>
      </c>
      <c r="BV212" s="60">
        <f t="shared" si="577"/>
        <v>54899.4817708334</v>
      </c>
      <c r="BW212" s="60">
        <f t="shared" si="577"/>
        <v>54899.4817708334</v>
      </c>
      <c r="BX212" s="60">
        <f t="shared" si="577"/>
        <v>54899.4817708334</v>
      </c>
      <c r="BY212" s="60">
        <f t="shared" si="577"/>
        <v>54899.4817708334</v>
      </c>
      <c r="BZ212" s="60">
        <f t="shared" si="577"/>
        <v>54899.4817708334</v>
      </c>
      <c r="CA212" s="60">
        <f t="shared" si="577"/>
        <v>54899.4817708334</v>
      </c>
      <c r="CB212" s="60">
        <f t="shared" si="577"/>
        <v>9296.14583333334</v>
      </c>
    </row>
    <row r="213" s="234" customFormat="1" ht="27" hidden="1" customHeight="1" spans="1:80">
      <c r="A213" s="236">
        <v>45847</v>
      </c>
      <c r="B213" s="237" t="s">
        <v>415</v>
      </c>
      <c r="C213" s="238" t="s">
        <v>83</v>
      </c>
      <c r="D213" s="239" t="s">
        <v>1209</v>
      </c>
      <c r="E213" s="238" t="s">
        <v>1210</v>
      </c>
      <c r="F213" s="237"/>
      <c r="G213" s="240" t="s">
        <v>94</v>
      </c>
      <c r="H213" s="237" t="s">
        <v>211</v>
      </c>
      <c r="I213" s="247">
        <v>1040</v>
      </c>
      <c r="J213" s="247">
        <v>0</v>
      </c>
      <c r="K213" s="247">
        <v>52</v>
      </c>
      <c r="L213" s="247">
        <f t="shared" si="553"/>
        <v>20</v>
      </c>
      <c r="M213" s="248">
        <v>45899</v>
      </c>
      <c r="N213" s="248">
        <v>45899</v>
      </c>
      <c r="O213" s="212"/>
      <c r="P213" s="212" t="s">
        <v>107</v>
      </c>
      <c r="Q213" s="212" t="s">
        <v>1211</v>
      </c>
      <c r="R213" s="212" t="s">
        <v>1212</v>
      </c>
      <c r="S213" s="212" t="s">
        <v>80</v>
      </c>
      <c r="T213" s="273" t="s">
        <v>1213</v>
      </c>
      <c r="U213" s="212"/>
      <c r="V213" s="259" t="s">
        <v>1214</v>
      </c>
      <c r="W213" s="248" t="s">
        <v>1207</v>
      </c>
      <c r="X213" s="260">
        <v>0.86</v>
      </c>
      <c r="Y213" s="247">
        <f t="shared" si="482"/>
        <v>894.4</v>
      </c>
      <c r="Z213" s="248" t="s">
        <v>1215</v>
      </c>
      <c r="AA213" s="259">
        <v>1040</v>
      </c>
      <c r="AB213" s="259">
        <f t="shared" si="449"/>
        <v>0</v>
      </c>
      <c r="AC213" s="280" t="s">
        <v>113</v>
      </c>
      <c r="AD213" s="212" t="s">
        <v>114</v>
      </c>
      <c r="AE213" s="248" t="s">
        <v>94</v>
      </c>
      <c r="AF213" s="248" t="s">
        <v>115</v>
      </c>
      <c r="AG213" s="267">
        <f t="shared" si="572"/>
        <v>1040</v>
      </c>
      <c r="AH213" s="267"/>
      <c r="AI213" s="267">
        <f t="shared" si="573"/>
        <v>1040</v>
      </c>
      <c r="AJ213" s="267"/>
      <c r="AK213" s="267">
        <f t="shared" si="567"/>
        <v>1040</v>
      </c>
      <c r="AL213" s="267"/>
      <c r="AM213" s="267"/>
      <c r="AN213" s="267"/>
      <c r="AO213" s="267">
        <f t="shared" si="574"/>
        <v>1040</v>
      </c>
      <c r="AP213" s="267"/>
      <c r="AQ213" s="267"/>
      <c r="AR213" s="267"/>
      <c r="AS213" s="267"/>
      <c r="AT213" s="267">
        <f t="shared" si="575"/>
        <v>80</v>
      </c>
      <c r="AU213" s="267"/>
      <c r="AV213" s="267"/>
      <c r="AW213" s="267"/>
      <c r="AX213" s="267"/>
      <c r="AY213" s="267"/>
      <c r="AZ213" s="267"/>
      <c r="BA213" s="267"/>
      <c r="BB213" s="267"/>
      <c r="BC213" s="267"/>
      <c r="BD213" s="267"/>
      <c r="BE213" s="267"/>
      <c r="BF213" s="267"/>
      <c r="BG213" s="267"/>
      <c r="BH213" s="267"/>
      <c r="BI213" s="267"/>
      <c r="BJ213" s="269">
        <f t="shared" ref="BJ213:BR213" si="578">$I213*BJ$2</f>
        <v>127.291666666666</v>
      </c>
      <c r="BK213" s="269">
        <f t="shared" si="578"/>
        <v>127.291666666666</v>
      </c>
      <c r="BL213" s="269">
        <f t="shared" si="578"/>
        <v>127.291666666666</v>
      </c>
      <c r="BM213" s="269">
        <f t="shared" si="578"/>
        <v>127.291666666666</v>
      </c>
      <c r="BN213" s="269">
        <f t="shared" si="578"/>
        <v>127.291666666666</v>
      </c>
      <c r="BO213" s="269">
        <f t="shared" si="578"/>
        <v>127.291666666666</v>
      </c>
      <c r="BP213" s="269">
        <f t="shared" si="578"/>
        <v>127.291666666666</v>
      </c>
      <c r="BQ213" s="269">
        <f t="shared" si="578"/>
        <v>127.291666666666</v>
      </c>
      <c r="BR213" s="269">
        <f t="shared" si="578"/>
        <v>21.6666666666666</v>
      </c>
      <c r="BT213" s="60">
        <f t="shared" ref="BT213:CB213" si="579">BT212-BJ213</f>
        <v>54772.1901041667</v>
      </c>
      <c r="BU213" s="60">
        <f t="shared" si="579"/>
        <v>54772.1901041667</v>
      </c>
      <c r="BV213" s="60">
        <f t="shared" si="579"/>
        <v>54772.1901041667</v>
      </c>
      <c r="BW213" s="60">
        <f t="shared" si="579"/>
        <v>54772.1901041667</v>
      </c>
      <c r="BX213" s="60">
        <f t="shared" si="579"/>
        <v>54772.1901041667</v>
      </c>
      <c r="BY213" s="60">
        <f t="shared" si="579"/>
        <v>54772.1901041667</v>
      </c>
      <c r="BZ213" s="60">
        <f t="shared" si="579"/>
        <v>54772.1901041667</v>
      </c>
      <c r="CA213" s="60">
        <f t="shared" si="579"/>
        <v>54772.1901041667</v>
      </c>
      <c r="CB213" s="60">
        <f t="shared" si="579"/>
        <v>9274.47916666667</v>
      </c>
    </row>
    <row r="214" s="234" customFormat="1" ht="27" hidden="1" customHeight="1" spans="1:80">
      <c r="A214" s="236">
        <v>45847</v>
      </c>
      <c r="B214" s="237" t="s">
        <v>415</v>
      </c>
      <c r="C214" s="238" t="s">
        <v>83</v>
      </c>
      <c r="D214" s="239" t="s">
        <v>1209</v>
      </c>
      <c r="E214" s="238" t="s">
        <v>1210</v>
      </c>
      <c r="F214" s="237"/>
      <c r="G214" s="240" t="s">
        <v>94</v>
      </c>
      <c r="H214" s="237" t="s">
        <v>211</v>
      </c>
      <c r="I214" s="247">
        <v>1040</v>
      </c>
      <c r="J214" s="247">
        <v>0</v>
      </c>
      <c r="K214" s="247">
        <v>52</v>
      </c>
      <c r="L214" s="247">
        <f t="shared" si="553"/>
        <v>20</v>
      </c>
      <c r="M214" s="248">
        <v>45899</v>
      </c>
      <c r="N214" s="248">
        <v>45899</v>
      </c>
      <c r="O214" s="212"/>
      <c r="P214" s="212" t="s">
        <v>107</v>
      </c>
      <c r="Q214" s="212" t="s">
        <v>1211</v>
      </c>
      <c r="R214" s="212" t="s">
        <v>1212</v>
      </c>
      <c r="S214" s="212" t="s">
        <v>80</v>
      </c>
      <c r="T214" s="273" t="s">
        <v>1213</v>
      </c>
      <c r="U214" s="212"/>
      <c r="V214" s="259" t="s">
        <v>1214</v>
      </c>
      <c r="W214" s="248" t="s">
        <v>1207</v>
      </c>
      <c r="X214" s="260">
        <v>0.86</v>
      </c>
      <c r="Y214" s="247">
        <f t="shared" si="482"/>
        <v>894.4</v>
      </c>
      <c r="Z214" s="248" t="s">
        <v>1215</v>
      </c>
      <c r="AA214" s="259">
        <v>1040</v>
      </c>
      <c r="AB214" s="259">
        <f t="shared" si="449"/>
        <v>0</v>
      </c>
      <c r="AC214" s="285"/>
      <c r="AD214" s="212" t="s">
        <v>114</v>
      </c>
      <c r="AE214" s="248" t="s">
        <v>94</v>
      </c>
      <c r="AF214" s="248" t="s">
        <v>115</v>
      </c>
      <c r="AG214" s="267">
        <f t="shared" si="572"/>
        <v>1040</v>
      </c>
      <c r="AH214" s="267"/>
      <c r="AI214" s="267">
        <f t="shared" si="573"/>
        <v>1040</v>
      </c>
      <c r="AJ214" s="267"/>
      <c r="AK214" s="267">
        <f t="shared" si="567"/>
        <v>1040</v>
      </c>
      <c r="AL214" s="267"/>
      <c r="AM214" s="267"/>
      <c r="AN214" s="267"/>
      <c r="AO214" s="267">
        <f t="shared" si="574"/>
        <v>1040</v>
      </c>
      <c r="AP214" s="267"/>
      <c r="AQ214" s="267"/>
      <c r="AR214" s="267"/>
      <c r="AS214" s="267"/>
      <c r="AT214" s="267">
        <f t="shared" si="575"/>
        <v>80</v>
      </c>
      <c r="AU214" s="267"/>
      <c r="AV214" s="267"/>
      <c r="AW214" s="267"/>
      <c r="AX214" s="267"/>
      <c r="AY214" s="267"/>
      <c r="AZ214" s="267"/>
      <c r="BA214" s="267"/>
      <c r="BB214" s="267"/>
      <c r="BC214" s="267"/>
      <c r="BD214" s="267"/>
      <c r="BE214" s="267"/>
      <c r="BF214" s="267"/>
      <c r="BG214" s="267"/>
      <c r="BH214" s="267"/>
      <c r="BI214" s="267"/>
      <c r="BJ214" s="269">
        <f t="shared" ref="BJ214:BR214" si="580">$I214*BJ$2</f>
        <v>127.291666666666</v>
      </c>
      <c r="BK214" s="269">
        <f t="shared" si="580"/>
        <v>127.291666666666</v>
      </c>
      <c r="BL214" s="269">
        <f t="shared" si="580"/>
        <v>127.291666666666</v>
      </c>
      <c r="BM214" s="269">
        <f t="shared" si="580"/>
        <v>127.291666666666</v>
      </c>
      <c r="BN214" s="269">
        <f t="shared" si="580"/>
        <v>127.291666666666</v>
      </c>
      <c r="BO214" s="269">
        <f t="shared" si="580"/>
        <v>127.291666666666</v>
      </c>
      <c r="BP214" s="269">
        <f t="shared" si="580"/>
        <v>127.291666666666</v>
      </c>
      <c r="BQ214" s="269">
        <f t="shared" si="580"/>
        <v>127.291666666666</v>
      </c>
      <c r="BR214" s="269">
        <f t="shared" si="580"/>
        <v>21.6666666666666</v>
      </c>
      <c r="BT214" s="60">
        <f t="shared" ref="BT214:CB214" si="581">BT213-BJ214</f>
        <v>54644.8984375001</v>
      </c>
      <c r="BU214" s="60">
        <f t="shared" si="581"/>
        <v>54644.8984375001</v>
      </c>
      <c r="BV214" s="60">
        <f t="shared" si="581"/>
        <v>54644.8984375001</v>
      </c>
      <c r="BW214" s="60">
        <f t="shared" si="581"/>
        <v>54644.8984375001</v>
      </c>
      <c r="BX214" s="60">
        <f t="shared" si="581"/>
        <v>54644.8984375001</v>
      </c>
      <c r="BY214" s="60">
        <f t="shared" si="581"/>
        <v>54644.8984375001</v>
      </c>
      <c r="BZ214" s="60">
        <f t="shared" si="581"/>
        <v>54644.8984375001</v>
      </c>
      <c r="CA214" s="60">
        <f t="shared" si="581"/>
        <v>54644.8984375001</v>
      </c>
      <c r="CB214" s="60">
        <f t="shared" si="581"/>
        <v>9252.81250000001</v>
      </c>
    </row>
    <row r="215" s="234" customFormat="1" ht="27" hidden="1" customHeight="1" spans="1:80">
      <c r="A215" s="236">
        <v>45847</v>
      </c>
      <c r="B215" s="237" t="s">
        <v>415</v>
      </c>
      <c r="C215" s="238" t="s">
        <v>83</v>
      </c>
      <c r="D215" s="239" t="s">
        <v>1209</v>
      </c>
      <c r="E215" s="238" t="s">
        <v>1210</v>
      </c>
      <c r="F215" s="237"/>
      <c r="G215" s="240" t="s">
        <v>94</v>
      </c>
      <c r="H215" s="237" t="s">
        <v>211</v>
      </c>
      <c r="I215" s="247">
        <v>1040</v>
      </c>
      <c r="J215" s="247">
        <v>0</v>
      </c>
      <c r="K215" s="247">
        <v>52</v>
      </c>
      <c r="L215" s="247">
        <f t="shared" si="553"/>
        <v>20</v>
      </c>
      <c r="M215" s="248">
        <v>45899</v>
      </c>
      <c r="N215" s="248">
        <v>45899</v>
      </c>
      <c r="O215" s="212"/>
      <c r="P215" s="212" t="s">
        <v>107</v>
      </c>
      <c r="Q215" s="212" t="s">
        <v>1216</v>
      </c>
      <c r="R215" s="212" t="s">
        <v>1212</v>
      </c>
      <c r="S215" s="212" t="s">
        <v>80</v>
      </c>
      <c r="T215" s="273" t="s">
        <v>1213</v>
      </c>
      <c r="U215" s="212"/>
      <c r="V215" s="259" t="s">
        <v>1214</v>
      </c>
      <c r="W215" s="248" t="s">
        <v>1207</v>
      </c>
      <c r="X215" s="260">
        <v>0.86</v>
      </c>
      <c r="Y215" s="247">
        <f t="shared" si="482"/>
        <v>894.4</v>
      </c>
      <c r="Z215" s="248" t="s">
        <v>1215</v>
      </c>
      <c r="AA215" s="259">
        <v>1040</v>
      </c>
      <c r="AB215" s="259">
        <f t="shared" si="449"/>
        <v>0</v>
      </c>
      <c r="AC215" s="285"/>
      <c r="AD215" s="212" t="s">
        <v>114</v>
      </c>
      <c r="AE215" s="248" t="s">
        <v>94</v>
      </c>
      <c r="AF215" s="248" t="s">
        <v>115</v>
      </c>
      <c r="AG215" s="267">
        <f t="shared" si="572"/>
        <v>1040</v>
      </c>
      <c r="AH215" s="267"/>
      <c r="AI215" s="267">
        <f t="shared" si="573"/>
        <v>1040</v>
      </c>
      <c r="AJ215" s="267"/>
      <c r="AK215" s="267">
        <f t="shared" si="567"/>
        <v>1040</v>
      </c>
      <c r="AL215" s="267"/>
      <c r="AM215" s="267"/>
      <c r="AN215" s="267"/>
      <c r="AO215" s="267">
        <f t="shared" si="574"/>
        <v>1040</v>
      </c>
      <c r="AP215" s="267"/>
      <c r="AQ215" s="267"/>
      <c r="AR215" s="267"/>
      <c r="AS215" s="267"/>
      <c r="AT215" s="267">
        <f t="shared" si="575"/>
        <v>80</v>
      </c>
      <c r="AU215" s="267"/>
      <c r="AV215" s="267"/>
      <c r="AW215" s="267"/>
      <c r="AX215" s="267"/>
      <c r="AY215" s="267"/>
      <c r="AZ215" s="267"/>
      <c r="BA215" s="267"/>
      <c r="BB215" s="267"/>
      <c r="BC215" s="267"/>
      <c r="BD215" s="267"/>
      <c r="BE215" s="267"/>
      <c r="BF215" s="267"/>
      <c r="BG215" s="267"/>
      <c r="BH215" s="267"/>
      <c r="BI215" s="267"/>
      <c r="BJ215" s="269">
        <f t="shared" ref="BJ215:BR215" si="582">$I215*BJ$2</f>
        <v>127.291666666666</v>
      </c>
      <c r="BK215" s="269">
        <f t="shared" si="582"/>
        <v>127.291666666666</v>
      </c>
      <c r="BL215" s="269">
        <f t="shared" si="582"/>
        <v>127.291666666666</v>
      </c>
      <c r="BM215" s="269">
        <f t="shared" si="582"/>
        <v>127.291666666666</v>
      </c>
      <c r="BN215" s="269">
        <f t="shared" si="582"/>
        <v>127.291666666666</v>
      </c>
      <c r="BO215" s="269">
        <f t="shared" si="582"/>
        <v>127.291666666666</v>
      </c>
      <c r="BP215" s="269">
        <f t="shared" si="582"/>
        <v>127.291666666666</v>
      </c>
      <c r="BQ215" s="269">
        <f t="shared" si="582"/>
        <v>127.291666666666</v>
      </c>
      <c r="BR215" s="269">
        <f t="shared" si="582"/>
        <v>21.6666666666666</v>
      </c>
      <c r="BT215" s="60">
        <f t="shared" ref="BT215:CB215" si="583">BT214-BJ215</f>
        <v>54517.6067708334</v>
      </c>
      <c r="BU215" s="60">
        <f t="shared" si="583"/>
        <v>54517.6067708334</v>
      </c>
      <c r="BV215" s="60">
        <f t="shared" si="583"/>
        <v>54517.6067708334</v>
      </c>
      <c r="BW215" s="60">
        <f t="shared" si="583"/>
        <v>54517.6067708334</v>
      </c>
      <c r="BX215" s="60">
        <f t="shared" si="583"/>
        <v>54517.6067708334</v>
      </c>
      <c r="BY215" s="60">
        <f t="shared" si="583"/>
        <v>54517.6067708334</v>
      </c>
      <c r="BZ215" s="60">
        <f t="shared" si="583"/>
        <v>54517.6067708334</v>
      </c>
      <c r="CA215" s="60">
        <f t="shared" si="583"/>
        <v>54517.6067708334</v>
      </c>
      <c r="CB215" s="60">
        <f t="shared" si="583"/>
        <v>9231.14583333334</v>
      </c>
    </row>
    <row r="216" s="234" customFormat="1" ht="27" hidden="1" customHeight="1" spans="1:80">
      <c r="A216" s="236">
        <v>45847</v>
      </c>
      <c r="B216" s="237" t="s">
        <v>415</v>
      </c>
      <c r="C216" s="238" t="s">
        <v>83</v>
      </c>
      <c r="D216" s="239" t="s">
        <v>1209</v>
      </c>
      <c r="E216" s="238" t="s">
        <v>1210</v>
      </c>
      <c r="F216" s="237"/>
      <c r="G216" s="240" t="s">
        <v>94</v>
      </c>
      <c r="H216" s="237" t="s">
        <v>211</v>
      </c>
      <c r="I216" s="247">
        <v>1040</v>
      </c>
      <c r="J216" s="247">
        <v>0</v>
      </c>
      <c r="K216" s="247">
        <v>52</v>
      </c>
      <c r="L216" s="247">
        <f t="shared" si="553"/>
        <v>20</v>
      </c>
      <c r="M216" s="248">
        <v>45899</v>
      </c>
      <c r="N216" s="248">
        <v>45899</v>
      </c>
      <c r="O216" s="212"/>
      <c r="P216" s="212" t="s">
        <v>107</v>
      </c>
      <c r="Q216" s="212" t="s">
        <v>1216</v>
      </c>
      <c r="R216" s="212" t="s">
        <v>1212</v>
      </c>
      <c r="S216" s="212" t="s">
        <v>80</v>
      </c>
      <c r="T216" s="273" t="s">
        <v>1213</v>
      </c>
      <c r="U216" s="212"/>
      <c r="V216" s="259" t="s">
        <v>1214</v>
      </c>
      <c r="W216" s="248" t="s">
        <v>1207</v>
      </c>
      <c r="X216" s="260">
        <v>0.86</v>
      </c>
      <c r="Y216" s="247">
        <f t="shared" si="482"/>
        <v>894.4</v>
      </c>
      <c r="Z216" s="248" t="s">
        <v>1215</v>
      </c>
      <c r="AA216" s="259">
        <v>1040</v>
      </c>
      <c r="AB216" s="259">
        <f t="shared" si="449"/>
        <v>0</v>
      </c>
      <c r="AC216" s="285"/>
      <c r="AD216" s="212" t="s">
        <v>114</v>
      </c>
      <c r="AE216" s="248" t="s">
        <v>94</v>
      </c>
      <c r="AF216" s="248" t="s">
        <v>115</v>
      </c>
      <c r="AG216" s="267">
        <f t="shared" si="572"/>
        <v>1040</v>
      </c>
      <c r="AH216" s="267"/>
      <c r="AI216" s="267">
        <f t="shared" si="573"/>
        <v>1040</v>
      </c>
      <c r="AJ216" s="267"/>
      <c r="AK216" s="267">
        <f t="shared" si="567"/>
        <v>1040</v>
      </c>
      <c r="AL216" s="267"/>
      <c r="AM216" s="267"/>
      <c r="AN216" s="267"/>
      <c r="AO216" s="267">
        <f t="shared" si="574"/>
        <v>1040</v>
      </c>
      <c r="AP216" s="267"/>
      <c r="AQ216" s="267"/>
      <c r="AR216" s="267"/>
      <c r="AS216" s="267"/>
      <c r="AT216" s="267">
        <f t="shared" si="575"/>
        <v>80</v>
      </c>
      <c r="AU216" s="267"/>
      <c r="AV216" s="267"/>
      <c r="AW216" s="267"/>
      <c r="AX216" s="267"/>
      <c r="AY216" s="267"/>
      <c r="AZ216" s="267"/>
      <c r="BA216" s="267"/>
      <c r="BB216" s="267"/>
      <c r="BC216" s="267"/>
      <c r="BD216" s="267"/>
      <c r="BE216" s="267"/>
      <c r="BF216" s="267"/>
      <c r="BG216" s="267"/>
      <c r="BH216" s="267"/>
      <c r="BI216" s="267"/>
      <c r="BJ216" s="269">
        <f t="shared" ref="BJ216:BR216" si="584">$I216*BJ$2</f>
        <v>127.291666666666</v>
      </c>
      <c r="BK216" s="269">
        <f t="shared" si="584"/>
        <v>127.291666666666</v>
      </c>
      <c r="BL216" s="269">
        <f t="shared" si="584"/>
        <v>127.291666666666</v>
      </c>
      <c r="BM216" s="269">
        <f t="shared" si="584"/>
        <v>127.291666666666</v>
      </c>
      <c r="BN216" s="269">
        <f t="shared" si="584"/>
        <v>127.291666666666</v>
      </c>
      <c r="BO216" s="269">
        <f t="shared" si="584"/>
        <v>127.291666666666</v>
      </c>
      <c r="BP216" s="269">
        <f t="shared" si="584"/>
        <v>127.291666666666</v>
      </c>
      <c r="BQ216" s="269">
        <f t="shared" si="584"/>
        <v>127.291666666666</v>
      </c>
      <c r="BR216" s="269">
        <f t="shared" si="584"/>
        <v>21.6666666666666</v>
      </c>
      <c r="BT216" s="60">
        <f t="shared" ref="BT216:CB216" si="585">BT215-BJ216</f>
        <v>54390.3151041667</v>
      </c>
      <c r="BU216" s="60">
        <f t="shared" si="585"/>
        <v>54390.3151041667</v>
      </c>
      <c r="BV216" s="60">
        <f t="shared" si="585"/>
        <v>54390.3151041667</v>
      </c>
      <c r="BW216" s="60">
        <f t="shared" si="585"/>
        <v>54390.3151041667</v>
      </c>
      <c r="BX216" s="60">
        <f t="shared" si="585"/>
        <v>54390.3151041667</v>
      </c>
      <c r="BY216" s="60">
        <f t="shared" si="585"/>
        <v>54390.3151041667</v>
      </c>
      <c r="BZ216" s="60">
        <f t="shared" si="585"/>
        <v>54390.3151041667</v>
      </c>
      <c r="CA216" s="60">
        <f t="shared" si="585"/>
        <v>54390.3151041667</v>
      </c>
      <c r="CB216" s="60">
        <f t="shared" si="585"/>
        <v>9209.47916666668</v>
      </c>
    </row>
    <row r="217" s="234" customFormat="1" ht="27" hidden="1" customHeight="1" spans="1:80">
      <c r="A217" s="236">
        <v>45847</v>
      </c>
      <c r="B217" s="237" t="s">
        <v>415</v>
      </c>
      <c r="C217" s="238" t="s">
        <v>83</v>
      </c>
      <c r="D217" s="239" t="s">
        <v>1209</v>
      </c>
      <c r="E217" s="238" t="s">
        <v>1210</v>
      </c>
      <c r="F217" s="237"/>
      <c r="G217" s="240" t="s">
        <v>94</v>
      </c>
      <c r="H217" s="237" t="s">
        <v>211</v>
      </c>
      <c r="I217" s="247">
        <v>1040</v>
      </c>
      <c r="J217" s="247">
        <v>0</v>
      </c>
      <c r="K217" s="247">
        <v>52</v>
      </c>
      <c r="L217" s="247">
        <f t="shared" si="553"/>
        <v>20</v>
      </c>
      <c r="M217" s="248">
        <v>45899</v>
      </c>
      <c r="N217" s="248">
        <v>45899</v>
      </c>
      <c r="O217" s="212"/>
      <c r="P217" s="212" t="s">
        <v>107</v>
      </c>
      <c r="Q217" s="212" t="s">
        <v>1217</v>
      </c>
      <c r="R217" s="212" t="s">
        <v>1212</v>
      </c>
      <c r="S217" s="212" t="s">
        <v>80</v>
      </c>
      <c r="T217" s="273" t="s">
        <v>1213</v>
      </c>
      <c r="U217" s="212"/>
      <c r="V217" s="259" t="s">
        <v>1214</v>
      </c>
      <c r="W217" s="248" t="s">
        <v>1207</v>
      </c>
      <c r="X217" s="260">
        <v>0.86</v>
      </c>
      <c r="Y217" s="247">
        <f t="shared" si="482"/>
        <v>894.4</v>
      </c>
      <c r="Z217" s="248" t="s">
        <v>1215</v>
      </c>
      <c r="AA217" s="259">
        <v>1040</v>
      </c>
      <c r="AB217" s="259">
        <f t="shared" si="449"/>
        <v>0</v>
      </c>
      <c r="AC217" s="285"/>
      <c r="AD217" s="212" t="s">
        <v>114</v>
      </c>
      <c r="AE217" s="248" t="s">
        <v>94</v>
      </c>
      <c r="AF217" s="248" t="s">
        <v>115</v>
      </c>
      <c r="AG217" s="267">
        <f t="shared" si="572"/>
        <v>1040</v>
      </c>
      <c r="AH217" s="267"/>
      <c r="AI217" s="267">
        <f t="shared" si="573"/>
        <v>1040</v>
      </c>
      <c r="AJ217" s="267"/>
      <c r="AK217" s="267">
        <f t="shared" si="567"/>
        <v>1040</v>
      </c>
      <c r="AL217" s="267"/>
      <c r="AM217" s="267"/>
      <c r="AN217" s="267"/>
      <c r="AO217" s="267">
        <f t="shared" si="574"/>
        <v>1040</v>
      </c>
      <c r="AP217" s="267"/>
      <c r="AQ217" s="267"/>
      <c r="AR217" s="267"/>
      <c r="AS217" s="267"/>
      <c r="AT217" s="267">
        <f t="shared" si="575"/>
        <v>80</v>
      </c>
      <c r="AU217" s="267"/>
      <c r="AV217" s="267"/>
      <c r="AW217" s="267"/>
      <c r="AX217" s="267"/>
      <c r="AY217" s="267"/>
      <c r="AZ217" s="267"/>
      <c r="BA217" s="267"/>
      <c r="BB217" s="267"/>
      <c r="BC217" s="267"/>
      <c r="BD217" s="267"/>
      <c r="BE217" s="267"/>
      <c r="BF217" s="267"/>
      <c r="BG217" s="267"/>
      <c r="BH217" s="267"/>
      <c r="BI217" s="267"/>
      <c r="BJ217" s="269">
        <f t="shared" ref="BJ217:BR217" si="586">$I217*BJ$2</f>
        <v>127.291666666666</v>
      </c>
      <c r="BK217" s="269">
        <f t="shared" si="586"/>
        <v>127.291666666666</v>
      </c>
      <c r="BL217" s="269">
        <f t="shared" si="586"/>
        <v>127.291666666666</v>
      </c>
      <c r="BM217" s="269">
        <f t="shared" si="586"/>
        <v>127.291666666666</v>
      </c>
      <c r="BN217" s="269">
        <f t="shared" si="586"/>
        <v>127.291666666666</v>
      </c>
      <c r="BO217" s="269">
        <f t="shared" si="586"/>
        <v>127.291666666666</v>
      </c>
      <c r="BP217" s="269">
        <f t="shared" si="586"/>
        <v>127.291666666666</v>
      </c>
      <c r="BQ217" s="269">
        <f t="shared" si="586"/>
        <v>127.291666666666</v>
      </c>
      <c r="BR217" s="269">
        <f t="shared" si="586"/>
        <v>21.6666666666666</v>
      </c>
      <c r="BT217" s="60">
        <f t="shared" ref="BT217:CB217" si="587">BT216-BJ217</f>
        <v>54263.0234375001</v>
      </c>
      <c r="BU217" s="60">
        <f t="shared" si="587"/>
        <v>54263.0234375001</v>
      </c>
      <c r="BV217" s="60">
        <f t="shared" si="587"/>
        <v>54263.0234375001</v>
      </c>
      <c r="BW217" s="60">
        <f t="shared" si="587"/>
        <v>54263.0234375001</v>
      </c>
      <c r="BX217" s="60">
        <f t="shared" si="587"/>
        <v>54263.0234375001</v>
      </c>
      <c r="BY217" s="60">
        <f t="shared" si="587"/>
        <v>54263.0234375001</v>
      </c>
      <c r="BZ217" s="60">
        <f t="shared" si="587"/>
        <v>54263.0234375001</v>
      </c>
      <c r="CA217" s="60">
        <f t="shared" si="587"/>
        <v>54263.0234375001</v>
      </c>
      <c r="CB217" s="60">
        <f t="shared" si="587"/>
        <v>9187.81250000001</v>
      </c>
    </row>
    <row r="218" s="234" customFormat="1" ht="27" hidden="1" customHeight="1" spans="1:80">
      <c r="A218" s="236">
        <v>45847</v>
      </c>
      <c r="B218" s="237" t="s">
        <v>415</v>
      </c>
      <c r="C218" s="238" t="s">
        <v>83</v>
      </c>
      <c r="D218" s="239" t="s">
        <v>1209</v>
      </c>
      <c r="E218" s="238" t="s">
        <v>1210</v>
      </c>
      <c r="F218" s="237"/>
      <c r="G218" s="240" t="s">
        <v>94</v>
      </c>
      <c r="H218" s="237" t="s">
        <v>211</v>
      </c>
      <c r="I218" s="247">
        <v>1040</v>
      </c>
      <c r="J218" s="247">
        <v>0</v>
      </c>
      <c r="K218" s="247">
        <v>52</v>
      </c>
      <c r="L218" s="247">
        <f t="shared" si="553"/>
        <v>20</v>
      </c>
      <c r="M218" s="248">
        <v>45899</v>
      </c>
      <c r="N218" s="248">
        <v>45899</v>
      </c>
      <c r="O218" s="212"/>
      <c r="P218" s="212" t="s">
        <v>107</v>
      </c>
      <c r="Q218" s="212" t="s">
        <v>1217</v>
      </c>
      <c r="R218" s="212" t="s">
        <v>1212</v>
      </c>
      <c r="S218" s="212" t="s">
        <v>80</v>
      </c>
      <c r="T218" s="273" t="s">
        <v>1213</v>
      </c>
      <c r="U218" s="212"/>
      <c r="V218" s="259" t="s">
        <v>1214</v>
      </c>
      <c r="W218" s="248" t="s">
        <v>1207</v>
      </c>
      <c r="X218" s="260">
        <v>0.86</v>
      </c>
      <c r="Y218" s="247">
        <f t="shared" si="482"/>
        <v>894.4</v>
      </c>
      <c r="Z218" s="248" t="s">
        <v>1215</v>
      </c>
      <c r="AA218" s="259">
        <v>1040</v>
      </c>
      <c r="AB218" s="259">
        <f t="shared" si="449"/>
        <v>0</v>
      </c>
      <c r="AC218" s="285"/>
      <c r="AD218" s="212" t="s">
        <v>114</v>
      </c>
      <c r="AE218" s="248" t="s">
        <v>94</v>
      </c>
      <c r="AF218" s="248" t="s">
        <v>115</v>
      </c>
      <c r="AG218" s="267">
        <f t="shared" si="572"/>
        <v>1040</v>
      </c>
      <c r="AH218" s="267"/>
      <c r="AI218" s="267">
        <f t="shared" si="573"/>
        <v>1040</v>
      </c>
      <c r="AJ218" s="267"/>
      <c r="AK218" s="267">
        <f t="shared" si="567"/>
        <v>1040</v>
      </c>
      <c r="AL218" s="267"/>
      <c r="AM218" s="267"/>
      <c r="AN218" s="267"/>
      <c r="AO218" s="267">
        <f t="shared" si="574"/>
        <v>1040</v>
      </c>
      <c r="AP218" s="267"/>
      <c r="AQ218" s="267"/>
      <c r="AR218" s="267"/>
      <c r="AS218" s="267"/>
      <c r="AT218" s="267">
        <f t="shared" si="575"/>
        <v>80</v>
      </c>
      <c r="AU218" s="267"/>
      <c r="AV218" s="267"/>
      <c r="AW218" s="267"/>
      <c r="AX218" s="267"/>
      <c r="AY218" s="267"/>
      <c r="AZ218" s="267"/>
      <c r="BA218" s="267"/>
      <c r="BB218" s="267"/>
      <c r="BC218" s="267"/>
      <c r="BD218" s="267"/>
      <c r="BE218" s="267"/>
      <c r="BF218" s="267"/>
      <c r="BG218" s="267"/>
      <c r="BH218" s="267"/>
      <c r="BI218" s="267"/>
      <c r="BJ218" s="269">
        <f t="shared" ref="BJ218:BR218" si="588">$I218*BJ$2</f>
        <v>127.291666666666</v>
      </c>
      <c r="BK218" s="269">
        <f t="shared" si="588"/>
        <v>127.291666666666</v>
      </c>
      <c r="BL218" s="269">
        <f t="shared" si="588"/>
        <v>127.291666666666</v>
      </c>
      <c r="BM218" s="269">
        <f t="shared" si="588"/>
        <v>127.291666666666</v>
      </c>
      <c r="BN218" s="269">
        <f t="shared" si="588"/>
        <v>127.291666666666</v>
      </c>
      <c r="BO218" s="269">
        <f t="shared" si="588"/>
        <v>127.291666666666</v>
      </c>
      <c r="BP218" s="269">
        <f t="shared" si="588"/>
        <v>127.291666666666</v>
      </c>
      <c r="BQ218" s="269">
        <f t="shared" si="588"/>
        <v>127.291666666666</v>
      </c>
      <c r="BR218" s="269">
        <f t="shared" si="588"/>
        <v>21.6666666666666</v>
      </c>
      <c r="BT218" s="60">
        <f t="shared" ref="BT218:CB218" si="589">BT217-BJ218</f>
        <v>54135.7317708334</v>
      </c>
      <c r="BU218" s="60">
        <f t="shared" si="589"/>
        <v>54135.7317708334</v>
      </c>
      <c r="BV218" s="60">
        <f t="shared" si="589"/>
        <v>54135.7317708334</v>
      </c>
      <c r="BW218" s="60">
        <f t="shared" si="589"/>
        <v>54135.7317708334</v>
      </c>
      <c r="BX218" s="60">
        <f t="shared" si="589"/>
        <v>54135.7317708334</v>
      </c>
      <c r="BY218" s="60">
        <f t="shared" si="589"/>
        <v>54135.7317708334</v>
      </c>
      <c r="BZ218" s="60">
        <f t="shared" si="589"/>
        <v>54135.7317708334</v>
      </c>
      <c r="CA218" s="60">
        <f t="shared" si="589"/>
        <v>54135.7317708334</v>
      </c>
      <c r="CB218" s="60">
        <f t="shared" si="589"/>
        <v>9166.14583333334</v>
      </c>
    </row>
    <row r="219" s="234" customFormat="1" ht="27" hidden="1" customHeight="1" spans="1:80">
      <c r="A219" s="236">
        <v>45847</v>
      </c>
      <c r="B219" s="237" t="s">
        <v>415</v>
      </c>
      <c r="C219" s="238" t="s">
        <v>83</v>
      </c>
      <c r="D219" s="239" t="s">
        <v>1209</v>
      </c>
      <c r="E219" s="238" t="s">
        <v>1210</v>
      </c>
      <c r="F219" s="237"/>
      <c r="G219" s="240" t="s">
        <v>94</v>
      </c>
      <c r="H219" s="237" t="s">
        <v>211</v>
      </c>
      <c r="I219" s="247">
        <v>1040</v>
      </c>
      <c r="J219" s="247">
        <v>0</v>
      </c>
      <c r="K219" s="247">
        <v>52</v>
      </c>
      <c r="L219" s="247">
        <f t="shared" si="553"/>
        <v>20</v>
      </c>
      <c r="M219" s="248">
        <v>45899</v>
      </c>
      <c r="N219" s="248">
        <v>45899</v>
      </c>
      <c r="O219" s="212"/>
      <c r="P219" s="212" t="s">
        <v>107</v>
      </c>
      <c r="Q219" s="212" t="s">
        <v>1218</v>
      </c>
      <c r="R219" s="212" t="s">
        <v>1212</v>
      </c>
      <c r="S219" s="212" t="s">
        <v>80</v>
      </c>
      <c r="T219" s="273" t="s">
        <v>1213</v>
      </c>
      <c r="U219" s="212"/>
      <c r="V219" s="259" t="s">
        <v>1214</v>
      </c>
      <c r="W219" s="248" t="s">
        <v>1207</v>
      </c>
      <c r="X219" s="260">
        <v>0.86</v>
      </c>
      <c r="Y219" s="247">
        <f t="shared" si="482"/>
        <v>894.4</v>
      </c>
      <c r="Z219" s="248" t="s">
        <v>1215</v>
      </c>
      <c r="AA219" s="259">
        <v>1040</v>
      </c>
      <c r="AB219" s="259">
        <f t="shared" si="449"/>
        <v>0</v>
      </c>
      <c r="AC219" s="285"/>
      <c r="AD219" s="212" t="s">
        <v>114</v>
      </c>
      <c r="AE219" s="248" t="s">
        <v>94</v>
      </c>
      <c r="AF219" s="248" t="s">
        <v>115</v>
      </c>
      <c r="AG219" s="267">
        <f t="shared" si="572"/>
        <v>1040</v>
      </c>
      <c r="AH219" s="267"/>
      <c r="AI219" s="267">
        <f t="shared" si="573"/>
        <v>1040</v>
      </c>
      <c r="AJ219" s="267"/>
      <c r="AK219" s="267">
        <f t="shared" si="567"/>
        <v>1040</v>
      </c>
      <c r="AL219" s="267"/>
      <c r="AM219" s="267"/>
      <c r="AN219" s="267"/>
      <c r="AO219" s="267">
        <f t="shared" si="574"/>
        <v>1040</v>
      </c>
      <c r="AP219" s="267"/>
      <c r="AQ219" s="267"/>
      <c r="AR219" s="267"/>
      <c r="AS219" s="267"/>
      <c r="AT219" s="267">
        <f t="shared" si="575"/>
        <v>80</v>
      </c>
      <c r="AU219" s="267"/>
      <c r="AV219" s="267"/>
      <c r="AW219" s="267"/>
      <c r="AX219" s="267"/>
      <c r="AY219" s="267"/>
      <c r="AZ219" s="267"/>
      <c r="BA219" s="267"/>
      <c r="BB219" s="267"/>
      <c r="BC219" s="267"/>
      <c r="BD219" s="267"/>
      <c r="BE219" s="267"/>
      <c r="BF219" s="267"/>
      <c r="BG219" s="267"/>
      <c r="BH219" s="267"/>
      <c r="BI219" s="267"/>
      <c r="BJ219" s="269">
        <f t="shared" ref="BJ219:BR219" si="590">$I219*BJ$2</f>
        <v>127.291666666666</v>
      </c>
      <c r="BK219" s="269">
        <f t="shared" si="590"/>
        <v>127.291666666666</v>
      </c>
      <c r="BL219" s="269">
        <f t="shared" si="590"/>
        <v>127.291666666666</v>
      </c>
      <c r="BM219" s="269">
        <f t="shared" si="590"/>
        <v>127.291666666666</v>
      </c>
      <c r="BN219" s="269">
        <f t="shared" si="590"/>
        <v>127.291666666666</v>
      </c>
      <c r="BO219" s="269">
        <f t="shared" si="590"/>
        <v>127.291666666666</v>
      </c>
      <c r="BP219" s="269">
        <f t="shared" si="590"/>
        <v>127.291666666666</v>
      </c>
      <c r="BQ219" s="269">
        <f t="shared" si="590"/>
        <v>127.291666666666</v>
      </c>
      <c r="BR219" s="269">
        <f t="shared" si="590"/>
        <v>21.6666666666666</v>
      </c>
      <c r="BT219" s="60">
        <f t="shared" ref="BT219:CB219" si="591">BT218-BJ219</f>
        <v>54008.4401041667</v>
      </c>
      <c r="BU219" s="60">
        <f t="shared" si="591"/>
        <v>54008.4401041667</v>
      </c>
      <c r="BV219" s="60">
        <f t="shared" si="591"/>
        <v>54008.4401041667</v>
      </c>
      <c r="BW219" s="60">
        <f t="shared" si="591"/>
        <v>54008.4401041667</v>
      </c>
      <c r="BX219" s="60">
        <f t="shared" si="591"/>
        <v>54008.4401041667</v>
      </c>
      <c r="BY219" s="60">
        <f t="shared" si="591"/>
        <v>54008.4401041667</v>
      </c>
      <c r="BZ219" s="60">
        <f t="shared" si="591"/>
        <v>54008.4401041667</v>
      </c>
      <c r="CA219" s="60">
        <f t="shared" si="591"/>
        <v>54008.4401041667</v>
      </c>
      <c r="CB219" s="60">
        <f t="shared" si="591"/>
        <v>9144.47916666668</v>
      </c>
    </row>
    <row r="220" s="234" customFormat="1" ht="27" hidden="1" customHeight="1" spans="1:80">
      <c r="A220" s="236">
        <v>45847</v>
      </c>
      <c r="B220" s="237" t="s">
        <v>415</v>
      </c>
      <c r="C220" s="238" t="s">
        <v>83</v>
      </c>
      <c r="D220" s="239" t="s">
        <v>1209</v>
      </c>
      <c r="E220" s="238" t="s">
        <v>1210</v>
      </c>
      <c r="F220" s="237"/>
      <c r="G220" s="240" t="s">
        <v>94</v>
      </c>
      <c r="H220" s="237" t="s">
        <v>211</v>
      </c>
      <c r="I220" s="247">
        <v>1040</v>
      </c>
      <c r="J220" s="247">
        <v>0</v>
      </c>
      <c r="K220" s="247">
        <v>52</v>
      </c>
      <c r="L220" s="247">
        <f t="shared" si="553"/>
        <v>20</v>
      </c>
      <c r="M220" s="248">
        <v>45899</v>
      </c>
      <c r="N220" s="248">
        <v>45899</v>
      </c>
      <c r="O220" s="212"/>
      <c r="P220" s="212" t="s">
        <v>107</v>
      </c>
      <c r="Q220" s="212" t="s">
        <v>1218</v>
      </c>
      <c r="R220" s="212" t="s">
        <v>1212</v>
      </c>
      <c r="S220" s="212" t="s">
        <v>80</v>
      </c>
      <c r="T220" s="273" t="s">
        <v>1213</v>
      </c>
      <c r="U220" s="212"/>
      <c r="V220" s="259" t="s">
        <v>1214</v>
      </c>
      <c r="W220" s="248" t="s">
        <v>1207</v>
      </c>
      <c r="X220" s="260">
        <v>0.86</v>
      </c>
      <c r="Y220" s="247">
        <f t="shared" si="482"/>
        <v>894.4</v>
      </c>
      <c r="Z220" s="248" t="s">
        <v>1215</v>
      </c>
      <c r="AA220" s="259">
        <v>1040</v>
      </c>
      <c r="AB220" s="259">
        <f t="shared" si="449"/>
        <v>0</v>
      </c>
      <c r="AC220" s="254"/>
      <c r="AD220" s="212" t="s">
        <v>114</v>
      </c>
      <c r="AE220" s="248" t="s">
        <v>94</v>
      </c>
      <c r="AF220" s="248" t="s">
        <v>115</v>
      </c>
      <c r="AG220" s="267">
        <f t="shared" si="572"/>
        <v>1040</v>
      </c>
      <c r="AH220" s="267"/>
      <c r="AI220" s="267">
        <f t="shared" si="573"/>
        <v>1040</v>
      </c>
      <c r="AJ220" s="267"/>
      <c r="AK220" s="267">
        <f t="shared" si="567"/>
        <v>1040</v>
      </c>
      <c r="AL220" s="267"/>
      <c r="AM220" s="267"/>
      <c r="AN220" s="267"/>
      <c r="AO220" s="267">
        <f t="shared" si="574"/>
        <v>1040</v>
      </c>
      <c r="AP220" s="267"/>
      <c r="AQ220" s="267"/>
      <c r="AR220" s="267"/>
      <c r="AS220" s="267"/>
      <c r="AT220" s="267">
        <f t="shared" si="575"/>
        <v>80</v>
      </c>
      <c r="AU220" s="267"/>
      <c r="AV220" s="267"/>
      <c r="AW220" s="267"/>
      <c r="AX220" s="267"/>
      <c r="AY220" s="267"/>
      <c r="AZ220" s="267"/>
      <c r="BA220" s="267"/>
      <c r="BB220" s="267"/>
      <c r="BC220" s="267"/>
      <c r="BD220" s="267"/>
      <c r="BE220" s="267"/>
      <c r="BF220" s="267"/>
      <c r="BG220" s="267"/>
      <c r="BH220" s="267"/>
      <c r="BI220" s="267"/>
      <c r="BJ220" s="269">
        <f t="shared" ref="BJ220:BR220" si="592">$I220*BJ$2</f>
        <v>127.291666666666</v>
      </c>
      <c r="BK220" s="269">
        <f t="shared" si="592"/>
        <v>127.291666666666</v>
      </c>
      <c r="BL220" s="269">
        <f t="shared" si="592"/>
        <v>127.291666666666</v>
      </c>
      <c r="BM220" s="269">
        <f t="shared" si="592"/>
        <v>127.291666666666</v>
      </c>
      <c r="BN220" s="269">
        <f t="shared" si="592"/>
        <v>127.291666666666</v>
      </c>
      <c r="BO220" s="269">
        <f t="shared" si="592"/>
        <v>127.291666666666</v>
      </c>
      <c r="BP220" s="269">
        <f t="shared" si="592"/>
        <v>127.291666666666</v>
      </c>
      <c r="BQ220" s="269">
        <f t="shared" si="592"/>
        <v>127.291666666666</v>
      </c>
      <c r="BR220" s="269">
        <f t="shared" si="592"/>
        <v>21.6666666666666</v>
      </c>
      <c r="BT220" s="60">
        <f t="shared" ref="BT220:CB220" si="593">BT219-BJ220</f>
        <v>53881.1484375001</v>
      </c>
      <c r="BU220" s="60">
        <f t="shared" si="593"/>
        <v>53881.1484375001</v>
      </c>
      <c r="BV220" s="60">
        <f t="shared" si="593"/>
        <v>53881.1484375001</v>
      </c>
      <c r="BW220" s="60">
        <f t="shared" si="593"/>
        <v>53881.1484375001</v>
      </c>
      <c r="BX220" s="60">
        <f t="shared" si="593"/>
        <v>53881.1484375001</v>
      </c>
      <c r="BY220" s="60">
        <f t="shared" si="593"/>
        <v>53881.1484375001</v>
      </c>
      <c r="BZ220" s="60">
        <f t="shared" si="593"/>
        <v>53881.1484375001</v>
      </c>
      <c r="CA220" s="60">
        <f t="shared" si="593"/>
        <v>53881.1484375001</v>
      </c>
      <c r="CB220" s="60">
        <f t="shared" si="593"/>
        <v>9122.81250000001</v>
      </c>
    </row>
    <row r="221" s="234" customFormat="1" ht="27" hidden="1" customHeight="1" spans="1:80">
      <c r="A221" s="236">
        <v>45859</v>
      </c>
      <c r="B221" s="238" t="s">
        <v>1219</v>
      </c>
      <c r="C221" s="238" t="s">
        <v>117</v>
      </c>
      <c r="D221" s="239" t="s">
        <v>1220</v>
      </c>
      <c r="E221" s="271" t="s">
        <v>1221</v>
      </c>
      <c r="F221" s="237"/>
      <c r="G221" s="240" t="s">
        <v>86</v>
      </c>
      <c r="H221" s="237" t="s">
        <v>559</v>
      </c>
      <c r="I221" s="247">
        <v>3690</v>
      </c>
      <c r="J221" s="247">
        <v>0</v>
      </c>
      <c r="K221" s="247">
        <v>30</v>
      </c>
      <c r="L221" s="247">
        <f t="shared" si="553"/>
        <v>123</v>
      </c>
      <c r="M221" s="248">
        <v>45901</v>
      </c>
      <c r="N221" s="248">
        <v>45901</v>
      </c>
      <c r="O221" s="212" t="s">
        <v>1222</v>
      </c>
      <c r="P221" s="212" t="s">
        <v>224</v>
      </c>
      <c r="Q221" s="212" t="s">
        <v>1223</v>
      </c>
      <c r="R221" s="212" t="s">
        <v>1224</v>
      </c>
      <c r="S221" s="212" t="s">
        <v>80</v>
      </c>
      <c r="T221" s="273" t="s">
        <v>80</v>
      </c>
      <c r="U221" s="212"/>
      <c r="V221" s="259" t="s">
        <v>1225</v>
      </c>
      <c r="W221" s="248" t="s">
        <v>1226</v>
      </c>
      <c r="X221" s="260">
        <v>0.44226</v>
      </c>
      <c r="Y221" s="247">
        <f t="shared" si="482"/>
        <v>1631.9394</v>
      </c>
      <c r="Z221" s="248" t="s">
        <v>1227</v>
      </c>
      <c r="AA221" s="259">
        <v>3690</v>
      </c>
      <c r="AB221" s="259">
        <f t="shared" si="449"/>
        <v>0</v>
      </c>
      <c r="AC221" s="212"/>
      <c r="AD221" s="212" t="s">
        <v>114</v>
      </c>
      <c r="AE221" s="248" t="s">
        <v>1228</v>
      </c>
      <c r="AF221" s="248" t="s">
        <v>115</v>
      </c>
      <c r="AG221" s="267">
        <f t="shared" si="572"/>
        <v>3690</v>
      </c>
      <c r="AI221" s="267">
        <f t="shared" si="573"/>
        <v>3690</v>
      </c>
      <c r="AJ221" s="267"/>
      <c r="AK221" s="267">
        <f t="shared" si="567"/>
        <v>3690</v>
      </c>
      <c r="AL221" s="267"/>
      <c r="AM221" s="267"/>
      <c r="AN221" s="267"/>
      <c r="AO221" s="267">
        <f t="shared" si="574"/>
        <v>3690</v>
      </c>
      <c r="AP221" s="267"/>
      <c r="AQ221" s="267"/>
      <c r="AR221" s="267"/>
      <c r="AS221" s="267"/>
      <c r="AT221" s="267"/>
      <c r="AU221" s="267"/>
      <c r="AV221" s="267"/>
      <c r="AW221" s="267"/>
      <c r="AX221" s="267"/>
      <c r="AY221" s="267"/>
      <c r="AZ221" s="267"/>
      <c r="BA221" s="267"/>
      <c r="BB221" s="267"/>
      <c r="BC221" s="267"/>
      <c r="BD221" s="267"/>
      <c r="BE221" s="267"/>
      <c r="BF221" s="267"/>
      <c r="BG221" s="267"/>
      <c r="BH221" s="267"/>
      <c r="BI221" s="267"/>
      <c r="BJ221" s="269">
        <f t="shared" ref="BJ221:BR221" si="594">$I221*BJ$2</f>
        <v>451.640624999999</v>
      </c>
      <c r="BK221" s="269">
        <f t="shared" si="594"/>
        <v>451.640624999999</v>
      </c>
      <c r="BL221" s="269">
        <f t="shared" si="594"/>
        <v>451.640624999999</v>
      </c>
      <c r="BM221" s="269">
        <f t="shared" si="594"/>
        <v>451.640624999999</v>
      </c>
      <c r="BN221" s="269">
        <f t="shared" si="594"/>
        <v>451.640624999999</v>
      </c>
      <c r="BO221" s="269">
        <f t="shared" si="594"/>
        <v>451.640624999999</v>
      </c>
      <c r="BP221" s="269">
        <f t="shared" si="594"/>
        <v>451.640624999999</v>
      </c>
      <c r="BQ221" s="269">
        <f t="shared" si="594"/>
        <v>451.640624999999</v>
      </c>
      <c r="BR221" s="269">
        <f t="shared" si="594"/>
        <v>76.8749999999999</v>
      </c>
      <c r="BT221" s="60">
        <f t="shared" ref="BT221:CB221" si="595">BT220-BJ221</f>
        <v>53429.5078125001</v>
      </c>
      <c r="BU221" s="60">
        <f t="shared" si="595"/>
        <v>53429.5078125001</v>
      </c>
      <c r="BV221" s="60">
        <f t="shared" si="595"/>
        <v>53429.5078125001</v>
      </c>
      <c r="BW221" s="60">
        <f t="shared" si="595"/>
        <v>53429.5078125001</v>
      </c>
      <c r="BX221" s="60">
        <f t="shared" si="595"/>
        <v>53429.5078125001</v>
      </c>
      <c r="BY221" s="60">
        <f t="shared" si="595"/>
        <v>53429.5078125001</v>
      </c>
      <c r="BZ221" s="60">
        <f t="shared" si="595"/>
        <v>53429.5078125001</v>
      </c>
      <c r="CA221" s="60">
        <f t="shared" si="595"/>
        <v>53429.5078125001</v>
      </c>
      <c r="CB221" s="60">
        <f t="shared" si="595"/>
        <v>9045.93750000001</v>
      </c>
    </row>
    <row r="222" s="234" customFormat="1" ht="27" hidden="1" customHeight="1" spans="1:80">
      <c r="A222" s="236">
        <v>45868</v>
      </c>
      <c r="B222" s="238" t="s">
        <v>1229</v>
      </c>
      <c r="C222" s="238" t="s">
        <v>117</v>
      </c>
      <c r="D222" s="239">
        <v>4500175531</v>
      </c>
      <c r="E222" s="238">
        <v>4699</v>
      </c>
      <c r="F222" s="237" t="s">
        <v>1230</v>
      </c>
      <c r="G222" s="240" t="s">
        <v>78</v>
      </c>
      <c r="H222" s="237" t="s">
        <v>132</v>
      </c>
      <c r="I222" s="247">
        <v>1026</v>
      </c>
      <c r="J222" s="247">
        <v>0</v>
      </c>
      <c r="K222" s="247">
        <v>54</v>
      </c>
      <c r="L222" s="247">
        <f t="shared" si="553"/>
        <v>19</v>
      </c>
      <c r="M222" s="248">
        <v>45910</v>
      </c>
      <c r="N222" s="248">
        <v>45906</v>
      </c>
      <c r="O222" s="212"/>
      <c r="P222" s="212" t="s">
        <v>224</v>
      </c>
      <c r="Q222" s="212" t="s">
        <v>1231</v>
      </c>
      <c r="R222" s="212">
        <v>45882</v>
      </c>
      <c r="S222" s="212" t="s">
        <v>80</v>
      </c>
      <c r="T222" s="273" t="s">
        <v>80</v>
      </c>
      <c r="U222" s="212"/>
      <c r="V222" s="259" t="s">
        <v>923</v>
      </c>
      <c r="W222" s="248" t="s">
        <v>395</v>
      </c>
      <c r="X222" s="260">
        <v>0.4675</v>
      </c>
      <c r="Y222" s="247">
        <f t="shared" si="482"/>
        <v>479.655</v>
      </c>
      <c r="Z222" s="248" t="s">
        <v>1232</v>
      </c>
      <c r="AA222" s="259">
        <f>972+54</f>
        <v>1026</v>
      </c>
      <c r="AB222" s="259">
        <f t="shared" si="449"/>
        <v>0</v>
      </c>
      <c r="AC222" s="212"/>
      <c r="AD222" s="212" t="s">
        <v>114</v>
      </c>
      <c r="AE222" s="248" t="s">
        <v>78</v>
      </c>
      <c r="AF222" s="248" t="s">
        <v>115</v>
      </c>
      <c r="AG222" s="267">
        <f t="shared" si="572"/>
        <v>1026</v>
      </c>
      <c r="AH222" s="267"/>
      <c r="AI222" s="267">
        <f t="shared" si="573"/>
        <v>1026</v>
      </c>
      <c r="AJ222" s="267"/>
      <c r="AK222" s="267">
        <f t="shared" si="567"/>
        <v>1026</v>
      </c>
      <c r="AL222" s="267"/>
      <c r="AM222" s="267"/>
      <c r="AN222" s="267"/>
      <c r="AO222" s="267">
        <f t="shared" si="574"/>
        <v>1026</v>
      </c>
      <c r="AP222" s="267"/>
      <c r="AQ222" s="267">
        <f t="shared" ref="AQ222:AQ231" si="596">I222/27</f>
        <v>38</v>
      </c>
      <c r="AR222" s="267"/>
      <c r="AS222" s="267"/>
      <c r="AT222" s="267"/>
      <c r="AU222" s="267"/>
      <c r="AV222" s="267"/>
      <c r="AW222" s="267"/>
      <c r="AX222" s="267"/>
      <c r="AY222" s="267"/>
      <c r="AZ222" s="267"/>
      <c r="BA222" s="267"/>
      <c r="BB222" s="267"/>
      <c r="BC222" s="267"/>
      <c r="BD222" s="267"/>
      <c r="BE222" s="267"/>
      <c r="BF222" s="267"/>
      <c r="BG222" s="267"/>
      <c r="BH222" s="267"/>
      <c r="BI222" s="267"/>
      <c r="BJ222" s="269">
        <f t="shared" ref="BJ222:BR222" si="597">$I222*BJ$2</f>
        <v>125.578125</v>
      </c>
      <c r="BK222" s="269">
        <f t="shared" si="597"/>
        <v>125.578125</v>
      </c>
      <c r="BL222" s="269">
        <f t="shared" si="597"/>
        <v>125.578125</v>
      </c>
      <c r="BM222" s="269">
        <f t="shared" si="597"/>
        <v>125.578125</v>
      </c>
      <c r="BN222" s="269">
        <f t="shared" si="597"/>
        <v>125.578125</v>
      </c>
      <c r="BO222" s="269">
        <f t="shared" si="597"/>
        <v>125.578125</v>
      </c>
      <c r="BP222" s="269">
        <f t="shared" si="597"/>
        <v>125.578125</v>
      </c>
      <c r="BQ222" s="269">
        <f t="shared" si="597"/>
        <v>125.578125</v>
      </c>
      <c r="BR222" s="269">
        <f t="shared" si="597"/>
        <v>21.375</v>
      </c>
      <c r="BT222" s="60">
        <f t="shared" ref="BT222:CB222" si="598">BT221-BJ222</f>
        <v>53303.9296875001</v>
      </c>
      <c r="BU222" s="60">
        <f t="shared" si="598"/>
        <v>53303.9296875001</v>
      </c>
      <c r="BV222" s="60">
        <f t="shared" si="598"/>
        <v>53303.9296875001</v>
      </c>
      <c r="BW222" s="60">
        <f t="shared" si="598"/>
        <v>53303.9296875001</v>
      </c>
      <c r="BX222" s="60">
        <f t="shared" si="598"/>
        <v>53303.9296875001</v>
      </c>
      <c r="BY222" s="60">
        <f t="shared" si="598"/>
        <v>53303.9296875001</v>
      </c>
      <c r="BZ222" s="60">
        <f t="shared" si="598"/>
        <v>53303.9296875001</v>
      </c>
      <c r="CA222" s="60">
        <f t="shared" si="598"/>
        <v>53303.9296875001</v>
      </c>
      <c r="CB222" s="60">
        <f t="shared" si="598"/>
        <v>9024.56250000001</v>
      </c>
    </row>
    <row r="223" s="234" customFormat="1" ht="27" hidden="1" customHeight="1" spans="1:80">
      <c r="A223" s="236">
        <v>45831</v>
      </c>
      <c r="B223" s="237" t="s">
        <v>1233</v>
      </c>
      <c r="C223" s="238" t="s">
        <v>117</v>
      </c>
      <c r="D223" s="239">
        <v>4500170808</v>
      </c>
      <c r="E223" s="238" t="s">
        <v>1234</v>
      </c>
      <c r="F223" s="237" t="s">
        <v>1235</v>
      </c>
      <c r="G223" s="240" t="s">
        <v>131</v>
      </c>
      <c r="H223" s="237" t="s">
        <v>132</v>
      </c>
      <c r="I223" s="247">
        <v>783</v>
      </c>
      <c r="J223" s="247">
        <v>0</v>
      </c>
      <c r="K223" s="247">
        <v>27</v>
      </c>
      <c r="L223" s="247">
        <f t="shared" si="553"/>
        <v>29</v>
      </c>
      <c r="M223" s="248">
        <v>45880</v>
      </c>
      <c r="N223" s="248">
        <v>45906</v>
      </c>
      <c r="O223" s="212" t="s">
        <v>1236</v>
      </c>
      <c r="P223" s="212" t="s">
        <v>107</v>
      </c>
      <c r="Q223" s="212" t="s">
        <v>1237</v>
      </c>
      <c r="R223" s="212">
        <v>45834</v>
      </c>
      <c r="S223" s="273" t="s">
        <v>80</v>
      </c>
      <c r="T223" s="273" t="s">
        <v>80</v>
      </c>
      <c r="U223" s="212" t="s">
        <v>1238</v>
      </c>
      <c r="V223" s="259" t="s">
        <v>1239</v>
      </c>
      <c r="W223" s="248" t="s">
        <v>587</v>
      </c>
      <c r="X223" s="260">
        <v>0.4875</v>
      </c>
      <c r="Y223" s="247">
        <f t="shared" si="482"/>
        <v>381.7125</v>
      </c>
      <c r="Z223" s="246" t="s">
        <v>1240</v>
      </c>
      <c r="AA223" s="259">
        <f>783</f>
        <v>783</v>
      </c>
      <c r="AB223" s="259">
        <f t="shared" si="449"/>
        <v>0</v>
      </c>
      <c r="AC223" s="212" t="s">
        <v>80</v>
      </c>
      <c r="AD223" s="212" t="s">
        <v>114</v>
      </c>
      <c r="AE223" s="248" t="s">
        <v>131</v>
      </c>
      <c r="AF223" s="248" t="s">
        <v>115</v>
      </c>
      <c r="AG223" s="267">
        <f t="shared" si="572"/>
        <v>783</v>
      </c>
      <c r="AH223" s="267"/>
      <c r="AI223" s="267">
        <f t="shared" si="573"/>
        <v>783</v>
      </c>
      <c r="AJ223" s="267"/>
      <c r="AK223" s="267">
        <f t="shared" si="567"/>
        <v>783</v>
      </c>
      <c r="AL223" s="267"/>
      <c r="AM223" s="267"/>
      <c r="AN223" s="267"/>
      <c r="AO223" s="267">
        <f t="shared" si="574"/>
        <v>783</v>
      </c>
      <c r="AP223" s="267"/>
      <c r="AQ223" s="267">
        <f t="shared" si="596"/>
        <v>29</v>
      </c>
      <c r="AR223" s="267"/>
      <c r="AS223" s="267"/>
      <c r="AT223" s="267"/>
      <c r="AU223" s="267"/>
      <c r="AV223" s="267"/>
      <c r="AW223" s="267"/>
      <c r="AX223" s="267"/>
      <c r="AY223" s="267"/>
      <c r="AZ223" s="267"/>
      <c r="BA223" s="267"/>
      <c r="BB223" s="267"/>
      <c r="BC223" s="267"/>
      <c r="BD223" s="267"/>
      <c r="BE223" s="267"/>
      <c r="BF223" s="267"/>
      <c r="BG223" s="267"/>
      <c r="BH223" s="267"/>
      <c r="BI223" s="267"/>
      <c r="BJ223" s="269">
        <f t="shared" ref="BJ223:BR223" si="599">$I223*BJ$2</f>
        <v>95.8359374999997</v>
      </c>
      <c r="BK223" s="269">
        <f t="shared" si="599"/>
        <v>95.8359374999997</v>
      </c>
      <c r="BL223" s="269">
        <f t="shared" si="599"/>
        <v>95.8359374999997</v>
      </c>
      <c r="BM223" s="269">
        <f t="shared" si="599"/>
        <v>95.8359374999997</v>
      </c>
      <c r="BN223" s="269">
        <f t="shared" si="599"/>
        <v>95.8359374999997</v>
      </c>
      <c r="BO223" s="269">
        <f t="shared" si="599"/>
        <v>95.8359374999997</v>
      </c>
      <c r="BP223" s="269">
        <f t="shared" si="599"/>
        <v>95.8359374999997</v>
      </c>
      <c r="BQ223" s="269">
        <f t="shared" si="599"/>
        <v>95.8359374999997</v>
      </c>
      <c r="BR223" s="269">
        <f t="shared" si="599"/>
        <v>16.3125</v>
      </c>
      <c r="BT223" s="60">
        <f t="shared" ref="BT223:CB223" si="600">BT222-BJ223</f>
        <v>53208.0937500001</v>
      </c>
      <c r="BU223" s="60">
        <f t="shared" si="600"/>
        <v>53208.0937500001</v>
      </c>
      <c r="BV223" s="60">
        <f t="shared" si="600"/>
        <v>53208.0937500001</v>
      </c>
      <c r="BW223" s="60">
        <f t="shared" si="600"/>
        <v>53208.0937500001</v>
      </c>
      <c r="BX223" s="60">
        <f t="shared" si="600"/>
        <v>53208.0937500001</v>
      </c>
      <c r="BY223" s="60">
        <f t="shared" si="600"/>
        <v>53208.0937500001</v>
      </c>
      <c r="BZ223" s="60">
        <f t="shared" si="600"/>
        <v>53208.0937500001</v>
      </c>
      <c r="CA223" s="60">
        <f t="shared" si="600"/>
        <v>53208.0937500001</v>
      </c>
      <c r="CB223" s="60">
        <f t="shared" si="600"/>
        <v>9008.25000000001</v>
      </c>
    </row>
    <row r="224" s="234" customFormat="1" ht="27" hidden="1" customHeight="1" spans="1:80">
      <c r="A224" s="236">
        <v>45831</v>
      </c>
      <c r="B224" s="237" t="s">
        <v>1233</v>
      </c>
      <c r="C224" s="238" t="s">
        <v>117</v>
      </c>
      <c r="D224" s="239">
        <v>4500170808</v>
      </c>
      <c r="E224" s="238" t="s">
        <v>1241</v>
      </c>
      <c r="F224" s="237" t="s">
        <v>1242</v>
      </c>
      <c r="G224" s="240" t="s">
        <v>131</v>
      </c>
      <c r="H224" s="237" t="s">
        <v>132</v>
      </c>
      <c r="I224" s="247">
        <v>1269</v>
      </c>
      <c r="J224" s="247">
        <v>0</v>
      </c>
      <c r="K224" s="247">
        <v>27</v>
      </c>
      <c r="L224" s="247">
        <f t="shared" si="553"/>
        <v>47</v>
      </c>
      <c r="M224" s="248">
        <v>45880</v>
      </c>
      <c r="N224" s="248">
        <v>45906</v>
      </c>
      <c r="O224" s="212" t="s">
        <v>1236</v>
      </c>
      <c r="P224" s="212" t="s">
        <v>107</v>
      </c>
      <c r="Q224" s="212" t="s">
        <v>1237</v>
      </c>
      <c r="R224" s="212">
        <v>45834</v>
      </c>
      <c r="S224" s="273" t="s">
        <v>80</v>
      </c>
      <c r="T224" s="273" t="s">
        <v>80</v>
      </c>
      <c r="U224" s="212"/>
      <c r="V224" s="259" t="s">
        <v>1239</v>
      </c>
      <c r="W224" s="248" t="s">
        <v>587</v>
      </c>
      <c r="X224" s="260">
        <v>0.4549</v>
      </c>
      <c r="Y224" s="247">
        <f t="shared" si="482"/>
        <v>577.2681</v>
      </c>
      <c r="Z224" s="246" t="s">
        <v>1243</v>
      </c>
      <c r="AA224" s="259">
        <f>1242+27</f>
        <v>1269</v>
      </c>
      <c r="AB224" s="259">
        <f t="shared" si="449"/>
        <v>0</v>
      </c>
      <c r="AC224" s="212" t="s">
        <v>80</v>
      </c>
      <c r="AD224" s="212" t="s">
        <v>114</v>
      </c>
      <c r="AE224" s="248" t="s">
        <v>131</v>
      </c>
      <c r="AF224" s="248" t="s">
        <v>115</v>
      </c>
      <c r="AG224" s="267">
        <f t="shared" si="572"/>
        <v>1269</v>
      </c>
      <c r="AH224" s="267"/>
      <c r="AI224" s="267">
        <f t="shared" si="573"/>
        <v>1269</v>
      </c>
      <c r="AJ224" s="267"/>
      <c r="AK224" s="267">
        <f t="shared" si="567"/>
        <v>1269</v>
      </c>
      <c r="AL224" s="267"/>
      <c r="AM224" s="267"/>
      <c r="AN224" s="267"/>
      <c r="AO224" s="267">
        <f t="shared" si="574"/>
        <v>1269</v>
      </c>
      <c r="AP224" s="267"/>
      <c r="AQ224" s="267">
        <f t="shared" si="596"/>
        <v>47</v>
      </c>
      <c r="AR224" s="267"/>
      <c r="AS224" s="267"/>
      <c r="AT224" s="267"/>
      <c r="AU224" s="267"/>
      <c r="AV224" s="267"/>
      <c r="AW224" s="267"/>
      <c r="AX224" s="267"/>
      <c r="AY224" s="267"/>
      <c r="AZ224" s="267"/>
      <c r="BA224" s="267"/>
      <c r="BB224" s="267"/>
      <c r="BC224" s="267"/>
      <c r="BD224" s="267"/>
      <c r="BE224" s="267"/>
      <c r="BF224" s="267"/>
      <c r="BG224" s="267"/>
      <c r="BH224" s="267"/>
      <c r="BI224" s="267"/>
      <c r="BJ224" s="269">
        <f t="shared" ref="BJ224:BR224" si="601">$I224*BJ$2</f>
        <v>155.3203125</v>
      </c>
      <c r="BK224" s="269">
        <f t="shared" si="601"/>
        <v>155.3203125</v>
      </c>
      <c r="BL224" s="269">
        <f t="shared" si="601"/>
        <v>155.3203125</v>
      </c>
      <c r="BM224" s="269">
        <f t="shared" si="601"/>
        <v>155.3203125</v>
      </c>
      <c r="BN224" s="269">
        <f t="shared" si="601"/>
        <v>155.3203125</v>
      </c>
      <c r="BO224" s="269">
        <f t="shared" si="601"/>
        <v>155.3203125</v>
      </c>
      <c r="BP224" s="269">
        <f t="shared" si="601"/>
        <v>155.3203125</v>
      </c>
      <c r="BQ224" s="269">
        <f t="shared" si="601"/>
        <v>155.3203125</v>
      </c>
      <c r="BR224" s="269">
        <f t="shared" si="601"/>
        <v>26.4375</v>
      </c>
      <c r="BT224" s="60">
        <f t="shared" ref="BT224:CB224" si="602">BT223-BJ224</f>
        <v>53052.7734375001</v>
      </c>
      <c r="BU224" s="60">
        <f t="shared" si="602"/>
        <v>53052.7734375001</v>
      </c>
      <c r="BV224" s="60">
        <f t="shared" si="602"/>
        <v>53052.7734375001</v>
      </c>
      <c r="BW224" s="60">
        <f t="shared" si="602"/>
        <v>53052.7734375001</v>
      </c>
      <c r="BX224" s="60">
        <f t="shared" si="602"/>
        <v>53052.7734375001</v>
      </c>
      <c r="BY224" s="60">
        <f t="shared" si="602"/>
        <v>53052.7734375001</v>
      </c>
      <c r="BZ224" s="60">
        <f t="shared" si="602"/>
        <v>53052.7734375001</v>
      </c>
      <c r="CA224" s="60">
        <f t="shared" si="602"/>
        <v>53052.7734375001</v>
      </c>
      <c r="CB224" s="60">
        <f t="shared" si="602"/>
        <v>8981.81250000001</v>
      </c>
    </row>
    <row r="225" s="234" customFormat="1" ht="27" hidden="1" customHeight="1" spans="1:80">
      <c r="A225" s="236">
        <v>45831</v>
      </c>
      <c r="B225" s="237" t="s">
        <v>1233</v>
      </c>
      <c r="C225" s="238" t="s">
        <v>117</v>
      </c>
      <c r="D225" s="239">
        <v>4500170808</v>
      </c>
      <c r="E225" s="238" t="s">
        <v>1244</v>
      </c>
      <c r="F225" s="237" t="s">
        <v>1245</v>
      </c>
      <c r="G225" s="240" t="s">
        <v>131</v>
      </c>
      <c r="H225" s="237" t="s">
        <v>132</v>
      </c>
      <c r="I225" s="247">
        <v>756</v>
      </c>
      <c r="J225" s="247">
        <v>0</v>
      </c>
      <c r="K225" s="247">
        <v>27</v>
      </c>
      <c r="L225" s="247">
        <f t="shared" si="553"/>
        <v>28</v>
      </c>
      <c r="M225" s="248">
        <v>45880</v>
      </c>
      <c r="N225" s="248">
        <v>45906</v>
      </c>
      <c r="O225" s="212" t="s">
        <v>1236</v>
      </c>
      <c r="P225" s="212" t="s">
        <v>107</v>
      </c>
      <c r="Q225" s="212" t="s">
        <v>1237</v>
      </c>
      <c r="R225" s="212">
        <v>45834</v>
      </c>
      <c r="S225" s="273" t="s">
        <v>80</v>
      </c>
      <c r="T225" s="273" t="s">
        <v>80</v>
      </c>
      <c r="U225" s="212"/>
      <c r="V225" s="259" t="s">
        <v>1239</v>
      </c>
      <c r="W225" s="248" t="s">
        <v>587</v>
      </c>
      <c r="X225" s="260">
        <v>0.4581</v>
      </c>
      <c r="Y225" s="247">
        <f t="shared" si="482"/>
        <v>346.3236</v>
      </c>
      <c r="Z225" s="246" t="s">
        <v>1246</v>
      </c>
      <c r="AA225" s="259">
        <f>756</f>
        <v>756</v>
      </c>
      <c r="AB225" s="259">
        <f t="shared" si="449"/>
        <v>0</v>
      </c>
      <c r="AC225" s="212" t="s">
        <v>80</v>
      </c>
      <c r="AD225" s="212" t="s">
        <v>114</v>
      </c>
      <c r="AE225" s="248" t="s">
        <v>131</v>
      </c>
      <c r="AF225" s="248" t="s">
        <v>115</v>
      </c>
      <c r="AG225" s="267">
        <f t="shared" si="572"/>
        <v>756</v>
      </c>
      <c r="AH225" s="267"/>
      <c r="AI225" s="267">
        <f t="shared" si="573"/>
        <v>756</v>
      </c>
      <c r="AJ225" s="267"/>
      <c r="AK225" s="267">
        <f t="shared" si="567"/>
        <v>756</v>
      </c>
      <c r="AL225" s="267"/>
      <c r="AM225" s="267"/>
      <c r="AN225" s="267"/>
      <c r="AO225" s="267">
        <f t="shared" si="574"/>
        <v>756</v>
      </c>
      <c r="AP225" s="267"/>
      <c r="AQ225" s="267">
        <f t="shared" si="596"/>
        <v>28</v>
      </c>
      <c r="AR225" s="267"/>
      <c r="AS225" s="267"/>
      <c r="AT225" s="267"/>
      <c r="AU225" s="267"/>
      <c r="AV225" s="267"/>
      <c r="AW225" s="267"/>
      <c r="AX225" s="267"/>
      <c r="AY225" s="267"/>
      <c r="AZ225" s="267"/>
      <c r="BA225" s="267"/>
      <c r="BB225" s="267"/>
      <c r="BC225" s="267"/>
      <c r="BD225" s="267"/>
      <c r="BE225" s="267"/>
      <c r="BF225" s="267"/>
      <c r="BG225" s="267"/>
      <c r="BH225" s="267"/>
      <c r="BI225" s="267"/>
      <c r="BJ225" s="269">
        <f t="shared" ref="BJ225:BR225" si="603">$I225*BJ$2</f>
        <v>92.5312499999997</v>
      </c>
      <c r="BK225" s="269">
        <f t="shared" si="603"/>
        <v>92.5312499999997</v>
      </c>
      <c r="BL225" s="269">
        <f t="shared" si="603"/>
        <v>92.5312499999997</v>
      </c>
      <c r="BM225" s="269">
        <f t="shared" si="603"/>
        <v>92.5312499999997</v>
      </c>
      <c r="BN225" s="269">
        <f t="shared" si="603"/>
        <v>92.5312499999997</v>
      </c>
      <c r="BO225" s="269">
        <f t="shared" si="603"/>
        <v>92.5312499999997</v>
      </c>
      <c r="BP225" s="269">
        <f t="shared" si="603"/>
        <v>92.5312499999997</v>
      </c>
      <c r="BQ225" s="269">
        <f t="shared" si="603"/>
        <v>92.5312499999997</v>
      </c>
      <c r="BR225" s="269">
        <f t="shared" si="603"/>
        <v>15.75</v>
      </c>
      <c r="BT225" s="60">
        <f t="shared" ref="BT225:CB225" si="604">BT224-BJ225</f>
        <v>52960.2421875001</v>
      </c>
      <c r="BU225" s="60">
        <f t="shared" si="604"/>
        <v>52960.2421875001</v>
      </c>
      <c r="BV225" s="60">
        <f t="shared" si="604"/>
        <v>52960.2421875001</v>
      </c>
      <c r="BW225" s="60">
        <f t="shared" si="604"/>
        <v>52960.2421875001</v>
      </c>
      <c r="BX225" s="60">
        <f t="shared" si="604"/>
        <v>52960.2421875001</v>
      </c>
      <c r="BY225" s="60">
        <f t="shared" si="604"/>
        <v>52960.2421875001</v>
      </c>
      <c r="BZ225" s="60">
        <f t="shared" si="604"/>
        <v>52960.2421875001</v>
      </c>
      <c r="CA225" s="60">
        <f t="shared" si="604"/>
        <v>52960.2421875001</v>
      </c>
      <c r="CB225" s="60">
        <f t="shared" si="604"/>
        <v>8966.06250000001</v>
      </c>
    </row>
    <row r="226" s="234" customFormat="1" ht="27" hidden="1" customHeight="1" spans="1:80">
      <c r="A226" s="236">
        <v>45831</v>
      </c>
      <c r="B226" s="237" t="s">
        <v>1233</v>
      </c>
      <c r="C226" s="238" t="s">
        <v>117</v>
      </c>
      <c r="D226" s="239">
        <v>4500170808</v>
      </c>
      <c r="E226" s="238" t="s">
        <v>1247</v>
      </c>
      <c r="F226" s="237" t="s">
        <v>1248</v>
      </c>
      <c r="G226" s="240" t="s">
        <v>131</v>
      </c>
      <c r="H226" s="237" t="s">
        <v>132</v>
      </c>
      <c r="I226" s="247">
        <v>1728</v>
      </c>
      <c r="J226" s="247">
        <v>0</v>
      </c>
      <c r="K226" s="247">
        <v>27</v>
      </c>
      <c r="L226" s="247">
        <f t="shared" si="553"/>
        <v>64</v>
      </c>
      <c r="M226" s="248">
        <v>45880</v>
      </c>
      <c r="N226" s="248">
        <v>45906</v>
      </c>
      <c r="O226" s="212" t="s">
        <v>1236</v>
      </c>
      <c r="P226" s="212" t="s">
        <v>107</v>
      </c>
      <c r="Q226" s="212" t="s">
        <v>1237</v>
      </c>
      <c r="R226" s="212">
        <v>45834</v>
      </c>
      <c r="S226" s="273" t="s">
        <v>80</v>
      </c>
      <c r="T226" s="273" t="s">
        <v>80</v>
      </c>
      <c r="U226" s="212"/>
      <c r="V226" s="259" t="s">
        <v>1239</v>
      </c>
      <c r="W226" s="248" t="s">
        <v>587</v>
      </c>
      <c r="X226" s="260">
        <v>0.41549</v>
      </c>
      <c r="Y226" s="247">
        <f t="shared" si="482"/>
        <v>717.96672</v>
      </c>
      <c r="Z226" s="246" t="s">
        <v>1249</v>
      </c>
      <c r="AA226" s="259">
        <f>1728</f>
        <v>1728</v>
      </c>
      <c r="AB226" s="259">
        <f t="shared" si="449"/>
        <v>0</v>
      </c>
      <c r="AC226" s="212" t="s">
        <v>80</v>
      </c>
      <c r="AD226" s="212" t="s">
        <v>114</v>
      </c>
      <c r="AE226" s="248" t="s">
        <v>131</v>
      </c>
      <c r="AF226" s="248" t="s">
        <v>115</v>
      </c>
      <c r="AG226" s="267">
        <f t="shared" si="572"/>
        <v>1728</v>
      </c>
      <c r="AH226" s="267"/>
      <c r="AI226" s="267">
        <f t="shared" si="573"/>
        <v>1728</v>
      </c>
      <c r="AJ226" s="267"/>
      <c r="AK226" s="267">
        <f t="shared" si="567"/>
        <v>1728</v>
      </c>
      <c r="AL226" s="267"/>
      <c r="AM226" s="267"/>
      <c r="AN226" s="267"/>
      <c r="AO226" s="267">
        <f t="shared" si="574"/>
        <v>1728</v>
      </c>
      <c r="AP226" s="267"/>
      <c r="AQ226" s="267">
        <f t="shared" si="596"/>
        <v>64</v>
      </c>
      <c r="AR226" s="267"/>
      <c r="AS226" s="267"/>
      <c r="AT226" s="267"/>
      <c r="AU226" s="267"/>
      <c r="AV226" s="267"/>
      <c r="AW226" s="267"/>
      <c r="AX226" s="267"/>
      <c r="AY226" s="267"/>
      <c r="AZ226" s="267"/>
      <c r="BA226" s="267"/>
      <c r="BB226" s="267"/>
      <c r="BC226" s="267"/>
      <c r="BD226" s="267"/>
      <c r="BE226" s="267"/>
      <c r="BF226" s="267"/>
      <c r="BG226" s="267"/>
      <c r="BH226" s="267"/>
      <c r="BI226" s="267"/>
      <c r="BJ226" s="269">
        <f t="shared" ref="BJ226:BR226" si="605">$I226*BJ$2</f>
        <v>211.499999999999</v>
      </c>
      <c r="BK226" s="269">
        <f t="shared" si="605"/>
        <v>211.499999999999</v>
      </c>
      <c r="BL226" s="269">
        <f t="shared" si="605"/>
        <v>211.499999999999</v>
      </c>
      <c r="BM226" s="269">
        <f t="shared" si="605"/>
        <v>211.499999999999</v>
      </c>
      <c r="BN226" s="269">
        <f t="shared" si="605"/>
        <v>211.499999999999</v>
      </c>
      <c r="BO226" s="269">
        <f t="shared" si="605"/>
        <v>211.499999999999</v>
      </c>
      <c r="BP226" s="269">
        <f t="shared" si="605"/>
        <v>211.499999999999</v>
      </c>
      <c r="BQ226" s="269">
        <f t="shared" si="605"/>
        <v>211.499999999999</v>
      </c>
      <c r="BR226" s="269">
        <f t="shared" si="605"/>
        <v>35.9999999999999</v>
      </c>
      <c r="BT226" s="60">
        <f t="shared" ref="BT226:CB226" si="606">BT225-BJ226</f>
        <v>52748.7421875001</v>
      </c>
      <c r="BU226" s="60">
        <f t="shared" si="606"/>
        <v>52748.7421875001</v>
      </c>
      <c r="BV226" s="60">
        <f t="shared" si="606"/>
        <v>52748.7421875001</v>
      </c>
      <c r="BW226" s="60">
        <f t="shared" si="606"/>
        <v>52748.7421875001</v>
      </c>
      <c r="BX226" s="60">
        <f t="shared" si="606"/>
        <v>52748.7421875001</v>
      </c>
      <c r="BY226" s="60">
        <f t="shared" si="606"/>
        <v>52748.7421875001</v>
      </c>
      <c r="BZ226" s="60">
        <f t="shared" si="606"/>
        <v>52748.7421875001</v>
      </c>
      <c r="CA226" s="60">
        <f t="shared" si="606"/>
        <v>52748.7421875001</v>
      </c>
      <c r="CB226" s="60">
        <f t="shared" si="606"/>
        <v>8930.06250000001</v>
      </c>
    </row>
    <row r="227" s="234" customFormat="1" ht="27" hidden="1" customHeight="1" spans="1:80">
      <c r="A227" s="236">
        <v>45831</v>
      </c>
      <c r="B227" s="237" t="s">
        <v>1233</v>
      </c>
      <c r="C227" s="238" t="s">
        <v>117</v>
      </c>
      <c r="D227" s="239">
        <v>4500170808</v>
      </c>
      <c r="E227" s="238" t="s">
        <v>1250</v>
      </c>
      <c r="F227" s="237" t="s">
        <v>1251</v>
      </c>
      <c r="G227" s="240" t="s">
        <v>131</v>
      </c>
      <c r="H227" s="237" t="s">
        <v>132</v>
      </c>
      <c r="I227" s="247">
        <v>2160</v>
      </c>
      <c r="J227" s="247">
        <v>0</v>
      </c>
      <c r="K227" s="247">
        <v>27</v>
      </c>
      <c r="L227" s="247">
        <f t="shared" si="553"/>
        <v>80</v>
      </c>
      <c r="M227" s="248">
        <v>45880</v>
      </c>
      <c r="N227" s="248">
        <v>45906</v>
      </c>
      <c r="O227" s="212" t="s">
        <v>1236</v>
      </c>
      <c r="P227" s="212" t="s">
        <v>107</v>
      </c>
      <c r="Q227" s="212" t="s">
        <v>1237</v>
      </c>
      <c r="R227" s="212">
        <v>45834</v>
      </c>
      <c r="S227" s="273" t="s">
        <v>80</v>
      </c>
      <c r="T227" s="273" t="s">
        <v>80</v>
      </c>
      <c r="U227" s="212"/>
      <c r="V227" s="259" t="s">
        <v>1239</v>
      </c>
      <c r="W227" s="248" t="s">
        <v>587</v>
      </c>
      <c r="X227" s="260">
        <v>0.4549</v>
      </c>
      <c r="Y227" s="247">
        <f t="shared" si="482"/>
        <v>982.584</v>
      </c>
      <c r="Z227" s="246" t="s">
        <v>1252</v>
      </c>
      <c r="AA227" s="259">
        <f>2079+81</f>
        <v>2160</v>
      </c>
      <c r="AB227" s="259">
        <f t="shared" si="449"/>
        <v>0</v>
      </c>
      <c r="AC227" s="212" t="s">
        <v>80</v>
      </c>
      <c r="AD227" s="212" t="s">
        <v>114</v>
      </c>
      <c r="AE227" s="248" t="s">
        <v>131</v>
      </c>
      <c r="AF227" s="248" t="s">
        <v>115</v>
      </c>
      <c r="AG227" s="267">
        <f t="shared" si="572"/>
        <v>2160</v>
      </c>
      <c r="AH227" s="267"/>
      <c r="AI227" s="267">
        <f t="shared" si="573"/>
        <v>2160</v>
      </c>
      <c r="AJ227" s="267"/>
      <c r="AK227" s="267">
        <f t="shared" si="567"/>
        <v>2160</v>
      </c>
      <c r="AL227" s="267"/>
      <c r="AM227" s="267"/>
      <c r="AN227" s="267"/>
      <c r="AO227" s="267">
        <f t="shared" si="574"/>
        <v>2160</v>
      </c>
      <c r="AP227" s="267"/>
      <c r="AQ227" s="267">
        <f t="shared" si="596"/>
        <v>80</v>
      </c>
      <c r="AR227" s="267"/>
      <c r="AS227" s="267"/>
      <c r="AT227" s="267"/>
      <c r="AU227" s="267"/>
      <c r="AV227" s="267"/>
      <c r="AW227" s="267"/>
      <c r="AX227" s="267"/>
      <c r="AY227" s="267"/>
      <c r="AZ227" s="267"/>
      <c r="BA227" s="267"/>
      <c r="BB227" s="267"/>
      <c r="BC227" s="267"/>
      <c r="BD227" s="267"/>
      <c r="BE227" s="267"/>
      <c r="BF227" s="267"/>
      <c r="BG227" s="267"/>
      <c r="BH227" s="267"/>
      <c r="BI227" s="267"/>
      <c r="BJ227" s="269">
        <f t="shared" ref="BJ227:BR227" si="607">$I227*BJ$2</f>
        <v>264.374999999999</v>
      </c>
      <c r="BK227" s="269">
        <f t="shared" si="607"/>
        <v>264.374999999999</v>
      </c>
      <c r="BL227" s="269">
        <f t="shared" si="607"/>
        <v>264.374999999999</v>
      </c>
      <c r="BM227" s="269">
        <f t="shared" si="607"/>
        <v>264.374999999999</v>
      </c>
      <c r="BN227" s="269">
        <f t="shared" si="607"/>
        <v>264.374999999999</v>
      </c>
      <c r="BO227" s="269">
        <f t="shared" si="607"/>
        <v>264.374999999999</v>
      </c>
      <c r="BP227" s="269">
        <f t="shared" si="607"/>
        <v>264.374999999999</v>
      </c>
      <c r="BQ227" s="269">
        <f t="shared" si="607"/>
        <v>264.374999999999</v>
      </c>
      <c r="BR227" s="269">
        <f t="shared" si="607"/>
        <v>44.9999999999999</v>
      </c>
      <c r="BT227" s="60">
        <f t="shared" ref="BT227:CB227" si="608">BT226-BJ227</f>
        <v>52484.3671875001</v>
      </c>
      <c r="BU227" s="60">
        <f t="shared" si="608"/>
        <v>52484.3671875001</v>
      </c>
      <c r="BV227" s="60">
        <f t="shared" si="608"/>
        <v>52484.3671875001</v>
      </c>
      <c r="BW227" s="60">
        <f t="shared" si="608"/>
        <v>52484.3671875001</v>
      </c>
      <c r="BX227" s="60">
        <f t="shared" si="608"/>
        <v>52484.3671875001</v>
      </c>
      <c r="BY227" s="60">
        <f t="shared" si="608"/>
        <v>52484.3671875001</v>
      </c>
      <c r="BZ227" s="60">
        <f t="shared" si="608"/>
        <v>52484.3671875001</v>
      </c>
      <c r="CA227" s="60">
        <f t="shared" si="608"/>
        <v>52484.3671875001</v>
      </c>
      <c r="CB227" s="60">
        <f t="shared" si="608"/>
        <v>8885.06250000001</v>
      </c>
    </row>
    <row r="228" s="234" customFormat="1" ht="27" hidden="1" customHeight="1" spans="1:80">
      <c r="A228" s="236">
        <v>45831</v>
      </c>
      <c r="B228" s="237" t="s">
        <v>1233</v>
      </c>
      <c r="C228" s="238" t="s">
        <v>117</v>
      </c>
      <c r="D228" s="239">
        <v>4500170808</v>
      </c>
      <c r="E228" s="238" t="s">
        <v>1253</v>
      </c>
      <c r="F228" s="237" t="s">
        <v>1254</v>
      </c>
      <c r="G228" s="240" t="s">
        <v>131</v>
      </c>
      <c r="H228" s="237" t="s">
        <v>132</v>
      </c>
      <c r="I228" s="247">
        <v>891</v>
      </c>
      <c r="J228" s="247">
        <v>0</v>
      </c>
      <c r="K228" s="247">
        <v>27</v>
      </c>
      <c r="L228" s="247">
        <f t="shared" si="553"/>
        <v>33</v>
      </c>
      <c r="M228" s="248">
        <v>45880</v>
      </c>
      <c r="N228" s="248">
        <v>45906</v>
      </c>
      <c r="O228" s="212" t="s">
        <v>1236</v>
      </c>
      <c r="P228" s="212" t="s">
        <v>107</v>
      </c>
      <c r="Q228" s="212" t="s">
        <v>1237</v>
      </c>
      <c r="R228" s="212">
        <v>45834</v>
      </c>
      <c r="S228" s="273" t="s">
        <v>80</v>
      </c>
      <c r="T228" s="273" t="s">
        <v>80</v>
      </c>
      <c r="U228" s="212"/>
      <c r="V228" s="259" t="s">
        <v>1239</v>
      </c>
      <c r="W228" s="248" t="s">
        <v>587</v>
      </c>
      <c r="X228" s="260">
        <v>0.4581</v>
      </c>
      <c r="Y228" s="247">
        <f t="shared" si="482"/>
        <v>408.1671</v>
      </c>
      <c r="Z228" s="246" t="s">
        <v>1255</v>
      </c>
      <c r="AA228" s="259">
        <f>891</f>
        <v>891</v>
      </c>
      <c r="AB228" s="259">
        <f t="shared" si="449"/>
        <v>0</v>
      </c>
      <c r="AC228" s="212" t="s">
        <v>80</v>
      </c>
      <c r="AD228" s="212" t="s">
        <v>114</v>
      </c>
      <c r="AE228" s="248" t="s">
        <v>131</v>
      </c>
      <c r="AF228" s="248" t="s">
        <v>115</v>
      </c>
      <c r="AG228" s="267">
        <f t="shared" si="572"/>
        <v>891</v>
      </c>
      <c r="AH228" s="267"/>
      <c r="AI228" s="267">
        <f t="shared" si="573"/>
        <v>891</v>
      </c>
      <c r="AJ228" s="267"/>
      <c r="AK228" s="267">
        <f t="shared" si="567"/>
        <v>891</v>
      </c>
      <c r="AL228" s="267"/>
      <c r="AM228" s="267"/>
      <c r="AN228" s="267"/>
      <c r="AO228" s="267">
        <f t="shared" si="574"/>
        <v>891</v>
      </c>
      <c r="AP228" s="267"/>
      <c r="AQ228" s="267">
        <f t="shared" si="596"/>
        <v>33</v>
      </c>
      <c r="AR228" s="267"/>
      <c r="AS228" s="267"/>
      <c r="AT228" s="267"/>
      <c r="AU228" s="267"/>
      <c r="AV228" s="267"/>
      <c r="AW228" s="267"/>
      <c r="AX228" s="267"/>
      <c r="AY228" s="267"/>
      <c r="AZ228" s="267"/>
      <c r="BA228" s="267"/>
      <c r="BB228" s="267"/>
      <c r="BC228" s="267"/>
      <c r="BD228" s="267"/>
      <c r="BE228" s="267"/>
      <c r="BF228" s="267"/>
      <c r="BG228" s="267"/>
      <c r="BH228" s="267"/>
      <c r="BI228" s="267"/>
      <c r="BJ228" s="269">
        <f t="shared" ref="BJ228:BR228" si="609">$I228*BJ$2</f>
        <v>109.0546875</v>
      </c>
      <c r="BK228" s="269">
        <f t="shared" si="609"/>
        <v>109.0546875</v>
      </c>
      <c r="BL228" s="269">
        <f t="shared" si="609"/>
        <v>109.0546875</v>
      </c>
      <c r="BM228" s="269">
        <f t="shared" si="609"/>
        <v>109.0546875</v>
      </c>
      <c r="BN228" s="269">
        <f t="shared" si="609"/>
        <v>109.0546875</v>
      </c>
      <c r="BO228" s="269">
        <f t="shared" si="609"/>
        <v>109.0546875</v>
      </c>
      <c r="BP228" s="269">
        <f t="shared" si="609"/>
        <v>109.0546875</v>
      </c>
      <c r="BQ228" s="269">
        <f t="shared" si="609"/>
        <v>109.0546875</v>
      </c>
      <c r="BR228" s="269">
        <f t="shared" si="609"/>
        <v>18.5625</v>
      </c>
      <c r="BT228" s="60">
        <f t="shared" ref="BT228:CB228" si="610">BT227-BJ228</f>
        <v>52375.3125000001</v>
      </c>
      <c r="BU228" s="60">
        <f t="shared" si="610"/>
        <v>52375.3125000001</v>
      </c>
      <c r="BV228" s="60">
        <f t="shared" si="610"/>
        <v>52375.3125000001</v>
      </c>
      <c r="BW228" s="60">
        <f t="shared" si="610"/>
        <v>52375.3125000001</v>
      </c>
      <c r="BX228" s="60">
        <f t="shared" si="610"/>
        <v>52375.3125000001</v>
      </c>
      <c r="BY228" s="60">
        <f t="shared" si="610"/>
        <v>52375.3125000001</v>
      </c>
      <c r="BZ228" s="60">
        <f t="shared" si="610"/>
        <v>52375.3125000001</v>
      </c>
      <c r="CA228" s="60">
        <f t="shared" si="610"/>
        <v>52375.3125000001</v>
      </c>
      <c r="CB228" s="60">
        <f t="shared" si="610"/>
        <v>8866.50000000001</v>
      </c>
    </row>
    <row r="229" s="234" customFormat="1" ht="27" hidden="1" customHeight="1" spans="1:80">
      <c r="A229" s="236">
        <v>45831</v>
      </c>
      <c r="B229" s="237" t="s">
        <v>1233</v>
      </c>
      <c r="C229" s="238" t="s">
        <v>117</v>
      </c>
      <c r="D229" s="239">
        <v>4500170808</v>
      </c>
      <c r="E229" s="238" t="s">
        <v>1256</v>
      </c>
      <c r="F229" s="237" t="s">
        <v>1257</v>
      </c>
      <c r="G229" s="240" t="s">
        <v>131</v>
      </c>
      <c r="H229" s="237" t="s">
        <v>132</v>
      </c>
      <c r="I229" s="247">
        <v>918</v>
      </c>
      <c r="J229" s="247">
        <v>0</v>
      </c>
      <c r="K229" s="247">
        <v>27</v>
      </c>
      <c r="L229" s="247">
        <f t="shared" si="553"/>
        <v>34</v>
      </c>
      <c r="M229" s="248">
        <v>45880</v>
      </c>
      <c r="N229" s="248">
        <v>45906</v>
      </c>
      <c r="O229" s="212" t="s">
        <v>1236</v>
      </c>
      <c r="P229" s="212" t="s">
        <v>107</v>
      </c>
      <c r="Q229" s="212" t="s">
        <v>1237</v>
      </c>
      <c r="R229" s="212">
        <v>45834</v>
      </c>
      <c r="S229" s="273" t="s">
        <v>80</v>
      </c>
      <c r="T229" s="273" t="s">
        <v>80</v>
      </c>
      <c r="U229" s="212"/>
      <c r="V229" s="259" t="s">
        <v>1239</v>
      </c>
      <c r="W229" s="248" t="s">
        <v>587</v>
      </c>
      <c r="X229" s="260">
        <v>0.4675</v>
      </c>
      <c r="Y229" s="247">
        <f t="shared" si="482"/>
        <v>429.165</v>
      </c>
      <c r="Z229" s="246" t="s">
        <v>1258</v>
      </c>
      <c r="AA229" s="259">
        <v>918</v>
      </c>
      <c r="AB229" s="259">
        <f t="shared" si="449"/>
        <v>0</v>
      </c>
      <c r="AC229" s="212" t="s">
        <v>80</v>
      </c>
      <c r="AD229" s="212" t="s">
        <v>114</v>
      </c>
      <c r="AE229" s="248" t="s">
        <v>131</v>
      </c>
      <c r="AF229" s="248" t="s">
        <v>115</v>
      </c>
      <c r="AG229" s="267">
        <f t="shared" si="572"/>
        <v>918</v>
      </c>
      <c r="AH229" s="267"/>
      <c r="AI229" s="267">
        <f t="shared" si="573"/>
        <v>918</v>
      </c>
      <c r="AJ229" s="267"/>
      <c r="AK229" s="267">
        <f t="shared" si="567"/>
        <v>918</v>
      </c>
      <c r="AL229" s="267"/>
      <c r="AM229" s="267"/>
      <c r="AN229" s="267"/>
      <c r="AO229" s="267">
        <f t="shared" si="574"/>
        <v>918</v>
      </c>
      <c r="AP229" s="267"/>
      <c r="AQ229" s="267">
        <f t="shared" si="596"/>
        <v>34</v>
      </c>
      <c r="AR229" s="267"/>
      <c r="AS229" s="267"/>
      <c r="AT229" s="267"/>
      <c r="AU229" s="267"/>
      <c r="AV229" s="267"/>
      <c r="AW229" s="267"/>
      <c r="AX229" s="267"/>
      <c r="AY229" s="267"/>
      <c r="AZ229" s="267"/>
      <c r="BA229" s="267"/>
      <c r="BB229" s="267"/>
      <c r="BC229" s="267"/>
      <c r="BD229" s="267"/>
      <c r="BE229" s="267"/>
      <c r="BF229" s="267"/>
      <c r="BG229" s="267"/>
      <c r="BH229" s="267"/>
      <c r="BI229" s="267"/>
      <c r="BJ229" s="269">
        <f t="shared" ref="BJ229:BR229" si="611">$I229*BJ$2</f>
        <v>112.359375</v>
      </c>
      <c r="BK229" s="269">
        <f t="shared" si="611"/>
        <v>112.359375</v>
      </c>
      <c r="BL229" s="269">
        <f t="shared" si="611"/>
        <v>112.359375</v>
      </c>
      <c r="BM229" s="269">
        <f t="shared" si="611"/>
        <v>112.359375</v>
      </c>
      <c r="BN229" s="269">
        <f t="shared" si="611"/>
        <v>112.359375</v>
      </c>
      <c r="BO229" s="269">
        <f t="shared" si="611"/>
        <v>112.359375</v>
      </c>
      <c r="BP229" s="269">
        <f t="shared" si="611"/>
        <v>112.359375</v>
      </c>
      <c r="BQ229" s="269">
        <f t="shared" si="611"/>
        <v>112.359375</v>
      </c>
      <c r="BR229" s="269">
        <f t="shared" si="611"/>
        <v>19.125</v>
      </c>
      <c r="BT229" s="60">
        <f t="shared" ref="BT229:CB229" si="612">BT228-BJ229</f>
        <v>52262.9531250001</v>
      </c>
      <c r="BU229" s="60">
        <f t="shared" si="612"/>
        <v>52262.9531250001</v>
      </c>
      <c r="BV229" s="60">
        <f t="shared" si="612"/>
        <v>52262.9531250001</v>
      </c>
      <c r="BW229" s="60">
        <f t="shared" si="612"/>
        <v>52262.9531250001</v>
      </c>
      <c r="BX229" s="60">
        <f t="shared" si="612"/>
        <v>52262.9531250001</v>
      </c>
      <c r="BY229" s="60">
        <f t="shared" si="612"/>
        <v>52262.9531250001</v>
      </c>
      <c r="BZ229" s="60">
        <f t="shared" si="612"/>
        <v>52262.9531250001</v>
      </c>
      <c r="CA229" s="60">
        <f t="shared" si="612"/>
        <v>52262.9531250001</v>
      </c>
      <c r="CB229" s="60">
        <f t="shared" si="612"/>
        <v>8847.37500000001</v>
      </c>
    </row>
    <row r="230" s="234" customFormat="1" ht="27" hidden="1" customHeight="1" spans="1:80">
      <c r="A230" s="236">
        <v>45831</v>
      </c>
      <c r="B230" s="237" t="s">
        <v>1233</v>
      </c>
      <c r="C230" s="238" t="s">
        <v>117</v>
      </c>
      <c r="D230" s="239">
        <v>4500170808</v>
      </c>
      <c r="E230" s="238" t="s">
        <v>1259</v>
      </c>
      <c r="F230" s="237" t="s">
        <v>1260</v>
      </c>
      <c r="G230" s="240" t="s">
        <v>131</v>
      </c>
      <c r="H230" s="237" t="s">
        <v>132</v>
      </c>
      <c r="I230" s="247">
        <v>1728</v>
      </c>
      <c r="J230" s="247">
        <v>0</v>
      </c>
      <c r="K230" s="247">
        <v>27</v>
      </c>
      <c r="L230" s="247">
        <f t="shared" si="553"/>
        <v>64</v>
      </c>
      <c r="M230" s="248">
        <v>45880</v>
      </c>
      <c r="N230" s="248">
        <v>45906</v>
      </c>
      <c r="O230" s="212" t="s">
        <v>1236</v>
      </c>
      <c r="P230" s="212" t="s">
        <v>107</v>
      </c>
      <c r="Q230" s="212" t="s">
        <v>1237</v>
      </c>
      <c r="R230" s="212">
        <v>45834</v>
      </c>
      <c r="S230" s="273" t="s">
        <v>80</v>
      </c>
      <c r="T230" s="273" t="s">
        <v>80</v>
      </c>
      <c r="U230" s="212"/>
      <c r="V230" s="259" t="s">
        <v>1239</v>
      </c>
      <c r="W230" s="248" t="s">
        <v>587</v>
      </c>
      <c r="X230" s="260">
        <v>0.4643</v>
      </c>
      <c r="Y230" s="247">
        <f t="shared" si="482"/>
        <v>802.3104</v>
      </c>
      <c r="Z230" s="246" t="s">
        <v>1261</v>
      </c>
      <c r="AA230" s="259">
        <f>1728</f>
        <v>1728</v>
      </c>
      <c r="AB230" s="259">
        <f t="shared" si="449"/>
        <v>0</v>
      </c>
      <c r="AC230" s="212" t="s">
        <v>80</v>
      </c>
      <c r="AD230" s="212" t="s">
        <v>114</v>
      </c>
      <c r="AE230" s="248" t="s">
        <v>131</v>
      </c>
      <c r="AF230" s="248" t="s">
        <v>115</v>
      </c>
      <c r="AG230" s="267">
        <f t="shared" si="572"/>
        <v>1728</v>
      </c>
      <c r="AH230" s="267"/>
      <c r="AI230" s="267">
        <f t="shared" si="573"/>
        <v>1728</v>
      </c>
      <c r="AJ230" s="267"/>
      <c r="AK230" s="267">
        <f t="shared" si="567"/>
        <v>1728</v>
      </c>
      <c r="AL230" s="267"/>
      <c r="AM230" s="267"/>
      <c r="AN230" s="267"/>
      <c r="AO230" s="267">
        <f t="shared" si="574"/>
        <v>1728</v>
      </c>
      <c r="AP230" s="267"/>
      <c r="AQ230" s="267">
        <f t="shared" si="596"/>
        <v>64</v>
      </c>
      <c r="AR230" s="267"/>
      <c r="AS230" s="267"/>
      <c r="AT230" s="267"/>
      <c r="AU230" s="267"/>
      <c r="AV230" s="267"/>
      <c r="AW230" s="267"/>
      <c r="AX230" s="267"/>
      <c r="AY230" s="267"/>
      <c r="AZ230" s="267"/>
      <c r="BA230" s="267"/>
      <c r="BB230" s="267"/>
      <c r="BC230" s="267"/>
      <c r="BD230" s="267"/>
      <c r="BE230" s="267"/>
      <c r="BF230" s="267"/>
      <c r="BG230" s="267"/>
      <c r="BH230" s="267"/>
      <c r="BI230" s="267"/>
      <c r="BJ230" s="269">
        <f t="shared" ref="BJ230:BR230" si="613">$I230*BJ$2</f>
        <v>211.499999999999</v>
      </c>
      <c r="BK230" s="269">
        <f t="shared" si="613"/>
        <v>211.499999999999</v>
      </c>
      <c r="BL230" s="269">
        <f t="shared" si="613"/>
        <v>211.499999999999</v>
      </c>
      <c r="BM230" s="269">
        <f t="shared" si="613"/>
        <v>211.499999999999</v>
      </c>
      <c r="BN230" s="269">
        <f t="shared" si="613"/>
        <v>211.499999999999</v>
      </c>
      <c r="BO230" s="269">
        <f t="shared" si="613"/>
        <v>211.499999999999</v>
      </c>
      <c r="BP230" s="269">
        <f t="shared" si="613"/>
        <v>211.499999999999</v>
      </c>
      <c r="BQ230" s="269">
        <f t="shared" si="613"/>
        <v>211.499999999999</v>
      </c>
      <c r="BR230" s="269">
        <f t="shared" si="613"/>
        <v>35.9999999999999</v>
      </c>
      <c r="BT230" s="60">
        <f t="shared" ref="BT230:CB230" si="614">BT229-BJ230</f>
        <v>52051.4531250001</v>
      </c>
      <c r="BU230" s="60">
        <f t="shared" si="614"/>
        <v>52051.4531250001</v>
      </c>
      <c r="BV230" s="60">
        <f t="shared" si="614"/>
        <v>52051.4531250001</v>
      </c>
      <c r="BW230" s="60">
        <f t="shared" si="614"/>
        <v>52051.4531250001</v>
      </c>
      <c r="BX230" s="60">
        <f t="shared" si="614"/>
        <v>52051.4531250001</v>
      </c>
      <c r="BY230" s="60">
        <f t="shared" si="614"/>
        <v>52051.4531250001</v>
      </c>
      <c r="BZ230" s="60">
        <f t="shared" si="614"/>
        <v>52051.4531250001</v>
      </c>
      <c r="CA230" s="60">
        <f t="shared" si="614"/>
        <v>52051.4531250001</v>
      </c>
      <c r="CB230" s="60">
        <f t="shared" si="614"/>
        <v>8811.37500000001</v>
      </c>
    </row>
    <row r="231" s="234" customFormat="1" ht="27" hidden="1" customHeight="1" spans="1:80">
      <c r="A231" s="236">
        <v>45831</v>
      </c>
      <c r="B231" s="237" t="s">
        <v>1233</v>
      </c>
      <c r="C231" s="238" t="s">
        <v>117</v>
      </c>
      <c r="D231" s="239">
        <v>4500170808</v>
      </c>
      <c r="E231" s="238" t="s">
        <v>1262</v>
      </c>
      <c r="F231" s="237" t="s">
        <v>1263</v>
      </c>
      <c r="G231" s="240" t="s">
        <v>131</v>
      </c>
      <c r="H231" s="237" t="s">
        <v>132</v>
      </c>
      <c r="I231" s="247">
        <v>918</v>
      </c>
      <c r="J231" s="247">
        <v>0</v>
      </c>
      <c r="K231" s="247">
        <v>27</v>
      </c>
      <c r="L231" s="247">
        <f t="shared" si="553"/>
        <v>34</v>
      </c>
      <c r="M231" s="248">
        <v>45880</v>
      </c>
      <c r="N231" s="248">
        <v>45906</v>
      </c>
      <c r="O231" s="212" t="s">
        <v>1236</v>
      </c>
      <c r="P231" s="212" t="s">
        <v>107</v>
      </c>
      <c r="Q231" s="212" t="s">
        <v>1237</v>
      </c>
      <c r="R231" s="212">
        <v>45834</v>
      </c>
      <c r="S231" s="273" t="s">
        <v>80</v>
      </c>
      <c r="T231" s="273" t="s">
        <v>80</v>
      </c>
      <c r="U231" s="212"/>
      <c r="V231" s="259" t="s">
        <v>1239</v>
      </c>
      <c r="W231" s="248" t="s">
        <v>587</v>
      </c>
      <c r="X231" s="260">
        <v>0.4675</v>
      </c>
      <c r="Y231" s="247">
        <f t="shared" si="482"/>
        <v>429.165</v>
      </c>
      <c r="Z231" s="248" t="s">
        <v>1264</v>
      </c>
      <c r="AA231" s="259">
        <f>837+81</f>
        <v>918</v>
      </c>
      <c r="AB231" s="259">
        <f t="shared" si="449"/>
        <v>0</v>
      </c>
      <c r="AC231" s="212" t="s">
        <v>80</v>
      </c>
      <c r="AD231" s="212" t="s">
        <v>114</v>
      </c>
      <c r="AE231" s="248" t="s">
        <v>131</v>
      </c>
      <c r="AF231" s="248" t="s">
        <v>115</v>
      </c>
      <c r="AG231" s="267">
        <f t="shared" si="572"/>
        <v>918</v>
      </c>
      <c r="AH231" s="267"/>
      <c r="AI231" s="267">
        <f t="shared" si="573"/>
        <v>918</v>
      </c>
      <c r="AJ231" s="267"/>
      <c r="AK231" s="267">
        <f t="shared" si="567"/>
        <v>918</v>
      </c>
      <c r="AL231" s="267"/>
      <c r="AM231" s="267"/>
      <c r="AN231" s="267"/>
      <c r="AO231" s="267">
        <f t="shared" si="574"/>
        <v>918</v>
      </c>
      <c r="AP231" s="267"/>
      <c r="AQ231" s="267">
        <f t="shared" si="596"/>
        <v>34</v>
      </c>
      <c r="AR231" s="267"/>
      <c r="AS231" s="267"/>
      <c r="AT231" s="267"/>
      <c r="AU231" s="267"/>
      <c r="AV231" s="267"/>
      <c r="AW231" s="267"/>
      <c r="AX231" s="267"/>
      <c r="AY231" s="267"/>
      <c r="AZ231" s="267"/>
      <c r="BA231" s="267"/>
      <c r="BB231" s="267"/>
      <c r="BC231" s="267"/>
      <c r="BD231" s="267"/>
      <c r="BE231" s="267"/>
      <c r="BF231" s="267"/>
      <c r="BG231" s="267"/>
      <c r="BH231" s="267"/>
      <c r="BI231" s="267"/>
      <c r="BJ231" s="269">
        <f t="shared" ref="BJ231:BR231" si="615">$I231*BJ$2</f>
        <v>112.359375</v>
      </c>
      <c r="BK231" s="269">
        <f t="shared" si="615"/>
        <v>112.359375</v>
      </c>
      <c r="BL231" s="269">
        <f t="shared" si="615"/>
        <v>112.359375</v>
      </c>
      <c r="BM231" s="269">
        <f t="shared" si="615"/>
        <v>112.359375</v>
      </c>
      <c r="BN231" s="269">
        <f t="shared" si="615"/>
        <v>112.359375</v>
      </c>
      <c r="BO231" s="269">
        <f t="shared" si="615"/>
        <v>112.359375</v>
      </c>
      <c r="BP231" s="269">
        <f t="shared" si="615"/>
        <v>112.359375</v>
      </c>
      <c r="BQ231" s="269">
        <f t="shared" si="615"/>
        <v>112.359375</v>
      </c>
      <c r="BR231" s="269">
        <f t="shared" si="615"/>
        <v>19.125</v>
      </c>
      <c r="BT231" s="60">
        <f t="shared" ref="BT231:CB231" si="616">BT230-BJ231</f>
        <v>51939.0937500001</v>
      </c>
      <c r="BU231" s="60">
        <f t="shared" si="616"/>
        <v>51939.0937500001</v>
      </c>
      <c r="BV231" s="60">
        <f t="shared" si="616"/>
        <v>51939.0937500001</v>
      </c>
      <c r="BW231" s="60">
        <f t="shared" si="616"/>
        <v>51939.0937500001</v>
      </c>
      <c r="BX231" s="60">
        <f t="shared" si="616"/>
        <v>51939.0937500001</v>
      </c>
      <c r="BY231" s="60">
        <f t="shared" si="616"/>
        <v>51939.0937500001</v>
      </c>
      <c r="BZ231" s="60">
        <f t="shared" si="616"/>
        <v>51939.0937500001</v>
      </c>
      <c r="CA231" s="60">
        <f t="shared" si="616"/>
        <v>51939.0937500001</v>
      </c>
      <c r="CB231" s="60">
        <f t="shared" si="616"/>
        <v>8792.25000000001</v>
      </c>
    </row>
    <row r="232" s="234" customFormat="1" ht="27" hidden="1" customHeight="1" spans="1:80">
      <c r="A232" s="236">
        <v>45866</v>
      </c>
      <c r="B232" s="238" t="s">
        <v>149</v>
      </c>
      <c r="C232" s="238" t="s">
        <v>117</v>
      </c>
      <c r="D232" s="239">
        <v>4500175279</v>
      </c>
      <c r="E232" s="238" t="s">
        <v>1265</v>
      </c>
      <c r="F232" s="237" t="s">
        <v>1266</v>
      </c>
      <c r="G232" s="240" t="s">
        <v>152</v>
      </c>
      <c r="H232" s="237" t="s">
        <v>153</v>
      </c>
      <c r="I232" s="247">
        <v>7007</v>
      </c>
      <c r="J232" s="247">
        <v>0</v>
      </c>
      <c r="K232" s="247">
        <v>13</v>
      </c>
      <c r="L232" s="247">
        <f t="shared" si="553"/>
        <v>539</v>
      </c>
      <c r="M232" s="248">
        <v>45908</v>
      </c>
      <c r="N232" s="248">
        <v>45908</v>
      </c>
      <c r="O232" s="212"/>
      <c r="P232" s="212" t="s">
        <v>175</v>
      </c>
      <c r="Q232" s="212" t="s">
        <v>1267</v>
      </c>
      <c r="R232" s="212">
        <v>45869</v>
      </c>
      <c r="S232" s="212" t="s">
        <v>191</v>
      </c>
      <c r="T232" s="212" t="s">
        <v>1268</v>
      </c>
      <c r="U232" s="212"/>
      <c r="V232" s="259" t="s">
        <v>1141</v>
      </c>
      <c r="W232" s="248" t="s">
        <v>158</v>
      </c>
      <c r="X232" s="260">
        <v>0.4622</v>
      </c>
      <c r="Y232" s="247">
        <f t="shared" si="482"/>
        <v>3238.6354</v>
      </c>
      <c r="Z232" s="248" t="s">
        <v>1269</v>
      </c>
      <c r="AA232" s="259">
        <v>7007</v>
      </c>
      <c r="AB232" s="291">
        <f t="shared" si="449"/>
        <v>0</v>
      </c>
      <c r="AC232" s="212" t="s">
        <v>113</v>
      </c>
      <c r="AD232" s="212" t="s">
        <v>114</v>
      </c>
      <c r="AE232" s="248" t="s">
        <v>152</v>
      </c>
      <c r="AF232" s="248" t="s">
        <v>115</v>
      </c>
      <c r="AG232" s="267">
        <f t="shared" si="572"/>
        <v>7007</v>
      </c>
      <c r="AI232" s="267">
        <f t="shared" si="573"/>
        <v>7007</v>
      </c>
      <c r="AJ232" s="267"/>
      <c r="AK232" s="267">
        <f t="shared" si="567"/>
        <v>7007</v>
      </c>
      <c r="AL232" s="267"/>
      <c r="AM232" s="267"/>
      <c r="AN232" s="267"/>
      <c r="AO232" s="267">
        <f t="shared" si="574"/>
        <v>7007</v>
      </c>
      <c r="AP232" s="267"/>
      <c r="AQ232" s="267"/>
      <c r="AR232" s="267"/>
      <c r="AS232" s="267"/>
      <c r="AT232" s="267">
        <f t="shared" ref="AT232:AT236" si="617">I232/13</f>
        <v>539</v>
      </c>
      <c r="AU232" s="267"/>
      <c r="AV232" s="267"/>
      <c r="AW232" s="267"/>
      <c r="AX232" s="267"/>
      <c r="AY232" s="267"/>
      <c r="AZ232" s="267"/>
      <c r="BA232" s="267"/>
      <c r="BB232" s="267"/>
      <c r="BC232" s="267"/>
      <c r="BD232" s="267"/>
      <c r="BE232" s="267"/>
      <c r="BF232" s="267"/>
      <c r="BG232" s="267"/>
      <c r="BH232" s="267"/>
      <c r="BI232" s="267"/>
      <c r="BJ232" s="269">
        <f t="shared" ref="BJ232:BR232" si="618">$I232*BJ$2</f>
        <v>857.627604166664</v>
      </c>
      <c r="BK232" s="269">
        <f t="shared" si="618"/>
        <v>857.627604166664</v>
      </c>
      <c r="BL232" s="269">
        <f t="shared" si="618"/>
        <v>857.627604166664</v>
      </c>
      <c r="BM232" s="269">
        <f t="shared" si="618"/>
        <v>857.627604166664</v>
      </c>
      <c r="BN232" s="269">
        <f t="shared" si="618"/>
        <v>857.627604166664</v>
      </c>
      <c r="BO232" s="269">
        <f t="shared" si="618"/>
        <v>857.627604166664</v>
      </c>
      <c r="BP232" s="269">
        <f t="shared" si="618"/>
        <v>857.627604166664</v>
      </c>
      <c r="BQ232" s="269">
        <f t="shared" si="618"/>
        <v>857.627604166664</v>
      </c>
      <c r="BR232" s="269">
        <f t="shared" si="618"/>
        <v>145.979166666666</v>
      </c>
      <c r="BT232" s="60">
        <f t="shared" ref="BT232:CB232" si="619">BT231-BJ232</f>
        <v>51081.4661458334</v>
      </c>
      <c r="BU232" s="60">
        <f t="shared" si="619"/>
        <v>51081.4661458334</v>
      </c>
      <c r="BV232" s="60">
        <f t="shared" si="619"/>
        <v>51081.4661458334</v>
      </c>
      <c r="BW232" s="60">
        <f t="shared" si="619"/>
        <v>51081.4661458334</v>
      </c>
      <c r="BX232" s="60">
        <f t="shared" si="619"/>
        <v>51081.4661458334</v>
      </c>
      <c r="BY232" s="60">
        <f t="shared" si="619"/>
        <v>51081.4661458334</v>
      </c>
      <c r="BZ232" s="60">
        <f t="shared" si="619"/>
        <v>51081.4661458334</v>
      </c>
      <c r="CA232" s="60">
        <f t="shared" si="619"/>
        <v>51081.4661458334</v>
      </c>
      <c r="CB232" s="60">
        <f t="shared" si="619"/>
        <v>8646.27083333334</v>
      </c>
    </row>
    <row r="233" s="234" customFormat="1" ht="27" hidden="1" customHeight="1" spans="1:80">
      <c r="A233" s="236">
        <v>45866</v>
      </c>
      <c r="B233" s="238" t="s">
        <v>149</v>
      </c>
      <c r="C233" s="238" t="s">
        <v>117</v>
      </c>
      <c r="D233" s="239">
        <v>4500175280</v>
      </c>
      <c r="E233" s="238" t="s">
        <v>1270</v>
      </c>
      <c r="F233" s="237" t="s">
        <v>1271</v>
      </c>
      <c r="G233" s="240" t="s">
        <v>152</v>
      </c>
      <c r="H233" s="237" t="s">
        <v>153</v>
      </c>
      <c r="I233" s="247">
        <v>9009</v>
      </c>
      <c r="J233" s="247">
        <v>0</v>
      </c>
      <c r="K233" s="247">
        <v>13</v>
      </c>
      <c r="L233" s="247">
        <f t="shared" si="553"/>
        <v>693</v>
      </c>
      <c r="M233" s="248">
        <v>45908</v>
      </c>
      <c r="N233" s="248">
        <v>45908</v>
      </c>
      <c r="O233" s="212"/>
      <c r="P233" s="212" t="s">
        <v>175</v>
      </c>
      <c r="Q233" s="212" t="s">
        <v>1272</v>
      </c>
      <c r="R233" s="212">
        <v>45869</v>
      </c>
      <c r="S233" s="212" t="s">
        <v>191</v>
      </c>
      <c r="T233" s="212" t="s">
        <v>1268</v>
      </c>
      <c r="U233" s="212"/>
      <c r="V233" s="259" t="s">
        <v>1141</v>
      </c>
      <c r="W233" s="248" t="s">
        <v>158</v>
      </c>
      <c r="X233" s="260">
        <v>0.4622</v>
      </c>
      <c r="Y233" s="247">
        <f t="shared" si="482"/>
        <v>4163.9598</v>
      </c>
      <c r="Z233" s="248" t="s">
        <v>1273</v>
      </c>
      <c r="AA233" s="259">
        <v>9009</v>
      </c>
      <c r="AB233" s="291">
        <f t="shared" si="449"/>
        <v>0</v>
      </c>
      <c r="AC233" s="212" t="s">
        <v>113</v>
      </c>
      <c r="AD233" s="212" t="s">
        <v>114</v>
      </c>
      <c r="AE233" s="248" t="s">
        <v>152</v>
      </c>
      <c r="AF233" s="248" t="s">
        <v>115</v>
      </c>
      <c r="AG233" s="267">
        <f t="shared" si="572"/>
        <v>9009</v>
      </c>
      <c r="AI233" s="267">
        <f t="shared" si="573"/>
        <v>9009</v>
      </c>
      <c r="AJ233" s="267"/>
      <c r="AK233" s="267">
        <f t="shared" si="567"/>
        <v>9009</v>
      </c>
      <c r="AL233" s="267"/>
      <c r="AM233" s="267"/>
      <c r="AN233" s="267"/>
      <c r="AO233" s="267">
        <f t="shared" si="574"/>
        <v>9009</v>
      </c>
      <c r="AP233" s="267"/>
      <c r="AQ233" s="267"/>
      <c r="AR233" s="267"/>
      <c r="AS233" s="267"/>
      <c r="AT233" s="267">
        <f t="shared" si="617"/>
        <v>693</v>
      </c>
      <c r="AU233" s="267"/>
      <c r="AV233" s="267"/>
      <c r="AW233" s="267"/>
      <c r="AX233" s="267"/>
      <c r="AY233" s="267"/>
      <c r="AZ233" s="267"/>
      <c r="BA233" s="267"/>
      <c r="BB233" s="267"/>
      <c r="BC233" s="267"/>
      <c r="BD233" s="267"/>
      <c r="BE233" s="267"/>
      <c r="BF233" s="267"/>
      <c r="BG233" s="267"/>
      <c r="BH233" s="267"/>
      <c r="BI233" s="267"/>
      <c r="BJ233" s="269">
        <f t="shared" ref="BJ233:BR233" si="620">$I233*BJ$2</f>
        <v>1102.6640625</v>
      </c>
      <c r="BK233" s="269">
        <f t="shared" si="620"/>
        <v>1102.6640625</v>
      </c>
      <c r="BL233" s="269">
        <f t="shared" si="620"/>
        <v>1102.6640625</v>
      </c>
      <c r="BM233" s="269">
        <f t="shared" si="620"/>
        <v>1102.6640625</v>
      </c>
      <c r="BN233" s="269">
        <f t="shared" si="620"/>
        <v>1102.6640625</v>
      </c>
      <c r="BO233" s="269">
        <f t="shared" si="620"/>
        <v>1102.6640625</v>
      </c>
      <c r="BP233" s="269">
        <f t="shared" si="620"/>
        <v>1102.6640625</v>
      </c>
      <c r="BQ233" s="269">
        <f t="shared" si="620"/>
        <v>1102.6640625</v>
      </c>
      <c r="BR233" s="269">
        <f t="shared" si="620"/>
        <v>187.6875</v>
      </c>
      <c r="BT233" s="60">
        <f t="shared" ref="BT233:CB233" si="621">BT232-BJ233</f>
        <v>49978.8020833334</v>
      </c>
      <c r="BU233" s="60">
        <f t="shared" si="621"/>
        <v>49978.8020833334</v>
      </c>
      <c r="BV233" s="60">
        <f t="shared" si="621"/>
        <v>49978.8020833334</v>
      </c>
      <c r="BW233" s="60">
        <f t="shared" si="621"/>
        <v>49978.8020833334</v>
      </c>
      <c r="BX233" s="60">
        <f t="shared" si="621"/>
        <v>49978.8020833334</v>
      </c>
      <c r="BY233" s="60">
        <f t="shared" si="621"/>
        <v>49978.8020833334</v>
      </c>
      <c r="BZ233" s="60">
        <f t="shared" si="621"/>
        <v>49978.8020833334</v>
      </c>
      <c r="CA233" s="60">
        <f t="shared" si="621"/>
        <v>49978.8020833334</v>
      </c>
      <c r="CB233" s="60">
        <f t="shared" si="621"/>
        <v>8458.58333333334</v>
      </c>
    </row>
    <row r="234" s="234" customFormat="1" ht="27" hidden="1" customHeight="1" spans="1:80">
      <c r="A234" s="236">
        <v>45866</v>
      </c>
      <c r="B234" s="238" t="s">
        <v>149</v>
      </c>
      <c r="C234" s="238" t="s">
        <v>117</v>
      </c>
      <c r="D234" s="239">
        <v>4500175281</v>
      </c>
      <c r="E234" s="238" t="s">
        <v>1274</v>
      </c>
      <c r="F234" s="237" t="s">
        <v>1275</v>
      </c>
      <c r="G234" s="240" t="s">
        <v>152</v>
      </c>
      <c r="H234" s="237" t="s">
        <v>153</v>
      </c>
      <c r="I234" s="247">
        <v>5421</v>
      </c>
      <c r="J234" s="247">
        <v>0</v>
      </c>
      <c r="K234" s="247">
        <v>13</v>
      </c>
      <c r="L234" s="247">
        <f t="shared" si="553"/>
        <v>417</v>
      </c>
      <c r="M234" s="248">
        <v>45912</v>
      </c>
      <c r="N234" s="248">
        <v>45908</v>
      </c>
      <c r="O234" s="212"/>
      <c r="P234" s="212" t="s">
        <v>107</v>
      </c>
      <c r="Q234" s="212" t="s">
        <v>1231</v>
      </c>
      <c r="R234" s="212">
        <v>45876</v>
      </c>
      <c r="S234" s="212" t="s">
        <v>191</v>
      </c>
      <c r="T234" s="212" t="s">
        <v>1276</v>
      </c>
      <c r="U234" s="212"/>
      <c r="V234" s="259" t="s">
        <v>1141</v>
      </c>
      <c r="W234" s="248" t="s">
        <v>158</v>
      </c>
      <c r="X234" s="260">
        <v>0.4622</v>
      </c>
      <c r="Y234" s="247">
        <f t="shared" si="482"/>
        <v>2505.5862</v>
      </c>
      <c r="Z234" s="248" t="s">
        <v>1277</v>
      </c>
      <c r="AA234" s="259">
        <v>5421</v>
      </c>
      <c r="AB234" s="291">
        <f t="shared" ref="AB234:AB297" si="622">AA234-I234</f>
        <v>0</v>
      </c>
      <c r="AC234" s="212" t="s">
        <v>113</v>
      </c>
      <c r="AD234" s="212" t="s">
        <v>114</v>
      </c>
      <c r="AE234" s="248" t="s">
        <v>152</v>
      </c>
      <c r="AF234" s="248" t="s">
        <v>115</v>
      </c>
      <c r="AG234" s="267">
        <f t="shared" si="572"/>
        <v>5421</v>
      </c>
      <c r="AI234" s="267">
        <f t="shared" si="573"/>
        <v>5421</v>
      </c>
      <c r="AJ234" s="267"/>
      <c r="AK234" s="267">
        <f t="shared" si="567"/>
        <v>5421</v>
      </c>
      <c r="AL234" s="267"/>
      <c r="AM234" s="267"/>
      <c r="AN234" s="267"/>
      <c r="AO234" s="267">
        <f t="shared" si="574"/>
        <v>5421</v>
      </c>
      <c r="AP234" s="267"/>
      <c r="AQ234" s="267"/>
      <c r="AR234" s="267"/>
      <c r="AS234" s="267"/>
      <c r="AT234" s="267">
        <f t="shared" si="617"/>
        <v>417</v>
      </c>
      <c r="AU234" s="267"/>
      <c r="AV234" s="267"/>
      <c r="AW234" s="267"/>
      <c r="AX234" s="267"/>
      <c r="AY234" s="267"/>
      <c r="AZ234" s="267"/>
      <c r="BA234" s="267"/>
      <c r="BB234" s="267"/>
      <c r="BC234" s="267"/>
      <c r="BD234" s="267"/>
      <c r="BE234" s="267"/>
      <c r="BF234" s="267"/>
      <c r="BG234" s="267"/>
      <c r="BH234" s="267"/>
      <c r="BI234" s="267"/>
      <c r="BJ234" s="269">
        <f t="shared" ref="BJ234:BR234" si="623">$I234*BJ$2</f>
        <v>663.507812499998</v>
      </c>
      <c r="BK234" s="269">
        <f t="shared" si="623"/>
        <v>663.507812499998</v>
      </c>
      <c r="BL234" s="269">
        <f t="shared" si="623"/>
        <v>663.507812499998</v>
      </c>
      <c r="BM234" s="269">
        <f t="shared" si="623"/>
        <v>663.507812499998</v>
      </c>
      <c r="BN234" s="269">
        <f t="shared" si="623"/>
        <v>663.507812499998</v>
      </c>
      <c r="BO234" s="269">
        <f t="shared" si="623"/>
        <v>663.507812499998</v>
      </c>
      <c r="BP234" s="269">
        <f t="shared" si="623"/>
        <v>663.507812499998</v>
      </c>
      <c r="BQ234" s="269">
        <f t="shared" si="623"/>
        <v>663.507812499998</v>
      </c>
      <c r="BR234" s="269">
        <f t="shared" si="623"/>
        <v>112.9375</v>
      </c>
      <c r="BT234" s="60">
        <f t="shared" ref="BT234:CB234" si="624">BT233-BJ234</f>
        <v>49315.2942708334</v>
      </c>
      <c r="BU234" s="60">
        <f t="shared" si="624"/>
        <v>49315.2942708334</v>
      </c>
      <c r="BV234" s="60">
        <f t="shared" si="624"/>
        <v>49315.2942708334</v>
      </c>
      <c r="BW234" s="60">
        <f t="shared" si="624"/>
        <v>49315.2942708334</v>
      </c>
      <c r="BX234" s="60">
        <f t="shared" si="624"/>
        <v>49315.2942708334</v>
      </c>
      <c r="BY234" s="60">
        <f t="shared" si="624"/>
        <v>49315.2942708334</v>
      </c>
      <c r="BZ234" s="60">
        <f t="shared" si="624"/>
        <v>49315.2942708334</v>
      </c>
      <c r="CA234" s="60">
        <f t="shared" si="624"/>
        <v>49315.2942708334</v>
      </c>
      <c r="CB234" s="60">
        <f t="shared" si="624"/>
        <v>8345.64583333334</v>
      </c>
    </row>
    <row r="235" s="234" customFormat="1" ht="27" hidden="1" customHeight="1" spans="1:80">
      <c r="A235" s="236">
        <v>45866</v>
      </c>
      <c r="B235" s="238" t="s">
        <v>149</v>
      </c>
      <c r="C235" s="238" t="s">
        <v>117</v>
      </c>
      <c r="D235" s="239">
        <v>4500175278</v>
      </c>
      <c r="E235" s="238" t="s">
        <v>1278</v>
      </c>
      <c r="F235" s="237" t="s">
        <v>1279</v>
      </c>
      <c r="G235" s="240" t="s">
        <v>152</v>
      </c>
      <c r="H235" s="237" t="s">
        <v>153</v>
      </c>
      <c r="I235" s="247">
        <v>5018</v>
      </c>
      <c r="J235" s="247">
        <v>0</v>
      </c>
      <c r="K235" s="247">
        <v>13</v>
      </c>
      <c r="L235" s="247">
        <f t="shared" si="553"/>
        <v>386</v>
      </c>
      <c r="M235" s="248">
        <v>45912</v>
      </c>
      <c r="N235" s="248">
        <v>45908</v>
      </c>
      <c r="O235" s="212"/>
      <c r="P235" s="212" t="s">
        <v>107</v>
      </c>
      <c r="Q235" s="212" t="s">
        <v>1231</v>
      </c>
      <c r="R235" s="212">
        <v>45876</v>
      </c>
      <c r="S235" s="212" t="s">
        <v>191</v>
      </c>
      <c r="T235" s="212" t="s">
        <v>1276</v>
      </c>
      <c r="U235" s="212"/>
      <c r="V235" s="259" t="s">
        <v>1141</v>
      </c>
      <c r="W235" s="248" t="s">
        <v>158</v>
      </c>
      <c r="X235" s="260">
        <v>0.4622</v>
      </c>
      <c r="Y235" s="247">
        <f t="shared" si="482"/>
        <v>2319.3196</v>
      </c>
      <c r="Z235" s="248" t="s">
        <v>1280</v>
      </c>
      <c r="AA235" s="259">
        <v>5018</v>
      </c>
      <c r="AB235" s="291">
        <f t="shared" si="622"/>
        <v>0</v>
      </c>
      <c r="AC235" s="212" t="s">
        <v>113</v>
      </c>
      <c r="AD235" s="212" t="s">
        <v>114</v>
      </c>
      <c r="AE235" s="248" t="s">
        <v>152</v>
      </c>
      <c r="AF235" s="248" t="s">
        <v>115</v>
      </c>
      <c r="AG235" s="267">
        <f t="shared" si="572"/>
        <v>5018</v>
      </c>
      <c r="AI235" s="267">
        <f t="shared" si="573"/>
        <v>5018</v>
      </c>
      <c r="AJ235" s="267"/>
      <c r="AK235" s="267">
        <f t="shared" si="567"/>
        <v>5018</v>
      </c>
      <c r="AL235" s="267"/>
      <c r="AM235" s="267"/>
      <c r="AN235" s="267"/>
      <c r="AO235" s="267">
        <f t="shared" si="574"/>
        <v>5018</v>
      </c>
      <c r="AP235" s="267"/>
      <c r="AQ235" s="267"/>
      <c r="AR235" s="267"/>
      <c r="AS235" s="267"/>
      <c r="AT235" s="267">
        <f t="shared" si="617"/>
        <v>386</v>
      </c>
      <c r="AU235" s="267"/>
      <c r="AV235" s="267"/>
      <c r="AW235" s="267"/>
      <c r="AX235" s="267"/>
      <c r="AY235" s="267"/>
      <c r="AZ235" s="267"/>
      <c r="BA235" s="267"/>
      <c r="BB235" s="267"/>
      <c r="BC235" s="267"/>
      <c r="BD235" s="267"/>
      <c r="BE235" s="267"/>
      <c r="BF235" s="267"/>
      <c r="BG235" s="267"/>
      <c r="BH235" s="267"/>
      <c r="BI235" s="267"/>
      <c r="BJ235" s="269">
        <f t="shared" ref="BJ235:BR235" si="625">$I235*BJ$2</f>
        <v>614.182291666665</v>
      </c>
      <c r="BK235" s="269">
        <f t="shared" si="625"/>
        <v>614.182291666665</v>
      </c>
      <c r="BL235" s="269">
        <f t="shared" si="625"/>
        <v>614.182291666665</v>
      </c>
      <c r="BM235" s="269">
        <f t="shared" si="625"/>
        <v>614.182291666665</v>
      </c>
      <c r="BN235" s="269">
        <f t="shared" si="625"/>
        <v>614.182291666665</v>
      </c>
      <c r="BO235" s="269">
        <f t="shared" si="625"/>
        <v>614.182291666665</v>
      </c>
      <c r="BP235" s="269">
        <f t="shared" si="625"/>
        <v>614.182291666665</v>
      </c>
      <c r="BQ235" s="269">
        <f t="shared" si="625"/>
        <v>614.182291666665</v>
      </c>
      <c r="BR235" s="269">
        <f t="shared" si="625"/>
        <v>104.541666666667</v>
      </c>
      <c r="BT235" s="60">
        <f t="shared" ref="BT235:CB235" si="626">BT234-BJ235</f>
        <v>48701.1119791667</v>
      </c>
      <c r="BU235" s="60">
        <f t="shared" si="626"/>
        <v>48701.1119791667</v>
      </c>
      <c r="BV235" s="60">
        <f t="shared" si="626"/>
        <v>48701.1119791667</v>
      </c>
      <c r="BW235" s="60">
        <f t="shared" si="626"/>
        <v>48701.1119791667</v>
      </c>
      <c r="BX235" s="60">
        <f t="shared" si="626"/>
        <v>48701.1119791667</v>
      </c>
      <c r="BY235" s="60">
        <f t="shared" si="626"/>
        <v>48701.1119791667</v>
      </c>
      <c r="BZ235" s="60">
        <f t="shared" si="626"/>
        <v>48701.1119791667</v>
      </c>
      <c r="CA235" s="60">
        <f t="shared" si="626"/>
        <v>48701.1119791667</v>
      </c>
      <c r="CB235" s="60">
        <f t="shared" si="626"/>
        <v>8241.10416666668</v>
      </c>
    </row>
    <row r="236" s="234" customFormat="1" ht="27" hidden="1" customHeight="1" spans="1:80">
      <c r="A236" s="236">
        <v>45868</v>
      </c>
      <c r="B236" s="238" t="s">
        <v>1281</v>
      </c>
      <c r="C236" s="238" t="s">
        <v>1282</v>
      </c>
      <c r="D236" s="239">
        <v>4500175435</v>
      </c>
      <c r="E236" s="238"/>
      <c r="F236" s="237" t="s">
        <v>1283</v>
      </c>
      <c r="G236" s="240" t="s">
        <v>94</v>
      </c>
      <c r="H236" s="237" t="s">
        <v>211</v>
      </c>
      <c r="I236" s="247">
        <v>312</v>
      </c>
      <c r="J236" s="247">
        <v>0</v>
      </c>
      <c r="K236" s="247">
        <v>52</v>
      </c>
      <c r="L236" s="247">
        <f t="shared" si="553"/>
        <v>6</v>
      </c>
      <c r="M236" s="248">
        <v>45915</v>
      </c>
      <c r="N236" s="248">
        <v>45911</v>
      </c>
      <c r="O236" s="212"/>
      <c r="P236" s="212" t="s">
        <v>224</v>
      </c>
      <c r="Q236" s="212" t="s">
        <v>1284</v>
      </c>
      <c r="R236" s="212">
        <v>45869</v>
      </c>
      <c r="S236" s="212" t="s">
        <v>80</v>
      </c>
      <c r="T236" s="273" t="s">
        <v>1285</v>
      </c>
      <c r="U236" s="212"/>
      <c r="V236" s="259" t="s">
        <v>1286</v>
      </c>
      <c r="W236" s="248" t="s">
        <v>245</v>
      </c>
      <c r="X236" s="260">
        <v>0.8094</v>
      </c>
      <c r="Y236" s="247">
        <f t="shared" si="482"/>
        <v>252.5328</v>
      </c>
      <c r="Z236" s="248" t="s">
        <v>1287</v>
      </c>
      <c r="AA236" s="259">
        <v>312</v>
      </c>
      <c r="AB236" s="291">
        <f t="shared" si="622"/>
        <v>0</v>
      </c>
      <c r="AC236" s="212" t="s">
        <v>113</v>
      </c>
      <c r="AD236" s="212" t="s">
        <v>114</v>
      </c>
      <c r="AE236" s="248" t="s">
        <v>94</v>
      </c>
      <c r="AF236" s="248" t="s">
        <v>115</v>
      </c>
      <c r="AG236" s="267">
        <f t="shared" si="572"/>
        <v>312</v>
      </c>
      <c r="AI236" s="267">
        <f t="shared" si="573"/>
        <v>312</v>
      </c>
      <c r="AJ236" s="267"/>
      <c r="AK236" s="267">
        <f t="shared" si="567"/>
        <v>312</v>
      </c>
      <c r="AL236" s="267"/>
      <c r="AM236" s="267"/>
      <c r="AN236" s="267"/>
      <c r="AO236" s="267">
        <f t="shared" si="574"/>
        <v>312</v>
      </c>
      <c r="AP236" s="267"/>
      <c r="AQ236" s="267"/>
      <c r="AR236" s="267"/>
      <c r="AS236" s="267"/>
      <c r="AT236" s="267">
        <f t="shared" si="617"/>
        <v>24</v>
      </c>
      <c r="AU236" s="267"/>
      <c r="AV236" s="267"/>
      <c r="AW236" s="267"/>
      <c r="AX236" s="267"/>
      <c r="AY236" s="267"/>
      <c r="AZ236" s="267"/>
      <c r="BA236" s="267"/>
      <c r="BB236" s="267"/>
      <c r="BC236" s="267"/>
      <c r="BD236" s="267"/>
      <c r="BE236" s="267"/>
      <c r="BF236" s="267"/>
      <c r="BG236" s="267"/>
      <c r="BH236" s="267"/>
      <c r="BI236" s="267"/>
      <c r="BJ236" s="269">
        <f t="shared" ref="BJ236:BR236" si="627">$I236*BJ$2</f>
        <v>38.1874999999999</v>
      </c>
      <c r="BK236" s="269">
        <f t="shared" si="627"/>
        <v>38.1874999999999</v>
      </c>
      <c r="BL236" s="269">
        <f t="shared" si="627"/>
        <v>38.1874999999999</v>
      </c>
      <c r="BM236" s="269">
        <f t="shared" si="627"/>
        <v>38.1874999999999</v>
      </c>
      <c r="BN236" s="269">
        <f t="shared" si="627"/>
        <v>38.1874999999999</v>
      </c>
      <c r="BO236" s="269">
        <f t="shared" si="627"/>
        <v>38.1874999999999</v>
      </c>
      <c r="BP236" s="269">
        <f t="shared" si="627"/>
        <v>38.1874999999999</v>
      </c>
      <c r="BQ236" s="269">
        <f t="shared" si="627"/>
        <v>38.1874999999999</v>
      </c>
      <c r="BR236" s="269">
        <f t="shared" si="627"/>
        <v>6.49999999999999</v>
      </c>
      <c r="BT236" s="60">
        <f t="shared" ref="BT236:CB236" si="628">BT235-BJ236</f>
        <v>48662.9244791667</v>
      </c>
      <c r="BU236" s="60">
        <f t="shared" si="628"/>
        <v>48662.9244791667</v>
      </c>
      <c r="BV236" s="60">
        <f t="shared" si="628"/>
        <v>48662.9244791667</v>
      </c>
      <c r="BW236" s="60">
        <f t="shared" si="628"/>
        <v>48662.9244791667</v>
      </c>
      <c r="BX236" s="60">
        <f t="shared" si="628"/>
        <v>48662.9244791667</v>
      </c>
      <c r="BY236" s="60">
        <f t="shared" si="628"/>
        <v>48662.9244791667</v>
      </c>
      <c r="BZ236" s="60">
        <f t="shared" si="628"/>
        <v>48662.9244791667</v>
      </c>
      <c r="CA236" s="60">
        <f t="shared" si="628"/>
        <v>48662.9244791667</v>
      </c>
      <c r="CB236" s="60">
        <f t="shared" si="628"/>
        <v>8234.60416666668</v>
      </c>
    </row>
    <row r="237" s="234" customFormat="1" ht="27" hidden="1" customHeight="1" spans="1:80">
      <c r="A237" s="236">
        <v>45882</v>
      </c>
      <c r="B237" s="238" t="s">
        <v>1219</v>
      </c>
      <c r="C237" s="238"/>
      <c r="D237" s="239" t="s">
        <v>1288</v>
      </c>
      <c r="E237" s="238"/>
      <c r="F237" s="237"/>
      <c r="G237" s="240" t="s">
        <v>86</v>
      </c>
      <c r="H237" s="237" t="s">
        <v>559</v>
      </c>
      <c r="I237" s="247">
        <v>7890</v>
      </c>
      <c r="J237" s="247">
        <v>0</v>
      </c>
      <c r="K237" s="247">
        <v>30</v>
      </c>
      <c r="L237" s="247">
        <f t="shared" si="553"/>
        <v>263</v>
      </c>
      <c r="M237" s="248">
        <v>45915</v>
      </c>
      <c r="N237" s="248">
        <v>45911</v>
      </c>
      <c r="O237" s="212" t="s">
        <v>1222</v>
      </c>
      <c r="P237" s="212" t="s">
        <v>107</v>
      </c>
      <c r="Q237" s="212" t="s">
        <v>1223</v>
      </c>
      <c r="R237" s="212" t="s">
        <v>1224</v>
      </c>
      <c r="S237" s="212" t="s">
        <v>80</v>
      </c>
      <c r="T237" s="273" t="s">
        <v>80</v>
      </c>
      <c r="U237" s="212"/>
      <c r="V237" s="259" t="s">
        <v>1289</v>
      </c>
      <c r="W237" s="248" t="s">
        <v>1290</v>
      </c>
      <c r="X237" s="260"/>
      <c r="Y237" s="247"/>
      <c r="Z237" s="248" t="s">
        <v>1291</v>
      </c>
      <c r="AA237" s="259">
        <v>7890</v>
      </c>
      <c r="AB237" s="291">
        <f t="shared" si="622"/>
        <v>0</v>
      </c>
      <c r="AC237" s="212" t="s">
        <v>80</v>
      </c>
      <c r="AD237" s="212" t="s">
        <v>114</v>
      </c>
      <c r="AE237" s="248" t="s">
        <v>1228</v>
      </c>
      <c r="AF237" s="248" t="s">
        <v>115</v>
      </c>
      <c r="AG237" s="267">
        <f t="shared" si="572"/>
        <v>7890</v>
      </c>
      <c r="AI237" s="267">
        <f t="shared" si="573"/>
        <v>7890</v>
      </c>
      <c r="AJ237" s="267"/>
      <c r="AK237" s="267">
        <f t="shared" si="567"/>
        <v>7890</v>
      </c>
      <c r="AL237" s="267"/>
      <c r="AM237" s="267"/>
      <c r="AN237" s="267"/>
      <c r="AO237" s="267">
        <f t="shared" si="574"/>
        <v>7890</v>
      </c>
      <c r="AP237" s="267"/>
      <c r="AQ237" s="267"/>
      <c r="AR237" s="267"/>
      <c r="AS237" s="267"/>
      <c r="AT237" s="267"/>
      <c r="AU237" s="267"/>
      <c r="AV237" s="267"/>
      <c r="AW237" s="267"/>
      <c r="AX237" s="267"/>
      <c r="AY237" s="267"/>
      <c r="AZ237" s="267"/>
      <c r="BA237" s="267"/>
      <c r="BB237" s="267"/>
      <c r="BC237" s="267"/>
      <c r="BD237" s="267"/>
      <c r="BE237" s="267"/>
      <c r="BF237" s="267"/>
      <c r="BG237" s="267"/>
      <c r="BH237" s="267"/>
      <c r="BI237" s="267"/>
      <c r="BJ237" s="269">
        <f t="shared" ref="BJ237:BR237" si="629">$I237*BJ$2</f>
        <v>965.703124999997</v>
      </c>
      <c r="BK237" s="269">
        <f t="shared" si="629"/>
        <v>965.703124999997</v>
      </c>
      <c r="BL237" s="269">
        <f t="shared" si="629"/>
        <v>965.703124999997</v>
      </c>
      <c r="BM237" s="269">
        <f t="shared" si="629"/>
        <v>965.703124999997</v>
      </c>
      <c r="BN237" s="269">
        <f t="shared" si="629"/>
        <v>965.703124999997</v>
      </c>
      <c r="BO237" s="269">
        <f t="shared" si="629"/>
        <v>965.703124999997</v>
      </c>
      <c r="BP237" s="269">
        <f t="shared" si="629"/>
        <v>965.703124999997</v>
      </c>
      <c r="BQ237" s="269">
        <f t="shared" si="629"/>
        <v>965.703124999997</v>
      </c>
      <c r="BR237" s="269">
        <f t="shared" si="629"/>
        <v>164.375</v>
      </c>
      <c r="BT237" s="60">
        <f t="shared" ref="BT237:CB237" si="630">BT236-BJ237</f>
        <v>47697.2213541667</v>
      </c>
      <c r="BU237" s="60">
        <f t="shared" si="630"/>
        <v>47697.2213541667</v>
      </c>
      <c r="BV237" s="60">
        <f t="shared" si="630"/>
        <v>47697.2213541667</v>
      </c>
      <c r="BW237" s="60">
        <f t="shared" si="630"/>
        <v>47697.2213541667</v>
      </c>
      <c r="BX237" s="60">
        <f t="shared" si="630"/>
        <v>47697.2213541667</v>
      </c>
      <c r="BY237" s="60">
        <f t="shared" si="630"/>
        <v>47697.2213541667</v>
      </c>
      <c r="BZ237" s="60">
        <f t="shared" si="630"/>
        <v>47697.2213541667</v>
      </c>
      <c r="CA237" s="60">
        <f t="shared" si="630"/>
        <v>47697.2213541667</v>
      </c>
      <c r="CB237" s="60">
        <f t="shared" si="630"/>
        <v>8070.22916666668</v>
      </c>
    </row>
    <row r="238" s="234" customFormat="1" ht="27" hidden="1" customHeight="1" spans="1:80">
      <c r="A238" s="236">
        <v>45880</v>
      </c>
      <c r="B238" s="237" t="s">
        <v>401</v>
      </c>
      <c r="C238" s="238" t="s">
        <v>117</v>
      </c>
      <c r="D238" s="239">
        <v>4500176521</v>
      </c>
      <c r="E238" s="238" t="s">
        <v>1292</v>
      </c>
      <c r="F238" s="239" t="s">
        <v>1293</v>
      </c>
      <c r="G238" s="240" t="s">
        <v>78</v>
      </c>
      <c r="H238" s="237" t="s">
        <v>79</v>
      </c>
      <c r="I238" s="247">
        <v>3618</v>
      </c>
      <c r="J238" s="247">
        <v>0</v>
      </c>
      <c r="K238" s="247">
        <v>54</v>
      </c>
      <c r="L238" s="247">
        <f t="shared" si="553"/>
        <v>67</v>
      </c>
      <c r="M238" s="248">
        <v>45918</v>
      </c>
      <c r="N238" s="248">
        <v>45913</v>
      </c>
      <c r="O238" s="212"/>
      <c r="P238" s="212" t="s">
        <v>107</v>
      </c>
      <c r="Q238" s="212" t="s">
        <v>1294</v>
      </c>
      <c r="R238" s="273">
        <v>45888</v>
      </c>
      <c r="S238" s="275" t="s">
        <v>80</v>
      </c>
      <c r="T238" s="275" t="s">
        <v>80</v>
      </c>
      <c r="U238" s="212"/>
      <c r="V238" s="259" t="s">
        <v>1295</v>
      </c>
      <c r="W238" s="248" t="s">
        <v>1296</v>
      </c>
      <c r="X238" s="260">
        <v>0.4748</v>
      </c>
      <c r="Y238" s="247">
        <f t="shared" ref="Y238:Y241" si="631">X238*I238</f>
        <v>1717.8264</v>
      </c>
      <c r="Z238" s="248" t="s">
        <v>1297</v>
      </c>
      <c r="AA238" s="259">
        <f>54+3564</f>
        <v>3618</v>
      </c>
      <c r="AB238" s="291">
        <f t="shared" si="622"/>
        <v>0</v>
      </c>
      <c r="AC238" s="212" t="s">
        <v>80</v>
      </c>
      <c r="AD238" s="212" t="s">
        <v>114</v>
      </c>
      <c r="AE238" s="248" t="s">
        <v>78</v>
      </c>
      <c r="AF238" s="248" t="s">
        <v>115</v>
      </c>
      <c r="AG238" s="267">
        <f t="shared" si="572"/>
        <v>3618</v>
      </c>
      <c r="AH238" s="267"/>
      <c r="AI238" s="267">
        <f t="shared" si="573"/>
        <v>3618</v>
      </c>
      <c r="AJ238" s="267"/>
      <c r="AK238" s="267">
        <f t="shared" si="567"/>
        <v>3618</v>
      </c>
      <c r="AL238" s="267"/>
      <c r="AM238" s="267"/>
      <c r="AN238" s="267"/>
      <c r="AO238" s="267">
        <f t="shared" si="574"/>
        <v>3618</v>
      </c>
      <c r="AP238" s="267"/>
      <c r="AQ238" s="267">
        <f>I238/27</f>
        <v>134</v>
      </c>
      <c r="AR238" s="267"/>
      <c r="AS238" s="267"/>
      <c r="AT238" s="267"/>
      <c r="AU238" s="267"/>
      <c r="AV238" s="267"/>
      <c r="AW238" s="267"/>
      <c r="AX238" s="267"/>
      <c r="AY238" s="267"/>
      <c r="AZ238" s="267"/>
      <c r="BA238" s="267"/>
      <c r="BB238" s="267"/>
      <c r="BC238" s="267"/>
      <c r="BD238" s="267"/>
      <c r="BE238" s="267"/>
      <c r="BF238" s="267"/>
      <c r="BG238" s="267"/>
      <c r="BH238" s="267"/>
      <c r="BI238" s="267"/>
      <c r="BJ238" s="269">
        <f t="shared" ref="BJ238:BR238" si="632">$I238*BJ$2</f>
        <v>442.828124999999</v>
      </c>
      <c r="BK238" s="269">
        <f t="shared" si="632"/>
        <v>442.828124999999</v>
      </c>
      <c r="BL238" s="269">
        <f t="shared" si="632"/>
        <v>442.828124999999</v>
      </c>
      <c r="BM238" s="269">
        <f t="shared" si="632"/>
        <v>442.828124999999</v>
      </c>
      <c r="BN238" s="269">
        <f t="shared" si="632"/>
        <v>442.828124999999</v>
      </c>
      <c r="BO238" s="269">
        <f t="shared" si="632"/>
        <v>442.828124999999</v>
      </c>
      <c r="BP238" s="269">
        <f t="shared" si="632"/>
        <v>442.828124999999</v>
      </c>
      <c r="BQ238" s="269">
        <f t="shared" si="632"/>
        <v>442.828124999999</v>
      </c>
      <c r="BR238" s="269">
        <f t="shared" si="632"/>
        <v>75.3749999999999</v>
      </c>
      <c r="BT238" s="60">
        <f t="shared" ref="BT238:CB238" si="633">BT237-BJ238</f>
        <v>47254.3932291667</v>
      </c>
      <c r="BU238" s="60">
        <f t="shared" si="633"/>
        <v>47254.3932291667</v>
      </c>
      <c r="BV238" s="60">
        <f t="shared" si="633"/>
        <v>47254.3932291667</v>
      </c>
      <c r="BW238" s="60">
        <f t="shared" si="633"/>
        <v>47254.3932291667</v>
      </c>
      <c r="BX238" s="60">
        <f t="shared" si="633"/>
        <v>47254.3932291667</v>
      </c>
      <c r="BY238" s="60">
        <f t="shared" si="633"/>
        <v>47254.3932291667</v>
      </c>
      <c r="BZ238" s="60">
        <f t="shared" si="633"/>
        <v>47254.3932291667</v>
      </c>
      <c r="CA238" s="60">
        <f t="shared" si="633"/>
        <v>47254.3932291667</v>
      </c>
      <c r="CB238" s="60">
        <f t="shared" si="633"/>
        <v>7994.85416666668</v>
      </c>
    </row>
    <row r="239" s="234" customFormat="1" ht="27" hidden="1" customHeight="1" spans="1:80">
      <c r="A239" s="236">
        <v>45862</v>
      </c>
      <c r="B239" s="237" t="s">
        <v>1170</v>
      </c>
      <c r="C239" s="238" t="s">
        <v>117</v>
      </c>
      <c r="D239" s="239">
        <v>4500174928</v>
      </c>
      <c r="E239" s="238">
        <v>70073020</v>
      </c>
      <c r="F239" s="239" t="s">
        <v>1298</v>
      </c>
      <c r="G239" s="240" t="s">
        <v>188</v>
      </c>
      <c r="H239" s="237" t="s">
        <v>120</v>
      </c>
      <c r="I239" s="247">
        <v>300</v>
      </c>
      <c r="J239" s="247">
        <v>0</v>
      </c>
      <c r="K239" s="247">
        <v>12</v>
      </c>
      <c r="L239" s="247">
        <f t="shared" si="553"/>
        <v>25</v>
      </c>
      <c r="M239" s="248">
        <v>45918</v>
      </c>
      <c r="N239" s="248">
        <v>45916</v>
      </c>
      <c r="O239" s="212"/>
      <c r="P239" s="212" t="s">
        <v>224</v>
      </c>
      <c r="Q239" s="212" t="s">
        <v>1299</v>
      </c>
      <c r="R239" s="212">
        <v>45883</v>
      </c>
      <c r="S239" s="212" t="s">
        <v>80</v>
      </c>
      <c r="T239" s="273" t="s">
        <v>1300</v>
      </c>
      <c r="U239" s="212"/>
      <c r="V239" s="259" t="s">
        <v>1301</v>
      </c>
      <c r="W239" s="248" t="s">
        <v>1174</v>
      </c>
      <c r="X239" s="260">
        <v>1.1176</v>
      </c>
      <c r="Y239" s="247">
        <f t="shared" si="631"/>
        <v>335.28</v>
      </c>
      <c r="Z239" s="248" t="s">
        <v>1302</v>
      </c>
      <c r="AA239" s="259">
        <v>300</v>
      </c>
      <c r="AB239" s="259">
        <f t="shared" si="622"/>
        <v>0</v>
      </c>
      <c r="AC239" s="212" t="s">
        <v>113</v>
      </c>
      <c r="AD239" s="212" t="s">
        <v>114</v>
      </c>
      <c r="AE239" s="248" t="s">
        <v>119</v>
      </c>
      <c r="AF239" s="248" t="s">
        <v>115</v>
      </c>
      <c r="AG239" s="267">
        <f>I239*2</f>
        <v>600</v>
      </c>
      <c r="AH239" s="267"/>
      <c r="AI239" s="267">
        <f>I239*2</f>
        <v>600</v>
      </c>
      <c r="AJ239" s="267"/>
      <c r="AK239" s="267">
        <f>I239*2</f>
        <v>600</v>
      </c>
      <c r="AL239" s="267"/>
      <c r="AM239" s="267"/>
      <c r="AN239" s="267"/>
      <c r="AO239" s="267">
        <f>I239*2</f>
        <v>600</v>
      </c>
      <c r="AP239" s="267"/>
      <c r="AQ239" s="267"/>
      <c r="AR239" s="267"/>
      <c r="AS239" s="267"/>
      <c r="AT239" s="267"/>
      <c r="AU239" s="267"/>
      <c r="AV239" s="267"/>
      <c r="AW239" s="267"/>
      <c r="AX239" s="267"/>
      <c r="AY239" s="267"/>
      <c r="AZ239" s="267"/>
      <c r="BA239" s="267"/>
      <c r="BB239" s="267"/>
      <c r="BC239" s="267"/>
      <c r="BD239" s="267"/>
      <c r="BE239" s="267"/>
      <c r="BF239" s="267">
        <f>I239</f>
        <v>300</v>
      </c>
      <c r="BG239" s="267">
        <f>I239</f>
        <v>300</v>
      </c>
      <c r="BH239" s="267"/>
      <c r="BI239" s="267"/>
      <c r="BJ239" s="269">
        <f t="shared" ref="BJ239:BR239" si="634">$I239*BJ$2*2</f>
        <v>73.4374999999998</v>
      </c>
      <c r="BK239" s="269">
        <f t="shared" si="634"/>
        <v>73.4374999999998</v>
      </c>
      <c r="BL239" s="269">
        <f t="shared" si="634"/>
        <v>73.4374999999998</v>
      </c>
      <c r="BM239" s="269">
        <f t="shared" si="634"/>
        <v>73.4374999999998</v>
      </c>
      <c r="BN239" s="269">
        <f t="shared" si="634"/>
        <v>73.4374999999998</v>
      </c>
      <c r="BO239" s="269">
        <f t="shared" si="634"/>
        <v>73.4374999999998</v>
      </c>
      <c r="BP239" s="269">
        <f t="shared" si="634"/>
        <v>73.4374999999998</v>
      </c>
      <c r="BQ239" s="269">
        <f t="shared" si="634"/>
        <v>73.4374999999998</v>
      </c>
      <c r="BR239" s="269">
        <f t="shared" si="634"/>
        <v>12.5</v>
      </c>
      <c r="BT239" s="60">
        <f t="shared" ref="BT239:CB239" si="635">BT238-BJ239</f>
        <v>47180.9557291667</v>
      </c>
      <c r="BU239" s="60">
        <f t="shared" si="635"/>
        <v>47180.9557291667</v>
      </c>
      <c r="BV239" s="60">
        <f t="shared" si="635"/>
        <v>47180.9557291667</v>
      </c>
      <c r="BW239" s="60">
        <f t="shared" si="635"/>
        <v>47180.9557291667</v>
      </c>
      <c r="BX239" s="60">
        <f t="shared" si="635"/>
        <v>47180.9557291667</v>
      </c>
      <c r="BY239" s="60">
        <f t="shared" si="635"/>
        <v>47180.9557291667</v>
      </c>
      <c r="BZ239" s="60">
        <f t="shared" si="635"/>
        <v>47180.9557291667</v>
      </c>
      <c r="CA239" s="60">
        <f t="shared" si="635"/>
        <v>47180.9557291667</v>
      </c>
      <c r="CB239" s="60">
        <f t="shared" si="635"/>
        <v>7982.35416666668</v>
      </c>
    </row>
    <row r="240" s="234" customFormat="1" ht="27" hidden="1" customHeight="1" spans="1:80">
      <c r="A240" s="236">
        <v>45860</v>
      </c>
      <c r="B240" s="237" t="s">
        <v>1303</v>
      </c>
      <c r="C240" s="238" t="s">
        <v>1304</v>
      </c>
      <c r="D240" s="239">
        <v>4500174471</v>
      </c>
      <c r="E240" s="238" t="s">
        <v>1305</v>
      </c>
      <c r="F240" s="237" t="s">
        <v>1306</v>
      </c>
      <c r="G240" s="240" t="s">
        <v>94</v>
      </c>
      <c r="H240" s="237" t="s">
        <v>211</v>
      </c>
      <c r="I240" s="247">
        <v>2600</v>
      </c>
      <c r="J240" s="247">
        <v>0</v>
      </c>
      <c r="K240" s="247">
        <v>52</v>
      </c>
      <c r="L240" s="247">
        <f t="shared" si="553"/>
        <v>50</v>
      </c>
      <c r="M240" s="248">
        <v>45919</v>
      </c>
      <c r="N240" s="248">
        <v>45915</v>
      </c>
      <c r="O240" s="212"/>
      <c r="P240" s="212" t="s">
        <v>107</v>
      </c>
      <c r="Q240" s="212" t="s">
        <v>1237</v>
      </c>
      <c r="R240" s="212">
        <v>45876</v>
      </c>
      <c r="S240" s="212" t="s">
        <v>80</v>
      </c>
      <c r="T240" s="212" t="s">
        <v>1307</v>
      </c>
      <c r="U240" s="212"/>
      <c r="V240" s="259" t="s">
        <v>1308</v>
      </c>
      <c r="W240" s="248" t="s">
        <v>214</v>
      </c>
      <c r="X240" s="260">
        <v>0.804</v>
      </c>
      <c r="Y240" s="247">
        <f t="shared" si="631"/>
        <v>2090.4</v>
      </c>
      <c r="Z240" s="248" t="s">
        <v>1309</v>
      </c>
      <c r="AA240" s="259">
        <f>2496+104</f>
        <v>2600</v>
      </c>
      <c r="AB240" s="259">
        <f t="shared" si="622"/>
        <v>0</v>
      </c>
      <c r="AC240" s="212" t="s">
        <v>113</v>
      </c>
      <c r="AD240" s="212" t="s">
        <v>114</v>
      </c>
      <c r="AE240" s="248" t="s">
        <v>94</v>
      </c>
      <c r="AF240" s="248" t="s">
        <v>115</v>
      </c>
      <c r="AG240" s="267">
        <f t="shared" ref="AG240:AG248" si="636">I240</f>
        <v>2600</v>
      </c>
      <c r="AH240" s="267"/>
      <c r="AI240" s="267">
        <f t="shared" ref="AI240:AI248" si="637">I240</f>
        <v>2600</v>
      </c>
      <c r="AJ240" s="267"/>
      <c r="AK240" s="267">
        <f t="shared" ref="AK240:AK248" si="638">I240</f>
        <v>2600</v>
      </c>
      <c r="AL240" s="267"/>
      <c r="AM240" s="267"/>
      <c r="AN240" s="267"/>
      <c r="AO240" s="267">
        <f t="shared" ref="AO240:AO248" si="639">I240</f>
        <v>2600</v>
      </c>
      <c r="AP240" s="267"/>
      <c r="AQ240" s="267"/>
      <c r="AR240" s="267"/>
      <c r="AS240" s="267"/>
      <c r="AT240" s="267">
        <f>I240/13</f>
        <v>200</v>
      </c>
      <c r="AU240" s="267"/>
      <c r="AV240" s="267"/>
      <c r="AW240" s="267"/>
      <c r="AX240" s="267"/>
      <c r="AY240" s="267"/>
      <c r="AZ240" s="267"/>
      <c r="BA240" s="267"/>
      <c r="BB240" s="267"/>
      <c r="BC240" s="267"/>
      <c r="BD240" s="267"/>
      <c r="BE240" s="267"/>
      <c r="BF240" s="267"/>
      <c r="BG240" s="267"/>
      <c r="BH240" s="267"/>
      <c r="BI240" s="267"/>
      <c r="BJ240" s="269">
        <f t="shared" ref="BJ240:BR240" si="640">$I240*BJ$2</f>
        <v>318.229166666666</v>
      </c>
      <c r="BK240" s="269">
        <f t="shared" si="640"/>
        <v>318.229166666666</v>
      </c>
      <c r="BL240" s="269">
        <f t="shared" si="640"/>
        <v>318.229166666666</v>
      </c>
      <c r="BM240" s="269">
        <f t="shared" si="640"/>
        <v>318.229166666666</v>
      </c>
      <c r="BN240" s="269">
        <f t="shared" si="640"/>
        <v>318.229166666666</v>
      </c>
      <c r="BO240" s="269">
        <f t="shared" si="640"/>
        <v>318.229166666666</v>
      </c>
      <c r="BP240" s="269">
        <f t="shared" si="640"/>
        <v>318.229166666666</v>
      </c>
      <c r="BQ240" s="269">
        <f t="shared" si="640"/>
        <v>318.229166666666</v>
      </c>
      <c r="BR240" s="269">
        <f t="shared" si="640"/>
        <v>54.1666666666666</v>
      </c>
      <c r="BT240" s="60">
        <f t="shared" ref="BT240:CB240" si="641">BT239-BJ240</f>
        <v>46862.7265625001</v>
      </c>
      <c r="BU240" s="60">
        <f t="shared" si="641"/>
        <v>46862.7265625001</v>
      </c>
      <c r="BV240" s="60">
        <f t="shared" si="641"/>
        <v>46862.7265625001</v>
      </c>
      <c r="BW240" s="60">
        <f t="shared" si="641"/>
        <v>46862.7265625001</v>
      </c>
      <c r="BX240" s="60">
        <f t="shared" si="641"/>
        <v>46862.7265625001</v>
      </c>
      <c r="BY240" s="60">
        <f t="shared" si="641"/>
        <v>46862.7265625001</v>
      </c>
      <c r="BZ240" s="60">
        <f t="shared" si="641"/>
        <v>46862.7265625001</v>
      </c>
      <c r="CA240" s="60">
        <f t="shared" si="641"/>
        <v>46862.7265625001</v>
      </c>
      <c r="CB240" s="60">
        <f t="shared" si="641"/>
        <v>7928.18750000001</v>
      </c>
    </row>
    <row r="241" s="234" customFormat="1" ht="27" hidden="1" customHeight="1" spans="1:80">
      <c r="A241" s="236">
        <v>45891</v>
      </c>
      <c r="B241" s="237" t="s">
        <v>1175</v>
      </c>
      <c r="C241" s="238" t="s">
        <v>170</v>
      </c>
      <c r="D241" s="239">
        <v>4500177568</v>
      </c>
      <c r="E241" s="238">
        <v>11290</v>
      </c>
      <c r="F241" s="237" t="s">
        <v>1310</v>
      </c>
      <c r="G241" s="240" t="s">
        <v>152</v>
      </c>
      <c r="H241" s="237" t="s">
        <v>153</v>
      </c>
      <c r="I241" s="247">
        <v>1040</v>
      </c>
      <c r="J241" s="247">
        <v>0</v>
      </c>
      <c r="K241" s="247">
        <v>13</v>
      </c>
      <c r="L241" s="247">
        <f t="shared" si="553"/>
        <v>80</v>
      </c>
      <c r="M241" s="248">
        <v>45926</v>
      </c>
      <c r="N241" s="248">
        <v>45922</v>
      </c>
      <c r="O241" s="212"/>
      <c r="P241" s="212" t="s">
        <v>224</v>
      </c>
      <c r="Q241" s="212" t="s">
        <v>1311</v>
      </c>
      <c r="R241" s="212">
        <v>45894</v>
      </c>
      <c r="S241" s="275" t="s">
        <v>80</v>
      </c>
      <c r="T241" s="275" t="s">
        <v>80</v>
      </c>
      <c r="U241" s="212"/>
      <c r="V241" s="259" t="s">
        <v>1312</v>
      </c>
      <c r="W241" s="248" t="s">
        <v>1179</v>
      </c>
      <c r="X241" s="260">
        <v>0.7931</v>
      </c>
      <c r="Y241" s="247">
        <f t="shared" si="631"/>
        <v>824.824</v>
      </c>
      <c r="Z241" s="248" t="s">
        <v>1313</v>
      </c>
      <c r="AA241" s="259">
        <v>1040</v>
      </c>
      <c r="AB241" s="259">
        <f t="shared" si="622"/>
        <v>0</v>
      </c>
      <c r="AC241" s="212" t="s">
        <v>80</v>
      </c>
      <c r="AD241" s="212" t="s">
        <v>114</v>
      </c>
      <c r="AE241" s="248" t="s">
        <v>152</v>
      </c>
      <c r="AF241" s="248" t="s">
        <v>115</v>
      </c>
      <c r="AG241" s="267">
        <f t="shared" si="636"/>
        <v>1040</v>
      </c>
      <c r="AH241" s="267"/>
      <c r="AI241" s="267">
        <f t="shared" si="637"/>
        <v>1040</v>
      </c>
      <c r="AJ241" s="267"/>
      <c r="AK241" s="267">
        <f t="shared" si="638"/>
        <v>1040</v>
      </c>
      <c r="AL241" s="267"/>
      <c r="AM241" s="267"/>
      <c r="AN241" s="267"/>
      <c r="AO241" s="267">
        <f t="shared" si="639"/>
        <v>1040</v>
      </c>
      <c r="AP241" s="267"/>
      <c r="AQ241" s="267"/>
      <c r="AR241" s="267"/>
      <c r="AS241" s="267"/>
      <c r="AT241" s="267">
        <f>I241/13</f>
        <v>80</v>
      </c>
      <c r="AU241" s="267"/>
      <c r="AV241" s="267"/>
      <c r="AW241" s="267"/>
      <c r="AX241" s="267"/>
      <c r="AY241" s="267"/>
      <c r="AZ241" s="267"/>
      <c r="BA241" s="267"/>
      <c r="BB241" s="267"/>
      <c r="BC241" s="267"/>
      <c r="BD241" s="267"/>
      <c r="BE241" s="267"/>
      <c r="BF241" s="267"/>
      <c r="BG241" s="267"/>
      <c r="BH241" s="267"/>
      <c r="BI241" s="267"/>
      <c r="BJ241" s="269">
        <f t="shared" ref="BJ241:BR241" si="642">$I241*BJ$2</f>
        <v>127.291666666666</v>
      </c>
      <c r="BK241" s="269">
        <f t="shared" si="642"/>
        <v>127.291666666666</v>
      </c>
      <c r="BL241" s="269">
        <f t="shared" si="642"/>
        <v>127.291666666666</v>
      </c>
      <c r="BM241" s="269">
        <f t="shared" si="642"/>
        <v>127.291666666666</v>
      </c>
      <c r="BN241" s="269">
        <f t="shared" si="642"/>
        <v>127.291666666666</v>
      </c>
      <c r="BO241" s="269">
        <f t="shared" si="642"/>
        <v>127.291666666666</v>
      </c>
      <c r="BP241" s="269">
        <f t="shared" si="642"/>
        <v>127.291666666666</v>
      </c>
      <c r="BQ241" s="269">
        <f t="shared" si="642"/>
        <v>127.291666666666</v>
      </c>
      <c r="BR241" s="269">
        <f t="shared" si="642"/>
        <v>21.6666666666666</v>
      </c>
      <c r="BT241" s="60">
        <f t="shared" ref="BT241:CB241" si="643">BT240-BJ241</f>
        <v>46735.4348958334</v>
      </c>
      <c r="BU241" s="60">
        <f t="shared" si="643"/>
        <v>46735.4348958334</v>
      </c>
      <c r="BV241" s="60">
        <f t="shared" si="643"/>
        <v>46735.4348958334</v>
      </c>
      <c r="BW241" s="60">
        <f t="shared" si="643"/>
        <v>46735.4348958334</v>
      </c>
      <c r="BX241" s="60">
        <f t="shared" si="643"/>
        <v>46735.4348958334</v>
      </c>
      <c r="BY241" s="60">
        <f t="shared" si="643"/>
        <v>46735.4348958334</v>
      </c>
      <c r="BZ241" s="60">
        <f t="shared" si="643"/>
        <v>46735.4348958334</v>
      </c>
      <c r="CA241" s="60">
        <f t="shared" si="643"/>
        <v>46735.4348958334</v>
      </c>
      <c r="CB241" s="60">
        <f t="shared" si="643"/>
        <v>7906.52083333334</v>
      </c>
    </row>
    <row r="242" s="234" customFormat="1" ht="27" hidden="1" customHeight="1" spans="1:80">
      <c r="A242" s="236">
        <v>45898</v>
      </c>
      <c r="B242" s="237" t="s">
        <v>326</v>
      </c>
      <c r="C242" s="238" t="s">
        <v>117</v>
      </c>
      <c r="D242" s="239">
        <v>4500178234</v>
      </c>
      <c r="E242" s="304" t="s">
        <v>1314</v>
      </c>
      <c r="F242" s="239" t="s">
        <v>1315</v>
      </c>
      <c r="G242" s="240" t="s">
        <v>258</v>
      </c>
      <c r="H242" s="237" t="s">
        <v>259</v>
      </c>
      <c r="I242" s="247">
        <v>13824</v>
      </c>
      <c r="J242" s="247">
        <v>0</v>
      </c>
      <c r="K242" s="247">
        <v>1152</v>
      </c>
      <c r="L242" s="247">
        <f t="shared" si="553"/>
        <v>12</v>
      </c>
      <c r="M242" s="248">
        <v>45929</v>
      </c>
      <c r="N242" s="248">
        <v>45927</v>
      </c>
      <c r="O242" s="212" t="s">
        <v>1316</v>
      </c>
      <c r="P242" s="212" t="s">
        <v>107</v>
      </c>
      <c r="Q242" s="212" t="s">
        <v>1317</v>
      </c>
      <c r="R242" s="212" t="s">
        <v>331</v>
      </c>
      <c r="S242" s="275" t="s">
        <v>191</v>
      </c>
      <c r="T242" s="275" t="s">
        <v>1318</v>
      </c>
      <c r="U242" s="212" t="s">
        <v>1319</v>
      </c>
      <c r="V242" s="259" t="s">
        <v>1320</v>
      </c>
      <c r="W242" s="248" t="s">
        <v>265</v>
      </c>
      <c r="X242" s="260">
        <v>537.9792</v>
      </c>
      <c r="Y242" s="247">
        <f t="shared" ref="Y242:Y248" si="644">X242*L242</f>
        <v>6455.7504</v>
      </c>
      <c r="Z242" s="248" t="s">
        <v>1321</v>
      </c>
      <c r="AA242" s="259">
        <f>13824+12</f>
        <v>13836</v>
      </c>
      <c r="AB242" s="259">
        <f t="shared" si="622"/>
        <v>12</v>
      </c>
      <c r="AC242" s="212"/>
      <c r="AD242" s="212" t="s">
        <v>114</v>
      </c>
      <c r="AE242" s="248" t="s">
        <v>258</v>
      </c>
      <c r="AF242" s="248" t="s">
        <v>115</v>
      </c>
      <c r="AG242" s="267">
        <f t="shared" si="636"/>
        <v>13824</v>
      </c>
      <c r="AH242" s="267"/>
      <c r="AI242" s="267">
        <f t="shared" si="637"/>
        <v>13824</v>
      </c>
      <c r="AJ242" s="267"/>
      <c r="AK242" s="267">
        <f t="shared" si="638"/>
        <v>13824</v>
      </c>
      <c r="AL242" s="267"/>
      <c r="AM242" s="267"/>
      <c r="AN242" s="267"/>
      <c r="AO242" s="267">
        <f t="shared" si="639"/>
        <v>13824</v>
      </c>
      <c r="AP242" s="267"/>
      <c r="AQ242" s="267"/>
      <c r="AR242" s="267"/>
      <c r="AS242" s="267"/>
      <c r="AT242" s="267"/>
      <c r="AU242" s="267"/>
      <c r="AV242" s="267">
        <f t="shared" ref="AV242:AV248" si="645">I242/12</f>
        <v>1152</v>
      </c>
      <c r="AW242" s="267"/>
      <c r="AX242" s="267"/>
      <c r="AY242" s="267"/>
      <c r="AZ242" s="267"/>
      <c r="BA242" s="267"/>
      <c r="BB242" s="267"/>
      <c r="BC242" s="267"/>
      <c r="BD242" s="267"/>
      <c r="BE242" s="267"/>
      <c r="BF242" s="267"/>
      <c r="BG242" s="267"/>
      <c r="BH242" s="267"/>
      <c r="BI242" s="267"/>
      <c r="BJ242" s="269">
        <f t="shared" ref="BJ242:BR242" si="646">$I242*BJ$2</f>
        <v>1692</v>
      </c>
      <c r="BK242" s="269">
        <f t="shared" si="646"/>
        <v>1692</v>
      </c>
      <c r="BL242" s="269">
        <f t="shared" si="646"/>
        <v>1692</v>
      </c>
      <c r="BM242" s="269">
        <f t="shared" si="646"/>
        <v>1692</v>
      </c>
      <c r="BN242" s="269">
        <f t="shared" si="646"/>
        <v>1692</v>
      </c>
      <c r="BO242" s="269">
        <f t="shared" si="646"/>
        <v>1692</v>
      </c>
      <c r="BP242" s="269">
        <f t="shared" si="646"/>
        <v>1692</v>
      </c>
      <c r="BQ242" s="269">
        <f t="shared" si="646"/>
        <v>1692</v>
      </c>
      <c r="BR242" s="269">
        <f t="shared" si="646"/>
        <v>288</v>
      </c>
      <c r="BT242" s="60">
        <f t="shared" ref="BT242:CB242" si="647">BT241-BJ242</f>
        <v>45043.4348958334</v>
      </c>
      <c r="BU242" s="60">
        <f t="shared" si="647"/>
        <v>45043.4348958334</v>
      </c>
      <c r="BV242" s="60">
        <f t="shared" si="647"/>
        <v>45043.4348958334</v>
      </c>
      <c r="BW242" s="60">
        <f t="shared" si="647"/>
        <v>45043.4348958334</v>
      </c>
      <c r="BX242" s="60">
        <f t="shared" si="647"/>
        <v>45043.4348958334</v>
      </c>
      <c r="BY242" s="60">
        <f t="shared" si="647"/>
        <v>45043.4348958334</v>
      </c>
      <c r="BZ242" s="60">
        <f t="shared" si="647"/>
        <v>45043.4348958334</v>
      </c>
      <c r="CA242" s="60">
        <f t="shared" si="647"/>
        <v>45043.4348958334</v>
      </c>
      <c r="CB242" s="60">
        <f t="shared" si="647"/>
        <v>7618.52083333334</v>
      </c>
    </row>
    <row r="243" s="234" customFormat="1" ht="27" hidden="1" customHeight="1" spans="1:80">
      <c r="A243" s="236">
        <v>45898</v>
      </c>
      <c r="B243" s="237" t="s">
        <v>326</v>
      </c>
      <c r="C243" s="238" t="s">
        <v>117</v>
      </c>
      <c r="D243" s="239">
        <v>4500178234</v>
      </c>
      <c r="E243" s="304" t="s">
        <v>1322</v>
      </c>
      <c r="F243" s="239" t="s">
        <v>1323</v>
      </c>
      <c r="G243" s="240" t="s">
        <v>258</v>
      </c>
      <c r="H243" s="237" t="s">
        <v>259</v>
      </c>
      <c r="I243" s="247">
        <v>10368</v>
      </c>
      <c r="J243" s="247">
        <v>0</v>
      </c>
      <c r="K243" s="247">
        <v>1152</v>
      </c>
      <c r="L243" s="247">
        <f t="shared" si="553"/>
        <v>9</v>
      </c>
      <c r="M243" s="248">
        <v>45929</v>
      </c>
      <c r="N243" s="248">
        <v>45927</v>
      </c>
      <c r="O243" s="212" t="s">
        <v>1324</v>
      </c>
      <c r="P243" s="212" t="s">
        <v>107</v>
      </c>
      <c r="Q243" s="212" t="s">
        <v>1325</v>
      </c>
      <c r="R243" s="212" t="s">
        <v>331</v>
      </c>
      <c r="S243" s="275" t="s">
        <v>191</v>
      </c>
      <c r="T243" s="275" t="s">
        <v>1318</v>
      </c>
      <c r="U243" s="212" t="s">
        <v>156</v>
      </c>
      <c r="V243" s="259" t="s">
        <v>1320</v>
      </c>
      <c r="W243" s="248" t="s">
        <v>265</v>
      </c>
      <c r="X243" s="260">
        <v>537.9789</v>
      </c>
      <c r="Y243" s="247">
        <f t="shared" si="644"/>
        <v>4841.8101</v>
      </c>
      <c r="Z243" s="248" t="s">
        <v>1326</v>
      </c>
      <c r="AA243" s="259">
        <v>10368</v>
      </c>
      <c r="AB243" s="259">
        <f t="shared" si="622"/>
        <v>0</v>
      </c>
      <c r="AC243" s="212"/>
      <c r="AD243" s="212" t="s">
        <v>114</v>
      </c>
      <c r="AE243" s="248" t="s">
        <v>258</v>
      </c>
      <c r="AF243" s="248" t="s">
        <v>115</v>
      </c>
      <c r="AG243" s="267">
        <f t="shared" si="636"/>
        <v>10368</v>
      </c>
      <c r="AH243" s="267"/>
      <c r="AI243" s="267">
        <f t="shared" si="637"/>
        <v>10368</v>
      </c>
      <c r="AJ243" s="267"/>
      <c r="AK243" s="267">
        <f t="shared" si="638"/>
        <v>10368</v>
      </c>
      <c r="AL243" s="267"/>
      <c r="AM243" s="267"/>
      <c r="AN243" s="267"/>
      <c r="AO243" s="267">
        <f t="shared" si="639"/>
        <v>10368</v>
      </c>
      <c r="AP243" s="267"/>
      <c r="AQ243" s="267"/>
      <c r="AR243" s="267"/>
      <c r="AS243" s="267"/>
      <c r="AT243" s="267"/>
      <c r="AU243" s="267"/>
      <c r="AV243" s="267">
        <f t="shared" si="645"/>
        <v>864</v>
      </c>
      <c r="AW243" s="267"/>
      <c r="AX243" s="267"/>
      <c r="AY243" s="267"/>
      <c r="AZ243" s="267"/>
      <c r="BA243" s="267"/>
      <c r="BB243" s="267"/>
      <c r="BC243" s="267"/>
      <c r="BD243" s="267"/>
      <c r="BE243" s="267"/>
      <c r="BF243" s="267"/>
      <c r="BG243" s="267"/>
      <c r="BH243" s="267"/>
      <c r="BI243" s="267"/>
      <c r="BJ243" s="269">
        <f t="shared" ref="BJ243:BR243" si="648">$I243*BJ$2</f>
        <v>1269</v>
      </c>
      <c r="BK243" s="269">
        <f t="shared" si="648"/>
        <v>1269</v>
      </c>
      <c r="BL243" s="269">
        <f t="shared" si="648"/>
        <v>1269</v>
      </c>
      <c r="BM243" s="269">
        <f t="shared" si="648"/>
        <v>1269</v>
      </c>
      <c r="BN243" s="269">
        <f t="shared" si="648"/>
        <v>1269</v>
      </c>
      <c r="BO243" s="269">
        <f t="shared" si="648"/>
        <v>1269</v>
      </c>
      <c r="BP243" s="269">
        <f t="shared" si="648"/>
        <v>1269</v>
      </c>
      <c r="BQ243" s="269">
        <f t="shared" si="648"/>
        <v>1269</v>
      </c>
      <c r="BR243" s="269">
        <f t="shared" si="648"/>
        <v>216</v>
      </c>
      <c r="BT243" s="60">
        <f t="shared" ref="BT243:CB243" si="649">BT242-BJ243</f>
        <v>43774.4348958334</v>
      </c>
      <c r="BU243" s="60">
        <f t="shared" si="649"/>
        <v>43774.4348958334</v>
      </c>
      <c r="BV243" s="60">
        <f t="shared" si="649"/>
        <v>43774.4348958334</v>
      </c>
      <c r="BW243" s="60">
        <f t="shared" si="649"/>
        <v>43774.4348958334</v>
      </c>
      <c r="BX243" s="60">
        <f t="shared" si="649"/>
        <v>43774.4348958334</v>
      </c>
      <c r="BY243" s="60">
        <f t="shared" si="649"/>
        <v>43774.4348958334</v>
      </c>
      <c r="BZ243" s="60">
        <f t="shared" si="649"/>
        <v>43774.4348958334</v>
      </c>
      <c r="CA243" s="60">
        <f t="shared" si="649"/>
        <v>43774.4348958334</v>
      </c>
      <c r="CB243" s="60">
        <f t="shared" si="649"/>
        <v>7402.52083333334</v>
      </c>
    </row>
    <row r="244" s="234" customFormat="1" ht="27" hidden="1" customHeight="1" spans="1:80">
      <c r="A244" s="236">
        <v>45898</v>
      </c>
      <c r="B244" s="237" t="s">
        <v>326</v>
      </c>
      <c r="C244" s="238" t="s">
        <v>117</v>
      </c>
      <c r="D244" s="239">
        <v>4500178234</v>
      </c>
      <c r="E244" s="304" t="s">
        <v>1327</v>
      </c>
      <c r="F244" s="239" t="s">
        <v>1328</v>
      </c>
      <c r="G244" s="240" t="s">
        <v>258</v>
      </c>
      <c r="H244" s="237" t="s">
        <v>259</v>
      </c>
      <c r="I244" s="247">
        <v>10368</v>
      </c>
      <c r="J244" s="247">
        <v>0</v>
      </c>
      <c r="K244" s="247">
        <v>1152</v>
      </c>
      <c r="L244" s="247">
        <f t="shared" si="553"/>
        <v>9</v>
      </c>
      <c r="M244" s="248">
        <v>45929</v>
      </c>
      <c r="N244" s="248">
        <v>45927</v>
      </c>
      <c r="O244" s="212" t="s">
        <v>1316</v>
      </c>
      <c r="P244" s="212" t="s">
        <v>107</v>
      </c>
      <c r="Q244" s="212"/>
      <c r="R244" s="212" t="s">
        <v>331</v>
      </c>
      <c r="S244" s="275" t="s">
        <v>191</v>
      </c>
      <c r="T244" s="275" t="s">
        <v>1318</v>
      </c>
      <c r="U244" s="212"/>
      <c r="V244" s="259" t="s">
        <v>1320</v>
      </c>
      <c r="W244" s="248" t="s">
        <v>265</v>
      </c>
      <c r="X244" s="260">
        <v>537.9789</v>
      </c>
      <c r="Y244" s="247">
        <f t="shared" si="644"/>
        <v>4841.8101</v>
      </c>
      <c r="Z244" s="248"/>
      <c r="AA244" s="259">
        <f>8640+1728</f>
        <v>10368</v>
      </c>
      <c r="AB244" s="259">
        <f t="shared" si="622"/>
        <v>0</v>
      </c>
      <c r="AC244" s="212"/>
      <c r="AD244" s="212" t="s">
        <v>114</v>
      </c>
      <c r="AE244" s="248" t="s">
        <v>258</v>
      </c>
      <c r="AF244" s="248" t="s">
        <v>115</v>
      </c>
      <c r="AG244" s="267">
        <f t="shared" si="636"/>
        <v>10368</v>
      </c>
      <c r="AH244" s="267"/>
      <c r="AI244" s="267">
        <f t="shared" si="637"/>
        <v>10368</v>
      </c>
      <c r="AJ244" s="267"/>
      <c r="AK244" s="267">
        <f t="shared" si="638"/>
        <v>10368</v>
      </c>
      <c r="AL244" s="267"/>
      <c r="AM244" s="267"/>
      <c r="AN244" s="267"/>
      <c r="AO244" s="267">
        <f t="shared" si="639"/>
        <v>10368</v>
      </c>
      <c r="AP244" s="267"/>
      <c r="AQ244" s="267"/>
      <c r="AR244" s="267"/>
      <c r="AS244" s="267"/>
      <c r="AT244" s="267"/>
      <c r="AU244" s="267"/>
      <c r="AV244" s="267">
        <f t="shared" si="645"/>
        <v>864</v>
      </c>
      <c r="AW244" s="267"/>
      <c r="AX244" s="267"/>
      <c r="AY244" s="267"/>
      <c r="AZ244" s="267"/>
      <c r="BA244" s="267"/>
      <c r="BB244" s="267"/>
      <c r="BC244" s="267"/>
      <c r="BD244" s="267"/>
      <c r="BE244" s="267"/>
      <c r="BF244" s="267"/>
      <c r="BG244" s="267"/>
      <c r="BH244" s="267"/>
      <c r="BI244" s="267"/>
      <c r="BJ244" s="269">
        <f t="shared" ref="BJ244:BR244" si="650">$I244*BJ$2</f>
        <v>1269</v>
      </c>
      <c r="BK244" s="269">
        <f t="shared" si="650"/>
        <v>1269</v>
      </c>
      <c r="BL244" s="269">
        <f t="shared" si="650"/>
        <v>1269</v>
      </c>
      <c r="BM244" s="269">
        <f t="shared" si="650"/>
        <v>1269</v>
      </c>
      <c r="BN244" s="269">
        <f t="shared" si="650"/>
        <v>1269</v>
      </c>
      <c r="BO244" s="269">
        <f t="shared" si="650"/>
        <v>1269</v>
      </c>
      <c r="BP244" s="269">
        <f t="shared" si="650"/>
        <v>1269</v>
      </c>
      <c r="BQ244" s="269">
        <f t="shared" si="650"/>
        <v>1269</v>
      </c>
      <c r="BR244" s="269">
        <f t="shared" si="650"/>
        <v>216</v>
      </c>
      <c r="BT244" s="60">
        <f t="shared" ref="BT244:CB244" si="651">BT243-BJ244</f>
        <v>42505.4348958334</v>
      </c>
      <c r="BU244" s="60">
        <f t="shared" si="651"/>
        <v>42505.4348958334</v>
      </c>
      <c r="BV244" s="60">
        <f t="shared" si="651"/>
        <v>42505.4348958334</v>
      </c>
      <c r="BW244" s="60">
        <f t="shared" si="651"/>
        <v>42505.4348958334</v>
      </c>
      <c r="BX244" s="60">
        <f t="shared" si="651"/>
        <v>42505.4348958334</v>
      </c>
      <c r="BY244" s="60">
        <f t="shared" si="651"/>
        <v>42505.4348958334</v>
      </c>
      <c r="BZ244" s="60">
        <f t="shared" si="651"/>
        <v>42505.4348958334</v>
      </c>
      <c r="CA244" s="60">
        <f t="shared" si="651"/>
        <v>42505.4348958334</v>
      </c>
      <c r="CB244" s="60">
        <f t="shared" si="651"/>
        <v>7186.52083333334</v>
      </c>
    </row>
    <row r="245" s="234" customFormat="1" ht="27" hidden="1" customHeight="1" spans="1:80">
      <c r="A245" s="236">
        <v>45898</v>
      </c>
      <c r="B245" s="237" t="s">
        <v>326</v>
      </c>
      <c r="C245" s="238" t="s">
        <v>117</v>
      </c>
      <c r="D245" s="239">
        <v>4500178234</v>
      </c>
      <c r="E245" s="238">
        <v>941292545</v>
      </c>
      <c r="F245" s="239" t="s">
        <v>1329</v>
      </c>
      <c r="G245" s="240" t="s">
        <v>258</v>
      </c>
      <c r="H245" s="237" t="s">
        <v>259</v>
      </c>
      <c r="I245" s="247">
        <v>18432</v>
      </c>
      <c r="J245" s="247">
        <v>0</v>
      </c>
      <c r="K245" s="247">
        <v>1152</v>
      </c>
      <c r="L245" s="247">
        <f t="shared" si="553"/>
        <v>16</v>
      </c>
      <c r="M245" s="248">
        <v>45929</v>
      </c>
      <c r="N245" s="248">
        <v>45927</v>
      </c>
      <c r="O245" s="212" t="s">
        <v>1316</v>
      </c>
      <c r="P245" s="212" t="s">
        <v>107</v>
      </c>
      <c r="Q245" s="212" t="s">
        <v>1330</v>
      </c>
      <c r="R245" s="212" t="s">
        <v>331</v>
      </c>
      <c r="S245" s="275" t="s">
        <v>191</v>
      </c>
      <c r="T245" s="275" t="s">
        <v>1318</v>
      </c>
      <c r="U245" s="212"/>
      <c r="V245" s="259" t="s">
        <v>1320</v>
      </c>
      <c r="W245" s="248" t="s">
        <v>265</v>
      </c>
      <c r="X245" s="260">
        <v>537.9794</v>
      </c>
      <c r="Y245" s="247">
        <f t="shared" si="644"/>
        <v>8607.6704</v>
      </c>
      <c r="Z245" s="248" t="s">
        <v>1331</v>
      </c>
      <c r="AA245" s="259">
        <f>3312+15120</f>
        <v>18432</v>
      </c>
      <c r="AB245" s="259">
        <f t="shared" si="622"/>
        <v>0</v>
      </c>
      <c r="AC245" s="212"/>
      <c r="AD245" s="212" t="s">
        <v>114</v>
      </c>
      <c r="AE245" s="248" t="s">
        <v>258</v>
      </c>
      <c r="AF245" s="248" t="s">
        <v>115</v>
      </c>
      <c r="AG245" s="267">
        <f t="shared" si="636"/>
        <v>18432</v>
      </c>
      <c r="AH245" s="267"/>
      <c r="AI245" s="267">
        <f t="shared" si="637"/>
        <v>18432</v>
      </c>
      <c r="AJ245" s="267"/>
      <c r="AK245" s="267">
        <f t="shared" si="638"/>
        <v>18432</v>
      </c>
      <c r="AL245" s="267"/>
      <c r="AM245" s="267"/>
      <c r="AN245" s="267"/>
      <c r="AO245" s="267">
        <f t="shared" si="639"/>
        <v>18432</v>
      </c>
      <c r="AP245" s="267"/>
      <c r="AQ245" s="267"/>
      <c r="AR245" s="267"/>
      <c r="AS245" s="267"/>
      <c r="AT245" s="267"/>
      <c r="AU245" s="267"/>
      <c r="AV245" s="267">
        <f t="shared" si="645"/>
        <v>1536</v>
      </c>
      <c r="AW245" s="267"/>
      <c r="AX245" s="267"/>
      <c r="AY245" s="267"/>
      <c r="AZ245" s="267"/>
      <c r="BA245" s="267"/>
      <c r="BB245" s="267"/>
      <c r="BC245" s="267"/>
      <c r="BD245" s="267"/>
      <c r="BE245" s="267"/>
      <c r="BF245" s="267"/>
      <c r="BG245" s="267"/>
      <c r="BH245" s="267"/>
      <c r="BI245" s="267"/>
      <c r="BJ245" s="269">
        <f t="shared" ref="BJ245:BR245" si="652">$I245*BJ$2</f>
        <v>2255.99999999999</v>
      </c>
      <c r="BK245" s="269">
        <f t="shared" si="652"/>
        <v>2255.99999999999</v>
      </c>
      <c r="BL245" s="269">
        <f t="shared" si="652"/>
        <v>2255.99999999999</v>
      </c>
      <c r="BM245" s="269">
        <f t="shared" si="652"/>
        <v>2255.99999999999</v>
      </c>
      <c r="BN245" s="269">
        <f t="shared" si="652"/>
        <v>2255.99999999999</v>
      </c>
      <c r="BO245" s="269">
        <f t="shared" si="652"/>
        <v>2255.99999999999</v>
      </c>
      <c r="BP245" s="269">
        <f t="shared" si="652"/>
        <v>2255.99999999999</v>
      </c>
      <c r="BQ245" s="269">
        <f t="shared" si="652"/>
        <v>2255.99999999999</v>
      </c>
      <c r="BR245" s="269">
        <f t="shared" si="652"/>
        <v>383.999999999999</v>
      </c>
      <c r="BT245" s="60">
        <f t="shared" ref="BT245:CB245" si="653">BT244-BJ245</f>
        <v>40249.4348958334</v>
      </c>
      <c r="BU245" s="60">
        <f t="shared" si="653"/>
        <v>40249.4348958334</v>
      </c>
      <c r="BV245" s="60">
        <f t="shared" si="653"/>
        <v>40249.4348958334</v>
      </c>
      <c r="BW245" s="60">
        <f t="shared" si="653"/>
        <v>40249.4348958334</v>
      </c>
      <c r="BX245" s="60">
        <f t="shared" si="653"/>
        <v>40249.4348958334</v>
      </c>
      <c r="BY245" s="60">
        <f t="shared" si="653"/>
        <v>40249.4348958334</v>
      </c>
      <c r="BZ245" s="60">
        <f t="shared" si="653"/>
        <v>40249.4348958334</v>
      </c>
      <c r="CA245" s="60">
        <f t="shared" si="653"/>
        <v>40249.4348958334</v>
      </c>
      <c r="CB245" s="60">
        <f t="shared" si="653"/>
        <v>6802.52083333335</v>
      </c>
    </row>
    <row r="246" s="234" customFormat="1" ht="27" hidden="1" customHeight="1" spans="1:80">
      <c r="A246" s="236">
        <v>45898</v>
      </c>
      <c r="B246" s="237" t="s">
        <v>326</v>
      </c>
      <c r="C246" s="238" t="s">
        <v>117</v>
      </c>
      <c r="D246" s="239">
        <v>4500178234</v>
      </c>
      <c r="E246" s="304" t="s">
        <v>1332</v>
      </c>
      <c r="F246" s="239" t="s">
        <v>1333</v>
      </c>
      <c r="G246" s="240" t="s">
        <v>258</v>
      </c>
      <c r="H246" s="237" t="s">
        <v>259</v>
      </c>
      <c r="I246" s="247">
        <v>12672</v>
      </c>
      <c r="J246" s="247">
        <v>0</v>
      </c>
      <c r="K246" s="247">
        <v>1152</v>
      </c>
      <c r="L246" s="247">
        <f t="shared" si="553"/>
        <v>11</v>
      </c>
      <c r="M246" s="248">
        <v>45929</v>
      </c>
      <c r="N246" s="248">
        <v>45927</v>
      </c>
      <c r="O246" s="212" t="s">
        <v>1316</v>
      </c>
      <c r="P246" s="212" t="s">
        <v>107</v>
      </c>
      <c r="Q246" s="212" t="s">
        <v>1334</v>
      </c>
      <c r="R246" s="212" t="s">
        <v>331</v>
      </c>
      <c r="S246" s="275" t="s">
        <v>191</v>
      </c>
      <c r="T246" s="275" t="s">
        <v>1318</v>
      </c>
      <c r="U246" s="212"/>
      <c r="V246" s="259" t="s">
        <v>1320</v>
      </c>
      <c r="W246" s="248" t="s">
        <v>265</v>
      </c>
      <c r="X246" s="260">
        <v>537.9791</v>
      </c>
      <c r="Y246" s="247">
        <f t="shared" si="644"/>
        <v>5917.7701</v>
      </c>
      <c r="Z246" s="248" t="s">
        <v>1335</v>
      </c>
      <c r="AA246" s="259">
        <f>12+12660</f>
        <v>12672</v>
      </c>
      <c r="AB246" s="259">
        <f t="shared" si="622"/>
        <v>0</v>
      </c>
      <c r="AC246" s="212"/>
      <c r="AD246" s="212" t="s">
        <v>114</v>
      </c>
      <c r="AE246" s="248" t="s">
        <v>258</v>
      </c>
      <c r="AF246" s="248" t="s">
        <v>115</v>
      </c>
      <c r="AG246" s="267">
        <f t="shared" si="636"/>
        <v>12672</v>
      </c>
      <c r="AH246" s="267"/>
      <c r="AI246" s="267">
        <f t="shared" si="637"/>
        <v>12672</v>
      </c>
      <c r="AJ246" s="267"/>
      <c r="AK246" s="267">
        <f t="shared" si="638"/>
        <v>12672</v>
      </c>
      <c r="AL246" s="267"/>
      <c r="AM246" s="267"/>
      <c r="AN246" s="267"/>
      <c r="AO246" s="267">
        <f t="shared" si="639"/>
        <v>12672</v>
      </c>
      <c r="AP246" s="267"/>
      <c r="AQ246" s="267"/>
      <c r="AR246" s="267"/>
      <c r="AS246" s="267"/>
      <c r="AT246" s="267"/>
      <c r="AU246" s="267"/>
      <c r="AV246" s="267">
        <f t="shared" si="645"/>
        <v>1056</v>
      </c>
      <c r="AW246" s="267"/>
      <c r="AX246" s="267"/>
      <c r="AY246" s="267"/>
      <c r="AZ246" s="267"/>
      <c r="BA246" s="267"/>
      <c r="BB246" s="267"/>
      <c r="BC246" s="267"/>
      <c r="BD246" s="267"/>
      <c r="BE246" s="267"/>
      <c r="BF246" s="267"/>
      <c r="BG246" s="267"/>
      <c r="BH246" s="267"/>
      <c r="BI246" s="267"/>
      <c r="BJ246" s="269">
        <f t="shared" ref="BJ246:BR246" si="654">$I246*BJ$2</f>
        <v>1551</v>
      </c>
      <c r="BK246" s="269">
        <f t="shared" si="654"/>
        <v>1551</v>
      </c>
      <c r="BL246" s="269">
        <f t="shared" si="654"/>
        <v>1551</v>
      </c>
      <c r="BM246" s="269">
        <f t="shared" si="654"/>
        <v>1551</v>
      </c>
      <c r="BN246" s="269">
        <f t="shared" si="654"/>
        <v>1551</v>
      </c>
      <c r="BO246" s="269">
        <f t="shared" si="654"/>
        <v>1551</v>
      </c>
      <c r="BP246" s="269">
        <f t="shared" si="654"/>
        <v>1551</v>
      </c>
      <c r="BQ246" s="269">
        <f t="shared" si="654"/>
        <v>1551</v>
      </c>
      <c r="BR246" s="269">
        <f t="shared" si="654"/>
        <v>264</v>
      </c>
      <c r="BT246" s="60">
        <f t="shared" ref="BT246:CB246" si="655">BT245-BJ246</f>
        <v>38698.4348958334</v>
      </c>
      <c r="BU246" s="60">
        <f t="shared" si="655"/>
        <v>38698.4348958334</v>
      </c>
      <c r="BV246" s="60">
        <f t="shared" si="655"/>
        <v>38698.4348958334</v>
      </c>
      <c r="BW246" s="60">
        <f t="shared" si="655"/>
        <v>38698.4348958334</v>
      </c>
      <c r="BX246" s="60">
        <f t="shared" si="655"/>
        <v>38698.4348958334</v>
      </c>
      <c r="BY246" s="60">
        <f t="shared" si="655"/>
        <v>38698.4348958334</v>
      </c>
      <c r="BZ246" s="60">
        <f t="shared" si="655"/>
        <v>38698.4348958334</v>
      </c>
      <c r="CA246" s="60">
        <f t="shared" si="655"/>
        <v>38698.4348958334</v>
      </c>
      <c r="CB246" s="60">
        <f t="shared" si="655"/>
        <v>6538.52083333335</v>
      </c>
    </row>
    <row r="247" s="234" customFormat="1" ht="27" hidden="1" customHeight="1" spans="1:80">
      <c r="A247" s="236">
        <v>45898</v>
      </c>
      <c r="B247" s="237" t="s">
        <v>326</v>
      </c>
      <c r="C247" s="238" t="s">
        <v>117</v>
      </c>
      <c r="D247" s="239">
        <v>4500178234</v>
      </c>
      <c r="E247" s="304" t="s">
        <v>1336</v>
      </c>
      <c r="F247" s="239" t="s">
        <v>1337</v>
      </c>
      <c r="G247" s="240" t="s">
        <v>258</v>
      </c>
      <c r="H247" s="237" t="s">
        <v>259</v>
      </c>
      <c r="I247" s="247">
        <v>9216</v>
      </c>
      <c r="J247" s="247">
        <v>0</v>
      </c>
      <c r="K247" s="247">
        <v>1152</v>
      </c>
      <c r="L247" s="247">
        <f t="shared" si="553"/>
        <v>8</v>
      </c>
      <c r="M247" s="248">
        <v>45929</v>
      </c>
      <c r="N247" s="248">
        <v>45927</v>
      </c>
      <c r="O247" s="212" t="s">
        <v>1316</v>
      </c>
      <c r="P247" s="212" t="s">
        <v>107</v>
      </c>
      <c r="Q247" s="212" t="s">
        <v>1338</v>
      </c>
      <c r="R247" s="212" t="s">
        <v>331</v>
      </c>
      <c r="S247" s="275" t="s">
        <v>191</v>
      </c>
      <c r="T247" s="275" t="s">
        <v>1318</v>
      </c>
      <c r="U247" s="212"/>
      <c r="V247" s="259" t="s">
        <v>1320</v>
      </c>
      <c r="W247" s="248" t="s">
        <v>265</v>
      </c>
      <c r="X247" s="260">
        <v>537.9788</v>
      </c>
      <c r="Y247" s="247">
        <f t="shared" si="644"/>
        <v>4303.8304</v>
      </c>
      <c r="Z247" s="248" t="s">
        <v>1339</v>
      </c>
      <c r="AA247" s="259">
        <v>9216</v>
      </c>
      <c r="AB247" s="259">
        <f t="shared" si="622"/>
        <v>0</v>
      </c>
      <c r="AC247" s="212"/>
      <c r="AD247" s="212" t="s">
        <v>114</v>
      </c>
      <c r="AE247" s="248" t="s">
        <v>258</v>
      </c>
      <c r="AF247" s="248" t="s">
        <v>115</v>
      </c>
      <c r="AG247" s="267">
        <f t="shared" si="636"/>
        <v>9216</v>
      </c>
      <c r="AH247" s="267"/>
      <c r="AI247" s="267">
        <f t="shared" si="637"/>
        <v>9216</v>
      </c>
      <c r="AJ247" s="267"/>
      <c r="AK247" s="267">
        <f t="shared" si="638"/>
        <v>9216</v>
      </c>
      <c r="AL247" s="267"/>
      <c r="AM247" s="267"/>
      <c r="AN247" s="267"/>
      <c r="AO247" s="267">
        <f t="shared" si="639"/>
        <v>9216</v>
      </c>
      <c r="AP247" s="267"/>
      <c r="AQ247" s="267"/>
      <c r="AR247" s="267"/>
      <c r="AS247" s="267"/>
      <c r="AT247" s="267"/>
      <c r="AU247" s="267"/>
      <c r="AV247" s="267">
        <f t="shared" si="645"/>
        <v>768</v>
      </c>
      <c r="AW247" s="267"/>
      <c r="AX247" s="267"/>
      <c r="AY247" s="267"/>
      <c r="AZ247" s="267"/>
      <c r="BA247" s="267"/>
      <c r="BB247" s="267"/>
      <c r="BC247" s="267"/>
      <c r="BD247" s="267"/>
      <c r="BE247" s="267"/>
      <c r="BF247" s="267"/>
      <c r="BG247" s="267"/>
      <c r="BH247" s="267"/>
      <c r="BI247" s="267"/>
      <c r="BJ247" s="269">
        <f t="shared" ref="BJ247:BR247" si="656">$I247*BJ$2</f>
        <v>1128</v>
      </c>
      <c r="BK247" s="269">
        <f t="shared" si="656"/>
        <v>1128</v>
      </c>
      <c r="BL247" s="269">
        <f t="shared" si="656"/>
        <v>1128</v>
      </c>
      <c r="BM247" s="269">
        <f t="shared" si="656"/>
        <v>1128</v>
      </c>
      <c r="BN247" s="269">
        <f t="shared" si="656"/>
        <v>1128</v>
      </c>
      <c r="BO247" s="269">
        <f t="shared" si="656"/>
        <v>1128</v>
      </c>
      <c r="BP247" s="269">
        <f t="shared" si="656"/>
        <v>1128</v>
      </c>
      <c r="BQ247" s="269">
        <f t="shared" si="656"/>
        <v>1128</v>
      </c>
      <c r="BR247" s="269">
        <f t="shared" si="656"/>
        <v>192</v>
      </c>
      <c r="BT247" s="60">
        <f t="shared" ref="BT247:CB247" si="657">BT246-BJ247</f>
        <v>37570.4348958334</v>
      </c>
      <c r="BU247" s="60">
        <f t="shared" si="657"/>
        <v>37570.4348958334</v>
      </c>
      <c r="BV247" s="60">
        <f t="shared" si="657"/>
        <v>37570.4348958334</v>
      </c>
      <c r="BW247" s="60">
        <f t="shared" si="657"/>
        <v>37570.4348958334</v>
      </c>
      <c r="BX247" s="60">
        <f t="shared" si="657"/>
        <v>37570.4348958334</v>
      </c>
      <c r="BY247" s="60">
        <f t="shared" si="657"/>
        <v>37570.4348958334</v>
      </c>
      <c r="BZ247" s="60">
        <f t="shared" si="657"/>
        <v>37570.4348958334</v>
      </c>
      <c r="CA247" s="60">
        <f t="shared" si="657"/>
        <v>37570.4348958334</v>
      </c>
      <c r="CB247" s="60">
        <f t="shared" si="657"/>
        <v>6346.52083333335</v>
      </c>
    </row>
    <row r="248" s="234" customFormat="1" ht="27" hidden="1" customHeight="1" spans="1:80">
      <c r="A248" s="236">
        <v>45898</v>
      </c>
      <c r="B248" s="237" t="s">
        <v>326</v>
      </c>
      <c r="C248" s="238" t="s">
        <v>117</v>
      </c>
      <c r="D248" s="239">
        <v>4500178234</v>
      </c>
      <c r="E248" s="304" t="s">
        <v>1340</v>
      </c>
      <c r="F248" s="239" t="s">
        <v>1341</v>
      </c>
      <c r="G248" s="240" t="s">
        <v>258</v>
      </c>
      <c r="H248" s="237" t="s">
        <v>259</v>
      </c>
      <c r="I248" s="247">
        <v>12672</v>
      </c>
      <c r="J248" s="247">
        <v>0</v>
      </c>
      <c r="K248" s="247">
        <v>1152</v>
      </c>
      <c r="L248" s="247">
        <f t="shared" si="553"/>
        <v>11</v>
      </c>
      <c r="M248" s="248">
        <v>45929</v>
      </c>
      <c r="N248" s="248">
        <v>45927</v>
      </c>
      <c r="O248" s="212" t="s">
        <v>1316</v>
      </c>
      <c r="P248" s="212" t="s">
        <v>107</v>
      </c>
      <c r="Q248" s="212" t="s">
        <v>1342</v>
      </c>
      <c r="R248" s="212" t="s">
        <v>331</v>
      </c>
      <c r="S248" s="275" t="s">
        <v>191</v>
      </c>
      <c r="T248" s="275" t="s">
        <v>1318</v>
      </c>
      <c r="U248" s="212"/>
      <c r="V248" s="259" t="s">
        <v>1320</v>
      </c>
      <c r="W248" s="248" t="s">
        <v>265</v>
      </c>
      <c r="X248" s="260">
        <v>537.9791</v>
      </c>
      <c r="Y248" s="247">
        <f t="shared" si="644"/>
        <v>5917.7701</v>
      </c>
      <c r="Z248" s="248" t="s">
        <v>1343</v>
      </c>
      <c r="AA248" s="259">
        <f>12+12660</f>
        <v>12672</v>
      </c>
      <c r="AB248" s="259">
        <f t="shared" si="622"/>
        <v>0</v>
      </c>
      <c r="AC248" s="212"/>
      <c r="AD248" s="212" t="s">
        <v>114</v>
      </c>
      <c r="AE248" s="248" t="s">
        <v>258</v>
      </c>
      <c r="AF248" s="248" t="s">
        <v>115</v>
      </c>
      <c r="AG248" s="267">
        <f t="shared" si="636"/>
        <v>12672</v>
      </c>
      <c r="AH248" s="267"/>
      <c r="AI248" s="267">
        <f t="shared" si="637"/>
        <v>12672</v>
      </c>
      <c r="AJ248" s="267"/>
      <c r="AK248" s="267">
        <f t="shared" si="638"/>
        <v>12672</v>
      </c>
      <c r="AL248" s="267"/>
      <c r="AM248" s="267"/>
      <c r="AN248" s="267"/>
      <c r="AO248" s="267">
        <f t="shared" si="639"/>
        <v>12672</v>
      </c>
      <c r="AP248" s="267"/>
      <c r="AQ248" s="267"/>
      <c r="AR248" s="267"/>
      <c r="AS248" s="267"/>
      <c r="AT248" s="267"/>
      <c r="AU248" s="267"/>
      <c r="AV248" s="267">
        <f t="shared" si="645"/>
        <v>1056</v>
      </c>
      <c r="AW248" s="267"/>
      <c r="AX248" s="267"/>
      <c r="AY248" s="267"/>
      <c r="AZ248" s="267"/>
      <c r="BA248" s="267"/>
      <c r="BB248" s="267"/>
      <c r="BC248" s="267"/>
      <c r="BD248" s="267"/>
      <c r="BE248" s="267"/>
      <c r="BF248" s="267"/>
      <c r="BG248" s="267"/>
      <c r="BH248" s="267"/>
      <c r="BI248" s="267"/>
      <c r="BJ248" s="269">
        <f t="shared" ref="BJ248:BR248" si="658">$I248*BJ$2</f>
        <v>1551</v>
      </c>
      <c r="BK248" s="269">
        <f t="shared" si="658"/>
        <v>1551</v>
      </c>
      <c r="BL248" s="269">
        <f t="shared" si="658"/>
        <v>1551</v>
      </c>
      <c r="BM248" s="269">
        <f t="shared" si="658"/>
        <v>1551</v>
      </c>
      <c r="BN248" s="269">
        <f t="shared" si="658"/>
        <v>1551</v>
      </c>
      <c r="BO248" s="269">
        <f t="shared" si="658"/>
        <v>1551</v>
      </c>
      <c r="BP248" s="269">
        <f t="shared" si="658"/>
        <v>1551</v>
      </c>
      <c r="BQ248" s="269">
        <f t="shared" si="658"/>
        <v>1551</v>
      </c>
      <c r="BR248" s="269">
        <f t="shared" si="658"/>
        <v>264</v>
      </c>
      <c r="BT248" s="60">
        <f t="shared" ref="BT248:CB248" si="659">BT247-BJ248</f>
        <v>36019.4348958334</v>
      </c>
      <c r="BU248" s="60">
        <f t="shared" si="659"/>
        <v>36019.4348958334</v>
      </c>
      <c r="BV248" s="60">
        <f t="shared" si="659"/>
        <v>36019.4348958334</v>
      </c>
      <c r="BW248" s="60">
        <f t="shared" si="659"/>
        <v>36019.4348958334</v>
      </c>
      <c r="BX248" s="60">
        <f t="shared" si="659"/>
        <v>36019.4348958334</v>
      </c>
      <c r="BY248" s="60">
        <f t="shared" si="659"/>
        <v>36019.4348958334</v>
      </c>
      <c r="BZ248" s="60">
        <f t="shared" si="659"/>
        <v>36019.4348958334</v>
      </c>
      <c r="CA248" s="60">
        <f t="shared" si="659"/>
        <v>36019.4348958334</v>
      </c>
      <c r="CB248" s="60">
        <f t="shared" si="659"/>
        <v>6082.52083333335</v>
      </c>
    </row>
    <row r="249" s="234" customFormat="1" ht="27" hidden="1" customHeight="1" spans="1:80">
      <c r="A249" s="236">
        <v>45876</v>
      </c>
      <c r="B249" s="237" t="s">
        <v>1170</v>
      </c>
      <c r="C249" s="238" t="s">
        <v>117</v>
      </c>
      <c r="D249" s="239">
        <v>4500176236</v>
      </c>
      <c r="E249" s="238">
        <v>70073073</v>
      </c>
      <c r="F249" s="237" t="s">
        <v>1344</v>
      </c>
      <c r="G249" s="240" t="s">
        <v>188</v>
      </c>
      <c r="H249" s="237" t="s">
        <v>120</v>
      </c>
      <c r="I249" s="247">
        <v>300</v>
      </c>
      <c r="J249" s="247">
        <v>0</v>
      </c>
      <c r="K249" s="247">
        <v>12</v>
      </c>
      <c r="L249" s="247">
        <f t="shared" si="553"/>
        <v>25</v>
      </c>
      <c r="M249" s="248">
        <v>45943</v>
      </c>
      <c r="N249" s="248">
        <v>45939</v>
      </c>
      <c r="O249" s="212"/>
      <c r="P249" s="212" t="s">
        <v>224</v>
      </c>
      <c r="Q249" s="212" t="s">
        <v>1345</v>
      </c>
      <c r="R249" s="212">
        <v>45904</v>
      </c>
      <c r="S249" s="212" t="s">
        <v>80</v>
      </c>
      <c r="T249" s="273" t="s">
        <v>1346</v>
      </c>
      <c r="U249" s="212"/>
      <c r="V249" s="259" t="s">
        <v>1173</v>
      </c>
      <c r="W249" s="248" t="s">
        <v>1174</v>
      </c>
      <c r="X249" s="260">
        <v>1.1176</v>
      </c>
      <c r="Y249" s="247">
        <f t="shared" ref="Y249:Y259" si="660">X249*I249</f>
        <v>335.28</v>
      </c>
      <c r="Z249" s="248" t="s">
        <v>1347</v>
      </c>
      <c r="AA249" s="259">
        <v>300</v>
      </c>
      <c r="AB249" s="259">
        <f t="shared" si="622"/>
        <v>0</v>
      </c>
      <c r="AC249" s="212" t="s">
        <v>113</v>
      </c>
      <c r="AD249" s="212" t="s">
        <v>114</v>
      </c>
      <c r="AE249" s="248" t="s">
        <v>119</v>
      </c>
      <c r="AF249" s="248" t="s">
        <v>115</v>
      </c>
      <c r="AG249" s="267">
        <f>I249*2</f>
        <v>600</v>
      </c>
      <c r="AH249" s="267"/>
      <c r="AI249" s="267">
        <f>I249*2</f>
        <v>600</v>
      </c>
      <c r="AJ249" s="267"/>
      <c r="AK249" s="267">
        <f>I249*2</f>
        <v>600</v>
      </c>
      <c r="AL249" s="267"/>
      <c r="AM249" s="267"/>
      <c r="AN249" s="267"/>
      <c r="AO249" s="267">
        <f>I249*2</f>
        <v>600</v>
      </c>
      <c r="AP249" s="267"/>
      <c r="AQ249" s="267"/>
      <c r="AR249" s="267"/>
      <c r="AS249" s="267"/>
      <c r="AT249" s="267"/>
      <c r="AU249" s="267"/>
      <c r="AV249" s="267"/>
      <c r="AW249" s="267"/>
      <c r="AX249" s="267"/>
      <c r="AY249" s="267"/>
      <c r="AZ249" s="267"/>
      <c r="BA249" s="267"/>
      <c r="BB249" s="267"/>
      <c r="BC249" s="267"/>
      <c r="BD249" s="267"/>
      <c r="BE249" s="267"/>
      <c r="BF249" s="267">
        <f>I249</f>
        <v>300</v>
      </c>
      <c r="BG249" s="267">
        <f>I249</f>
        <v>300</v>
      </c>
      <c r="BH249" s="267"/>
      <c r="BI249" s="267"/>
      <c r="BJ249" s="269">
        <f t="shared" ref="BJ249:BR249" si="661">$I249*BJ$2*2</f>
        <v>73.4374999999998</v>
      </c>
      <c r="BK249" s="269">
        <f t="shared" si="661"/>
        <v>73.4374999999998</v>
      </c>
      <c r="BL249" s="269">
        <f t="shared" si="661"/>
        <v>73.4374999999998</v>
      </c>
      <c r="BM249" s="269">
        <f t="shared" si="661"/>
        <v>73.4374999999998</v>
      </c>
      <c r="BN249" s="269">
        <f t="shared" si="661"/>
        <v>73.4374999999998</v>
      </c>
      <c r="BO249" s="269">
        <f t="shared" si="661"/>
        <v>73.4374999999998</v>
      </c>
      <c r="BP249" s="269">
        <f t="shared" si="661"/>
        <v>73.4374999999998</v>
      </c>
      <c r="BQ249" s="269">
        <f t="shared" si="661"/>
        <v>73.4374999999998</v>
      </c>
      <c r="BR249" s="269">
        <f t="shared" si="661"/>
        <v>12.5</v>
      </c>
      <c r="BT249" s="60">
        <f t="shared" ref="BT249:CB249" si="662">BT248-BJ249</f>
        <v>35945.9973958334</v>
      </c>
      <c r="BU249" s="60">
        <f t="shared" si="662"/>
        <v>35945.9973958334</v>
      </c>
      <c r="BV249" s="60">
        <f t="shared" si="662"/>
        <v>35945.9973958334</v>
      </c>
      <c r="BW249" s="60">
        <f t="shared" si="662"/>
        <v>35945.9973958334</v>
      </c>
      <c r="BX249" s="60">
        <f t="shared" si="662"/>
        <v>35945.9973958334</v>
      </c>
      <c r="BY249" s="60">
        <f t="shared" si="662"/>
        <v>35945.9973958334</v>
      </c>
      <c r="BZ249" s="60">
        <f t="shared" si="662"/>
        <v>35945.9973958334</v>
      </c>
      <c r="CA249" s="60">
        <f t="shared" si="662"/>
        <v>35945.9973958334</v>
      </c>
      <c r="CB249" s="60">
        <f t="shared" si="662"/>
        <v>6070.02083333335</v>
      </c>
    </row>
    <row r="250" s="234" customFormat="1" ht="27" hidden="1" customHeight="1" spans="1:80">
      <c r="A250" s="236">
        <v>45903</v>
      </c>
      <c r="B250" s="237" t="s">
        <v>1348</v>
      </c>
      <c r="C250" s="238" t="s">
        <v>474</v>
      </c>
      <c r="D250" s="239">
        <v>4500178665</v>
      </c>
      <c r="E250" s="238"/>
      <c r="F250" s="237" t="s">
        <v>1349</v>
      </c>
      <c r="G250" s="240" t="s">
        <v>131</v>
      </c>
      <c r="H250" s="237" t="s">
        <v>132</v>
      </c>
      <c r="I250" s="247">
        <v>540</v>
      </c>
      <c r="J250" s="247">
        <v>0</v>
      </c>
      <c r="K250" s="247">
        <v>27</v>
      </c>
      <c r="L250" s="247">
        <f t="shared" si="553"/>
        <v>20</v>
      </c>
      <c r="M250" s="248">
        <v>45945</v>
      </c>
      <c r="N250" s="248">
        <v>45941</v>
      </c>
      <c r="O250" s="212"/>
      <c r="P250" s="212" t="s">
        <v>224</v>
      </c>
      <c r="Q250" s="212" t="s">
        <v>1350</v>
      </c>
      <c r="R250" s="212">
        <v>45910</v>
      </c>
      <c r="S250" s="273" t="s">
        <v>80</v>
      </c>
      <c r="T250" s="273" t="s">
        <v>1351</v>
      </c>
      <c r="U250" s="212"/>
      <c r="V250" s="259" t="s">
        <v>1352</v>
      </c>
      <c r="W250" s="248" t="s">
        <v>459</v>
      </c>
      <c r="X250" s="260">
        <v>0.7792</v>
      </c>
      <c r="Y250" s="247">
        <f t="shared" si="660"/>
        <v>420.768</v>
      </c>
      <c r="Z250" s="248" t="s">
        <v>1353</v>
      </c>
      <c r="AA250" s="259">
        <f>513+27</f>
        <v>540</v>
      </c>
      <c r="AB250" s="259">
        <f t="shared" si="622"/>
        <v>0</v>
      </c>
      <c r="AC250" s="212" t="s">
        <v>113</v>
      </c>
      <c r="AD250" s="212" t="s">
        <v>114</v>
      </c>
      <c r="AE250" s="248" t="s">
        <v>434</v>
      </c>
      <c r="AF250" s="248" t="s">
        <v>115</v>
      </c>
      <c r="AG250" s="267">
        <f t="shared" ref="AG250:AG286" si="663">I250</f>
        <v>540</v>
      </c>
      <c r="AH250" s="267"/>
      <c r="AI250" s="267">
        <f t="shared" ref="AI250:AI286" si="664">I250</f>
        <v>540</v>
      </c>
      <c r="AJ250" s="267"/>
      <c r="AK250" s="267"/>
      <c r="AL250" s="267">
        <f>I250</f>
        <v>540</v>
      </c>
      <c r="AM250" s="267"/>
      <c r="AN250" s="267"/>
      <c r="AO250" s="267">
        <f t="shared" ref="AO250:AO256" si="665">I250</f>
        <v>540</v>
      </c>
      <c r="AP250" s="267"/>
      <c r="AQ250" s="267"/>
      <c r="AR250" s="267">
        <f>I250/27</f>
        <v>20</v>
      </c>
      <c r="AS250" s="267"/>
      <c r="AT250" s="267"/>
      <c r="AU250" s="267"/>
      <c r="AV250" s="267"/>
      <c r="AW250" s="267"/>
      <c r="AX250" s="267"/>
      <c r="AY250" s="267"/>
      <c r="AZ250" s="267"/>
      <c r="BA250" s="267"/>
      <c r="BB250" s="267"/>
      <c r="BC250" s="267"/>
      <c r="BD250" s="267"/>
      <c r="BE250" s="267"/>
      <c r="BF250" s="267"/>
      <c r="BG250" s="267"/>
      <c r="BH250" s="267"/>
      <c r="BI250" s="267"/>
      <c r="BJ250" s="269">
        <f t="shared" ref="BJ250:BR250" si="666">$I250*BJ$2</f>
        <v>66.0937499999998</v>
      </c>
      <c r="BK250" s="269">
        <f t="shared" si="666"/>
        <v>66.0937499999998</v>
      </c>
      <c r="BL250" s="269">
        <f t="shared" si="666"/>
        <v>66.0937499999998</v>
      </c>
      <c r="BM250" s="269">
        <f t="shared" si="666"/>
        <v>66.0937499999998</v>
      </c>
      <c r="BN250" s="269">
        <f t="shared" si="666"/>
        <v>66.0937499999998</v>
      </c>
      <c r="BO250" s="269">
        <f t="shared" si="666"/>
        <v>66.0937499999998</v>
      </c>
      <c r="BP250" s="269">
        <f t="shared" si="666"/>
        <v>66.0937499999998</v>
      </c>
      <c r="BQ250" s="269">
        <f t="shared" si="666"/>
        <v>66.0937499999998</v>
      </c>
      <c r="BR250" s="269">
        <f t="shared" si="666"/>
        <v>11.25</v>
      </c>
      <c r="BT250" s="60">
        <f t="shared" ref="BT250:CB250" si="667">BT249-BJ250</f>
        <v>35879.9036458334</v>
      </c>
      <c r="BU250" s="60">
        <f t="shared" si="667"/>
        <v>35879.9036458334</v>
      </c>
      <c r="BV250" s="60">
        <f t="shared" si="667"/>
        <v>35879.9036458334</v>
      </c>
      <c r="BW250" s="60">
        <f t="shared" si="667"/>
        <v>35879.9036458334</v>
      </c>
      <c r="BX250" s="60">
        <f t="shared" si="667"/>
        <v>35879.9036458334</v>
      </c>
      <c r="BY250" s="60">
        <f t="shared" si="667"/>
        <v>35879.9036458334</v>
      </c>
      <c r="BZ250" s="60">
        <f t="shared" si="667"/>
        <v>35879.9036458334</v>
      </c>
      <c r="CA250" s="60">
        <f t="shared" si="667"/>
        <v>35879.9036458334</v>
      </c>
      <c r="CB250" s="60">
        <f t="shared" si="667"/>
        <v>6058.77083333335</v>
      </c>
    </row>
    <row r="251" s="234" customFormat="1" ht="27" hidden="1" customHeight="1" spans="1:80">
      <c r="A251" s="236">
        <v>45912</v>
      </c>
      <c r="B251" s="237" t="s">
        <v>326</v>
      </c>
      <c r="C251" s="238" t="s">
        <v>117</v>
      </c>
      <c r="D251" s="239">
        <v>4500179415</v>
      </c>
      <c r="E251" s="304" t="s">
        <v>1354</v>
      </c>
      <c r="F251" s="239" t="s">
        <v>1355</v>
      </c>
      <c r="G251" s="240" t="s">
        <v>258</v>
      </c>
      <c r="H251" s="237" t="s">
        <v>259</v>
      </c>
      <c r="I251" s="247">
        <v>2304</v>
      </c>
      <c r="J251" s="247">
        <v>0</v>
      </c>
      <c r="K251" s="247">
        <v>1152</v>
      </c>
      <c r="L251" s="247">
        <f t="shared" si="553"/>
        <v>2</v>
      </c>
      <c r="M251" s="248">
        <v>45948</v>
      </c>
      <c r="N251" s="248">
        <v>45944</v>
      </c>
      <c r="O251" s="273" t="s">
        <v>1356</v>
      </c>
      <c r="P251" s="212" t="s">
        <v>107</v>
      </c>
      <c r="Q251" s="212" t="s">
        <v>1357</v>
      </c>
      <c r="R251" s="212" t="s">
        <v>331</v>
      </c>
      <c r="S251" s="275" t="s">
        <v>191</v>
      </c>
      <c r="T251" s="275" t="s">
        <v>1358</v>
      </c>
      <c r="U251" s="212"/>
      <c r="V251" s="259" t="s">
        <v>1320</v>
      </c>
      <c r="W251" s="248" t="s">
        <v>265</v>
      </c>
      <c r="X251" s="260">
        <v>555.88</v>
      </c>
      <c r="Y251" s="247">
        <f>X251*L251</f>
        <v>1111.76</v>
      </c>
      <c r="Z251" s="248" t="s">
        <v>1359</v>
      </c>
      <c r="AA251" s="259">
        <f>2292+12</f>
        <v>2304</v>
      </c>
      <c r="AB251" s="259">
        <f t="shared" si="622"/>
        <v>0</v>
      </c>
      <c r="AC251" s="212"/>
      <c r="AD251" s="212" t="s">
        <v>114</v>
      </c>
      <c r="AE251" s="248" t="s">
        <v>258</v>
      </c>
      <c r="AF251" s="248" t="s">
        <v>115</v>
      </c>
      <c r="AG251" s="267">
        <f t="shared" si="663"/>
        <v>2304</v>
      </c>
      <c r="AH251" s="267"/>
      <c r="AI251" s="267">
        <f t="shared" si="664"/>
        <v>2304</v>
      </c>
      <c r="AJ251" s="267"/>
      <c r="AK251" s="267">
        <f t="shared" ref="AK251:AK253" si="668">I251</f>
        <v>2304</v>
      </c>
      <c r="AL251" s="267"/>
      <c r="AM251" s="267"/>
      <c r="AN251" s="267"/>
      <c r="AO251" s="267">
        <f t="shared" si="665"/>
        <v>2304</v>
      </c>
      <c r="AP251" s="267"/>
      <c r="AQ251" s="267"/>
      <c r="AR251" s="267"/>
      <c r="AS251" s="267"/>
      <c r="AT251" s="267"/>
      <c r="AU251" s="267"/>
      <c r="AV251" s="267">
        <f>I251/12</f>
        <v>192</v>
      </c>
      <c r="AW251" s="267"/>
      <c r="AX251" s="267"/>
      <c r="AY251" s="267"/>
      <c r="AZ251" s="267"/>
      <c r="BA251" s="267"/>
      <c r="BB251" s="267"/>
      <c r="BC251" s="267"/>
      <c r="BD251" s="267"/>
      <c r="BE251" s="267"/>
      <c r="BF251" s="267"/>
      <c r="BG251" s="267"/>
      <c r="BH251" s="267"/>
      <c r="BI251" s="267"/>
      <c r="BJ251" s="269">
        <f t="shared" ref="BJ251:BR251" si="669">$I251*BJ$2</f>
        <v>281.999999999999</v>
      </c>
      <c r="BK251" s="269">
        <f t="shared" si="669"/>
        <v>281.999999999999</v>
      </c>
      <c r="BL251" s="269">
        <f t="shared" si="669"/>
        <v>281.999999999999</v>
      </c>
      <c r="BM251" s="269">
        <f t="shared" si="669"/>
        <v>281.999999999999</v>
      </c>
      <c r="BN251" s="269">
        <f t="shared" si="669"/>
        <v>281.999999999999</v>
      </c>
      <c r="BO251" s="269">
        <f t="shared" si="669"/>
        <v>281.999999999999</v>
      </c>
      <c r="BP251" s="269">
        <f t="shared" si="669"/>
        <v>281.999999999999</v>
      </c>
      <c r="BQ251" s="269">
        <f t="shared" si="669"/>
        <v>281.999999999999</v>
      </c>
      <c r="BR251" s="269">
        <f t="shared" si="669"/>
        <v>47.9999999999999</v>
      </c>
      <c r="BT251" s="60">
        <f t="shared" ref="BT251:CB251" si="670">BT250-BJ251</f>
        <v>35597.9036458334</v>
      </c>
      <c r="BU251" s="60">
        <f t="shared" si="670"/>
        <v>35597.9036458334</v>
      </c>
      <c r="BV251" s="60">
        <f t="shared" si="670"/>
        <v>35597.9036458334</v>
      </c>
      <c r="BW251" s="60">
        <f t="shared" si="670"/>
        <v>35597.9036458334</v>
      </c>
      <c r="BX251" s="60">
        <f t="shared" si="670"/>
        <v>35597.9036458334</v>
      </c>
      <c r="BY251" s="60">
        <f t="shared" si="670"/>
        <v>35597.9036458334</v>
      </c>
      <c r="BZ251" s="60">
        <f t="shared" si="670"/>
        <v>35597.9036458334</v>
      </c>
      <c r="CA251" s="60">
        <f t="shared" si="670"/>
        <v>35597.9036458334</v>
      </c>
      <c r="CB251" s="60">
        <f t="shared" si="670"/>
        <v>6010.77083333335</v>
      </c>
    </row>
    <row r="252" s="234" customFormat="1" ht="27" hidden="1" customHeight="1" spans="1:80">
      <c r="A252" s="236">
        <v>45912</v>
      </c>
      <c r="B252" s="237" t="s">
        <v>326</v>
      </c>
      <c r="C252" s="238" t="s">
        <v>117</v>
      </c>
      <c r="D252" s="239">
        <v>4500179415</v>
      </c>
      <c r="E252" s="304" t="s">
        <v>1360</v>
      </c>
      <c r="F252" s="239" t="s">
        <v>1361</v>
      </c>
      <c r="G252" s="240" t="s">
        <v>258</v>
      </c>
      <c r="H252" s="237" t="s">
        <v>259</v>
      </c>
      <c r="I252" s="247">
        <v>1152</v>
      </c>
      <c r="J252" s="247">
        <v>0</v>
      </c>
      <c r="K252" s="247">
        <v>1152</v>
      </c>
      <c r="L252" s="247">
        <f t="shared" si="553"/>
        <v>1</v>
      </c>
      <c r="M252" s="248">
        <v>45948</v>
      </c>
      <c r="N252" s="248">
        <v>45944</v>
      </c>
      <c r="O252" s="273" t="s">
        <v>1356</v>
      </c>
      <c r="P252" s="212" t="s">
        <v>107</v>
      </c>
      <c r="Q252" s="212" t="s">
        <v>1362</v>
      </c>
      <c r="R252" s="212" t="s">
        <v>331</v>
      </c>
      <c r="S252" s="275" t="s">
        <v>191</v>
      </c>
      <c r="T252" s="275" t="s">
        <v>1358</v>
      </c>
      <c r="U252" s="212"/>
      <c r="V252" s="259" t="s">
        <v>1320</v>
      </c>
      <c r="W252" s="248" t="s">
        <v>265</v>
      </c>
      <c r="X252" s="260">
        <v>555.88</v>
      </c>
      <c r="Y252" s="247">
        <f>X252*L252</f>
        <v>555.88</v>
      </c>
      <c r="Z252" s="248" t="s">
        <v>1363</v>
      </c>
      <c r="AA252" s="259">
        <f>1152</f>
        <v>1152</v>
      </c>
      <c r="AB252" s="259">
        <f t="shared" si="622"/>
        <v>0</v>
      </c>
      <c r="AC252" s="212"/>
      <c r="AD252" s="212" t="s">
        <v>114</v>
      </c>
      <c r="AE252" s="248" t="s">
        <v>258</v>
      </c>
      <c r="AF252" s="248" t="s">
        <v>115</v>
      </c>
      <c r="AG252" s="267">
        <f t="shared" si="663"/>
        <v>1152</v>
      </c>
      <c r="AH252" s="267"/>
      <c r="AI252" s="267">
        <f t="shared" si="664"/>
        <v>1152</v>
      </c>
      <c r="AJ252" s="267"/>
      <c r="AK252" s="267">
        <f t="shared" si="668"/>
        <v>1152</v>
      </c>
      <c r="AL252" s="267"/>
      <c r="AM252" s="267"/>
      <c r="AN252" s="267"/>
      <c r="AO252" s="267">
        <f t="shared" si="665"/>
        <v>1152</v>
      </c>
      <c r="AP252" s="267"/>
      <c r="AQ252" s="267"/>
      <c r="AR252" s="267"/>
      <c r="AS252" s="267"/>
      <c r="AT252" s="267"/>
      <c r="AU252" s="267"/>
      <c r="AV252" s="267">
        <f>I252/12</f>
        <v>96</v>
      </c>
      <c r="AW252" s="267"/>
      <c r="AX252" s="267"/>
      <c r="AY252" s="267"/>
      <c r="AZ252" s="267"/>
      <c r="BA252" s="267"/>
      <c r="BB252" s="267"/>
      <c r="BC252" s="267"/>
      <c r="BD252" s="267"/>
      <c r="BE252" s="267"/>
      <c r="BF252" s="267"/>
      <c r="BG252" s="267"/>
      <c r="BH252" s="267"/>
      <c r="BI252" s="267"/>
      <c r="BJ252" s="269">
        <f t="shared" ref="BJ252:BR252" si="671">$I252*BJ$2</f>
        <v>141</v>
      </c>
      <c r="BK252" s="269">
        <f t="shared" si="671"/>
        <v>141</v>
      </c>
      <c r="BL252" s="269">
        <f t="shared" si="671"/>
        <v>141</v>
      </c>
      <c r="BM252" s="269">
        <f t="shared" si="671"/>
        <v>141</v>
      </c>
      <c r="BN252" s="269">
        <f t="shared" si="671"/>
        <v>141</v>
      </c>
      <c r="BO252" s="269">
        <f t="shared" si="671"/>
        <v>141</v>
      </c>
      <c r="BP252" s="269">
        <f t="shared" si="671"/>
        <v>141</v>
      </c>
      <c r="BQ252" s="269">
        <f t="shared" si="671"/>
        <v>141</v>
      </c>
      <c r="BR252" s="269">
        <f t="shared" si="671"/>
        <v>24</v>
      </c>
      <c r="BT252" s="60">
        <f t="shared" ref="BT252:CB252" si="672">BT251-BJ252</f>
        <v>35456.9036458334</v>
      </c>
      <c r="BU252" s="60">
        <f t="shared" si="672"/>
        <v>35456.9036458334</v>
      </c>
      <c r="BV252" s="60">
        <f t="shared" si="672"/>
        <v>35456.9036458334</v>
      </c>
      <c r="BW252" s="60">
        <f t="shared" si="672"/>
        <v>35456.9036458334</v>
      </c>
      <c r="BX252" s="60">
        <f t="shared" si="672"/>
        <v>35456.9036458334</v>
      </c>
      <c r="BY252" s="60">
        <f t="shared" si="672"/>
        <v>35456.9036458334</v>
      </c>
      <c r="BZ252" s="60">
        <f t="shared" si="672"/>
        <v>35456.9036458334</v>
      </c>
      <c r="CA252" s="60">
        <f t="shared" si="672"/>
        <v>35456.9036458334</v>
      </c>
      <c r="CB252" s="60">
        <f t="shared" si="672"/>
        <v>5986.77083333335</v>
      </c>
    </row>
    <row r="253" s="234" customFormat="1" ht="27" hidden="1" customHeight="1" spans="1:80">
      <c r="A253" s="236">
        <v>45902</v>
      </c>
      <c r="B253" s="237" t="s">
        <v>1364</v>
      </c>
      <c r="C253" s="238" t="s">
        <v>396</v>
      </c>
      <c r="D253" s="239">
        <v>4500178312</v>
      </c>
      <c r="E253" s="238" t="s">
        <v>1365</v>
      </c>
      <c r="F253" s="237" t="s">
        <v>1366</v>
      </c>
      <c r="G253" s="240" t="s">
        <v>78</v>
      </c>
      <c r="H253" s="237" t="s">
        <v>79</v>
      </c>
      <c r="I253" s="247">
        <v>540</v>
      </c>
      <c r="J253" s="247">
        <v>0</v>
      </c>
      <c r="K253" s="247">
        <v>54</v>
      </c>
      <c r="L253" s="247">
        <f t="shared" si="553"/>
        <v>10</v>
      </c>
      <c r="M253" s="248">
        <v>45950</v>
      </c>
      <c r="N253" s="248">
        <v>45946</v>
      </c>
      <c r="O253" s="212"/>
      <c r="P253" s="212" t="s">
        <v>224</v>
      </c>
      <c r="Q253" s="212" t="s">
        <v>1367</v>
      </c>
      <c r="R253" s="289">
        <v>45901</v>
      </c>
      <c r="S253" s="212" t="s">
        <v>80</v>
      </c>
      <c r="T253" s="212" t="s">
        <v>80</v>
      </c>
      <c r="U253" s="212" t="s">
        <v>156</v>
      </c>
      <c r="V253" s="259" t="s">
        <v>1368</v>
      </c>
      <c r="W253" s="248" t="s">
        <v>1369</v>
      </c>
      <c r="X253" s="260">
        <v>0.845</v>
      </c>
      <c r="Y253" s="247">
        <f t="shared" si="660"/>
        <v>456.3</v>
      </c>
      <c r="Z253" s="248"/>
      <c r="AA253" s="259">
        <f>486+54</f>
        <v>540</v>
      </c>
      <c r="AB253" s="259">
        <f t="shared" si="622"/>
        <v>0</v>
      </c>
      <c r="AC253" s="212" t="s">
        <v>80</v>
      </c>
      <c r="AD253" s="212" t="s">
        <v>114</v>
      </c>
      <c r="AE253" s="248" t="s">
        <v>78</v>
      </c>
      <c r="AF253" s="248" t="s">
        <v>115</v>
      </c>
      <c r="AG253" s="267">
        <f t="shared" si="663"/>
        <v>540</v>
      </c>
      <c r="AH253" s="267"/>
      <c r="AI253" s="267">
        <f t="shared" si="664"/>
        <v>540</v>
      </c>
      <c r="AJ253" s="267"/>
      <c r="AK253" s="267">
        <f t="shared" si="668"/>
        <v>540</v>
      </c>
      <c r="AL253" s="267"/>
      <c r="AM253" s="267"/>
      <c r="AN253" s="267"/>
      <c r="AO253" s="267">
        <f t="shared" si="665"/>
        <v>540</v>
      </c>
      <c r="AP253" s="267"/>
      <c r="AQ253" s="267">
        <f>I253/27</f>
        <v>20</v>
      </c>
      <c r="AR253" s="267"/>
      <c r="AS253" s="267"/>
      <c r="AT253" s="267"/>
      <c r="AU253" s="267"/>
      <c r="AV253" s="267"/>
      <c r="AW253" s="267"/>
      <c r="AX253" s="267"/>
      <c r="AY253" s="267"/>
      <c r="AZ253" s="267"/>
      <c r="BA253" s="267"/>
      <c r="BB253" s="267"/>
      <c r="BC253" s="267"/>
      <c r="BD253" s="267"/>
      <c r="BE253" s="267"/>
      <c r="BF253" s="267"/>
      <c r="BG253" s="267"/>
      <c r="BH253" s="267"/>
      <c r="BI253" s="267"/>
      <c r="BJ253" s="269">
        <f t="shared" ref="BJ253:BR253" si="673">$I253*BJ$2</f>
        <v>66.0937499999998</v>
      </c>
      <c r="BK253" s="269">
        <f t="shared" si="673"/>
        <v>66.0937499999998</v>
      </c>
      <c r="BL253" s="269">
        <f t="shared" si="673"/>
        <v>66.0937499999998</v>
      </c>
      <c r="BM253" s="269">
        <f t="shared" si="673"/>
        <v>66.0937499999998</v>
      </c>
      <c r="BN253" s="269">
        <f t="shared" si="673"/>
        <v>66.0937499999998</v>
      </c>
      <c r="BO253" s="269">
        <f t="shared" si="673"/>
        <v>66.0937499999998</v>
      </c>
      <c r="BP253" s="269">
        <f t="shared" si="673"/>
        <v>66.0937499999998</v>
      </c>
      <c r="BQ253" s="269">
        <f t="shared" si="673"/>
        <v>66.0937499999998</v>
      </c>
      <c r="BR253" s="269">
        <f t="shared" si="673"/>
        <v>11.25</v>
      </c>
      <c r="BT253" s="60">
        <f t="shared" ref="BT253:CB253" si="674">BT252-BJ253</f>
        <v>35390.8098958334</v>
      </c>
      <c r="BU253" s="60">
        <f t="shared" si="674"/>
        <v>35390.8098958334</v>
      </c>
      <c r="BV253" s="60">
        <f t="shared" si="674"/>
        <v>35390.8098958334</v>
      </c>
      <c r="BW253" s="60">
        <f t="shared" si="674"/>
        <v>35390.8098958334</v>
      </c>
      <c r="BX253" s="60">
        <f t="shared" si="674"/>
        <v>35390.8098958334</v>
      </c>
      <c r="BY253" s="60">
        <f t="shared" si="674"/>
        <v>35390.8098958334</v>
      </c>
      <c r="BZ253" s="60">
        <f t="shared" si="674"/>
        <v>35390.8098958334</v>
      </c>
      <c r="CA253" s="60">
        <f t="shared" si="674"/>
        <v>35390.8098958334</v>
      </c>
      <c r="CB253" s="60">
        <f t="shared" si="674"/>
        <v>5975.52083333335</v>
      </c>
    </row>
    <row r="254" s="234" customFormat="1" ht="27" hidden="1" customHeight="1" spans="1:80">
      <c r="A254" s="236">
        <v>45905</v>
      </c>
      <c r="B254" s="237" t="s">
        <v>447</v>
      </c>
      <c r="C254" s="238" t="s">
        <v>448</v>
      </c>
      <c r="D254" s="239">
        <v>4500178606</v>
      </c>
      <c r="E254" s="238" t="s">
        <v>1370</v>
      </c>
      <c r="F254" s="237" t="s">
        <v>1371</v>
      </c>
      <c r="G254" s="240" t="s">
        <v>152</v>
      </c>
      <c r="H254" s="237" t="s">
        <v>153</v>
      </c>
      <c r="I254" s="247">
        <v>650</v>
      </c>
      <c r="J254" s="247">
        <v>0</v>
      </c>
      <c r="K254" s="247">
        <v>13</v>
      </c>
      <c r="L254" s="247">
        <f t="shared" si="553"/>
        <v>50</v>
      </c>
      <c r="M254" s="248">
        <v>45950</v>
      </c>
      <c r="N254" s="248">
        <v>45946</v>
      </c>
      <c r="O254" s="212"/>
      <c r="P254" s="212" t="s">
        <v>224</v>
      </c>
      <c r="Q254" s="212" t="s">
        <v>1372</v>
      </c>
      <c r="R254" s="289">
        <v>45905</v>
      </c>
      <c r="S254" s="212" t="s">
        <v>80</v>
      </c>
      <c r="T254" s="212" t="s">
        <v>1373</v>
      </c>
      <c r="U254" s="212"/>
      <c r="V254" s="259" t="s">
        <v>1374</v>
      </c>
      <c r="W254" s="248" t="s">
        <v>454</v>
      </c>
      <c r="X254" s="260">
        <v>0.8354</v>
      </c>
      <c r="Y254" s="247">
        <f t="shared" si="660"/>
        <v>543.01</v>
      </c>
      <c r="Z254" s="248" t="s">
        <v>1375</v>
      </c>
      <c r="AA254" s="259">
        <v>650</v>
      </c>
      <c r="AB254" s="259">
        <f t="shared" si="622"/>
        <v>0</v>
      </c>
      <c r="AC254" s="212" t="s">
        <v>113</v>
      </c>
      <c r="AD254" s="212" t="s">
        <v>114</v>
      </c>
      <c r="AE254" s="248" t="s">
        <v>319</v>
      </c>
      <c r="AF254" s="248" t="s">
        <v>115</v>
      </c>
      <c r="AG254" s="267">
        <f t="shared" si="663"/>
        <v>650</v>
      </c>
      <c r="AH254" s="267"/>
      <c r="AI254" s="267">
        <f t="shared" si="664"/>
        <v>650</v>
      </c>
      <c r="AJ254" s="267"/>
      <c r="AK254" s="267"/>
      <c r="AL254" s="267">
        <f>I254</f>
        <v>650</v>
      </c>
      <c r="AM254" s="267"/>
      <c r="AN254" s="267"/>
      <c r="AO254" s="267">
        <f t="shared" si="665"/>
        <v>650</v>
      </c>
      <c r="AP254" s="267"/>
      <c r="AQ254" s="267"/>
      <c r="AR254" s="267"/>
      <c r="AS254" s="267"/>
      <c r="AT254" s="267"/>
      <c r="AU254" s="267">
        <f>I254/13</f>
        <v>50</v>
      </c>
      <c r="AV254" s="267"/>
      <c r="AW254" s="267"/>
      <c r="AX254" s="267"/>
      <c r="AY254" s="267"/>
      <c r="AZ254" s="267"/>
      <c r="BA254" s="267"/>
      <c r="BB254" s="267"/>
      <c r="BC254" s="267"/>
      <c r="BD254" s="267"/>
      <c r="BE254" s="267"/>
      <c r="BF254" s="267"/>
      <c r="BG254" s="267"/>
      <c r="BH254" s="267"/>
      <c r="BI254" s="267"/>
      <c r="BJ254" s="269">
        <f t="shared" ref="BJ254:BR254" si="675">$I254*BJ$2</f>
        <v>79.5572916666664</v>
      </c>
      <c r="BK254" s="269">
        <f t="shared" si="675"/>
        <v>79.5572916666664</v>
      </c>
      <c r="BL254" s="269">
        <f t="shared" si="675"/>
        <v>79.5572916666664</v>
      </c>
      <c r="BM254" s="269">
        <f t="shared" si="675"/>
        <v>79.5572916666664</v>
      </c>
      <c r="BN254" s="269">
        <f t="shared" si="675"/>
        <v>79.5572916666664</v>
      </c>
      <c r="BO254" s="269">
        <f t="shared" si="675"/>
        <v>79.5572916666664</v>
      </c>
      <c r="BP254" s="269">
        <f t="shared" si="675"/>
        <v>79.5572916666664</v>
      </c>
      <c r="BQ254" s="269">
        <f t="shared" si="675"/>
        <v>79.5572916666664</v>
      </c>
      <c r="BR254" s="269">
        <f t="shared" si="675"/>
        <v>13.5416666666666</v>
      </c>
      <c r="BT254" s="60">
        <f t="shared" ref="BT254:CB254" si="676">BT253-BJ254</f>
        <v>35311.2526041668</v>
      </c>
      <c r="BU254" s="60">
        <f t="shared" si="676"/>
        <v>35311.2526041668</v>
      </c>
      <c r="BV254" s="60">
        <f t="shared" si="676"/>
        <v>35311.2526041668</v>
      </c>
      <c r="BW254" s="60">
        <f t="shared" si="676"/>
        <v>35311.2526041668</v>
      </c>
      <c r="BX254" s="60">
        <f t="shared" si="676"/>
        <v>35311.2526041668</v>
      </c>
      <c r="BY254" s="60">
        <f t="shared" si="676"/>
        <v>35311.2526041668</v>
      </c>
      <c r="BZ254" s="60">
        <f t="shared" si="676"/>
        <v>35311.2526041668</v>
      </c>
      <c r="CA254" s="60">
        <f t="shared" si="676"/>
        <v>35311.2526041668</v>
      </c>
      <c r="CB254" s="60">
        <f t="shared" si="676"/>
        <v>5961.97916666668</v>
      </c>
    </row>
    <row r="255" s="234" customFormat="1" ht="27" hidden="1" customHeight="1" spans="1:80">
      <c r="A255" s="236">
        <v>45910</v>
      </c>
      <c r="B255" s="237" t="s">
        <v>564</v>
      </c>
      <c r="C255" s="238" t="s">
        <v>117</v>
      </c>
      <c r="D255" s="239">
        <v>4500179184</v>
      </c>
      <c r="E255" s="238" t="s">
        <v>1376</v>
      </c>
      <c r="F255" s="237" t="s">
        <v>1377</v>
      </c>
      <c r="G255" s="240" t="s">
        <v>152</v>
      </c>
      <c r="H255" s="237" t="s">
        <v>153</v>
      </c>
      <c r="I255" s="247">
        <v>1248</v>
      </c>
      <c r="J255" s="247">
        <v>0</v>
      </c>
      <c r="K255" s="247">
        <v>13</v>
      </c>
      <c r="L255" s="247">
        <f t="shared" si="553"/>
        <v>96</v>
      </c>
      <c r="M255" s="248">
        <v>45958</v>
      </c>
      <c r="N255" s="248">
        <v>45957</v>
      </c>
      <c r="O255" s="212"/>
      <c r="P255" s="212" t="s">
        <v>224</v>
      </c>
      <c r="Q255" s="212" t="s">
        <v>1378</v>
      </c>
      <c r="R255" s="289">
        <v>45909</v>
      </c>
      <c r="S255" s="212" t="s">
        <v>80</v>
      </c>
      <c r="T255" s="212" t="s">
        <v>80</v>
      </c>
      <c r="U255" s="212"/>
      <c r="V255" s="259" t="s">
        <v>568</v>
      </c>
      <c r="W255" s="248" t="s">
        <v>1379</v>
      </c>
      <c r="X255" s="260">
        <v>0.498</v>
      </c>
      <c r="Y255" s="247">
        <f t="shared" si="660"/>
        <v>621.504</v>
      </c>
      <c r="Z255" s="248" t="s">
        <v>1380</v>
      </c>
      <c r="AA255" s="259">
        <v>1248</v>
      </c>
      <c r="AB255" s="259">
        <f t="shared" si="622"/>
        <v>0</v>
      </c>
      <c r="AC255" s="212" t="s">
        <v>80</v>
      </c>
      <c r="AD255" s="212" t="s">
        <v>114</v>
      </c>
      <c r="AE255" s="248" t="s">
        <v>152</v>
      </c>
      <c r="AF255" s="248" t="s">
        <v>115</v>
      </c>
      <c r="AG255" s="267">
        <f t="shared" si="663"/>
        <v>1248</v>
      </c>
      <c r="AH255" s="267"/>
      <c r="AI255" s="267">
        <f t="shared" si="664"/>
        <v>1248</v>
      </c>
      <c r="AJ255" s="267"/>
      <c r="AK255" s="267">
        <f t="shared" ref="AK255:AK262" si="677">I255</f>
        <v>1248</v>
      </c>
      <c r="AL255" s="267"/>
      <c r="AM255" s="267"/>
      <c r="AN255" s="267"/>
      <c r="AO255" s="267">
        <f t="shared" si="665"/>
        <v>1248</v>
      </c>
      <c r="AP255" s="267"/>
      <c r="AQ255" s="267"/>
      <c r="AR255" s="267"/>
      <c r="AS255" s="267"/>
      <c r="AT255" s="267">
        <f t="shared" ref="AT255:AT260" si="678">I255/13</f>
        <v>96</v>
      </c>
      <c r="AU255" s="267"/>
      <c r="AV255" s="267"/>
      <c r="AW255" s="267"/>
      <c r="AX255" s="267"/>
      <c r="AY255" s="267"/>
      <c r="AZ255" s="267"/>
      <c r="BA255" s="267"/>
      <c r="BB255" s="267"/>
      <c r="BC255" s="267"/>
      <c r="BD255" s="267"/>
      <c r="BE255" s="267"/>
      <c r="BF255" s="267"/>
      <c r="BG255" s="267"/>
      <c r="BH255" s="267"/>
      <c r="BI255" s="267"/>
      <c r="BJ255" s="269">
        <f t="shared" ref="BJ255:BR255" si="679">$I255*BJ$2</f>
        <v>152.75</v>
      </c>
      <c r="BK255" s="269">
        <f t="shared" si="679"/>
        <v>152.75</v>
      </c>
      <c r="BL255" s="269">
        <f t="shared" si="679"/>
        <v>152.75</v>
      </c>
      <c r="BM255" s="269">
        <f t="shared" si="679"/>
        <v>152.75</v>
      </c>
      <c r="BN255" s="269">
        <f t="shared" si="679"/>
        <v>152.75</v>
      </c>
      <c r="BO255" s="269">
        <f t="shared" si="679"/>
        <v>152.75</v>
      </c>
      <c r="BP255" s="269">
        <f t="shared" si="679"/>
        <v>152.75</v>
      </c>
      <c r="BQ255" s="269">
        <f t="shared" si="679"/>
        <v>152.75</v>
      </c>
      <c r="BR255" s="269">
        <f t="shared" si="679"/>
        <v>26</v>
      </c>
      <c r="BT255" s="60">
        <f t="shared" ref="BT255:CB255" si="680">BT254-BJ255</f>
        <v>35158.5026041668</v>
      </c>
      <c r="BU255" s="60">
        <f t="shared" si="680"/>
        <v>35158.5026041668</v>
      </c>
      <c r="BV255" s="60">
        <f t="shared" si="680"/>
        <v>35158.5026041668</v>
      </c>
      <c r="BW255" s="60">
        <f t="shared" si="680"/>
        <v>35158.5026041668</v>
      </c>
      <c r="BX255" s="60">
        <f t="shared" si="680"/>
        <v>35158.5026041668</v>
      </c>
      <c r="BY255" s="60">
        <f t="shared" si="680"/>
        <v>35158.5026041668</v>
      </c>
      <c r="BZ255" s="60">
        <f t="shared" si="680"/>
        <v>35158.5026041668</v>
      </c>
      <c r="CA255" s="60">
        <f t="shared" si="680"/>
        <v>35158.5026041668</v>
      </c>
      <c r="CB255" s="60">
        <f t="shared" si="680"/>
        <v>5935.97916666668</v>
      </c>
    </row>
    <row r="256" s="234" customFormat="1" ht="27" hidden="1" customHeight="1" spans="1:80">
      <c r="A256" s="236">
        <v>45910</v>
      </c>
      <c r="B256" s="237" t="s">
        <v>564</v>
      </c>
      <c r="C256" s="238" t="s">
        <v>117</v>
      </c>
      <c r="D256" s="239">
        <v>4500179184</v>
      </c>
      <c r="E256" s="238" t="s">
        <v>1381</v>
      </c>
      <c r="F256" s="237" t="s">
        <v>1382</v>
      </c>
      <c r="G256" s="240" t="s">
        <v>152</v>
      </c>
      <c r="H256" s="237" t="s">
        <v>153</v>
      </c>
      <c r="I256" s="247">
        <v>767</v>
      </c>
      <c r="J256" s="247">
        <v>0</v>
      </c>
      <c r="K256" s="247">
        <v>13</v>
      </c>
      <c r="L256" s="247">
        <f t="shared" si="553"/>
        <v>59</v>
      </c>
      <c r="M256" s="248">
        <v>45958</v>
      </c>
      <c r="N256" s="248">
        <v>45957</v>
      </c>
      <c r="O256" s="212"/>
      <c r="P256" s="212" t="s">
        <v>224</v>
      </c>
      <c r="Q256" s="212" t="s">
        <v>1378</v>
      </c>
      <c r="R256" s="289">
        <v>45909</v>
      </c>
      <c r="S256" s="212" t="s">
        <v>80</v>
      </c>
      <c r="T256" s="212" t="s">
        <v>80</v>
      </c>
      <c r="U256" s="212"/>
      <c r="V256" s="259" t="s">
        <v>568</v>
      </c>
      <c r="W256" s="248" t="s">
        <v>1379</v>
      </c>
      <c r="X256" s="260">
        <v>0.4687</v>
      </c>
      <c r="Y256" s="247">
        <f t="shared" si="660"/>
        <v>359.4929</v>
      </c>
      <c r="Z256" s="248" t="s">
        <v>1383</v>
      </c>
      <c r="AA256" s="259">
        <v>767</v>
      </c>
      <c r="AB256" s="259">
        <f t="shared" si="622"/>
        <v>0</v>
      </c>
      <c r="AC256" s="212" t="s">
        <v>80</v>
      </c>
      <c r="AD256" s="212" t="s">
        <v>114</v>
      </c>
      <c r="AE256" s="248" t="s">
        <v>152</v>
      </c>
      <c r="AF256" s="248" t="s">
        <v>115</v>
      </c>
      <c r="AG256" s="267">
        <f t="shared" si="663"/>
        <v>767</v>
      </c>
      <c r="AH256" s="267"/>
      <c r="AI256" s="267">
        <f t="shared" si="664"/>
        <v>767</v>
      </c>
      <c r="AJ256" s="267"/>
      <c r="AK256" s="267">
        <f t="shared" si="677"/>
        <v>767</v>
      </c>
      <c r="AL256" s="267"/>
      <c r="AM256" s="267"/>
      <c r="AN256" s="267"/>
      <c r="AO256" s="267">
        <f t="shared" si="665"/>
        <v>767</v>
      </c>
      <c r="AP256" s="267"/>
      <c r="AQ256" s="267"/>
      <c r="AR256" s="267"/>
      <c r="AS256" s="267"/>
      <c r="AT256" s="267">
        <f t="shared" si="678"/>
        <v>59</v>
      </c>
      <c r="AU256" s="267"/>
      <c r="AV256" s="267"/>
      <c r="AW256" s="267"/>
      <c r="AX256" s="267"/>
      <c r="AY256" s="267"/>
      <c r="AZ256" s="267"/>
      <c r="BA256" s="267"/>
      <c r="BB256" s="267"/>
      <c r="BC256" s="267"/>
      <c r="BD256" s="267"/>
      <c r="BE256" s="267"/>
      <c r="BF256" s="267"/>
      <c r="BG256" s="267"/>
      <c r="BH256" s="267"/>
      <c r="BI256" s="267"/>
      <c r="BJ256" s="269">
        <f t="shared" ref="BJ256:BR256" si="681">$I256*BJ$2</f>
        <v>93.8776041666664</v>
      </c>
      <c r="BK256" s="269">
        <f t="shared" si="681"/>
        <v>93.8776041666664</v>
      </c>
      <c r="BL256" s="269">
        <f t="shared" si="681"/>
        <v>93.8776041666664</v>
      </c>
      <c r="BM256" s="269">
        <f t="shared" si="681"/>
        <v>93.8776041666664</v>
      </c>
      <c r="BN256" s="269">
        <f t="shared" si="681"/>
        <v>93.8776041666664</v>
      </c>
      <c r="BO256" s="269">
        <f t="shared" si="681"/>
        <v>93.8776041666664</v>
      </c>
      <c r="BP256" s="269">
        <f t="shared" si="681"/>
        <v>93.8776041666664</v>
      </c>
      <c r="BQ256" s="269">
        <f t="shared" si="681"/>
        <v>93.8776041666664</v>
      </c>
      <c r="BR256" s="269">
        <f t="shared" si="681"/>
        <v>15.9791666666666</v>
      </c>
      <c r="BT256" s="60">
        <f t="shared" ref="BT256:CB256" si="682">BT255-BJ256</f>
        <v>35064.6250000001</v>
      </c>
      <c r="BU256" s="60">
        <f t="shared" si="682"/>
        <v>35064.6250000001</v>
      </c>
      <c r="BV256" s="60">
        <f t="shared" si="682"/>
        <v>35064.6250000001</v>
      </c>
      <c r="BW256" s="60">
        <f t="shared" si="682"/>
        <v>35064.6250000001</v>
      </c>
      <c r="BX256" s="60">
        <f t="shared" si="682"/>
        <v>35064.6250000001</v>
      </c>
      <c r="BY256" s="60">
        <f t="shared" si="682"/>
        <v>35064.6250000001</v>
      </c>
      <c r="BZ256" s="60">
        <f t="shared" si="682"/>
        <v>35064.6250000001</v>
      </c>
      <c r="CA256" s="60">
        <f t="shared" si="682"/>
        <v>35064.6250000001</v>
      </c>
      <c r="CB256" s="60">
        <f t="shared" si="682"/>
        <v>5920.00000000001</v>
      </c>
    </row>
    <row r="257" s="139" customFormat="1" ht="27" hidden="1" customHeight="1" spans="1:80">
      <c r="A257" s="155">
        <v>45903</v>
      </c>
      <c r="B257" s="156" t="s">
        <v>1384</v>
      </c>
      <c r="C257" s="157" t="s">
        <v>689</v>
      </c>
      <c r="D257" s="158">
        <v>4500178603</v>
      </c>
      <c r="E257" s="157">
        <v>5000001980</v>
      </c>
      <c r="F257" s="156" t="s">
        <v>1385</v>
      </c>
      <c r="G257" s="159" t="s">
        <v>152</v>
      </c>
      <c r="H257" s="156" t="s">
        <v>153</v>
      </c>
      <c r="I257" s="181">
        <v>3900</v>
      </c>
      <c r="J257" s="181">
        <v>0</v>
      </c>
      <c r="K257" s="181">
        <v>13</v>
      </c>
      <c r="L257" s="181">
        <f t="shared" si="553"/>
        <v>300</v>
      </c>
      <c r="M257" s="182">
        <v>45950</v>
      </c>
      <c r="N257" s="182">
        <v>45955</v>
      </c>
      <c r="O257" s="183"/>
      <c r="P257" s="183" t="s">
        <v>175</v>
      </c>
      <c r="Q257" s="183" t="s">
        <v>1386</v>
      </c>
      <c r="R257" s="183" t="s">
        <v>1387</v>
      </c>
      <c r="S257" s="183" t="s">
        <v>80</v>
      </c>
      <c r="T257" s="183" t="s">
        <v>1388</v>
      </c>
      <c r="U257" s="183" t="s">
        <v>1389</v>
      </c>
      <c r="V257" s="194" t="s">
        <v>1390</v>
      </c>
      <c r="W257" s="182" t="s">
        <v>1068</v>
      </c>
      <c r="X257" s="195">
        <v>0.7758</v>
      </c>
      <c r="Y257" s="181">
        <f t="shared" si="660"/>
        <v>3025.62</v>
      </c>
      <c r="Z257" s="182"/>
      <c r="AA257" s="194">
        <v>3900</v>
      </c>
      <c r="AB257" s="194">
        <f t="shared" si="622"/>
        <v>0</v>
      </c>
      <c r="AC257" s="301" t="s">
        <v>113</v>
      </c>
      <c r="AD257" s="183" t="s">
        <v>114</v>
      </c>
      <c r="AE257" s="182" t="s">
        <v>696</v>
      </c>
      <c r="AF257" s="182" t="s">
        <v>115</v>
      </c>
      <c r="AG257" s="217">
        <f t="shared" si="663"/>
        <v>3900</v>
      </c>
      <c r="AH257" s="217"/>
      <c r="AI257" s="217">
        <f t="shared" si="664"/>
        <v>3900</v>
      </c>
      <c r="AJ257" s="217"/>
      <c r="AK257" s="217">
        <f t="shared" si="677"/>
        <v>3900</v>
      </c>
      <c r="AL257" s="217"/>
      <c r="AM257" s="217"/>
      <c r="AN257" s="217"/>
      <c r="AO257" s="217"/>
      <c r="AP257" s="217">
        <f t="shared" ref="AP257:AP262" si="683">I257</f>
        <v>3900</v>
      </c>
      <c r="AQ257" s="217"/>
      <c r="AR257" s="217"/>
      <c r="AS257" s="217"/>
      <c r="AT257" s="217">
        <f t="shared" si="678"/>
        <v>300</v>
      </c>
      <c r="AU257" s="217"/>
      <c r="AV257" s="217"/>
      <c r="AW257" s="217"/>
      <c r="AX257" s="217"/>
      <c r="AY257" s="217"/>
      <c r="AZ257" s="217"/>
      <c r="BA257" s="217"/>
      <c r="BB257" s="217"/>
      <c r="BC257" s="217"/>
      <c r="BD257" s="217"/>
      <c r="BE257" s="217"/>
      <c r="BF257" s="217"/>
      <c r="BG257" s="217"/>
      <c r="BH257" s="217"/>
      <c r="BI257" s="217"/>
      <c r="BJ257" s="227">
        <f t="shared" ref="BJ257:BR257" si="684">$I257*BJ$2</f>
        <v>477.343749999999</v>
      </c>
      <c r="BK257" s="227">
        <f t="shared" si="684"/>
        <v>477.343749999999</v>
      </c>
      <c r="BL257" s="227">
        <f t="shared" si="684"/>
        <v>477.343749999999</v>
      </c>
      <c r="BM257" s="227">
        <f t="shared" si="684"/>
        <v>477.343749999999</v>
      </c>
      <c r="BN257" s="227">
        <f t="shared" si="684"/>
        <v>477.343749999999</v>
      </c>
      <c r="BO257" s="227">
        <f t="shared" si="684"/>
        <v>477.343749999999</v>
      </c>
      <c r="BP257" s="227">
        <f t="shared" si="684"/>
        <v>477.343749999999</v>
      </c>
      <c r="BQ257" s="227">
        <f t="shared" si="684"/>
        <v>477.343749999999</v>
      </c>
      <c r="BR257" s="227">
        <f t="shared" si="684"/>
        <v>81.2499999999999</v>
      </c>
      <c r="BT257" s="60">
        <f t="shared" ref="BT257:CB257" si="685">BT256-BJ257</f>
        <v>34587.2812500001</v>
      </c>
      <c r="BU257" s="60">
        <f t="shared" si="685"/>
        <v>34587.2812500001</v>
      </c>
      <c r="BV257" s="60">
        <f t="shared" si="685"/>
        <v>34587.2812500001</v>
      </c>
      <c r="BW257" s="60">
        <f t="shared" si="685"/>
        <v>34587.2812500001</v>
      </c>
      <c r="BX257" s="60">
        <f t="shared" si="685"/>
        <v>34587.2812500001</v>
      </c>
      <c r="BY257" s="60">
        <f t="shared" si="685"/>
        <v>34587.2812500001</v>
      </c>
      <c r="BZ257" s="60">
        <f t="shared" si="685"/>
        <v>34587.2812500001</v>
      </c>
      <c r="CA257" s="60">
        <f t="shared" si="685"/>
        <v>34587.2812500001</v>
      </c>
      <c r="CB257" s="60">
        <f t="shared" si="685"/>
        <v>5838.75000000001</v>
      </c>
    </row>
    <row r="258" s="139" customFormat="1" ht="27" hidden="1" customHeight="1" spans="1:80">
      <c r="A258" s="155">
        <v>45903</v>
      </c>
      <c r="B258" s="156" t="s">
        <v>1384</v>
      </c>
      <c r="C258" s="157" t="s">
        <v>689</v>
      </c>
      <c r="D258" s="158">
        <v>4500178603</v>
      </c>
      <c r="E258" s="157">
        <v>5000001980</v>
      </c>
      <c r="F258" s="156" t="s">
        <v>1391</v>
      </c>
      <c r="G258" s="159" t="s">
        <v>152</v>
      </c>
      <c r="H258" s="156" t="s">
        <v>153</v>
      </c>
      <c r="I258" s="181">
        <v>650</v>
      </c>
      <c r="J258" s="181">
        <v>0</v>
      </c>
      <c r="K258" s="181">
        <v>13</v>
      </c>
      <c r="L258" s="181">
        <f t="shared" si="553"/>
        <v>50</v>
      </c>
      <c r="M258" s="182">
        <v>45950</v>
      </c>
      <c r="N258" s="182">
        <v>45955</v>
      </c>
      <c r="O258" s="183"/>
      <c r="P258" s="183" t="s">
        <v>175</v>
      </c>
      <c r="Q258" s="183" t="s">
        <v>1386</v>
      </c>
      <c r="R258" s="183" t="s">
        <v>1387</v>
      </c>
      <c r="S258" s="183" t="s">
        <v>80</v>
      </c>
      <c r="T258" s="183" t="s">
        <v>1388</v>
      </c>
      <c r="U258" s="183"/>
      <c r="V258" s="194" t="s">
        <v>1390</v>
      </c>
      <c r="W258" s="182" t="s">
        <v>1068</v>
      </c>
      <c r="X258" s="195">
        <v>0.7758</v>
      </c>
      <c r="Y258" s="181">
        <f t="shared" si="660"/>
        <v>504.27</v>
      </c>
      <c r="Z258" s="182"/>
      <c r="AA258" s="194">
        <v>650</v>
      </c>
      <c r="AB258" s="194">
        <f t="shared" si="622"/>
        <v>0</v>
      </c>
      <c r="AC258" s="302"/>
      <c r="AD258" s="183" t="s">
        <v>114</v>
      </c>
      <c r="AE258" s="182" t="s">
        <v>696</v>
      </c>
      <c r="AF258" s="182" t="s">
        <v>115</v>
      </c>
      <c r="AG258" s="217">
        <f t="shared" si="663"/>
        <v>650</v>
      </c>
      <c r="AH258" s="217"/>
      <c r="AI258" s="217">
        <f t="shared" si="664"/>
        <v>650</v>
      </c>
      <c r="AJ258" s="217"/>
      <c r="AK258" s="217">
        <f t="shared" si="677"/>
        <v>650</v>
      </c>
      <c r="AL258" s="217"/>
      <c r="AM258" s="217"/>
      <c r="AN258" s="217"/>
      <c r="AO258" s="217"/>
      <c r="AP258" s="217">
        <f t="shared" si="683"/>
        <v>650</v>
      </c>
      <c r="AQ258" s="217"/>
      <c r="AR258" s="217"/>
      <c r="AS258" s="217"/>
      <c r="AT258" s="217">
        <f t="shared" si="678"/>
        <v>50</v>
      </c>
      <c r="AU258" s="217"/>
      <c r="AV258" s="217"/>
      <c r="AW258" s="217"/>
      <c r="AX258" s="217"/>
      <c r="AY258" s="217"/>
      <c r="AZ258" s="217"/>
      <c r="BA258" s="217"/>
      <c r="BB258" s="217"/>
      <c r="BC258" s="217"/>
      <c r="BD258" s="217"/>
      <c r="BE258" s="217"/>
      <c r="BF258" s="217"/>
      <c r="BG258" s="217"/>
      <c r="BH258" s="217"/>
      <c r="BI258" s="217"/>
      <c r="BJ258" s="227">
        <f t="shared" ref="BJ258:BR258" si="686">$I258*BJ$2</f>
        <v>79.5572916666664</v>
      </c>
      <c r="BK258" s="227">
        <f t="shared" si="686"/>
        <v>79.5572916666664</v>
      </c>
      <c r="BL258" s="227">
        <f t="shared" si="686"/>
        <v>79.5572916666664</v>
      </c>
      <c r="BM258" s="227">
        <f t="shared" si="686"/>
        <v>79.5572916666664</v>
      </c>
      <c r="BN258" s="227">
        <f t="shared" si="686"/>
        <v>79.5572916666664</v>
      </c>
      <c r="BO258" s="227">
        <f t="shared" si="686"/>
        <v>79.5572916666664</v>
      </c>
      <c r="BP258" s="227">
        <f t="shared" si="686"/>
        <v>79.5572916666664</v>
      </c>
      <c r="BQ258" s="227">
        <f t="shared" si="686"/>
        <v>79.5572916666664</v>
      </c>
      <c r="BR258" s="227">
        <f t="shared" si="686"/>
        <v>13.5416666666666</v>
      </c>
      <c r="BT258" s="60">
        <f t="shared" ref="BT258:CB258" si="687">BT257-BJ258</f>
        <v>34507.7239583335</v>
      </c>
      <c r="BU258" s="60">
        <f t="shared" si="687"/>
        <v>34507.7239583335</v>
      </c>
      <c r="BV258" s="60">
        <f t="shared" si="687"/>
        <v>34507.7239583335</v>
      </c>
      <c r="BW258" s="60">
        <f t="shared" si="687"/>
        <v>34507.7239583335</v>
      </c>
      <c r="BX258" s="60">
        <f t="shared" si="687"/>
        <v>34507.7239583335</v>
      </c>
      <c r="BY258" s="60">
        <f t="shared" si="687"/>
        <v>34507.7239583335</v>
      </c>
      <c r="BZ258" s="60">
        <f t="shared" si="687"/>
        <v>34507.7239583335</v>
      </c>
      <c r="CA258" s="60">
        <f t="shared" si="687"/>
        <v>34507.7239583335</v>
      </c>
      <c r="CB258" s="60">
        <f t="shared" si="687"/>
        <v>5825.20833333334</v>
      </c>
    </row>
    <row r="259" s="139" customFormat="1" ht="27" hidden="1" customHeight="1" spans="1:80">
      <c r="A259" s="155">
        <v>45916</v>
      </c>
      <c r="B259" s="156" t="s">
        <v>977</v>
      </c>
      <c r="C259" s="157" t="s">
        <v>117</v>
      </c>
      <c r="D259" s="158">
        <v>4500179602</v>
      </c>
      <c r="E259" s="157">
        <v>652602</v>
      </c>
      <c r="F259" s="156" t="s">
        <v>1392</v>
      </c>
      <c r="G259" s="159" t="s">
        <v>152</v>
      </c>
      <c r="H259" s="156" t="s">
        <v>153</v>
      </c>
      <c r="I259" s="181">
        <v>65</v>
      </c>
      <c r="J259" s="181">
        <v>0</v>
      </c>
      <c r="K259" s="181">
        <v>13</v>
      </c>
      <c r="L259" s="181">
        <f t="shared" si="553"/>
        <v>5</v>
      </c>
      <c r="M259" s="182">
        <v>45960</v>
      </c>
      <c r="N259" s="182">
        <v>45957</v>
      </c>
      <c r="O259" s="183"/>
      <c r="P259" s="183" t="s">
        <v>224</v>
      </c>
      <c r="Q259" s="183" t="s">
        <v>1393</v>
      </c>
      <c r="R259" s="192">
        <v>45929</v>
      </c>
      <c r="S259" s="183" t="s">
        <v>80</v>
      </c>
      <c r="T259" s="183" t="s">
        <v>80</v>
      </c>
      <c r="U259" s="183"/>
      <c r="V259" s="194" t="s">
        <v>1394</v>
      </c>
      <c r="W259" s="182" t="s">
        <v>982</v>
      </c>
      <c r="X259" s="195">
        <v>0.4687</v>
      </c>
      <c r="Y259" s="181">
        <f t="shared" si="660"/>
        <v>30.4655</v>
      </c>
      <c r="Z259" s="182" t="s">
        <v>1395</v>
      </c>
      <c r="AA259" s="194">
        <v>65</v>
      </c>
      <c r="AB259" s="194">
        <f t="shared" si="622"/>
        <v>0</v>
      </c>
      <c r="AC259" s="183" t="s">
        <v>80</v>
      </c>
      <c r="AD259" s="183" t="s">
        <v>114</v>
      </c>
      <c r="AE259" s="182" t="s">
        <v>152</v>
      </c>
      <c r="AF259" s="182" t="s">
        <v>115</v>
      </c>
      <c r="AG259" s="217">
        <f t="shared" si="663"/>
        <v>65</v>
      </c>
      <c r="AH259" s="217"/>
      <c r="AI259" s="217">
        <f t="shared" si="664"/>
        <v>65</v>
      </c>
      <c r="AJ259" s="217"/>
      <c r="AK259" s="217">
        <f t="shared" si="677"/>
        <v>65</v>
      </c>
      <c r="AL259" s="217"/>
      <c r="AM259" s="217"/>
      <c r="AN259" s="217"/>
      <c r="AO259" s="217">
        <f t="shared" ref="AO259:AO261" si="688">I259</f>
        <v>65</v>
      </c>
      <c r="AP259" s="217"/>
      <c r="AQ259" s="217"/>
      <c r="AR259" s="217"/>
      <c r="AS259" s="217"/>
      <c r="AT259" s="217">
        <f t="shared" si="678"/>
        <v>5</v>
      </c>
      <c r="AU259" s="217"/>
      <c r="AV259" s="217"/>
      <c r="AW259" s="217"/>
      <c r="AX259" s="217"/>
      <c r="AY259" s="217"/>
      <c r="AZ259" s="217"/>
      <c r="BA259" s="217"/>
      <c r="BB259" s="217"/>
      <c r="BC259" s="217"/>
      <c r="BD259" s="217"/>
      <c r="BE259" s="217"/>
      <c r="BF259" s="217"/>
      <c r="BG259" s="217"/>
      <c r="BH259" s="217"/>
      <c r="BI259" s="217"/>
      <c r="BJ259" s="227">
        <f t="shared" ref="BJ259:BR259" si="689">$I259*BJ$2</f>
        <v>7.95572916666664</v>
      </c>
      <c r="BK259" s="227">
        <f t="shared" si="689"/>
        <v>7.95572916666664</v>
      </c>
      <c r="BL259" s="227">
        <f t="shared" si="689"/>
        <v>7.95572916666664</v>
      </c>
      <c r="BM259" s="227">
        <f t="shared" si="689"/>
        <v>7.95572916666664</v>
      </c>
      <c r="BN259" s="227">
        <f t="shared" si="689"/>
        <v>7.95572916666664</v>
      </c>
      <c r="BO259" s="227">
        <f t="shared" si="689"/>
        <v>7.95572916666664</v>
      </c>
      <c r="BP259" s="227">
        <f t="shared" si="689"/>
        <v>7.95572916666664</v>
      </c>
      <c r="BQ259" s="227">
        <f t="shared" si="689"/>
        <v>7.95572916666664</v>
      </c>
      <c r="BR259" s="227">
        <f t="shared" si="689"/>
        <v>1.35416666666666</v>
      </c>
      <c r="BT259" s="60">
        <f t="shared" ref="BT259:CB259" si="690">BT258-BJ259</f>
        <v>34499.7682291668</v>
      </c>
      <c r="BU259" s="60">
        <f t="shared" si="690"/>
        <v>34499.7682291668</v>
      </c>
      <c r="BV259" s="60">
        <f t="shared" si="690"/>
        <v>34499.7682291668</v>
      </c>
      <c r="BW259" s="60">
        <f t="shared" si="690"/>
        <v>34499.7682291668</v>
      </c>
      <c r="BX259" s="60">
        <f t="shared" si="690"/>
        <v>34499.7682291668</v>
      </c>
      <c r="BY259" s="60">
        <f t="shared" si="690"/>
        <v>34499.7682291668</v>
      </c>
      <c r="BZ259" s="60">
        <f t="shared" si="690"/>
        <v>34499.7682291668</v>
      </c>
      <c r="CA259" s="60">
        <f t="shared" si="690"/>
        <v>34499.7682291668</v>
      </c>
      <c r="CB259" s="60">
        <f t="shared" si="690"/>
        <v>5823.85416666668</v>
      </c>
    </row>
    <row r="260" s="139" customFormat="1" ht="27" hidden="1" customHeight="1" spans="1:80">
      <c r="A260" s="155">
        <v>45925</v>
      </c>
      <c r="B260" s="156" t="s">
        <v>701</v>
      </c>
      <c r="C260" s="157" t="s">
        <v>396</v>
      </c>
      <c r="D260" s="158">
        <v>4500180371</v>
      </c>
      <c r="E260" s="157" t="s">
        <v>1396</v>
      </c>
      <c r="F260" s="156" t="s">
        <v>1397</v>
      </c>
      <c r="G260" s="159" t="s">
        <v>703</v>
      </c>
      <c r="H260" s="156" t="s">
        <v>704</v>
      </c>
      <c r="I260" s="181">
        <v>2080</v>
      </c>
      <c r="J260" s="181">
        <v>0</v>
      </c>
      <c r="K260" s="181">
        <v>1040</v>
      </c>
      <c r="L260" s="181">
        <f t="shared" si="553"/>
        <v>2</v>
      </c>
      <c r="M260" s="182">
        <v>45965</v>
      </c>
      <c r="N260" s="182">
        <f>M260-4</f>
        <v>45961</v>
      </c>
      <c r="O260" s="183"/>
      <c r="P260" s="183" t="s">
        <v>224</v>
      </c>
      <c r="Q260" s="183" t="s">
        <v>1398</v>
      </c>
      <c r="R260" s="192">
        <v>45926</v>
      </c>
      <c r="S260" s="183" t="s">
        <v>80</v>
      </c>
      <c r="T260" s="198" t="s">
        <v>706</v>
      </c>
      <c r="U260" s="183"/>
      <c r="V260" s="194" t="s">
        <v>1399</v>
      </c>
      <c r="W260" s="182" t="s">
        <v>1369</v>
      </c>
      <c r="X260" s="195">
        <v>824.6621</v>
      </c>
      <c r="Y260" s="181">
        <f t="shared" ref="Y260:Y267" si="691">X260*L260</f>
        <v>1649.3242</v>
      </c>
      <c r="Z260" s="182"/>
      <c r="AA260" s="194">
        <v>2080</v>
      </c>
      <c r="AB260" s="194">
        <f t="shared" si="622"/>
        <v>0</v>
      </c>
      <c r="AC260" s="183"/>
      <c r="AD260" s="183" t="s">
        <v>114</v>
      </c>
      <c r="AE260" s="182" t="s">
        <v>703</v>
      </c>
      <c r="AF260" s="182" t="s">
        <v>115</v>
      </c>
      <c r="AG260" s="217">
        <f t="shared" si="663"/>
        <v>2080</v>
      </c>
      <c r="AI260" s="217">
        <f t="shared" si="664"/>
        <v>2080</v>
      </c>
      <c r="AJ260" s="217"/>
      <c r="AK260" s="217">
        <f t="shared" si="677"/>
        <v>2080</v>
      </c>
      <c r="AL260" s="217"/>
      <c r="AM260" s="217"/>
      <c r="AN260" s="217"/>
      <c r="AO260" s="217">
        <f t="shared" si="688"/>
        <v>2080</v>
      </c>
      <c r="AP260" s="217"/>
      <c r="AQ260" s="217"/>
      <c r="AR260" s="217"/>
      <c r="AS260" s="217"/>
      <c r="AT260" s="217">
        <f t="shared" si="678"/>
        <v>160</v>
      </c>
      <c r="AU260" s="217"/>
      <c r="AV260" s="217"/>
      <c r="AW260" s="217"/>
      <c r="AX260" s="217"/>
      <c r="AY260" s="217"/>
      <c r="AZ260" s="217"/>
      <c r="BA260" s="217"/>
      <c r="BB260" s="217"/>
      <c r="BC260" s="217"/>
      <c r="BD260" s="217"/>
      <c r="BE260" s="217"/>
      <c r="BF260" s="217"/>
      <c r="BG260" s="217"/>
      <c r="BH260" s="217"/>
      <c r="BI260" s="217"/>
      <c r="BJ260" s="227">
        <f t="shared" ref="BJ260:BR260" si="692">$I260*BJ$2</f>
        <v>254.583333333333</v>
      </c>
      <c r="BK260" s="227">
        <f t="shared" si="692"/>
        <v>254.583333333333</v>
      </c>
      <c r="BL260" s="227">
        <f t="shared" si="692"/>
        <v>254.583333333333</v>
      </c>
      <c r="BM260" s="227">
        <f t="shared" si="692"/>
        <v>254.583333333333</v>
      </c>
      <c r="BN260" s="227">
        <f t="shared" si="692"/>
        <v>254.583333333333</v>
      </c>
      <c r="BO260" s="227">
        <f t="shared" si="692"/>
        <v>254.583333333333</v>
      </c>
      <c r="BP260" s="227">
        <f t="shared" si="692"/>
        <v>254.583333333333</v>
      </c>
      <c r="BQ260" s="227">
        <f t="shared" si="692"/>
        <v>254.583333333333</v>
      </c>
      <c r="BR260" s="227">
        <f t="shared" si="692"/>
        <v>43.3333333333333</v>
      </c>
      <c r="BT260" s="60">
        <f t="shared" ref="BT260:CB260" si="693">BT259-BJ260</f>
        <v>34245.1848958335</v>
      </c>
      <c r="BU260" s="60">
        <f t="shared" si="693"/>
        <v>34245.1848958335</v>
      </c>
      <c r="BV260" s="60">
        <f t="shared" si="693"/>
        <v>34245.1848958335</v>
      </c>
      <c r="BW260" s="60">
        <f t="shared" si="693"/>
        <v>34245.1848958335</v>
      </c>
      <c r="BX260" s="60">
        <f t="shared" si="693"/>
        <v>34245.1848958335</v>
      </c>
      <c r="BY260" s="60">
        <f t="shared" si="693"/>
        <v>34245.1848958335</v>
      </c>
      <c r="BZ260" s="60">
        <f t="shared" si="693"/>
        <v>34245.1848958335</v>
      </c>
      <c r="CA260" s="60">
        <f t="shared" si="693"/>
        <v>34245.1848958335</v>
      </c>
      <c r="CB260" s="60">
        <f t="shared" si="693"/>
        <v>5780.52083333334</v>
      </c>
    </row>
    <row r="261" s="139" customFormat="1" ht="27" hidden="1" customHeight="1" spans="1:80">
      <c r="A261" s="155">
        <v>45925</v>
      </c>
      <c r="B261" s="156" t="s">
        <v>1012</v>
      </c>
      <c r="C261" s="157" t="s">
        <v>396</v>
      </c>
      <c r="D261" s="158">
        <v>4500180232</v>
      </c>
      <c r="E261" s="157" t="s">
        <v>1400</v>
      </c>
      <c r="F261" s="156" t="s">
        <v>1401</v>
      </c>
      <c r="G261" s="159" t="s">
        <v>463</v>
      </c>
      <c r="H261" s="156" t="s">
        <v>464</v>
      </c>
      <c r="I261" s="181">
        <v>540</v>
      </c>
      <c r="J261" s="181">
        <v>27</v>
      </c>
      <c r="K261" s="181">
        <v>54</v>
      </c>
      <c r="L261" s="181">
        <f t="shared" si="553"/>
        <v>10</v>
      </c>
      <c r="M261" s="182">
        <v>45981</v>
      </c>
      <c r="N261" s="182">
        <v>45973</v>
      </c>
      <c r="O261" s="183"/>
      <c r="P261" s="183" t="s">
        <v>224</v>
      </c>
      <c r="Q261" s="183" t="s">
        <v>1402</v>
      </c>
      <c r="R261" s="192">
        <v>45925</v>
      </c>
      <c r="S261" s="183" t="s">
        <v>80</v>
      </c>
      <c r="T261" s="198" t="s">
        <v>80</v>
      </c>
      <c r="U261" s="183"/>
      <c r="V261" s="194" t="s">
        <v>1403</v>
      </c>
      <c r="W261" s="182" t="s">
        <v>454</v>
      </c>
      <c r="X261" s="195">
        <v>0.8032</v>
      </c>
      <c r="Y261" s="181">
        <f t="shared" ref="Y261:Y263" si="694">X261*I261</f>
        <v>433.728</v>
      </c>
      <c r="Z261" s="182" t="s">
        <v>1404</v>
      </c>
      <c r="AA261" s="194">
        <v>540</v>
      </c>
      <c r="AB261" s="194">
        <f t="shared" si="622"/>
        <v>0</v>
      </c>
      <c r="AC261" s="183"/>
      <c r="AD261" s="183" t="s">
        <v>114</v>
      </c>
      <c r="AE261" s="182" t="s">
        <v>463</v>
      </c>
      <c r="AF261" s="182" t="s">
        <v>115</v>
      </c>
      <c r="AG261" s="217">
        <f t="shared" si="663"/>
        <v>540</v>
      </c>
      <c r="AH261" s="217"/>
      <c r="AI261" s="217">
        <f t="shared" si="664"/>
        <v>540</v>
      </c>
      <c r="AJ261" s="217"/>
      <c r="AK261" s="217">
        <f t="shared" si="677"/>
        <v>540</v>
      </c>
      <c r="AL261" s="217"/>
      <c r="AM261" s="217"/>
      <c r="AN261" s="217"/>
      <c r="AO261" s="217">
        <f t="shared" si="688"/>
        <v>540</v>
      </c>
      <c r="AP261" s="217"/>
      <c r="AQ261" s="217">
        <f>I261/27</f>
        <v>20</v>
      </c>
      <c r="AR261" s="217"/>
      <c r="AS261" s="217"/>
      <c r="AT261" s="217"/>
      <c r="AU261" s="217"/>
      <c r="AV261" s="217"/>
      <c r="AW261" s="217"/>
      <c r="AX261" s="217"/>
      <c r="AY261" s="217"/>
      <c r="AZ261" s="217"/>
      <c r="BA261" s="217"/>
      <c r="BB261" s="217"/>
      <c r="BC261" s="217"/>
      <c r="BD261" s="217"/>
      <c r="BE261" s="217"/>
      <c r="BF261" s="217"/>
      <c r="BG261" s="217"/>
      <c r="BH261" s="217"/>
      <c r="BI261" s="217"/>
      <c r="BJ261" s="227">
        <f t="shared" ref="BJ261:BR261" si="695">$I261*BJ$2</f>
        <v>66.0937499999998</v>
      </c>
      <c r="BK261" s="227">
        <f t="shared" si="695"/>
        <v>66.0937499999998</v>
      </c>
      <c r="BL261" s="227">
        <f t="shared" si="695"/>
        <v>66.0937499999998</v>
      </c>
      <c r="BM261" s="227">
        <f t="shared" si="695"/>
        <v>66.0937499999998</v>
      </c>
      <c r="BN261" s="227">
        <f t="shared" si="695"/>
        <v>66.0937499999998</v>
      </c>
      <c r="BO261" s="227">
        <f t="shared" si="695"/>
        <v>66.0937499999998</v>
      </c>
      <c r="BP261" s="227">
        <f t="shared" si="695"/>
        <v>66.0937499999998</v>
      </c>
      <c r="BQ261" s="227">
        <f t="shared" si="695"/>
        <v>66.0937499999998</v>
      </c>
      <c r="BR261" s="227">
        <f t="shared" si="695"/>
        <v>11.25</v>
      </c>
      <c r="BT261" s="60">
        <f t="shared" ref="BT261:CB261" si="696">BT260-BJ261</f>
        <v>34179.0911458335</v>
      </c>
      <c r="BU261" s="60">
        <f t="shared" si="696"/>
        <v>34179.0911458335</v>
      </c>
      <c r="BV261" s="60">
        <f t="shared" si="696"/>
        <v>34179.0911458335</v>
      </c>
      <c r="BW261" s="60">
        <f t="shared" si="696"/>
        <v>34179.0911458335</v>
      </c>
      <c r="BX261" s="60">
        <f t="shared" si="696"/>
        <v>34179.0911458335</v>
      </c>
      <c r="BY261" s="60">
        <f t="shared" si="696"/>
        <v>34179.0911458335</v>
      </c>
      <c r="BZ261" s="60">
        <f t="shared" si="696"/>
        <v>34179.0911458335</v>
      </c>
      <c r="CA261" s="60">
        <f t="shared" si="696"/>
        <v>34179.0911458335</v>
      </c>
      <c r="CB261" s="60">
        <f t="shared" si="696"/>
        <v>5769.27083333334</v>
      </c>
    </row>
    <row r="262" s="139" customFormat="1" ht="27" hidden="1" customHeight="1" spans="1:80">
      <c r="A262" s="155">
        <v>45923</v>
      </c>
      <c r="B262" s="156" t="s">
        <v>1384</v>
      </c>
      <c r="C262" s="157" t="s">
        <v>689</v>
      </c>
      <c r="D262" s="158">
        <v>4500178603</v>
      </c>
      <c r="E262" s="157">
        <v>5000001980</v>
      </c>
      <c r="F262" s="156" t="s">
        <v>1405</v>
      </c>
      <c r="G262" s="159" t="s">
        <v>152</v>
      </c>
      <c r="H262" s="156" t="s">
        <v>153</v>
      </c>
      <c r="I262" s="181">
        <v>650</v>
      </c>
      <c r="J262" s="181">
        <v>0</v>
      </c>
      <c r="K262" s="181">
        <v>13</v>
      </c>
      <c r="L262" s="181">
        <f t="shared" si="553"/>
        <v>50</v>
      </c>
      <c r="M262" s="182">
        <v>45964</v>
      </c>
      <c r="N262" s="182">
        <v>45962</v>
      </c>
      <c r="O262" s="183"/>
      <c r="P262" s="183" t="s">
        <v>175</v>
      </c>
      <c r="Q262" s="183" t="s">
        <v>1386</v>
      </c>
      <c r="R262" s="183" t="s">
        <v>1387</v>
      </c>
      <c r="S262" s="183" t="s">
        <v>80</v>
      </c>
      <c r="T262" s="183" t="s">
        <v>1388</v>
      </c>
      <c r="U262" s="183"/>
      <c r="V262" s="194" t="s">
        <v>1390</v>
      </c>
      <c r="W262" s="182" t="s">
        <v>1068</v>
      </c>
      <c r="X262" s="195">
        <v>0.7758</v>
      </c>
      <c r="Y262" s="181">
        <f t="shared" si="694"/>
        <v>504.27</v>
      </c>
      <c r="Z262" s="182"/>
      <c r="AA262" s="194">
        <f>611+39</f>
        <v>650</v>
      </c>
      <c r="AB262" s="194">
        <f t="shared" si="622"/>
        <v>0</v>
      </c>
      <c r="AC262" s="302" t="s">
        <v>113</v>
      </c>
      <c r="AD262" s="183" t="s">
        <v>114</v>
      </c>
      <c r="AE262" s="182" t="s">
        <v>696</v>
      </c>
      <c r="AF262" s="182" t="s">
        <v>115</v>
      </c>
      <c r="AG262" s="217">
        <f t="shared" si="663"/>
        <v>650</v>
      </c>
      <c r="AH262" s="217"/>
      <c r="AI262" s="217">
        <f t="shared" si="664"/>
        <v>650</v>
      </c>
      <c r="AJ262" s="217"/>
      <c r="AK262" s="217">
        <f t="shared" si="677"/>
        <v>650</v>
      </c>
      <c r="AL262" s="217"/>
      <c r="AM262" s="217"/>
      <c r="AN262" s="217"/>
      <c r="AO262" s="217"/>
      <c r="AP262" s="217">
        <f t="shared" si="683"/>
        <v>650</v>
      </c>
      <c r="AQ262" s="217"/>
      <c r="AR262" s="217"/>
      <c r="AS262" s="217"/>
      <c r="AT262" s="217">
        <f>I262/13</f>
        <v>50</v>
      </c>
      <c r="AU262" s="217"/>
      <c r="AV262" s="217"/>
      <c r="AW262" s="217"/>
      <c r="AX262" s="217"/>
      <c r="AY262" s="217"/>
      <c r="AZ262" s="217"/>
      <c r="BA262" s="217"/>
      <c r="BB262" s="217"/>
      <c r="BC262" s="217"/>
      <c r="BD262" s="217"/>
      <c r="BE262" s="217"/>
      <c r="BF262" s="217"/>
      <c r="BG262" s="217"/>
      <c r="BH262" s="217"/>
      <c r="BI262" s="217"/>
      <c r="BJ262" s="227">
        <f t="shared" ref="BJ262:BR262" si="697">$I262*BJ$2</f>
        <v>79.5572916666664</v>
      </c>
      <c r="BK262" s="227">
        <f t="shared" si="697"/>
        <v>79.5572916666664</v>
      </c>
      <c r="BL262" s="227">
        <f t="shared" si="697"/>
        <v>79.5572916666664</v>
      </c>
      <c r="BM262" s="227">
        <f t="shared" si="697"/>
        <v>79.5572916666664</v>
      </c>
      <c r="BN262" s="227">
        <f t="shared" si="697"/>
        <v>79.5572916666664</v>
      </c>
      <c r="BO262" s="227">
        <f t="shared" si="697"/>
        <v>79.5572916666664</v>
      </c>
      <c r="BP262" s="227">
        <f t="shared" si="697"/>
        <v>79.5572916666664</v>
      </c>
      <c r="BQ262" s="227">
        <f t="shared" si="697"/>
        <v>79.5572916666664</v>
      </c>
      <c r="BR262" s="227">
        <f t="shared" si="697"/>
        <v>13.5416666666666</v>
      </c>
      <c r="BT262" s="60">
        <f t="shared" ref="BT262:CB262" si="698">BT261-BJ262</f>
        <v>34099.5338541668</v>
      </c>
      <c r="BU262" s="60">
        <f t="shared" si="698"/>
        <v>34099.5338541668</v>
      </c>
      <c r="BV262" s="60">
        <f t="shared" si="698"/>
        <v>34099.5338541668</v>
      </c>
      <c r="BW262" s="60">
        <f t="shared" si="698"/>
        <v>34099.5338541668</v>
      </c>
      <c r="BX262" s="60">
        <f t="shared" si="698"/>
        <v>34099.5338541668</v>
      </c>
      <c r="BY262" s="60">
        <f t="shared" si="698"/>
        <v>34099.5338541668</v>
      </c>
      <c r="BZ262" s="60">
        <f t="shared" si="698"/>
        <v>34099.5338541668</v>
      </c>
      <c r="CA262" s="60">
        <f t="shared" si="698"/>
        <v>34099.5338541668</v>
      </c>
      <c r="CB262" s="60">
        <f t="shared" si="698"/>
        <v>5755.72916666668</v>
      </c>
    </row>
    <row r="263" s="139" customFormat="1" ht="27" hidden="1" customHeight="1" spans="1:80">
      <c r="A263" s="155">
        <v>45922</v>
      </c>
      <c r="B263" s="156" t="s">
        <v>1406</v>
      </c>
      <c r="C263" s="157" t="s">
        <v>129</v>
      </c>
      <c r="D263" s="158">
        <v>4500180040</v>
      </c>
      <c r="E263" s="157">
        <v>249680</v>
      </c>
      <c r="F263" s="156" t="s">
        <v>1407</v>
      </c>
      <c r="G263" s="159" t="s">
        <v>86</v>
      </c>
      <c r="H263" s="156" t="s">
        <v>87</v>
      </c>
      <c r="I263" s="181">
        <v>5760</v>
      </c>
      <c r="J263" s="181">
        <v>0</v>
      </c>
      <c r="K263" s="181">
        <v>24</v>
      </c>
      <c r="L263" s="181">
        <f t="shared" si="553"/>
        <v>240</v>
      </c>
      <c r="M263" s="182">
        <v>45968</v>
      </c>
      <c r="N263" s="182">
        <v>45964</v>
      </c>
      <c r="O263" s="183"/>
      <c r="P263" s="183" t="s">
        <v>175</v>
      </c>
      <c r="Q263" s="183"/>
      <c r="R263" s="193">
        <v>45940</v>
      </c>
      <c r="S263" s="199" t="s">
        <v>80</v>
      </c>
      <c r="T263" s="293" t="s">
        <v>1408</v>
      </c>
      <c r="U263" s="183"/>
      <c r="V263" s="194" t="s">
        <v>1409</v>
      </c>
      <c r="W263" s="182" t="s">
        <v>1410</v>
      </c>
      <c r="X263" s="195">
        <v>0.7455</v>
      </c>
      <c r="Y263" s="181">
        <f t="shared" si="694"/>
        <v>4294.08</v>
      </c>
      <c r="Z263" s="182"/>
      <c r="AA263" s="194">
        <v>5760</v>
      </c>
      <c r="AB263" s="194">
        <f t="shared" si="622"/>
        <v>0</v>
      </c>
      <c r="AC263" s="183" t="s">
        <v>113</v>
      </c>
      <c r="AD263" s="183" t="s">
        <v>114</v>
      </c>
      <c r="AE263" s="182" t="s">
        <v>672</v>
      </c>
      <c r="AF263" s="182" t="s">
        <v>115</v>
      </c>
      <c r="AG263" s="217">
        <f t="shared" si="663"/>
        <v>5760</v>
      </c>
      <c r="AH263" s="217"/>
      <c r="AI263" s="217">
        <f t="shared" si="664"/>
        <v>5760</v>
      </c>
      <c r="AJ263" s="217"/>
      <c r="AK263" s="217"/>
      <c r="AL263" s="217">
        <f>I263</f>
        <v>5760</v>
      </c>
      <c r="AM263" s="217"/>
      <c r="AN263" s="217"/>
      <c r="AO263" s="217">
        <f t="shared" ref="AO263:AO296" si="699">I263</f>
        <v>5760</v>
      </c>
      <c r="AP263" s="217"/>
      <c r="AQ263" s="217"/>
      <c r="AR263" s="217"/>
      <c r="AS263" s="217"/>
      <c r="AT263" s="217"/>
      <c r="AU263" s="217"/>
      <c r="AV263" s="217"/>
      <c r="AW263" s="217"/>
      <c r="AX263" s="217"/>
      <c r="AY263" s="217"/>
      <c r="AZ263" s="217"/>
      <c r="BA263" s="217"/>
      <c r="BB263" s="217"/>
      <c r="BC263" s="217"/>
      <c r="BD263" s="217"/>
      <c r="BE263" s="217"/>
      <c r="BF263" s="217"/>
      <c r="BG263" s="217"/>
      <c r="BH263" s="217"/>
      <c r="BI263" s="217"/>
      <c r="BJ263" s="227">
        <f t="shared" ref="BJ263:BR263" si="700">$I263*BJ$2</f>
        <v>704.999999999998</v>
      </c>
      <c r="BK263" s="227">
        <f t="shared" si="700"/>
        <v>704.999999999998</v>
      </c>
      <c r="BL263" s="227">
        <f t="shared" si="700"/>
        <v>704.999999999998</v>
      </c>
      <c r="BM263" s="227">
        <f t="shared" si="700"/>
        <v>704.999999999998</v>
      </c>
      <c r="BN263" s="227">
        <f t="shared" si="700"/>
        <v>704.999999999998</v>
      </c>
      <c r="BO263" s="227">
        <f t="shared" si="700"/>
        <v>704.999999999998</v>
      </c>
      <c r="BP263" s="227">
        <f t="shared" si="700"/>
        <v>704.999999999998</v>
      </c>
      <c r="BQ263" s="227">
        <f t="shared" si="700"/>
        <v>704.999999999998</v>
      </c>
      <c r="BR263" s="227">
        <f t="shared" si="700"/>
        <v>120</v>
      </c>
      <c r="BT263" s="60">
        <f t="shared" ref="BT263:CB263" si="701">BT262-BJ263</f>
        <v>33394.5338541668</v>
      </c>
      <c r="BU263" s="60">
        <f t="shared" si="701"/>
        <v>33394.5338541668</v>
      </c>
      <c r="BV263" s="60">
        <f t="shared" si="701"/>
        <v>33394.5338541668</v>
      </c>
      <c r="BW263" s="60">
        <f t="shared" si="701"/>
        <v>33394.5338541668</v>
      </c>
      <c r="BX263" s="60">
        <f t="shared" si="701"/>
        <v>33394.5338541668</v>
      </c>
      <c r="BY263" s="60">
        <f t="shared" si="701"/>
        <v>33394.5338541668</v>
      </c>
      <c r="BZ263" s="60">
        <f t="shared" si="701"/>
        <v>33394.5338541668</v>
      </c>
      <c r="CA263" s="60">
        <f t="shared" si="701"/>
        <v>33394.5338541668</v>
      </c>
      <c r="CB263" s="60">
        <f t="shared" si="701"/>
        <v>5635.72916666668</v>
      </c>
    </row>
    <row r="264" s="139" customFormat="1" ht="27" hidden="1" customHeight="1" spans="1:80">
      <c r="A264" s="155">
        <v>45930</v>
      </c>
      <c r="B264" s="156" t="s">
        <v>326</v>
      </c>
      <c r="C264" s="157" t="s">
        <v>117</v>
      </c>
      <c r="D264" s="158">
        <v>4500181107</v>
      </c>
      <c r="E264" s="305" t="s">
        <v>1411</v>
      </c>
      <c r="F264" s="158" t="s">
        <v>1412</v>
      </c>
      <c r="G264" s="159" t="s">
        <v>258</v>
      </c>
      <c r="H264" s="156" t="s">
        <v>259</v>
      </c>
      <c r="I264" s="181">
        <v>2304</v>
      </c>
      <c r="J264" s="181">
        <v>0</v>
      </c>
      <c r="K264" s="181">
        <v>1152</v>
      </c>
      <c r="L264" s="181">
        <f t="shared" si="553"/>
        <v>2</v>
      </c>
      <c r="M264" s="182">
        <v>45971</v>
      </c>
      <c r="N264" s="182">
        <v>45967</v>
      </c>
      <c r="O264" s="193" t="s">
        <v>1413</v>
      </c>
      <c r="P264" s="183" t="s">
        <v>175</v>
      </c>
      <c r="Q264" s="183" t="s">
        <v>1414</v>
      </c>
      <c r="R264" s="183" t="s">
        <v>331</v>
      </c>
      <c r="S264" s="199" t="s">
        <v>191</v>
      </c>
      <c r="T264" s="199" t="s">
        <v>1415</v>
      </c>
      <c r="U264" s="183"/>
      <c r="V264" s="194" t="s">
        <v>1320</v>
      </c>
      <c r="W264" s="182" t="s">
        <v>265</v>
      </c>
      <c r="X264" s="195">
        <v>552.15</v>
      </c>
      <c r="Y264" s="181">
        <f t="shared" si="691"/>
        <v>1104.3</v>
      </c>
      <c r="Z264" s="182" t="s">
        <v>1416</v>
      </c>
      <c r="AA264" s="194">
        <f>2304</f>
        <v>2304</v>
      </c>
      <c r="AB264" s="194">
        <f t="shared" si="622"/>
        <v>0</v>
      </c>
      <c r="AC264" s="183"/>
      <c r="AD264" s="183" t="s">
        <v>114</v>
      </c>
      <c r="AE264" s="182" t="s">
        <v>258</v>
      </c>
      <c r="AF264" s="182" t="s">
        <v>115</v>
      </c>
      <c r="AG264" s="217">
        <f t="shared" si="663"/>
        <v>2304</v>
      </c>
      <c r="AH264" s="217"/>
      <c r="AI264" s="217">
        <f t="shared" si="664"/>
        <v>2304</v>
      </c>
      <c r="AJ264" s="217"/>
      <c r="AK264" s="217">
        <f t="shared" ref="AK264:AK267" si="702">I264</f>
        <v>2304</v>
      </c>
      <c r="AL264" s="217"/>
      <c r="AM264" s="217"/>
      <c r="AN264" s="217"/>
      <c r="AO264" s="217">
        <f t="shared" si="699"/>
        <v>2304</v>
      </c>
      <c r="AP264" s="217"/>
      <c r="AQ264" s="217"/>
      <c r="AR264" s="217"/>
      <c r="AS264" s="217"/>
      <c r="AT264" s="217"/>
      <c r="AU264" s="217"/>
      <c r="AV264" s="217">
        <f t="shared" ref="AV264:AV267" si="703">I264/12</f>
        <v>192</v>
      </c>
      <c r="AW264" s="217"/>
      <c r="AX264" s="217"/>
      <c r="AY264" s="217"/>
      <c r="AZ264" s="217"/>
      <c r="BA264" s="217"/>
      <c r="BB264" s="217"/>
      <c r="BC264" s="217"/>
      <c r="BD264" s="217"/>
      <c r="BE264" s="217"/>
      <c r="BF264" s="217"/>
      <c r="BG264" s="217"/>
      <c r="BH264" s="217"/>
      <c r="BI264" s="217"/>
      <c r="BJ264" s="227">
        <f t="shared" ref="BJ264:BR264" si="704">$I264*BJ$2</f>
        <v>281.999999999999</v>
      </c>
      <c r="BK264" s="227">
        <f t="shared" si="704"/>
        <v>281.999999999999</v>
      </c>
      <c r="BL264" s="227">
        <f t="shared" si="704"/>
        <v>281.999999999999</v>
      </c>
      <c r="BM264" s="227">
        <f t="shared" si="704"/>
        <v>281.999999999999</v>
      </c>
      <c r="BN264" s="227">
        <f t="shared" si="704"/>
        <v>281.999999999999</v>
      </c>
      <c r="BO264" s="227">
        <f t="shared" si="704"/>
        <v>281.999999999999</v>
      </c>
      <c r="BP264" s="227">
        <f t="shared" si="704"/>
        <v>281.999999999999</v>
      </c>
      <c r="BQ264" s="227">
        <f t="shared" si="704"/>
        <v>281.999999999999</v>
      </c>
      <c r="BR264" s="227">
        <f t="shared" si="704"/>
        <v>47.9999999999999</v>
      </c>
      <c r="BT264" s="60">
        <f t="shared" ref="BT264:CB264" si="705">BT263-BJ264</f>
        <v>33112.5338541668</v>
      </c>
      <c r="BU264" s="60">
        <f t="shared" si="705"/>
        <v>33112.5338541668</v>
      </c>
      <c r="BV264" s="60">
        <f t="shared" si="705"/>
        <v>33112.5338541668</v>
      </c>
      <c r="BW264" s="60">
        <f t="shared" si="705"/>
        <v>33112.5338541668</v>
      </c>
      <c r="BX264" s="60">
        <f t="shared" si="705"/>
        <v>33112.5338541668</v>
      </c>
      <c r="BY264" s="60">
        <f t="shared" si="705"/>
        <v>33112.5338541668</v>
      </c>
      <c r="BZ264" s="60">
        <f t="shared" si="705"/>
        <v>33112.5338541668</v>
      </c>
      <c r="CA264" s="60">
        <f t="shared" si="705"/>
        <v>33112.5338541668</v>
      </c>
      <c r="CB264" s="60">
        <f t="shared" si="705"/>
        <v>5587.72916666668</v>
      </c>
    </row>
    <row r="265" s="139" customFormat="1" ht="27" hidden="1" customHeight="1" spans="1:80">
      <c r="A265" s="155">
        <v>45930</v>
      </c>
      <c r="B265" s="156" t="s">
        <v>326</v>
      </c>
      <c r="C265" s="157" t="s">
        <v>117</v>
      </c>
      <c r="D265" s="158">
        <v>4500181107</v>
      </c>
      <c r="E265" s="305" t="s">
        <v>1417</v>
      </c>
      <c r="F265" s="158" t="s">
        <v>1418</v>
      </c>
      <c r="G265" s="159" t="s">
        <v>258</v>
      </c>
      <c r="H265" s="156" t="s">
        <v>259</v>
      </c>
      <c r="I265" s="181">
        <v>2304</v>
      </c>
      <c r="J265" s="181">
        <v>0</v>
      </c>
      <c r="K265" s="181">
        <v>1152</v>
      </c>
      <c r="L265" s="181">
        <f t="shared" si="553"/>
        <v>2</v>
      </c>
      <c r="M265" s="182">
        <v>45971</v>
      </c>
      <c r="N265" s="182">
        <v>45967</v>
      </c>
      <c r="O265" s="193" t="s">
        <v>1413</v>
      </c>
      <c r="P265" s="183" t="s">
        <v>175</v>
      </c>
      <c r="Q265" s="183" t="s">
        <v>1402</v>
      </c>
      <c r="R265" s="183" t="s">
        <v>331</v>
      </c>
      <c r="S265" s="199" t="s">
        <v>191</v>
      </c>
      <c r="T265" s="199" t="s">
        <v>1415</v>
      </c>
      <c r="U265" s="183"/>
      <c r="V265" s="194" t="s">
        <v>1320</v>
      </c>
      <c r="W265" s="182" t="s">
        <v>265</v>
      </c>
      <c r="X265" s="195">
        <v>552.15</v>
      </c>
      <c r="Y265" s="181">
        <f t="shared" si="691"/>
        <v>1104.3</v>
      </c>
      <c r="Z265" s="182" t="s">
        <v>1419</v>
      </c>
      <c r="AA265" s="194">
        <f>2280+24</f>
        <v>2304</v>
      </c>
      <c r="AB265" s="194">
        <f t="shared" si="622"/>
        <v>0</v>
      </c>
      <c r="AC265" s="183"/>
      <c r="AD265" s="183" t="s">
        <v>114</v>
      </c>
      <c r="AE265" s="182" t="s">
        <v>258</v>
      </c>
      <c r="AF265" s="182" t="s">
        <v>115</v>
      </c>
      <c r="AG265" s="217">
        <f t="shared" si="663"/>
        <v>2304</v>
      </c>
      <c r="AH265" s="217"/>
      <c r="AI265" s="217">
        <f t="shared" si="664"/>
        <v>2304</v>
      </c>
      <c r="AJ265" s="217"/>
      <c r="AK265" s="217">
        <f t="shared" si="702"/>
        <v>2304</v>
      </c>
      <c r="AL265" s="217"/>
      <c r="AM265" s="217"/>
      <c r="AN265" s="217"/>
      <c r="AO265" s="217">
        <f t="shared" si="699"/>
        <v>2304</v>
      </c>
      <c r="AP265" s="217"/>
      <c r="AQ265" s="217"/>
      <c r="AR265" s="217"/>
      <c r="AS265" s="217"/>
      <c r="AT265" s="217"/>
      <c r="AU265" s="217"/>
      <c r="AV265" s="217">
        <f t="shared" si="703"/>
        <v>192</v>
      </c>
      <c r="AW265" s="217"/>
      <c r="AX265" s="217"/>
      <c r="AY265" s="217"/>
      <c r="AZ265" s="217"/>
      <c r="BA265" s="217"/>
      <c r="BB265" s="217"/>
      <c r="BC265" s="217"/>
      <c r="BD265" s="217"/>
      <c r="BE265" s="217"/>
      <c r="BF265" s="217"/>
      <c r="BG265" s="217"/>
      <c r="BH265" s="217"/>
      <c r="BI265" s="217"/>
      <c r="BJ265" s="227">
        <f t="shared" ref="BJ265:BR265" si="706">$I265*BJ$2</f>
        <v>281.999999999999</v>
      </c>
      <c r="BK265" s="227">
        <f t="shared" si="706"/>
        <v>281.999999999999</v>
      </c>
      <c r="BL265" s="227">
        <f t="shared" si="706"/>
        <v>281.999999999999</v>
      </c>
      <c r="BM265" s="227">
        <f t="shared" si="706"/>
        <v>281.999999999999</v>
      </c>
      <c r="BN265" s="227">
        <f t="shared" si="706"/>
        <v>281.999999999999</v>
      </c>
      <c r="BO265" s="227">
        <f t="shared" si="706"/>
        <v>281.999999999999</v>
      </c>
      <c r="BP265" s="227">
        <f t="shared" si="706"/>
        <v>281.999999999999</v>
      </c>
      <c r="BQ265" s="227">
        <f t="shared" si="706"/>
        <v>281.999999999999</v>
      </c>
      <c r="BR265" s="227">
        <f t="shared" si="706"/>
        <v>47.9999999999999</v>
      </c>
      <c r="BT265" s="60">
        <f t="shared" ref="BT265:CB265" si="707">BT264-BJ265</f>
        <v>32830.5338541668</v>
      </c>
      <c r="BU265" s="60">
        <f t="shared" si="707"/>
        <v>32830.5338541668</v>
      </c>
      <c r="BV265" s="60">
        <f t="shared" si="707"/>
        <v>32830.5338541668</v>
      </c>
      <c r="BW265" s="60">
        <f t="shared" si="707"/>
        <v>32830.5338541668</v>
      </c>
      <c r="BX265" s="60">
        <f t="shared" si="707"/>
        <v>32830.5338541668</v>
      </c>
      <c r="BY265" s="60">
        <f t="shared" si="707"/>
        <v>32830.5338541668</v>
      </c>
      <c r="BZ265" s="60">
        <f t="shared" si="707"/>
        <v>32830.5338541668</v>
      </c>
      <c r="CA265" s="60">
        <f t="shared" si="707"/>
        <v>32830.5338541668</v>
      </c>
      <c r="CB265" s="60">
        <f t="shared" si="707"/>
        <v>5539.72916666668</v>
      </c>
    </row>
    <row r="266" s="139" customFormat="1" ht="27" hidden="1" customHeight="1" spans="1:80">
      <c r="A266" s="155">
        <v>45930</v>
      </c>
      <c r="B266" s="156" t="s">
        <v>326</v>
      </c>
      <c r="C266" s="157" t="s">
        <v>117</v>
      </c>
      <c r="D266" s="158">
        <v>4500181107</v>
      </c>
      <c r="E266" s="305" t="s">
        <v>1420</v>
      </c>
      <c r="F266" s="158" t="s">
        <v>1421</v>
      </c>
      <c r="G266" s="159" t="s">
        <v>258</v>
      </c>
      <c r="H266" s="156" t="s">
        <v>259</v>
      </c>
      <c r="I266" s="181">
        <v>2304</v>
      </c>
      <c r="J266" s="181">
        <v>0</v>
      </c>
      <c r="K266" s="181">
        <v>1152</v>
      </c>
      <c r="L266" s="181">
        <f t="shared" si="553"/>
        <v>2</v>
      </c>
      <c r="M266" s="182">
        <v>45971</v>
      </c>
      <c r="N266" s="182">
        <v>45967</v>
      </c>
      <c r="O266" s="193" t="s">
        <v>1413</v>
      </c>
      <c r="P266" s="183" t="s">
        <v>175</v>
      </c>
      <c r="Q266" s="183" t="s">
        <v>1422</v>
      </c>
      <c r="R266" s="183" t="s">
        <v>331</v>
      </c>
      <c r="S266" s="199" t="s">
        <v>191</v>
      </c>
      <c r="T266" s="199" t="s">
        <v>1415</v>
      </c>
      <c r="U266" s="183"/>
      <c r="V266" s="194" t="s">
        <v>1320</v>
      </c>
      <c r="W266" s="182" t="s">
        <v>265</v>
      </c>
      <c r="X266" s="195">
        <v>552.15</v>
      </c>
      <c r="Y266" s="181">
        <f t="shared" si="691"/>
        <v>1104.3</v>
      </c>
      <c r="Z266" s="182" t="s">
        <v>1423</v>
      </c>
      <c r="AA266" s="194">
        <f>2304</f>
        <v>2304</v>
      </c>
      <c r="AB266" s="194">
        <f t="shared" si="622"/>
        <v>0</v>
      </c>
      <c r="AC266" s="183"/>
      <c r="AD266" s="183" t="s">
        <v>114</v>
      </c>
      <c r="AE266" s="182" t="s">
        <v>258</v>
      </c>
      <c r="AF266" s="182" t="s">
        <v>115</v>
      </c>
      <c r="AG266" s="217">
        <f t="shared" si="663"/>
        <v>2304</v>
      </c>
      <c r="AH266" s="217"/>
      <c r="AI266" s="217">
        <f t="shared" si="664"/>
        <v>2304</v>
      </c>
      <c r="AJ266" s="217"/>
      <c r="AK266" s="217">
        <f t="shared" si="702"/>
        <v>2304</v>
      </c>
      <c r="AL266" s="217"/>
      <c r="AM266" s="217"/>
      <c r="AN266" s="217"/>
      <c r="AO266" s="217">
        <f t="shared" si="699"/>
        <v>2304</v>
      </c>
      <c r="AP266" s="217"/>
      <c r="AQ266" s="217"/>
      <c r="AR266" s="217"/>
      <c r="AS266" s="217"/>
      <c r="AT266" s="217"/>
      <c r="AU266" s="217"/>
      <c r="AV266" s="217">
        <f t="shared" si="703"/>
        <v>192</v>
      </c>
      <c r="AW266" s="217"/>
      <c r="AX266" s="217"/>
      <c r="AY266" s="217"/>
      <c r="AZ266" s="217"/>
      <c r="BA266" s="217"/>
      <c r="BB266" s="217"/>
      <c r="BC266" s="217"/>
      <c r="BD266" s="217"/>
      <c r="BE266" s="217"/>
      <c r="BF266" s="217"/>
      <c r="BG266" s="217"/>
      <c r="BH266" s="217"/>
      <c r="BI266" s="217"/>
      <c r="BJ266" s="227">
        <f t="shared" ref="BJ266:BR266" si="708">$I266*BJ$2</f>
        <v>281.999999999999</v>
      </c>
      <c r="BK266" s="227">
        <f t="shared" si="708"/>
        <v>281.999999999999</v>
      </c>
      <c r="BL266" s="227">
        <f t="shared" si="708"/>
        <v>281.999999999999</v>
      </c>
      <c r="BM266" s="227">
        <f t="shared" si="708"/>
        <v>281.999999999999</v>
      </c>
      <c r="BN266" s="227">
        <f t="shared" si="708"/>
        <v>281.999999999999</v>
      </c>
      <c r="BO266" s="227">
        <f t="shared" si="708"/>
        <v>281.999999999999</v>
      </c>
      <c r="BP266" s="227">
        <f t="shared" si="708"/>
        <v>281.999999999999</v>
      </c>
      <c r="BQ266" s="227">
        <f t="shared" si="708"/>
        <v>281.999999999999</v>
      </c>
      <c r="BR266" s="227">
        <f t="shared" si="708"/>
        <v>47.9999999999999</v>
      </c>
      <c r="BT266" s="60">
        <f t="shared" ref="BT266:CB266" si="709">BT265-BJ266</f>
        <v>32548.5338541668</v>
      </c>
      <c r="BU266" s="60">
        <f t="shared" si="709"/>
        <v>32548.5338541668</v>
      </c>
      <c r="BV266" s="60">
        <f t="shared" si="709"/>
        <v>32548.5338541668</v>
      </c>
      <c r="BW266" s="60">
        <f t="shared" si="709"/>
        <v>32548.5338541668</v>
      </c>
      <c r="BX266" s="60">
        <f t="shared" si="709"/>
        <v>32548.5338541668</v>
      </c>
      <c r="BY266" s="60">
        <f t="shared" si="709"/>
        <v>32548.5338541668</v>
      </c>
      <c r="BZ266" s="60">
        <f t="shared" si="709"/>
        <v>32548.5338541668</v>
      </c>
      <c r="CA266" s="60">
        <f t="shared" si="709"/>
        <v>32548.5338541668</v>
      </c>
      <c r="CB266" s="60">
        <f t="shared" si="709"/>
        <v>5491.72916666668</v>
      </c>
    </row>
    <row r="267" s="139" customFormat="1" ht="27" hidden="1" customHeight="1" spans="1:80">
      <c r="A267" s="155">
        <v>45940</v>
      </c>
      <c r="B267" s="156" t="s">
        <v>326</v>
      </c>
      <c r="C267" s="157" t="s">
        <v>117</v>
      </c>
      <c r="D267" s="158">
        <v>4500181314</v>
      </c>
      <c r="E267" s="305" t="s">
        <v>1424</v>
      </c>
      <c r="F267" s="158" t="s">
        <v>1425</v>
      </c>
      <c r="G267" s="159" t="s">
        <v>258</v>
      </c>
      <c r="H267" s="156" t="s">
        <v>259</v>
      </c>
      <c r="I267" s="181">
        <v>2304</v>
      </c>
      <c r="J267" s="181">
        <v>0</v>
      </c>
      <c r="K267" s="181">
        <v>1152</v>
      </c>
      <c r="L267" s="181">
        <f t="shared" si="553"/>
        <v>2</v>
      </c>
      <c r="M267" s="182">
        <v>45971</v>
      </c>
      <c r="N267" s="182">
        <v>45967</v>
      </c>
      <c r="O267" s="193" t="s">
        <v>1413</v>
      </c>
      <c r="P267" s="183" t="s">
        <v>175</v>
      </c>
      <c r="Q267" s="183" t="s">
        <v>1426</v>
      </c>
      <c r="R267" s="183" t="s">
        <v>331</v>
      </c>
      <c r="S267" s="199" t="s">
        <v>191</v>
      </c>
      <c r="T267" s="199" t="s">
        <v>1427</v>
      </c>
      <c r="U267" s="183"/>
      <c r="V267" s="194" t="s">
        <v>1320</v>
      </c>
      <c r="W267" s="182" t="s">
        <v>265</v>
      </c>
      <c r="X267" s="195">
        <v>555.88</v>
      </c>
      <c r="Y267" s="181">
        <f t="shared" si="691"/>
        <v>1111.76</v>
      </c>
      <c r="Z267" s="182" t="s">
        <v>1428</v>
      </c>
      <c r="AA267" s="194">
        <f>2280+24</f>
        <v>2304</v>
      </c>
      <c r="AB267" s="194">
        <f t="shared" si="622"/>
        <v>0</v>
      </c>
      <c r="AC267" s="183"/>
      <c r="AD267" s="183" t="s">
        <v>114</v>
      </c>
      <c r="AE267" s="182" t="s">
        <v>258</v>
      </c>
      <c r="AF267" s="182" t="s">
        <v>115</v>
      </c>
      <c r="AG267" s="217">
        <f t="shared" si="663"/>
        <v>2304</v>
      </c>
      <c r="AH267" s="217"/>
      <c r="AI267" s="217">
        <f t="shared" si="664"/>
        <v>2304</v>
      </c>
      <c r="AJ267" s="217"/>
      <c r="AK267" s="217">
        <f t="shared" si="702"/>
        <v>2304</v>
      </c>
      <c r="AL267" s="217"/>
      <c r="AM267" s="217"/>
      <c r="AN267" s="217"/>
      <c r="AO267" s="217">
        <f t="shared" si="699"/>
        <v>2304</v>
      </c>
      <c r="AP267" s="217"/>
      <c r="AQ267" s="217"/>
      <c r="AR267" s="217"/>
      <c r="AS267" s="217"/>
      <c r="AT267" s="217"/>
      <c r="AU267" s="217"/>
      <c r="AV267" s="217">
        <f t="shared" si="703"/>
        <v>192</v>
      </c>
      <c r="AW267" s="217"/>
      <c r="AX267" s="217"/>
      <c r="AY267" s="217"/>
      <c r="AZ267" s="217"/>
      <c r="BA267" s="217"/>
      <c r="BB267" s="217"/>
      <c r="BC267" s="217"/>
      <c r="BD267" s="217"/>
      <c r="BE267" s="217"/>
      <c r="BF267" s="217"/>
      <c r="BG267" s="217"/>
      <c r="BH267" s="217"/>
      <c r="BI267" s="217"/>
      <c r="BJ267" s="227">
        <f t="shared" ref="BJ267:BR267" si="710">$I267*BJ$2</f>
        <v>281.999999999999</v>
      </c>
      <c r="BK267" s="227">
        <f t="shared" si="710"/>
        <v>281.999999999999</v>
      </c>
      <c r="BL267" s="227">
        <f t="shared" si="710"/>
        <v>281.999999999999</v>
      </c>
      <c r="BM267" s="227">
        <f t="shared" si="710"/>
        <v>281.999999999999</v>
      </c>
      <c r="BN267" s="227">
        <f t="shared" si="710"/>
        <v>281.999999999999</v>
      </c>
      <c r="BO267" s="227">
        <f t="shared" si="710"/>
        <v>281.999999999999</v>
      </c>
      <c r="BP267" s="227">
        <f t="shared" si="710"/>
        <v>281.999999999999</v>
      </c>
      <c r="BQ267" s="227">
        <f t="shared" si="710"/>
        <v>281.999999999999</v>
      </c>
      <c r="BR267" s="227">
        <f t="shared" si="710"/>
        <v>47.9999999999999</v>
      </c>
      <c r="BT267" s="60">
        <f t="shared" ref="BT267:CB267" si="711">BT266-BJ267</f>
        <v>32266.5338541668</v>
      </c>
      <c r="BU267" s="60">
        <f t="shared" si="711"/>
        <v>32266.5338541668</v>
      </c>
      <c r="BV267" s="60">
        <f t="shared" si="711"/>
        <v>32266.5338541668</v>
      </c>
      <c r="BW267" s="60">
        <f t="shared" si="711"/>
        <v>32266.5338541668</v>
      </c>
      <c r="BX267" s="60">
        <f t="shared" si="711"/>
        <v>32266.5338541668</v>
      </c>
      <c r="BY267" s="60">
        <f t="shared" si="711"/>
        <v>32266.5338541668</v>
      </c>
      <c r="BZ267" s="60">
        <f t="shared" si="711"/>
        <v>32266.5338541668</v>
      </c>
      <c r="CA267" s="60">
        <f t="shared" si="711"/>
        <v>32266.5338541668</v>
      </c>
      <c r="CB267" s="60">
        <f t="shared" si="711"/>
        <v>5443.72916666668</v>
      </c>
    </row>
    <row r="268" s="139" customFormat="1" ht="27" hidden="1" customHeight="1" spans="1:80">
      <c r="A268" s="155">
        <v>45928</v>
      </c>
      <c r="B268" s="156" t="s">
        <v>1429</v>
      </c>
      <c r="C268" s="157" t="s">
        <v>129</v>
      </c>
      <c r="D268" s="158">
        <v>4500180582</v>
      </c>
      <c r="E268" s="157" t="s">
        <v>1430</v>
      </c>
      <c r="F268" s="156" t="s">
        <v>1431</v>
      </c>
      <c r="G268" s="159" t="s">
        <v>78</v>
      </c>
      <c r="H268" s="156" t="s">
        <v>79</v>
      </c>
      <c r="I268" s="181">
        <v>2808</v>
      </c>
      <c r="J268" s="181">
        <v>0</v>
      </c>
      <c r="K268" s="181">
        <v>54</v>
      </c>
      <c r="L268" s="181">
        <f t="shared" si="553"/>
        <v>52</v>
      </c>
      <c r="M268" s="182">
        <v>45975</v>
      </c>
      <c r="N268" s="182">
        <v>45971</v>
      </c>
      <c r="O268" s="183"/>
      <c r="P268" s="183" t="s">
        <v>175</v>
      </c>
      <c r="Q268" s="183" t="s">
        <v>1432</v>
      </c>
      <c r="R268" s="193">
        <v>45943</v>
      </c>
      <c r="S268" s="183" t="s">
        <v>191</v>
      </c>
      <c r="T268" s="293" t="s">
        <v>1433</v>
      </c>
      <c r="U268" s="183"/>
      <c r="V268" s="194" t="s">
        <v>1434</v>
      </c>
      <c r="W268" s="182" t="s">
        <v>1435</v>
      </c>
      <c r="X268" s="195">
        <v>0.7741</v>
      </c>
      <c r="Y268" s="181">
        <f t="shared" ref="Y268:Y286" si="712">X268*I268</f>
        <v>2173.6728</v>
      </c>
      <c r="Z268" s="182" t="s">
        <v>1436</v>
      </c>
      <c r="AA268" s="194">
        <f>2700+108</f>
        <v>2808</v>
      </c>
      <c r="AB268" s="194">
        <f t="shared" si="622"/>
        <v>0</v>
      </c>
      <c r="AC268" s="183" t="s">
        <v>113</v>
      </c>
      <c r="AD268" s="183" t="s">
        <v>114</v>
      </c>
      <c r="AE268" s="182" t="s">
        <v>230</v>
      </c>
      <c r="AF268" s="182" t="s">
        <v>115</v>
      </c>
      <c r="AG268" s="217">
        <f t="shared" si="663"/>
        <v>2808</v>
      </c>
      <c r="AH268" s="217"/>
      <c r="AI268" s="217">
        <f t="shared" si="664"/>
        <v>2808</v>
      </c>
      <c r="AJ268" s="217"/>
      <c r="AK268" s="217"/>
      <c r="AL268" s="217">
        <f t="shared" ref="AL268:AL271" si="713">I268</f>
        <v>2808</v>
      </c>
      <c r="AM268" s="217"/>
      <c r="AN268" s="217"/>
      <c r="AO268" s="217">
        <f t="shared" si="699"/>
        <v>2808</v>
      </c>
      <c r="AP268" s="217"/>
      <c r="AQ268" s="217"/>
      <c r="AR268" s="217"/>
      <c r="AS268" s="217">
        <f>I268/27</f>
        <v>104</v>
      </c>
      <c r="AT268" s="217"/>
      <c r="AU268" s="217"/>
      <c r="AV268" s="217"/>
      <c r="AW268" s="217"/>
      <c r="AX268" s="217"/>
      <c r="AY268" s="217"/>
      <c r="AZ268" s="217"/>
      <c r="BA268" s="217"/>
      <c r="BB268" s="217"/>
      <c r="BC268" s="217"/>
      <c r="BD268" s="217"/>
      <c r="BE268" s="217"/>
      <c r="BF268" s="217"/>
      <c r="BG268" s="217"/>
      <c r="BH268" s="217"/>
      <c r="BI268" s="217"/>
      <c r="BJ268" s="227">
        <f t="shared" ref="BJ268:BR268" si="714">$I268*BJ$2</f>
        <v>343.687499999999</v>
      </c>
      <c r="BK268" s="227">
        <f t="shared" si="714"/>
        <v>343.687499999999</v>
      </c>
      <c r="BL268" s="227">
        <f t="shared" si="714"/>
        <v>343.687499999999</v>
      </c>
      <c r="BM268" s="227">
        <f t="shared" si="714"/>
        <v>343.687499999999</v>
      </c>
      <c r="BN268" s="227">
        <f t="shared" si="714"/>
        <v>343.687499999999</v>
      </c>
      <c r="BO268" s="227">
        <f t="shared" si="714"/>
        <v>343.687499999999</v>
      </c>
      <c r="BP268" s="227">
        <f t="shared" si="714"/>
        <v>343.687499999999</v>
      </c>
      <c r="BQ268" s="227">
        <f t="shared" si="714"/>
        <v>343.687499999999</v>
      </c>
      <c r="BR268" s="227">
        <f t="shared" si="714"/>
        <v>58.4999999999999</v>
      </c>
      <c r="BT268" s="60">
        <f t="shared" ref="BT268:CB268" si="715">BT267-BJ268</f>
        <v>31922.8463541668</v>
      </c>
      <c r="BU268" s="60">
        <f t="shared" si="715"/>
        <v>31922.8463541668</v>
      </c>
      <c r="BV268" s="60">
        <f t="shared" si="715"/>
        <v>31922.8463541668</v>
      </c>
      <c r="BW268" s="60">
        <f t="shared" si="715"/>
        <v>31922.8463541668</v>
      </c>
      <c r="BX268" s="60">
        <f t="shared" si="715"/>
        <v>31922.8463541668</v>
      </c>
      <c r="BY268" s="60">
        <f t="shared" si="715"/>
        <v>31922.8463541668</v>
      </c>
      <c r="BZ268" s="60">
        <f t="shared" si="715"/>
        <v>31922.8463541668</v>
      </c>
      <c r="CA268" s="60">
        <f t="shared" si="715"/>
        <v>31922.8463541668</v>
      </c>
      <c r="CB268" s="60">
        <f t="shared" si="715"/>
        <v>5385.22916666668</v>
      </c>
    </row>
    <row r="269" s="139" customFormat="1" ht="27" hidden="1" customHeight="1" spans="1:80">
      <c r="A269" s="155">
        <v>45930</v>
      </c>
      <c r="B269" s="156" t="s">
        <v>701</v>
      </c>
      <c r="C269" s="157" t="s">
        <v>396</v>
      </c>
      <c r="D269" s="158">
        <v>4500181035</v>
      </c>
      <c r="E269" s="157" t="s">
        <v>1437</v>
      </c>
      <c r="F269" s="156" t="s">
        <v>1438</v>
      </c>
      <c r="G269" s="159" t="s">
        <v>703</v>
      </c>
      <c r="H269" s="156" t="s">
        <v>704</v>
      </c>
      <c r="I269" s="181">
        <v>1040</v>
      </c>
      <c r="J269" s="181">
        <v>0</v>
      </c>
      <c r="K269" s="181">
        <v>1040</v>
      </c>
      <c r="L269" s="181">
        <f t="shared" si="553"/>
        <v>1</v>
      </c>
      <c r="M269" s="182">
        <v>45978</v>
      </c>
      <c r="N269" s="182">
        <v>45974</v>
      </c>
      <c r="O269" s="183"/>
      <c r="P269" s="183" t="s">
        <v>224</v>
      </c>
      <c r="Q269" s="183" t="s">
        <v>1439</v>
      </c>
      <c r="R269" s="192">
        <v>45941</v>
      </c>
      <c r="S269" s="183" t="s">
        <v>80</v>
      </c>
      <c r="T269" s="198" t="s">
        <v>706</v>
      </c>
      <c r="U269" s="183"/>
      <c r="V269" s="194" t="s">
        <v>1440</v>
      </c>
      <c r="W269" s="182" t="s">
        <v>1207</v>
      </c>
      <c r="X269" s="195">
        <v>824.6621</v>
      </c>
      <c r="Y269" s="181">
        <f>X269*L269</f>
        <v>824.6621</v>
      </c>
      <c r="Z269" s="182" t="s">
        <v>1441</v>
      </c>
      <c r="AA269" s="194">
        <f>1027+13</f>
        <v>1040</v>
      </c>
      <c r="AB269" s="194">
        <f t="shared" si="622"/>
        <v>0</v>
      </c>
      <c r="AC269" s="183"/>
      <c r="AD269" s="183" t="s">
        <v>114</v>
      </c>
      <c r="AE269" s="182" t="s">
        <v>703</v>
      </c>
      <c r="AF269" s="182" t="s">
        <v>115</v>
      </c>
      <c r="AG269" s="217">
        <f t="shared" si="663"/>
        <v>1040</v>
      </c>
      <c r="AH269" s="217"/>
      <c r="AI269" s="217">
        <f t="shared" si="664"/>
        <v>1040</v>
      </c>
      <c r="AJ269" s="217"/>
      <c r="AK269" s="217">
        <f t="shared" ref="AK269:AK279" si="716">I269</f>
        <v>1040</v>
      </c>
      <c r="AL269" s="217"/>
      <c r="AM269" s="217"/>
      <c r="AN269" s="217"/>
      <c r="AO269" s="217">
        <f t="shared" si="699"/>
        <v>1040</v>
      </c>
      <c r="AP269" s="217"/>
      <c r="AQ269" s="217"/>
      <c r="AR269" s="217"/>
      <c r="AS269" s="217"/>
      <c r="AT269" s="217">
        <f>I269/13</f>
        <v>80</v>
      </c>
      <c r="AU269" s="217"/>
      <c r="AV269" s="217"/>
      <c r="AW269" s="217"/>
      <c r="AX269" s="217"/>
      <c r="AY269" s="217"/>
      <c r="AZ269" s="217"/>
      <c r="BA269" s="217"/>
      <c r="BB269" s="217"/>
      <c r="BC269" s="217"/>
      <c r="BD269" s="217"/>
      <c r="BE269" s="217"/>
      <c r="BF269" s="217"/>
      <c r="BG269" s="217"/>
      <c r="BH269" s="217"/>
      <c r="BI269" s="217"/>
      <c r="BJ269" s="227">
        <f t="shared" ref="BJ269:BR269" si="717">$I269*BJ$2</f>
        <v>127.291666666666</v>
      </c>
      <c r="BK269" s="227">
        <f t="shared" si="717"/>
        <v>127.291666666666</v>
      </c>
      <c r="BL269" s="227">
        <f t="shared" si="717"/>
        <v>127.291666666666</v>
      </c>
      <c r="BM269" s="227">
        <f t="shared" si="717"/>
        <v>127.291666666666</v>
      </c>
      <c r="BN269" s="227">
        <f t="shared" si="717"/>
        <v>127.291666666666</v>
      </c>
      <c r="BO269" s="227">
        <f t="shared" si="717"/>
        <v>127.291666666666</v>
      </c>
      <c r="BP269" s="227">
        <f t="shared" si="717"/>
        <v>127.291666666666</v>
      </c>
      <c r="BQ269" s="227">
        <f t="shared" si="717"/>
        <v>127.291666666666</v>
      </c>
      <c r="BR269" s="227">
        <f t="shared" si="717"/>
        <v>21.6666666666666</v>
      </c>
      <c r="BT269" s="60">
        <f t="shared" ref="BT269:CB269" si="718">BT268-BJ269</f>
        <v>31795.5546875001</v>
      </c>
      <c r="BU269" s="60">
        <f t="shared" si="718"/>
        <v>31795.5546875001</v>
      </c>
      <c r="BV269" s="60">
        <f t="shared" si="718"/>
        <v>31795.5546875001</v>
      </c>
      <c r="BW269" s="60">
        <f t="shared" si="718"/>
        <v>31795.5546875001</v>
      </c>
      <c r="BX269" s="60">
        <f t="shared" si="718"/>
        <v>31795.5546875001</v>
      </c>
      <c r="BY269" s="60">
        <f t="shared" si="718"/>
        <v>31795.5546875001</v>
      </c>
      <c r="BZ269" s="60">
        <f t="shared" si="718"/>
        <v>31795.5546875001</v>
      </c>
      <c r="CA269" s="60">
        <f t="shared" si="718"/>
        <v>31795.5546875001</v>
      </c>
      <c r="CB269" s="60">
        <f t="shared" si="718"/>
        <v>5363.56250000001</v>
      </c>
    </row>
    <row r="270" s="139" customFormat="1" ht="27" hidden="1" customHeight="1" spans="1:80">
      <c r="A270" s="155">
        <v>45912</v>
      </c>
      <c r="B270" s="156" t="s">
        <v>795</v>
      </c>
      <c r="C270" s="157" t="s">
        <v>574</v>
      </c>
      <c r="D270" s="158">
        <v>4500179449</v>
      </c>
      <c r="E270" s="157">
        <v>5251218171</v>
      </c>
      <c r="F270" s="156" t="s">
        <v>1442</v>
      </c>
      <c r="G270" s="159" t="s">
        <v>131</v>
      </c>
      <c r="H270" s="156" t="s">
        <v>132</v>
      </c>
      <c r="I270" s="181">
        <v>8154</v>
      </c>
      <c r="J270" s="181">
        <v>0</v>
      </c>
      <c r="K270" s="181">
        <v>27</v>
      </c>
      <c r="L270" s="181">
        <f t="shared" ref="L270:L310" si="719">I270/K270</f>
        <v>302</v>
      </c>
      <c r="M270" s="182">
        <v>45981</v>
      </c>
      <c r="N270" s="182">
        <v>45976</v>
      </c>
      <c r="O270" s="183"/>
      <c r="P270" s="183" t="s">
        <v>107</v>
      </c>
      <c r="Q270" s="183" t="s">
        <v>1443</v>
      </c>
      <c r="R270" s="192">
        <v>45946</v>
      </c>
      <c r="S270" s="193" t="s">
        <v>80</v>
      </c>
      <c r="T270" s="183" t="s">
        <v>1444</v>
      </c>
      <c r="U270" s="200" t="s">
        <v>1445</v>
      </c>
      <c r="V270" s="194" t="s">
        <v>1446</v>
      </c>
      <c r="W270" s="182" t="s">
        <v>581</v>
      </c>
      <c r="X270" s="195">
        <v>0.7684</v>
      </c>
      <c r="Y270" s="181">
        <f t="shared" si="712"/>
        <v>6265.5336</v>
      </c>
      <c r="Z270" s="182" t="s">
        <v>1447</v>
      </c>
      <c r="AA270" s="194">
        <f>8100+54</f>
        <v>8154</v>
      </c>
      <c r="AB270" s="194">
        <f t="shared" si="622"/>
        <v>0</v>
      </c>
      <c r="AC270" s="183" t="s">
        <v>113</v>
      </c>
      <c r="AD270" s="183" t="s">
        <v>114</v>
      </c>
      <c r="AE270" s="182" t="s">
        <v>434</v>
      </c>
      <c r="AF270" s="182" t="s">
        <v>115</v>
      </c>
      <c r="AG270" s="217">
        <f t="shared" si="663"/>
        <v>8154</v>
      </c>
      <c r="AH270" s="217"/>
      <c r="AI270" s="217">
        <f t="shared" si="664"/>
        <v>8154</v>
      </c>
      <c r="AJ270" s="217"/>
      <c r="AK270" s="217"/>
      <c r="AL270" s="217">
        <f t="shared" si="713"/>
        <v>8154</v>
      </c>
      <c r="AM270" s="217"/>
      <c r="AN270" s="217"/>
      <c r="AO270" s="217">
        <f t="shared" si="699"/>
        <v>8154</v>
      </c>
      <c r="AP270" s="217"/>
      <c r="AQ270" s="217"/>
      <c r="AR270" s="217"/>
      <c r="AS270" s="217">
        <f>I270/27</f>
        <v>302</v>
      </c>
      <c r="AT270" s="217"/>
      <c r="AU270" s="217"/>
      <c r="AV270" s="217"/>
      <c r="AW270" s="217"/>
      <c r="AX270" s="217"/>
      <c r="AY270" s="217"/>
      <c r="AZ270" s="217"/>
      <c r="BA270" s="217"/>
      <c r="BB270" s="217"/>
      <c r="BC270" s="217"/>
      <c r="BD270" s="217"/>
      <c r="BE270" s="217"/>
      <c r="BF270" s="217"/>
      <c r="BG270" s="217"/>
      <c r="BH270" s="217"/>
      <c r="BI270" s="217"/>
      <c r="BJ270" s="227">
        <f t="shared" ref="BJ270:BR270" si="720">$I270*BJ$2</f>
        <v>998.015624999997</v>
      </c>
      <c r="BK270" s="227">
        <f t="shared" si="720"/>
        <v>998.015624999997</v>
      </c>
      <c r="BL270" s="227">
        <f t="shared" si="720"/>
        <v>998.015624999997</v>
      </c>
      <c r="BM270" s="227">
        <f t="shared" si="720"/>
        <v>998.015624999997</v>
      </c>
      <c r="BN270" s="227">
        <f t="shared" si="720"/>
        <v>998.015624999997</v>
      </c>
      <c r="BO270" s="227">
        <f t="shared" si="720"/>
        <v>998.015624999997</v>
      </c>
      <c r="BP270" s="227">
        <f t="shared" si="720"/>
        <v>998.015624999997</v>
      </c>
      <c r="BQ270" s="227">
        <f t="shared" si="720"/>
        <v>998.015624999997</v>
      </c>
      <c r="BR270" s="227">
        <f t="shared" si="720"/>
        <v>169.875</v>
      </c>
      <c r="BT270" s="60">
        <f t="shared" ref="BT270:CB270" si="721">BT269-BJ270</f>
        <v>30797.5390625001</v>
      </c>
      <c r="BU270" s="60">
        <f t="shared" si="721"/>
        <v>30797.5390625001</v>
      </c>
      <c r="BV270" s="60">
        <f t="shared" si="721"/>
        <v>30797.5390625001</v>
      </c>
      <c r="BW270" s="60">
        <f t="shared" si="721"/>
        <v>30797.5390625001</v>
      </c>
      <c r="BX270" s="60">
        <f t="shared" si="721"/>
        <v>30797.5390625001</v>
      </c>
      <c r="BY270" s="60">
        <f t="shared" si="721"/>
        <v>30797.5390625001</v>
      </c>
      <c r="BZ270" s="60">
        <f t="shared" si="721"/>
        <v>30797.5390625001</v>
      </c>
      <c r="CA270" s="60">
        <f t="shared" si="721"/>
        <v>30797.5390625001</v>
      </c>
      <c r="CB270" s="60">
        <f t="shared" si="721"/>
        <v>5193.68750000001</v>
      </c>
    </row>
    <row r="271" s="234" customFormat="1" ht="27" hidden="1" customHeight="1" spans="1:80">
      <c r="A271" s="236">
        <v>45941</v>
      </c>
      <c r="B271" s="237" t="s">
        <v>1448</v>
      </c>
      <c r="C271" s="238" t="s">
        <v>311</v>
      </c>
      <c r="D271" s="239">
        <v>4500181278</v>
      </c>
      <c r="E271" s="238">
        <v>5200007921</v>
      </c>
      <c r="F271" s="237" t="s">
        <v>1449</v>
      </c>
      <c r="G271" s="240" t="s">
        <v>313</v>
      </c>
      <c r="H271" s="237" t="s">
        <v>153</v>
      </c>
      <c r="I271" s="247">
        <v>1157</v>
      </c>
      <c r="J271" s="247">
        <v>0</v>
      </c>
      <c r="K271" s="247">
        <v>13</v>
      </c>
      <c r="L271" s="247">
        <f t="shared" si="719"/>
        <v>89</v>
      </c>
      <c r="M271" s="248">
        <v>45981</v>
      </c>
      <c r="N271" s="248">
        <v>45978</v>
      </c>
      <c r="O271" s="212"/>
      <c r="P271" s="212" t="s">
        <v>107</v>
      </c>
      <c r="Q271" s="212" t="s">
        <v>1432</v>
      </c>
      <c r="R271" s="289">
        <v>45947</v>
      </c>
      <c r="S271" s="212" t="s">
        <v>80</v>
      </c>
      <c r="T271" s="294" t="s">
        <v>1450</v>
      </c>
      <c r="U271" s="212"/>
      <c r="V271" s="259" t="s">
        <v>1451</v>
      </c>
      <c r="W271" s="248" t="s">
        <v>1452</v>
      </c>
      <c r="X271" s="260">
        <v>0.7758</v>
      </c>
      <c r="Y271" s="247">
        <f t="shared" si="712"/>
        <v>897.6006</v>
      </c>
      <c r="Z271" s="248" t="s">
        <v>1453</v>
      </c>
      <c r="AA271" s="259">
        <v>1157</v>
      </c>
      <c r="AB271" s="259">
        <f t="shared" si="622"/>
        <v>0</v>
      </c>
      <c r="AC271" s="212" t="s">
        <v>113</v>
      </c>
      <c r="AD271" s="212" t="s">
        <v>114</v>
      </c>
      <c r="AE271" s="248" t="s">
        <v>319</v>
      </c>
      <c r="AF271" s="248" t="s">
        <v>115</v>
      </c>
      <c r="AG271" s="267">
        <f t="shared" si="663"/>
        <v>1157</v>
      </c>
      <c r="AH271" s="267"/>
      <c r="AI271" s="267">
        <f t="shared" si="664"/>
        <v>1157</v>
      </c>
      <c r="AJ271" s="267"/>
      <c r="AK271" s="267"/>
      <c r="AL271" s="267">
        <f t="shared" si="713"/>
        <v>1157</v>
      </c>
      <c r="AM271" s="267"/>
      <c r="AN271" s="267"/>
      <c r="AO271" s="267">
        <f t="shared" si="699"/>
        <v>1157</v>
      </c>
      <c r="AP271" s="267"/>
      <c r="AQ271" s="267"/>
      <c r="AR271" s="267"/>
      <c r="AS271" s="267"/>
      <c r="AT271" s="267"/>
      <c r="AU271" s="267">
        <f>I271/13</f>
        <v>89</v>
      </c>
      <c r="AV271" s="267"/>
      <c r="AW271" s="267"/>
      <c r="AX271" s="267"/>
      <c r="AY271" s="267"/>
      <c r="AZ271" s="267"/>
      <c r="BA271" s="267"/>
      <c r="BB271" s="267"/>
      <c r="BC271" s="267"/>
      <c r="BD271" s="267"/>
      <c r="BE271" s="267"/>
      <c r="BF271" s="267"/>
      <c r="BG271" s="267"/>
      <c r="BH271" s="267"/>
      <c r="BI271" s="267"/>
      <c r="BJ271" s="269">
        <f t="shared" ref="BJ271:BR271" si="722">$I271*BJ$2</f>
        <v>141.611979166666</v>
      </c>
      <c r="BK271" s="269">
        <f t="shared" si="722"/>
        <v>141.611979166666</v>
      </c>
      <c r="BL271" s="269">
        <f t="shared" si="722"/>
        <v>141.611979166666</v>
      </c>
      <c r="BM271" s="269">
        <f t="shared" si="722"/>
        <v>141.611979166666</v>
      </c>
      <c r="BN271" s="269">
        <f t="shared" si="722"/>
        <v>141.611979166666</v>
      </c>
      <c r="BO271" s="269">
        <f t="shared" si="722"/>
        <v>141.611979166666</v>
      </c>
      <c r="BP271" s="269">
        <f t="shared" si="722"/>
        <v>141.611979166666</v>
      </c>
      <c r="BQ271" s="269">
        <f t="shared" si="722"/>
        <v>141.611979166666</v>
      </c>
      <c r="BR271" s="269">
        <f t="shared" si="722"/>
        <v>24.1041666666666</v>
      </c>
      <c r="BT271" s="60">
        <f t="shared" ref="BT271:CB271" si="723">BT270-BJ271</f>
        <v>30655.9270833335</v>
      </c>
      <c r="BU271" s="60">
        <f t="shared" si="723"/>
        <v>30655.9270833335</v>
      </c>
      <c r="BV271" s="60">
        <f t="shared" si="723"/>
        <v>30655.9270833335</v>
      </c>
      <c r="BW271" s="60">
        <f t="shared" si="723"/>
        <v>30655.9270833335</v>
      </c>
      <c r="BX271" s="60">
        <f t="shared" si="723"/>
        <v>30655.9270833335</v>
      </c>
      <c r="BY271" s="60">
        <f t="shared" si="723"/>
        <v>30655.9270833335</v>
      </c>
      <c r="BZ271" s="60">
        <f t="shared" si="723"/>
        <v>30655.9270833335</v>
      </c>
      <c r="CA271" s="60">
        <f t="shared" si="723"/>
        <v>30655.9270833335</v>
      </c>
      <c r="CB271" s="60">
        <f t="shared" si="723"/>
        <v>5169.58333333334</v>
      </c>
    </row>
    <row r="272" s="234" customFormat="1" ht="27" hidden="1" customHeight="1" spans="1:80">
      <c r="A272" s="236">
        <v>45952</v>
      </c>
      <c r="B272" s="237" t="s">
        <v>1454</v>
      </c>
      <c r="C272" s="238" t="s">
        <v>117</v>
      </c>
      <c r="D272" s="239">
        <v>4500182659</v>
      </c>
      <c r="E272" s="238" t="s">
        <v>1455</v>
      </c>
      <c r="F272" s="237" t="s">
        <v>1456</v>
      </c>
      <c r="G272" s="240" t="s">
        <v>152</v>
      </c>
      <c r="H272" s="237" t="s">
        <v>153</v>
      </c>
      <c r="I272" s="247">
        <v>1573</v>
      </c>
      <c r="J272" s="247">
        <v>0</v>
      </c>
      <c r="K272" s="247">
        <v>13</v>
      </c>
      <c r="L272" s="247">
        <f t="shared" si="719"/>
        <v>121</v>
      </c>
      <c r="M272" s="248">
        <v>45985</v>
      </c>
      <c r="N272" s="248">
        <v>45981</v>
      </c>
      <c r="O272" s="212"/>
      <c r="P272" s="212" t="s">
        <v>107</v>
      </c>
      <c r="Q272" s="212" t="s">
        <v>1457</v>
      </c>
      <c r="R272" s="289">
        <v>45952</v>
      </c>
      <c r="S272" s="212" t="s">
        <v>80</v>
      </c>
      <c r="T272" s="212" t="s">
        <v>80</v>
      </c>
      <c r="U272" s="295"/>
      <c r="V272" s="259" t="s">
        <v>1458</v>
      </c>
      <c r="W272" s="248" t="s">
        <v>587</v>
      </c>
      <c r="X272" s="260">
        <v>0.4759</v>
      </c>
      <c r="Y272" s="247">
        <f t="shared" si="712"/>
        <v>748.5907</v>
      </c>
      <c r="Z272" s="248" t="s">
        <v>1459</v>
      </c>
      <c r="AA272" s="259">
        <f>1534+39</f>
        <v>1573</v>
      </c>
      <c r="AB272" s="259">
        <f t="shared" si="622"/>
        <v>0</v>
      </c>
      <c r="AC272" s="212" t="s">
        <v>80</v>
      </c>
      <c r="AD272" s="212" t="s">
        <v>114</v>
      </c>
      <c r="AE272" s="248" t="s">
        <v>152</v>
      </c>
      <c r="AF272" s="248" t="s">
        <v>115</v>
      </c>
      <c r="AG272" s="267">
        <f t="shared" si="663"/>
        <v>1573</v>
      </c>
      <c r="AH272" s="267"/>
      <c r="AI272" s="267">
        <f t="shared" si="664"/>
        <v>1573</v>
      </c>
      <c r="AJ272" s="267"/>
      <c r="AK272" s="267">
        <f t="shared" si="716"/>
        <v>1573</v>
      </c>
      <c r="AL272" s="267"/>
      <c r="AM272" s="267"/>
      <c r="AN272" s="267"/>
      <c r="AO272" s="267">
        <f t="shared" si="699"/>
        <v>1573</v>
      </c>
      <c r="AP272" s="267"/>
      <c r="AQ272" s="267"/>
      <c r="AR272" s="267"/>
      <c r="AS272" s="267"/>
      <c r="AT272" s="267">
        <f t="shared" ref="AT272:AT279" si="724">I272/13</f>
        <v>121</v>
      </c>
      <c r="AU272" s="267"/>
      <c r="AV272" s="267"/>
      <c r="AW272" s="267"/>
      <c r="AX272" s="267"/>
      <c r="AY272" s="267"/>
      <c r="AZ272" s="267"/>
      <c r="BA272" s="267"/>
      <c r="BB272" s="267"/>
      <c r="BC272" s="267"/>
      <c r="BD272" s="267"/>
      <c r="BE272" s="267"/>
      <c r="BF272" s="267"/>
      <c r="BG272" s="267"/>
      <c r="BH272" s="267"/>
      <c r="BI272" s="267"/>
      <c r="BJ272" s="269">
        <f t="shared" ref="BJ272:BR272" si="725">$I272*BJ$2</f>
        <v>192.528645833333</v>
      </c>
      <c r="BK272" s="269">
        <f t="shared" si="725"/>
        <v>192.528645833333</v>
      </c>
      <c r="BL272" s="269">
        <f t="shared" si="725"/>
        <v>192.528645833333</v>
      </c>
      <c r="BM272" s="269">
        <f t="shared" si="725"/>
        <v>192.528645833333</v>
      </c>
      <c r="BN272" s="269">
        <f t="shared" si="725"/>
        <v>192.528645833333</v>
      </c>
      <c r="BO272" s="269">
        <f t="shared" si="725"/>
        <v>192.528645833333</v>
      </c>
      <c r="BP272" s="269">
        <f t="shared" si="725"/>
        <v>192.528645833333</v>
      </c>
      <c r="BQ272" s="269">
        <f t="shared" si="725"/>
        <v>192.528645833333</v>
      </c>
      <c r="BR272" s="269">
        <f t="shared" si="725"/>
        <v>32.7708333333333</v>
      </c>
      <c r="BT272" s="60">
        <f t="shared" ref="BT272:CB272" si="726">BT271-BJ272</f>
        <v>30463.3984375001</v>
      </c>
      <c r="BU272" s="60">
        <f t="shared" si="726"/>
        <v>30463.3984375001</v>
      </c>
      <c r="BV272" s="60">
        <f t="shared" si="726"/>
        <v>30463.3984375001</v>
      </c>
      <c r="BW272" s="60">
        <f t="shared" si="726"/>
        <v>30463.3984375001</v>
      </c>
      <c r="BX272" s="60">
        <f t="shared" si="726"/>
        <v>30463.3984375001</v>
      </c>
      <c r="BY272" s="60">
        <f t="shared" si="726"/>
        <v>30463.3984375001</v>
      </c>
      <c r="BZ272" s="60">
        <f t="shared" si="726"/>
        <v>30463.3984375001</v>
      </c>
      <c r="CA272" s="60">
        <f t="shared" si="726"/>
        <v>30463.3984375001</v>
      </c>
      <c r="CB272" s="60">
        <f t="shared" si="726"/>
        <v>5136.81250000001</v>
      </c>
    </row>
    <row r="273" s="234" customFormat="1" ht="27" hidden="1" customHeight="1" spans="1:80">
      <c r="A273" s="236">
        <v>45918</v>
      </c>
      <c r="B273" s="237" t="s">
        <v>1460</v>
      </c>
      <c r="C273" s="238" t="s">
        <v>117</v>
      </c>
      <c r="D273" s="239">
        <v>4500179796</v>
      </c>
      <c r="E273" s="238" t="s">
        <v>1461</v>
      </c>
      <c r="F273" s="237" t="s">
        <v>1462</v>
      </c>
      <c r="G273" s="240" t="s">
        <v>78</v>
      </c>
      <c r="H273" s="237" t="s">
        <v>79</v>
      </c>
      <c r="I273" s="247">
        <v>1242</v>
      </c>
      <c r="J273" s="247">
        <v>0</v>
      </c>
      <c r="K273" s="247">
        <v>54</v>
      </c>
      <c r="L273" s="247">
        <f t="shared" si="719"/>
        <v>23</v>
      </c>
      <c r="M273" s="248">
        <v>45989</v>
      </c>
      <c r="N273" s="248">
        <v>45985</v>
      </c>
      <c r="O273" s="212"/>
      <c r="P273" s="212" t="s">
        <v>107</v>
      </c>
      <c r="Q273" s="212" t="s">
        <v>1463</v>
      </c>
      <c r="R273" s="289">
        <v>45954</v>
      </c>
      <c r="S273" s="212" t="s">
        <v>80</v>
      </c>
      <c r="T273" s="212" t="s">
        <v>1464</v>
      </c>
      <c r="U273" s="212"/>
      <c r="V273" s="259" t="s">
        <v>1465</v>
      </c>
      <c r="W273" s="248" t="s">
        <v>735</v>
      </c>
      <c r="X273" s="260">
        <v>0.4748</v>
      </c>
      <c r="Y273" s="247">
        <f t="shared" si="712"/>
        <v>589.7016</v>
      </c>
      <c r="Z273" s="248"/>
      <c r="AA273" s="259">
        <f>1134+108</f>
        <v>1242</v>
      </c>
      <c r="AB273" s="259">
        <f t="shared" si="622"/>
        <v>0</v>
      </c>
      <c r="AC273" s="212" t="s">
        <v>113</v>
      </c>
      <c r="AD273" s="212" t="s">
        <v>114</v>
      </c>
      <c r="AE273" s="248" t="s">
        <v>78</v>
      </c>
      <c r="AF273" s="248" t="s">
        <v>115</v>
      </c>
      <c r="AG273" s="267">
        <f t="shared" si="663"/>
        <v>1242</v>
      </c>
      <c r="AH273" s="267"/>
      <c r="AI273" s="267">
        <f t="shared" si="664"/>
        <v>1242</v>
      </c>
      <c r="AJ273" s="267"/>
      <c r="AK273" s="267">
        <f t="shared" si="716"/>
        <v>1242</v>
      </c>
      <c r="AL273" s="267"/>
      <c r="AM273" s="267"/>
      <c r="AN273" s="267"/>
      <c r="AO273" s="267">
        <f t="shared" si="699"/>
        <v>1242</v>
      </c>
      <c r="AP273" s="267"/>
      <c r="AQ273" s="267">
        <f>I273/27</f>
        <v>46</v>
      </c>
      <c r="AR273" s="267"/>
      <c r="AS273" s="267"/>
      <c r="AT273" s="267"/>
      <c r="AU273" s="267"/>
      <c r="AV273" s="267"/>
      <c r="AW273" s="267"/>
      <c r="AX273" s="267"/>
      <c r="AY273" s="267"/>
      <c r="AZ273" s="267"/>
      <c r="BA273" s="267"/>
      <c r="BB273" s="267"/>
      <c r="BC273" s="267"/>
      <c r="BD273" s="267"/>
      <c r="BE273" s="267"/>
      <c r="BF273" s="267"/>
      <c r="BG273" s="267"/>
      <c r="BH273" s="267"/>
      <c r="BI273" s="267"/>
      <c r="BJ273" s="269">
        <f t="shared" ref="BJ273:BR273" si="727">$I273*BJ$2</f>
        <v>152.015625</v>
      </c>
      <c r="BK273" s="269">
        <f t="shared" si="727"/>
        <v>152.015625</v>
      </c>
      <c r="BL273" s="269">
        <f t="shared" si="727"/>
        <v>152.015625</v>
      </c>
      <c r="BM273" s="269">
        <f t="shared" si="727"/>
        <v>152.015625</v>
      </c>
      <c r="BN273" s="269">
        <f t="shared" si="727"/>
        <v>152.015625</v>
      </c>
      <c r="BO273" s="269">
        <f t="shared" si="727"/>
        <v>152.015625</v>
      </c>
      <c r="BP273" s="269">
        <f t="shared" si="727"/>
        <v>152.015625</v>
      </c>
      <c r="BQ273" s="269">
        <f t="shared" si="727"/>
        <v>152.015625</v>
      </c>
      <c r="BR273" s="269">
        <f t="shared" si="727"/>
        <v>25.875</v>
      </c>
      <c r="BT273" s="60">
        <f t="shared" ref="BT273:CB273" si="728">BT272-BJ273</f>
        <v>30311.3828125001</v>
      </c>
      <c r="BU273" s="60">
        <f t="shared" si="728"/>
        <v>30311.3828125001</v>
      </c>
      <c r="BV273" s="60">
        <f t="shared" si="728"/>
        <v>30311.3828125001</v>
      </c>
      <c r="BW273" s="60">
        <f t="shared" si="728"/>
        <v>30311.3828125001</v>
      </c>
      <c r="BX273" s="60">
        <f t="shared" si="728"/>
        <v>30311.3828125001</v>
      </c>
      <c r="BY273" s="60">
        <f t="shared" si="728"/>
        <v>30311.3828125001</v>
      </c>
      <c r="BZ273" s="60">
        <f t="shared" si="728"/>
        <v>30311.3828125001</v>
      </c>
      <c r="CA273" s="60">
        <f t="shared" si="728"/>
        <v>30311.3828125001</v>
      </c>
      <c r="CB273" s="60">
        <f t="shared" si="728"/>
        <v>5110.93750000001</v>
      </c>
    </row>
    <row r="274" s="234" customFormat="1" ht="27" hidden="1" customHeight="1" spans="1:80">
      <c r="A274" s="236">
        <v>45953</v>
      </c>
      <c r="B274" s="237" t="s">
        <v>652</v>
      </c>
      <c r="C274" s="238" t="s">
        <v>521</v>
      </c>
      <c r="D274" s="239">
        <v>4500181881</v>
      </c>
      <c r="E274" s="238"/>
      <c r="F274" s="237" t="s">
        <v>1466</v>
      </c>
      <c r="G274" s="240" t="s">
        <v>86</v>
      </c>
      <c r="H274" s="237" t="s">
        <v>87</v>
      </c>
      <c r="I274" s="247">
        <v>360</v>
      </c>
      <c r="J274" s="247">
        <v>0</v>
      </c>
      <c r="K274" s="247">
        <v>24</v>
      </c>
      <c r="L274" s="247">
        <f t="shared" si="719"/>
        <v>15</v>
      </c>
      <c r="M274" s="248">
        <v>45991</v>
      </c>
      <c r="N274" s="248">
        <v>45987</v>
      </c>
      <c r="O274" s="212"/>
      <c r="P274" s="212" t="s">
        <v>224</v>
      </c>
      <c r="Q274" s="212" t="s">
        <v>1467</v>
      </c>
      <c r="R274" s="289">
        <v>45950</v>
      </c>
      <c r="S274" s="275" t="s">
        <v>80</v>
      </c>
      <c r="T274" s="212" t="s">
        <v>1468</v>
      </c>
      <c r="U274" s="212"/>
      <c r="V274" s="296" t="s">
        <v>1469</v>
      </c>
      <c r="W274" s="248" t="s">
        <v>657</v>
      </c>
      <c r="X274" s="260">
        <v>0.7564</v>
      </c>
      <c r="Y274" s="247">
        <f t="shared" si="712"/>
        <v>272.304</v>
      </c>
      <c r="Z274" s="248" t="s">
        <v>1470</v>
      </c>
      <c r="AA274" s="259">
        <v>360</v>
      </c>
      <c r="AB274" s="259">
        <f t="shared" si="622"/>
        <v>0</v>
      </c>
      <c r="AC274" s="212" t="s">
        <v>113</v>
      </c>
      <c r="AD274" s="212" t="s">
        <v>114</v>
      </c>
      <c r="AE274" s="240" t="s">
        <v>86</v>
      </c>
      <c r="AF274" s="248" t="s">
        <v>115</v>
      </c>
      <c r="AG274" s="267">
        <f t="shared" si="663"/>
        <v>360</v>
      </c>
      <c r="AH274" s="267"/>
      <c r="AI274" s="267">
        <f t="shared" si="664"/>
        <v>360</v>
      </c>
      <c r="AJ274" s="267"/>
      <c r="AK274" s="267">
        <f t="shared" si="716"/>
        <v>360</v>
      </c>
      <c r="AL274" s="267"/>
      <c r="AM274" s="267"/>
      <c r="AN274" s="267"/>
      <c r="AO274" s="267">
        <f t="shared" si="699"/>
        <v>360</v>
      </c>
      <c r="AP274" s="267"/>
      <c r="AQ274" s="267"/>
      <c r="AR274" s="267"/>
      <c r="AS274" s="267"/>
      <c r="AT274" s="267"/>
      <c r="AU274" s="267"/>
      <c r="AV274" s="267"/>
      <c r="AW274" s="267"/>
      <c r="AX274" s="267"/>
      <c r="AY274" s="267"/>
      <c r="AZ274" s="267"/>
      <c r="BA274" s="267"/>
      <c r="BB274" s="267"/>
      <c r="BC274" s="267"/>
      <c r="BD274" s="267"/>
      <c r="BE274" s="267"/>
      <c r="BF274" s="267"/>
      <c r="BG274" s="267"/>
      <c r="BH274" s="267"/>
      <c r="BI274" s="267"/>
      <c r="BJ274" s="269">
        <f t="shared" ref="BJ274:BR274" si="729">$I274*BJ$2</f>
        <v>44.0624999999999</v>
      </c>
      <c r="BK274" s="269">
        <f t="shared" si="729"/>
        <v>44.0624999999999</v>
      </c>
      <c r="BL274" s="269">
        <f t="shared" si="729"/>
        <v>44.0624999999999</v>
      </c>
      <c r="BM274" s="269">
        <f t="shared" si="729"/>
        <v>44.0624999999999</v>
      </c>
      <c r="BN274" s="269">
        <f t="shared" si="729"/>
        <v>44.0624999999999</v>
      </c>
      <c r="BO274" s="269">
        <f t="shared" si="729"/>
        <v>44.0624999999999</v>
      </c>
      <c r="BP274" s="269">
        <f t="shared" si="729"/>
        <v>44.0624999999999</v>
      </c>
      <c r="BQ274" s="269">
        <f t="shared" si="729"/>
        <v>44.0624999999999</v>
      </c>
      <c r="BR274" s="269">
        <f t="shared" si="729"/>
        <v>7.49999999999999</v>
      </c>
      <c r="BT274" s="60">
        <f t="shared" ref="BT274:CB274" si="730">BT273-BJ274</f>
        <v>30267.3203125001</v>
      </c>
      <c r="BU274" s="60">
        <f t="shared" si="730"/>
        <v>30267.3203125001</v>
      </c>
      <c r="BV274" s="60">
        <f t="shared" si="730"/>
        <v>30267.3203125001</v>
      </c>
      <c r="BW274" s="60">
        <f t="shared" si="730"/>
        <v>30267.3203125001</v>
      </c>
      <c r="BX274" s="60">
        <f t="shared" si="730"/>
        <v>30267.3203125001</v>
      </c>
      <c r="BY274" s="60">
        <f t="shared" si="730"/>
        <v>30267.3203125001</v>
      </c>
      <c r="BZ274" s="60">
        <f t="shared" si="730"/>
        <v>30267.3203125001</v>
      </c>
      <c r="CA274" s="60">
        <f t="shared" si="730"/>
        <v>30267.3203125001</v>
      </c>
      <c r="CB274" s="60">
        <f t="shared" si="730"/>
        <v>5103.43750000001</v>
      </c>
    </row>
    <row r="275" s="234" customFormat="1" ht="27" hidden="1" customHeight="1" spans="1:80">
      <c r="A275" s="236">
        <v>45959</v>
      </c>
      <c r="B275" s="237" t="s">
        <v>1471</v>
      </c>
      <c r="C275" s="238" t="s">
        <v>117</v>
      </c>
      <c r="D275" s="239">
        <v>4500182883</v>
      </c>
      <c r="E275" s="238" t="s">
        <v>1472</v>
      </c>
      <c r="F275" s="237" t="s">
        <v>1473</v>
      </c>
      <c r="G275" s="240" t="s">
        <v>152</v>
      </c>
      <c r="H275" s="237" t="s">
        <v>153</v>
      </c>
      <c r="I275" s="247">
        <v>130</v>
      </c>
      <c r="J275" s="247">
        <v>0</v>
      </c>
      <c r="K275" s="247">
        <v>13</v>
      </c>
      <c r="L275" s="247">
        <f t="shared" si="719"/>
        <v>10</v>
      </c>
      <c r="M275" s="248">
        <v>45992</v>
      </c>
      <c r="N275" s="248">
        <f t="shared" ref="N275:N279" si="731">M275-4</f>
        <v>45988</v>
      </c>
      <c r="O275" s="212"/>
      <c r="P275" s="212" t="s">
        <v>224</v>
      </c>
      <c r="Q275" s="212" t="s">
        <v>1474</v>
      </c>
      <c r="R275" s="289">
        <v>45964</v>
      </c>
      <c r="S275" s="212" t="s">
        <v>80</v>
      </c>
      <c r="T275" s="212" t="s">
        <v>80</v>
      </c>
      <c r="U275" s="212"/>
      <c r="V275" s="259" t="s">
        <v>751</v>
      </c>
      <c r="W275" s="248" t="s">
        <v>752</v>
      </c>
      <c r="X275" s="260">
        <v>0.4792</v>
      </c>
      <c r="Y275" s="247">
        <f t="shared" si="712"/>
        <v>62.296</v>
      </c>
      <c r="Z275" s="248"/>
      <c r="AA275" s="259">
        <v>130</v>
      </c>
      <c r="AB275" s="259">
        <f t="shared" si="622"/>
        <v>0</v>
      </c>
      <c r="AC275" s="212" t="s">
        <v>80</v>
      </c>
      <c r="AD275" s="212" t="s">
        <v>114</v>
      </c>
      <c r="AE275" s="248" t="s">
        <v>152</v>
      </c>
      <c r="AF275" s="248" t="s">
        <v>115</v>
      </c>
      <c r="AG275" s="267">
        <f t="shared" si="663"/>
        <v>130</v>
      </c>
      <c r="AH275" s="267"/>
      <c r="AI275" s="267">
        <f t="shared" si="664"/>
        <v>130</v>
      </c>
      <c r="AJ275" s="267"/>
      <c r="AK275" s="267">
        <f t="shared" si="716"/>
        <v>130</v>
      </c>
      <c r="AL275" s="267"/>
      <c r="AM275" s="267"/>
      <c r="AN275" s="267"/>
      <c r="AO275" s="267">
        <f t="shared" si="699"/>
        <v>130</v>
      </c>
      <c r="AP275" s="267"/>
      <c r="AQ275" s="267"/>
      <c r="AR275" s="267"/>
      <c r="AS275" s="267"/>
      <c r="AT275" s="267">
        <f t="shared" si="724"/>
        <v>10</v>
      </c>
      <c r="AU275" s="267"/>
      <c r="AV275" s="267"/>
      <c r="AW275" s="267"/>
      <c r="AX275" s="267"/>
      <c r="AY275" s="267"/>
      <c r="AZ275" s="267"/>
      <c r="BA275" s="267"/>
      <c r="BB275" s="267"/>
      <c r="BC275" s="267"/>
      <c r="BD275" s="267"/>
      <c r="BE275" s="267"/>
      <c r="BF275" s="267"/>
      <c r="BG275" s="267"/>
      <c r="BH275" s="267"/>
      <c r="BI275" s="267"/>
      <c r="BJ275" s="269">
        <f t="shared" ref="BJ275:BR275" si="732">$I275*BJ$2</f>
        <v>15.9114583333333</v>
      </c>
      <c r="BK275" s="269">
        <f t="shared" si="732"/>
        <v>15.9114583333333</v>
      </c>
      <c r="BL275" s="269">
        <f t="shared" si="732"/>
        <v>15.9114583333333</v>
      </c>
      <c r="BM275" s="269">
        <f t="shared" si="732"/>
        <v>15.9114583333333</v>
      </c>
      <c r="BN275" s="269">
        <f t="shared" si="732"/>
        <v>15.9114583333333</v>
      </c>
      <c r="BO275" s="269">
        <f t="shared" si="732"/>
        <v>15.9114583333333</v>
      </c>
      <c r="BP275" s="269">
        <f t="shared" si="732"/>
        <v>15.9114583333333</v>
      </c>
      <c r="BQ275" s="269">
        <f t="shared" si="732"/>
        <v>15.9114583333333</v>
      </c>
      <c r="BR275" s="269">
        <f t="shared" si="732"/>
        <v>2.70833333333333</v>
      </c>
      <c r="BT275" s="60">
        <f t="shared" ref="BT275:CB275" si="733">BT274-BJ275</f>
        <v>30251.4088541668</v>
      </c>
      <c r="BU275" s="60">
        <f t="shared" si="733"/>
        <v>30251.4088541668</v>
      </c>
      <c r="BV275" s="60">
        <f t="shared" si="733"/>
        <v>30251.4088541668</v>
      </c>
      <c r="BW275" s="60">
        <f t="shared" si="733"/>
        <v>30251.4088541668</v>
      </c>
      <c r="BX275" s="60">
        <f t="shared" si="733"/>
        <v>30251.4088541668</v>
      </c>
      <c r="BY275" s="60">
        <f t="shared" si="733"/>
        <v>30251.4088541668</v>
      </c>
      <c r="BZ275" s="60">
        <f t="shared" si="733"/>
        <v>30251.4088541668</v>
      </c>
      <c r="CA275" s="60">
        <f t="shared" si="733"/>
        <v>30251.4088541668</v>
      </c>
      <c r="CB275" s="60">
        <f t="shared" si="733"/>
        <v>5100.72916666668</v>
      </c>
    </row>
    <row r="276" s="234" customFormat="1" ht="27" hidden="1" customHeight="1" spans="1:80">
      <c r="A276" s="236">
        <v>45972</v>
      </c>
      <c r="B276" s="237" t="s">
        <v>582</v>
      </c>
      <c r="C276" s="238" t="s">
        <v>117</v>
      </c>
      <c r="D276" s="239">
        <v>4500185340</v>
      </c>
      <c r="E276" s="238" t="s">
        <v>1475</v>
      </c>
      <c r="F276" s="237" t="s">
        <v>1476</v>
      </c>
      <c r="G276" s="267" t="s">
        <v>152</v>
      </c>
      <c r="H276" s="237" t="s">
        <v>153</v>
      </c>
      <c r="I276" s="247">
        <v>299</v>
      </c>
      <c r="J276" s="247">
        <v>0</v>
      </c>
      <c r="K276" s="247">
        <v>13</v>
      </c>
      <c r="L276" s="247">
        <f t="shared" si="719"/>
        <v>23</v>
      </c>
      <c r="M276" s="248">
        <v>45993</v>
      </c>
      <c r="N276" s="248">
        <f t="shared" si="731"/>
        <v>45989</v>
      </c>
      <c r="O276" s="212"/>
      <c r="P276" s="212" t="s">
        <v>107</v>
      </c>
      <c r="Q276" s="212" t="s">
        <v>1477</v>
      </c>
      <c r="R276" s="289">
        <v>45972</v>
      </c>
      <c r="S276" s="212" t="s">
        <v>80</v>
      </c>
      <c r="T276" s="212" t="s">
        <v>80</v>
      </c>
      <c r="U276" s="212" t="s">
        <v>1478</v>
      </c>
      <c r="V276" s="259" t="s">
        <v>1479</v>
      </c>
      <c r="W276" s="248" t="s">
        <v>587</v>
      </c>
      <c r="X276" s="260">
        <v>0.4687</v>
      </c>
      <c r="Y276" s="247">
        <f t="shared" si="712"/>
        <v>140.1413</v>
      </c>
      <c r="Z276" s="248"/>
      <c r="AA276" s="259">
        <v>299</v>
      </c>
      <c r="AB276" s="259">
        <f t="shared" si="622"/>
        <v>0</v>
      </c>
      <c r="AC276" s="212" t="s">
        <v>80</v>
      </c>
      <c r="AD276" s="212" t="s">
        <v>114</v>
      </c>
      <c r="AE276" s="248" t="s">
        <v>152</v>
      </c>
      <c r="AF276" s="248" t="s">
        <v>115</v>
      </c>
      <c r="AG276" s="267">
        <f t="shared" si="663"/>
        <v>299</v>
      </c>
      <c r="AH276" s="267"/>
      <c r="AI276" s="267">
        <f t="shared" si="664"/>
        <v>299</v>
      </c>
      <c r="AJ276" s="267"/>
      <c r="AK276" s="267">
        <f t="shared" si="716"/>
        <v>299</v>
      </c>
      <c r="AL276" s="267"/>
      <c r="AM276" s="267"/>
      <c r="AN276" s="267"/>
      <c r="AO276" s="267">
        <f t="shared" si="699"/>
        <v>299</v>
      </c>
      <c r="AP276" s="267"/>
      <c r="AQ276" s="267"/>
      <c r="AR276" s="267"/>
      <c r="AS276" s="267"/>
      <c r="AT276" s="267">
        <f t="shared" si="724"/>
        <v>23</v>
      </c>
      <c r="AU276" s="267"/>
      <c r="AV276" s="267"/>
      <c r="AW276" s="267"/>
      <c r="AX276" s="267"/>
      <c r="AY276" s="267"/>
      <c r="AZ276" s="267"/>
      <c r="BA276" s="267"/>
      <c r="BB276" s="267"/>
      <c r="BC276" s="267"/>
      <c r="BD276" s="267"/>
      <c r="BE276" s="267"/>
      <c r="BF276" s="267"/>
      <c r="BG276" s="267"/>
      <c r="BH276" s="267"/>
      <c r="BI276" s="267"/>
      <c r="BJ276" s="269">
        <f t="shared" ref="BJ276:BR276" si="734">$I276*BJ$2</f>
        <v>36.5963541666666</v>
      </c>
      <c r="BK276" s="269">
        <f t="shared" si="734"/>
        <v>36.5963541666666</v>
      </c>
      <c r="BL276" s="269">
        <f t="shared" si="734"/>
        <v>36.5963541666666</v>
      </c>
      <c r="BM276" s="269">
        <f t="shared" si="734"/>
        <v>36.5963541666666</v>
      </c>
      <c r="BN276" s="269">
        <f t="shared" si="734"/>
        <v>36.5963541666666</v>
      </c>
      <c r="BO276" s="269">
        <f t="shared" si="734"/>
        <v>36.5963541666666</v>
      </c>
      <c r="BP276" s="269">
        <f t="shared" si="734"/>
        <v>36.5963541666666</v>
      </c>
      <c r="BQ276" s="269">
        <f t="shared" si="734"/>
        <v>36.5963541666666</v>
      </c>
      <c r="BR276" s="269">
        <f t="shared" si="734"/>
        <v>6.22916666666666</v>
      </c>
      <c r="BT276" s="60">
        <f t="shared" ref="BT276:CB276" si="735">BT275-BJ276</f>
        <v>30214.8125000001</v>
      </c>
      <c r="BU276" s="60">
        <f t="shared" si="735"/>
        <v>30214.8125000001</v>
      </c>
      <c r="BV276" s="60">
        <f t="shared" si="735"/>
        <v>30214.8125000001</v>
      </c>
      <c r="BW276" s="60">
        <f t="shared" si="735"/>
        <v>30214.8125000001</v>
      </c>
      <c r="BX276" s="60">
        <f t="shared" si="735"/>
        <v>30214.8125000001</v>
      </c>
      <c r="BY276" s="60">
        <f t="shared" si="735"/>
        <v>30214.8125000001</v>
      </c>
      <c r="BZ276" s="60">
        <f t="shared" si="735"/>
        <v>30214.8125000001</v>
      </c>
      <c r="CA276" s="60">
        <f t="shared" si="735"/>
        <v>30214.8125000001</v>
      </c>
      <c r="CB276" s="60">
        <f t="shared" si="735"/>
        <v>5094.50000000001</v>
      </c>
    </row>
    <row r="277" s="234" customFormat="1" ht="27" hidden="1" customHeight="1" spans="1:80">
      <c r="A277" s="236">
        <v>45972</v>
      </c>
      <c r="B277" s="237" t="s">
        <v>582</v>
      </c>
      <c r="C277" s="238" t="s">
        <v>117</v>
      </c>
      <c r="D277" s="239">
        <v>4500185340</v>
      </c>
      <c r="E277" s="238" t="s">
        <v>1480</v>
      </c>
      <c r="F277" s="237" t="s">
        <v>1481</v>
      </c>
      <c r="G277" s="267" t="s">
        <v>152</v>
      </c>
      <c r="H277" s="237" t="s">
        <v>153</v>
      </c>
      <c r="I277" s="247">
        <v>8047</v>
      </c>
      <c r="J277" s="247">
        <v>0</v>
      </c>
      <c r="K277" s="247">
        <v>13</v>
      </c>
      <c r="L277" s="247">
        <f t="shared" si="719"/>
        <v>619</v>
      </c>
      <c r="M277" s="248">
        <v>45993</v>
      </c>
      <c r="N277" s="248">
        <f t="shared" si="731"/>
        <v>45989</v>
      </c>
      <c r="O277" s="212"/>
      <c r="P277" s="212" t="s">
        <v>107</v>
      </c>
      <c r="Q277" s="212" t="s">
        <v>1482</v>
      </c>
      <c r="R277" s="289">
        <v>45972</v>
      </c>
      <c r="S277" s="212" t="s">
        <v>80</v>
      </c>
      <c r="T277" s="212" t="s">
        <v>80</v>
      </c>
      <c r="U277" s="212" t="s">
        <v>1478</v>
      </c>
      <c r="V277" s="259" t="s">
        <v>1479</v>
      </c>
      <c r="W277" s="248" t="s">
        <v>587</v>
      </c>
      <c r="X277" s="260">
        <v>0.4726</v>
      </c>
      <c r="Y277" s="247">
        <f t="shared" si="712"/>
        <v>3803.0122</v>
      </c>
      <c r="Z277" s="248"/>
      <c r="AA277" s="259">
        <f>8034+13</f>
        <v>8047</v>
      </c>
      <c r="AB277" s="259">
        <f t="shared" si="622"/>
        <v>0</v>
      </c>
      <c r="AC277" s="212" t="s">
        <v>80</v>
      </c>
      <c r="AD277" s="212" t="s">
        <v>114</v>
      </c>
      <c r="AE277" s="248" t="s">
        <v>152</v>
      </c>
      <c r="AF277" s="248" t="s">
        <v>115</v>
      </c>
      <c r="AG277" s="267">
        <f t="shared" si="663"/>
        <v>8047</v>
      </c>
      <c r="AH277" s="267"/>
      <c r="AI277" s="267">
        <f t="shared" si="664"/>
        <v>8047</v>
      </c>
      <c r="AJ277" s="267"/>
      <c r="AK277" s="267">
        <f t="shared" si="716"/>
        <v>8047</v>
      </c>
      <c r="AL277" s="267"/>
      <c r="AM277" s="267"/>
      <c r="AN277" s="267"/>
      <c r="AO277" s="267">
        <f t="shared" si="699"/>
        <v>8047</v>
      </c>
      <c r="AP277" s="267"/>
      <c r="AQ277" s="267"/>
      <c r="AR277" s="267"/>
      <c r="AS277" s="267"/>
      <c r="AT277" s="267">
        <f t="shared" si="724"/>
        <v>619</v>
      </c>
      <c r="AU277" s="267"/>
      <c r="AV277" s="267"/>
      <c r="AW277" s="267"/>
      <c r="AX277" s="267"/>
      <c r="AY277" s="267"/>
      <c r="AZ277" s="267"/>
      <c r="BA277" s="267"/>
      <c r="BB277" s="267"/>
      <c r="BC277" s="267"/>
      <c r="BD277" s="267"/>
      <c r="BE277" s="267"/>
      <c r="BF277" s="267"/>
      <c r="BG277" s="267"/>
      <c r="BH277" s="267"/>
      <c r="BI277" s="267"/>
      <c r="BJ277" s="269">
        <f t="shared" ref="BJ277:BR277" si="736">$I277*BJ$2</f>
        <v>984.919270833331</v>
      </c>
      <c r="BK277" s="269">
        <f t="shared" si="736"/>
        <v>984.919270833331</v>
      </c>
      <c r="BL277" s="269">
        <f t="shared" si="736"/>
        <v>984.919270833331</v>
      </c>
      <c r="BM277" s="269">
        <f t="shared" si="736"/>
        <v>984.919270833331</v>
      </c>
      <c r="BN277" s="269">
        <f t="shared" si="736"/>
        <v>984.919270833331</v>
      </c>
      <c r="BO277" s="269">
        <f t="shared" si="736"/>
        <v>984.919270833331</v>
      </c>
      <c r="BP277" s="269">
        <f t="shared" si="736"/>
        <v>984.919270833331</v>
      </c>
      <c r="BQ277" s="269">
        <f t="shared" si="736"/>
        <v>984.919270833331</v>
      </c>
      <c r="BR277" s="269">
        <f t="shared" si="736"/>
        <v>167.645833333333</v>
      </c>
      <c r="BT277" s="60">
        <f t="shared" ref="BT277:CB277" si="737">BT276-BJ277</f>
        <v>29229.8932291668</v>
      </c>
      <c r="BU277" s="60">
        <f t="shared" si="737"/>
        <v>29229.8932291668</v>
      </c>
      <c r="BV277" s="60">
        <f t="shared" si="737"/>
        <v>29229.8932291668</v>
      </c>
      <c r="BW277" s="60">
        <f t="shared" si="737"/>
        <v>29229.8932291668</v>
      </c>
      <c r="BX277" s="60">
        <f t="shared" si="737"/>
        <v>29229.8932291668</v>
      </c>
      <c r="BY277" s="60">
        <f t="shared" si="737"/>
        <v>29229.8932291668</v>
      </c>
      <c r="BZ277" s="60">
        <f t="shared" si="737"/>
        <v>29229.8932291668</v>
      </c>
      <c r="CA277" s="60">
        <f t="shared" si="737"/>
        <v>29229.8932291668</v>
      </c>
      <c r="CB277" s="60">
        <f t="shared" si="737"/>
        <v>4926.85416666668</v>
      </c>
    </row>
    <row r="278" s="234" customFormat="1" ht="27" hidden="1" customHeight="1" spans="1:80">
      <c r="A278" s="236">
        <v>45972</v>
      </c>
      <c r="B278" s="237" t="s">
        <v>582</v>
      </c>
      <c r="C278" s="238" t="s">
        <v>117</v>
      </c>
      <c r="D278" s="239">
        <v>4500185340</v>
      </c>
      <c r="E278" s="234" t="s">
        <v>1483</v>
      </c>
      <c r="F278" s="237" t="s">
        <v>1484</v>
      </c>
      <c r="G278" s="267" t="s">
        <v>152</v>
      </c>
      <c r="H278" s="237" t="s">
        <v>153</v>
      </c>
      <c r="I278" s="247">
        <v>7982</v>
      </c>
      <c r="J278" s="247">
        <v>0</v>
      </c>
      <c r="K278" s="247">
        <v>13</v>
      </c>
      <c r="L278" s="247">
        <f t="shared" si="719"/>
        <v>614</v>
      </c>
      <c r="M278" s="248">
        <v>45993</v>
      </c>
      <c r="N278" s="248">
        <f t="shared" si="731"/>
        <v>45989</v>
      </c>
      <c r="O278" s="212"/>
      <c r="P278" s="212" t="s">
        <v>107</v>
      </c>
      <c r="Q278" s="212" t="s">
        <v>1482</v>
      </c>
      <c r="R278" s="289">
        <v>45972</v>
      </c>
      <c r="S278" s="212" t="s">
        <v>80</v>
      </c>
      <c r="T278" s="212" t="s">
        <v>80</v>
      </c>
      <c r="U278" s="212" t="s">
        <v>1478</v>
      </c>
      <c r="V278" s="259" t="s">
        <v>1479</v>
      </c>
      <c r="W278" s="248" t="s">
        <v>587</v>
      </c>
      <c r="X278" s="260">
        <v>0.4726</v>
      </c>
      <c r="Y278" s="247">
        <f t="shared" si="712"/>
        <v>3772.2932</v>
      </c>
      <c r="Z278" s="248"/>
      <c r="AA278" s="259">
        <f>2340+5642</f>
        <v>7982</v>
      </c>
      <c r="AB278" s="259">
        <f t="shared" si="622"/>
        <v>0</v>
      </c>
      <c r="AC278" s="212" t="s">
        <v>80</v>
      </c>
      <c r="AD278" s="212" t="s">
        <v>114</v>
      </c>
      <c r="AE278" s="248" t="s">
        <v>152</v>
      </c>
      <c r="AF278" s="248" t="s">
        <v>115</v>
      </c>
      <c r="AG278" s="267">
        <f t="shared" si="663"/>
        <v>7982</v>
      </c>
      <c r="AH278" s="267"/>
      <c r="AI278" s="267">
        <f t="shared" si="664"/>
        <v>7982</v>
      </c>
      <c r="AJ278" s="267"/>
      <c r="AK278" s="267">
        <f t="shared" si="716"/>
        <v>7982</v>
      </c>
      <c r="AL278" s="267"/>
      <c r="AM278" s="267"/>
      <c r="AN278" s="267"/>
      <c r="AO278" s="267">
        <f t="shared" si="699"/>
        <v>7982</v>
      </c>
      <c r="AP278" s="267"/>
      <c r="AQ278" s="267"/>
      <c r="AR278" s="267"/>
      <c r="AS278" s="267"/>
      <c r="AT278" s="267">
        <f t="shared" si="724"/>
        <v>614</v>
      </c>
      <c r="AU278" s="267"/>
      <c r="AV278" s="267"/>
      <c r="AW278" s="267"/>
      <c r="AX278" s="267"/>
      <c r="AY278" s="267"/>
      <c r="AZ278" s="267"/>
      <c r="BA278" s="267"/>
      <c r="BB278" s="267"/>
      <c r="BC278" s="267"/>
      <c r="BD278" s="267"/>
      <c r="BE278" s="267"/>
      <c r="BF278" s="267"/>
      <c r="BG278" s="267"/>
      <c r="BH278" s="267"/>
      <c r="BI278" s="267"/>
      <c r="BJ278" s="269">
        <f t="shared" ref="BJ278:BR278" si="738">$I278*BJ$2</f>
        <v>976.963541666664</v>
      </c>
      <c r="BK278" s="269">
        <f t="shared" si="738"/>
        <v>976.963541666664</v>
      </c>
      <c r="BL278" s="269">
        <f t="shared" si="738"/>
        <v>976.963541666664</v>
      </c>
      <c r="BM278" s="269">
        <f t="shared" si="738"/>
        <v>976.963541666664</v>
      </c>
      <c r="BN278" s="269">
        <f t="shared" si="738"/>
        <v>976.963541666664</v>
      </c>
      <c r="BO278" s="269">
        <f t="shared" si="738"/>
        <v>976.963541666664</v>
      </c>
      <c r="BP278" s="269">
        <f t="shared" si="738"/>
        <v>976.963541666664</v>
      </c>
      <c r="BQ278" s="269">
        <f t="shared" si="738"/>
        <v>976.963541666664</v>
      </c>
      <c r="BR278" s="269">
        <f t="shared" si="738"/>
        <v>166.291666666666</v>
      </c>
      <c r="BT278" s="60">
        <f t="shared" ref="BT278:CB278" si="739">BT277-BJ278</f>
        <v>28252.9296875001</v>
      </c>
      <c r="BU278" s="60">
        <f t="shared" si="739"/>
        <v>28252.9296875001</v>
      </c>
      <c r="BV278" s="60">
        <f t="shared" si="739"/>
        <v>28252.9296875001</v>
      </c>
      <c r="BW278" s="60">
        <f t="shared" si="739"/>
        <v>28252.9296875001</v>
      </c>
      <c r="BX278" s="60">
        <f t="shared" si="739"/>
        <v>28252.9296875001</v>
      </c>
      <c r="BY278" s="60">
        <f t="shared" si="739"/>
        <v>28252.9296875001</v>
      </c>
      <c r="BZ278" s="60">
        <f t="shared" si="739"/>
        <v>28252.9296875001</v>
      </c>
      <c r="CA278" s="60">
        <f t="shared" si="739"/>
        <v>28252.9296875001</v>
      </c>
      <c r="CB278" s="60">
        <f t="shared" si="739"/>
        <v>4760.56250000001</v>
      </c>
    </row>
    <row r="279" s="234" customFormat="1" ht="27" hidden="1" customHeight="1" spans="1:80">
      <c r="A279" s="236">
        <v>45972</v>
      </c>
      <c r="B279" s="237" t="s">
        <v>582</v>
      </c>
      <c r="C279" s="238" t="s">
        <v>117</v>
      </c>
      <c r="D279" s="239">
        <v>4500185340</v>
      </c>
      <c r="E279" s="238" t="s">
        <v>1485</v>
      </c>
      <c r="F279" s="306" t="s">
        <v>1486</v>
      </c>
      <c r="G279" s="267" t="s">
        <v>152</v>
      </c>
      <c r="H279" s="237" t="s">
        <v>153</v>
      </c>
      <c r="I279" s="247">
        <v>65</v>
      </c>
      <c r="J279" s="247">
        <v>0</v>
      </c>
      <c r="K279" s="247">
        <v>13</v>
      </c>
      <c r="L279" s="247">
        <f t="shared" si="719"/>
        <v>5</v>
      </c>
      <c r="M279" s="248">
        <v>45993</v>
      </c>
      <c r="N279" s="248">
        <f t="shared" si="731"/>
        <v>45989</v>
      </c>
      <c r="O279" s="212"/>
      <c r="P279" s="212" t="s">
        <v>107</v>
      </c>
      <c r="Q279" s="212" t="s">
        <v>1477</v>
      </c>
      <c r="R279" s="289">
        <v>45972</v>
      </c>
      <c r="S279" s="212" t="s">
        <v>80</v>
      </c>
      <c r="T279" s="212" t="s">
        <v>80</v>
      </c>
      <c r="U279" s="212" t="s">
        <v>1478</v>
      </c>
      <c r="V279" s="259" t="s">
        <v>1479</v>
      </c>
      <c r="W279" s="248" t="s">
        <v>587</v>
      </c>
      <c r="X279" s="260">
        <v>0.4791</v>
      </c>
      <c r="Y279" s="247">
        <f t="shared" si="712"/>
        <v>31.1415</v>
      </c>
      <c r="Z279" s="248"/>
      <c r="AA279" s="259">
        <f>52+13</f>
        <v>65</v>
      </c>
      <c r="AB279" s="259">
        <f t="shared" si="622"/>
        <v>0</v>
      </c>
      <c r="AC279" s="212" t="s">
        <v>80</v>
      </c>
      <c r="AD279" s="212" t="s">
        <v>114</v>
      </c>
      <c r="AE279" s="248" t="s">
        <v>152</v>
      </c>
      <c r="AF279" s="248" t="s">
        <v>115</v>
      </c>
      <c r="AG279" s="267">
        <f t="shared" si="663"/>
        <v>65</v>
      </c>
      <c r="AH279" s="267"/>
      <c r="AI279" s="267">
        <f t="shared" si="664"/>
        <v>65</v>
      </c>
      <c r="AJ279" s="267"/>
      <c r="AK279" s="267">
        <f t="shared" si="716"/>
        <v>65</v>
      </c>
      <c r="AL279" s="267"/>
      <c r="AM279" s="267"/>
      <c r="AN279" s="267"/>
      <c r="AO279" s="267">
        <f t="shared" si="699"/>
        <v>65</v>
      </c>
      <c r="AP279" s="267"/>
      <c r="AQ279" s="267"/>
      <c r="AR279" s="267"/>
      <c r="AS279" s="267"/>
      <c r="AT279" s="267">
        <f t="shared" si="724"/>
        <v>5</v>
      </c>
      <c r="AU279" s="267"/>
      <c r="AV279" s="267"/>
      <c r="AW279" s="267"/>
      <c r="AX279" s="267"/>
      <c r="AY279" s="267"/>
      <c r="AZ279" s="267"/>
      <c r="BA279" s="267"/>
      <c r="BB279" s="267"/>
      <c r="BC279" s="267"/>
      <c r="BD279" s="267"/>
      <c r="BE279" s="267"/>
      <c r="BF279" s="267"/>
      <c r="BG279" s="267"/>
      <c r="BH279" s="267"/>
      <c r="BI279" s="267"/>
      <c r="BJ279" s="269">
        <f t="shared" ref="BJ279:BR279" si="740">$I279*BJ$2</f>
        <v>7.95572916666664</v>
      </c>
      <c r="BK279" s="269">
        <f t="shared" si="740"/>
        <v>7.95572916666664</v>
      </c>
      <c r="BL279" s="269">
        <f t="shared" si="740"/>
        <v>7.95572916666664</v>
      </c>
      <c r="BM279" s="269">
        <f t="shared" si="740"/>
        <v>7.95572916666664</v>
      </c>
      <c r="BN279" s="269">
        <f t="shared" si="740"/>
        <v>7.95572916666664</v>
      </c>
      <c r="BO279" s="269">
        <f t="shared" si="740"/>
        <v>7.95572916666664</v>
      </c>
      <c r="BP279" s="269">
        <f t="shared" si="740"/>
        <v>7.95572916666664</v>
      </c>
      <c r="BQ279" s="269">
        <f t="shared" si="740"/>
        <v>7.95572916666664</v>
      </c>
      <c r="BR279" s="269">
        <f t="shared" si="740"/>
        <v>1.35416666666666</v>
      </c>
      <c r="BT279" s="60">
        <f t="shared" ref="BT279:CB279" si="741">BT278-BJ279</f>
        <v>28244.9739583335</v>
      </c>
      <c r="BU279" s="60">
        <f t="shared" si="741"/>
        <v>28244.9739583335</v>
      </c>
      <c r="BV279" s="60">
        <f t="shared" si="741"/>
        <v>28244.9739583335</v>
      </c>
      <c r="BW279" s="60">
        <f t="shared" si="741"/>
        <v>28244.9739583335</v>
      </c>
      <c r="BX279" s="60">
        <f t="shared" si="741"/>
        <v>28244.9739583335</v>
      </c>
      <c r="BY279" s="60">
        <f t="shared" si="741"/>
        <v>28244.9739583335</v>
      </c>
      <c r="BZ279" s="60">
        <f t="shared" si="741"/>
        <v>28244.9739583335</v>
      </c>
      <c r="CA279" s="60">
        <f t="shared" si="741"/>
        <v>28244.9739583335</v>
      </c>
      <c r="CB279" s="60">
        <f t="shared" si="741"/>
        <v>4759.20833333334</v>
      </c>
    </row>
    <row r="280" s="234" customFormat="1" ht="27" hidden="1" customHeight="1" spans="1:80">
      <c r="A280" s="236">
        <v>45946</v>
      </c>
      <c r="B280" s="237" t="s">
        <v>1487</v>
      </c>
      <c r="C280" s="238" t="s">
        <v>769</v>
      </c>
      <c r="D280" s="239">
        <v>4500182255</v>
      </c>
      <c r="E280" s="238" t="s">
        <v>1488</v>
      </c>
      <c r="F280" s="237" t="s">
        <v>1489</v>
      </c>
      <c r="G280" s="240" t="s">
        <v>152</v>
      </c>
      <c r="H280" s="237" t="s">
        <v>153</v>
      </c>
      <c r="I280" s="247">
        <v>481</v>
      </c>
      <c r="J280" s="247">
        <v>0</v>
      </c>
      <c r="K280" s="247">
        <v>13</v>
      </c>
      <c r="L280" s="247">
        <f t="shared" si="719"/>
        <v>37</v>
      </c>
      <c r="M280" s="248">
        <v>45992</v>
      </c>
      <c r="N280" s="248">
        <v>45992</v>
      </c>
      <c r="O280" s="212"/>
      <c r="P280" s="212" t="s">
        <v>224</v>
      </c>
      <c r="Q280" s="212" t="s">
        <v>1490</v>
      </c>
      <c r="R280" s="289">
        <v>45956</v>
      </c>
      <c r="S280" s="212" t="s">
        <v>80</v>
      </c>
      <c r="T280" s="212" t="s">
        <v>80</v>
      </c>
      <c r="U280" s="212"/>
      <c r="V280" s="259" t="s">
        <v>1491</v>
      </c>
      <c r="W280" s="248" t="s">
        <v>454</v>
      </c>
      <c r="X280" s="260">
        <v>0.7812</v>
      </c>
      <c r="Y280" s="247">
        <f t="shared" si="712"/>
        <v>375.7572</v>
      </c>
      <c r="Z280" s="248"/>
      <c r="AA280" s="259">
        <v>481</v>
      </c>
      <c r="AB280" s="259">
        <f t="shared" si="622"/>
        <v>0</v>
      </c>
      <c r="AC280" s="212" t="s">
        <v>80</v>
      </c>
      <c r="AD280" s="212" t="s">
        <v>114</v>
      </c>
      <c r="AE280" s="248" t="s">
        <v>319</v>
      </c>
      <c r="AF280" s="248" t="s">
        <v>115</v>
      </c>
      <c r="AG280" s="267">
        <f t="shared" si="663"/>
        <v>481</v>
      </c>
      <c r="AH280" s="267"/>
      <c r="AI280" s="267">
        <f t="shared" si="664"/>
        <v>481</v>
      </c>
      <c r="AJ280" s="267"/>
      <c r="AK280" s="267"/>
      <c r="AL280" s="267">
        <f>I280</f>
        <v>481</v>
      </c>
      <c r="AM280" s="267"/>
      <c r="AN280" s="267"/>
      <c r="AO280" s="267">
        <f t="shared" si="699"/>
        <v>481</v>
      </c>
      <c r="AP280" s="267"/>
      <c r="AQ280" s="267"/>
      <c r="AR280" s="267"/>
      <c r="AS280" s="267"/>
      <c r="AT280" s="267"/>
      <c r="AU280" s="267">
        <f>I280/13</f>
        <v>37</v>
      </c>
      <c r="AV280" s="267"/>
      <c r="AW280" s="267"/>
      <c r="AX280" s="267"/>
      <c r="AY280" s="267"/>
      <c r="AZ280" s="267"/>
      <c r="BA280" s="267"/>
      <c r="BB280" s="267"/>
      <c r="BC280" s="267"/>
      <c r="BD280" s="267"/>
      <c r="BE280" s="267"/>
      <c r="BF280" s="267"/>
      <c r="BG280" s="267"/>
      <c r="BH280" s="267"/>
      <c r="BI280" s="267"/>
      <c r="BJ280" s="269">
        <f t="shared" ref="BJ280:BR280" si="742">$I280*BJ$2</f>
        <v>58.8723958333332</v>
      </c>
      <c r="BK280" s="269">
        <f t="shared" si="742"/>
        <v>58.8723958333332</v>
      </c>
      <c r="BL280" s="269">
        <f t="shared" si="742"/>
        <v>58.8723958333332</v>
      </c>
      <c r="BM280" s="269">
        <f t="shared" si="742"/>
        <v>58.8723958333332</v>
      </c>
      <c r="BN280" s="269">
        <f t="shared" si="742"/>
        <v>58.8723958333332</v>
      </c>
      <c r="BO280" s="269">
        <f t="shared" si="742"/>
        <v>58.8723958333332</v>
      </c>
      <c r="BP280" s="269">
        <f t="shared" si="742"/>
        <v>58.8723958333332</v>
      </c>
      <c r="BQ280" s="269">
        <f t="shared" si="742"/>
        <v>58.8723958333332</v>
      </c>
      <c r="BR280" s="269">
        <f t="shared" si="742"/>
        <v>10.0208333333333</v>
      </c>
      <c r="BT280" s="60">
        <f t="shared" ref="BT280:CB280" si="743">BT279-BJ280</f>
        <v>28186.1015625001</v>
      </c>
      <c r="BU280" s="60">
        <f t="shared" si="743"/>
        <v>28186.1015625001</v>
      </c>
      <c r="BV280" s="60">
        <f t="shared" si="743"/>
        <v>28186.1015625001</v>
      </c>
      <c r="BW280" s="60">
        <f t="shared" si="743"/>
        <v>28186.1015625001</v>
      </c>
      <c r="BX280" s="60">
        <f t="shared" si="743"/>
        <v>28186.1015625001</v>
      </c>
      <c r="BY280" s="60">
        <f t="shared" si="743"/>
        <v>28186.1015625001</v>
      </c>
      <c r="BZ280" s="60">
        <f t="shared" si="743"/>
        <v>28186.1015625001</v>
      </c>
      <c r="CA280" s="60">
        <f t="shared" si="743"/>
        <v>28186.1015625001</v>
      </c>
      <c r="CB280" s="60">
        <f t="shared" si="743"/>
        <v>4749.18750000001</v>
      </c>
    </row>
    <row r="281" s="234" customFormat="1" ht="27" hidden="1" customHeight="1" spans="1:80">
      <c r="A281" s="236">
        <v>45960</v>
      </c>
      <c r="B281" s="237" t="s">
        <v>1492</v>
      </c>
      <c r="C281" s="238" t="s">
        <v>117</v>
      </c>
      <c r="D281" s="239">
        <v>4500183696</v>
      </c>
      <c r="E281" s="304" t="s">
        <v>1493</v>
      </c>
      <c r="F281" s="239" t="s">
        <v>1494</v>
      </c>
      <c r="G281" s="240" t="s">
        <v>152</v>
      </c>
      <c r="H281" s="237" t="s">
        <v>153</v>
      </c>
      <c r="I281" s="247">
        <v>338</v>
      </c>
      <c r="J281" s="247">
        <v>0</v>
      </c>
      <c r="K281" s="247">
        <v>13</v>
      </c>
      <c r="L281" s="247">
        <f t="shared" si="719"/>
        <v>26</v>
      </c>
      <c r="M281" s="248">
        <v>45999</v>
      </c>
      <c r="N281" s="248">
        <v>45995</v>
      </c>
      <c r="O281" s="212"/>
      <c r="P281" s="212" t="s">
        <v>224</v>
      </c>
      <c r="Q281" s="212" t="s">
        <v>1495</v>
      </c>
      <c r="R281" s="289">
        <v>45967</v>
      </c>
      <c r="S281" s="212" t="s">
        <v>80</v>
      </c>
      <c r="T281" s="212" t="s">
        <v>80</v>
      </c>
      <c r="U281" s="212"/>
      <c r="V281" s="259" t="s">
        <v>1496</v>
      </c>
      <c r="W281" s="248" t="s">
        <v>752</v>
      </c>
      <c r="X281" s="260">
        <v>0.4687</v>
      </c>
      <c r="Y281" s="247">
        <f t="shared" si="712"/>
        <v>158.4206</v>
      </c>
      <c r="Z281" s="248"/>
      <c r="AA281" s="259">
        <v>338</v>
      </c>
      <c r="AB281" s="259">
        <f t="shared" si="622"/>
        <v>0</v>
      </c>
      <c r="AC281" s="212" t="s">
        <v>80</v>
      </c>
      <c r="AD281" s="212" t="s">
        <v>114</v>
      </c>
      <c r="AE281" s="248" t="s">
        <v>152</v>
      </c>
      <c r="AF281" s="248" t="s">
        <v>115</v>
      </c>
      <c r="AG281" s="267">
        <f t="shared" si="663"/>
        <v>338</v>
      </c>
      <c r="AH281" s="267"/>
      <c r="AI281" s="267">
        <f t="shared" si="664"/>
        <v>338</v>
      </c>
      <c r="AJ281" s="267"/>
      <c r="AK281" s="267">
        <f t="shared" ref="AK281:AK285" si="744">I281</f>
        <v>338</v>
      </c>
      <c r="AL281" s="267"/>
      <c r="AM281" s="267"/>
      <c r="AN281" s="267"/>
      <c r="AO281" s="267">
        <f t="shared" si="699"/>
        <v>338</v>
      </c>
      <c r="AP281" s="267"/>
      <c r="AQ281" s="267"/>
      <c r="AR281" s="267"/>
      <c r="AS281" s="267"/>
      <c r="AT281" s="267">
        <f t="shared" ref="AT281:AT285" si="745">I281/13</f>
        <v>26</v>
      </c>
      <c r="AU281" s="267"/>
      <c r="AV281" s="267"/>
      <c r="AW281" s="267"/>
      <c r="AX281" s="267"/>
      <c r="AY281" s="267"/>
      <c r="AZ281" s="267"/>
      <c r="BA281" s="267"/>
      <c r="BB281" s="267"/>
      <c r="BC281" s="267"/>
      <c r="BD281" s="267"/>
      <c r="BE281" s="267"/>
      <c r="BF281" s="267"/>
      <c r="BG281" s="267"/>
      <c r="BH281" s="267"/>
      <c r="BI281" s="267"/>
      <c r="BJ281" s="269">
        <f t="shared" ref="BJ281:BR281" si="746">$I281*BJ$2</f>
        <v>41.3697916666666</v>
      </c>
      <c r="BK281" s="269">
        <f t="shared" si="746"/>
        <v>41.3697916666666</v>
      </c>
      <c r="BL281" s="269">
        <f t="shared" si="746"/>
        <v>41.3697916666666</v>
      </c>
      <c r="BM281" s="269">
        <f t="shared" si="746"/>
        <v>41.3697916666666</v>
      </c>
      <c r="BN281" s="269">
        <f t="shared" si="746"/>
        <v>41.3697916666666</v>
      </c>
      <c r="BO281" s="269">
        <f t="shared" si="746"/>
        <v>41.3697916666666</v>
      </c>
      <c r="BP281" s="269">
        <f t="shared" si="746"/>
        <v>41.3697916666666</v>
      </c>
      <c r="BQ281" s="269">
        <f t="shared" si="746"/>
        <v>41.3697916666666</v>
      </c>
      <c r="BR281" s="269">
        <f t="shared" si="746"/>
        <v>7.04166666666666</v>
      </c>
      <c r="BT281" s="60">
        <f t="shared" ref="BT281:CB281" si="747">BT280-BJ281</f>
        <v>28144.7317708335</v>
      </c>
      <c r="BU281" s="60">
        <f t="shared" si="747"/>
        <v>28144.7317708335</v>
      </c>
      <c r="BV281" s="60">
        <f t="shared" si="747"/>
        <v>28144.7317708335</v>
      </c>
      <c r="BW281" s="60">
        <f t="shared" si="747"/>
        <v>28144.7317708335</v>
      </c>
      <c r="BX281" s="60">
        <f t="shared" si="747"/>
        <v>28144.7317708335</v>
      </c>
      <c r="BY281" s="60">
        <f t="shared" si="747"/>
        <v>28144.7317708335</v>
      </c>
      <c r="BZ281" s="60">
        <f t="shared" si="747"/>
        <v>28144.7317708335</v>
      </c>
      <c r="CA281" s="60">
        <f t="shared" si="747"/>
        <v>28144.7317708335</v>
      </c>
      <c r="CB281" s="60">
        <f t="shared" si="747"/>
        <v>4742.14583333334</v>
      </c>
    </row>
    <row r="282" s="234" customFormat="1" ht="27" hidden="1" customHeight="1" spans="1:80">
      <c r="A282" s="236">
        <v>45960</v>
      </c>
      <c r="B282" s="237" t="s">
        <v>1492</v>
      </c>
      <c r="C282" s="238" t="s">
        <v>117</v>
      </c>
      <c r="D282" s="239">
        <v>4500183696</v>
      </c>
      <c r="E282" s="304" t="s">
        <v>1497</v>
      </c>
      <c r="F282" s="239" t="s">
        <v>1498</v>
      </c>
      <c r="G282" s="240" t="s">
        <v>152</v>
      </c>
      <c r="H282" s="237" t="s">
        <v>153</v>
      </c>
      <c r="I282" s="247">
        <v>468</v>
      </c>
      <c r="J282" s="247">
        <v>0</v>
      </c>
      <c r="K282" s="247">
        <v>13</v>
      </c>
      <c r="L282" s="247">
        <f t="shared" si="719"/>
        <v>36</v>
      </c>
      <c r="M282" s="248">
        <v>45999</v>
      </c>
      <c r="N282" s="248">
        <v>45995</v>
      </c>
      <c r="O282" s="212"/>
      <c r="P282" s="212" t="s">
        <v>224</v>
      </c>
      <c r="Q282" s="212"/>
      <c r="R282" s="289">
        <v>45967</v>
      </c>
      <c r="S282" s="212" t="s">
        <v>191</v>
      </c>
      <c r="T282" s="212" t="s">
        <v>1499</v>
      </c>
      <c r="U282" s="212"/>
      <c r="V282" s="259" t="s">
        <v>1496</v>
      </c>
      <c r="W282" s="248" t="s">
        <v>752</v>
      </c>
      <c r="X282" s="260">
        <v>0.4687</v>
      </c>
      <c r="Y282" s="247">
        <f t="shared" si="712"/>
        <v>219.3516</v>
      </c>
      <c r="Z282" s="248"/>
      <c r="AA282" s="259">
        <v>468</v>
      </c>
      <c r="AB282" s="259">
        <f t="shared" si="622"/>
        <v>0</v>
      </c>
      <c r="AC282" s="212" t="s">
        <v>113</v>
      </c>
      <c r="AD282" s="212" t="s">
        <v>114</v>
      </c>
      <c r="AE282" s="248" t="s">
        <v>152</v>
      </c>
      <c r="AF282" s="248" t="s">
        <v>115</v>
      </c>
      <c r="AG282" s="267">
        <f t="shared" si="663"/>
        <v>468</v>
      </c>
      <c r="AH282" s="267"/>
      <c r="AI282" s="267">
        <f t="shared" si="664"/>
        <v>468</v>
      </c>
      <c r="AJ282" s="267"/>
      <c r="AK282" s="267">
        <f t="shared" si="744"/>
        <v>468</v>
      </c>
      <c r="AL282" s="267"/>
      <c r="AM282" s="267"/>
      <c r="AN282" s="267"/>
      <c r="AO282" s="267">
        <f t="shared" si="699"/>
        <v>468</v>
      </c>
      <c r="AP282" s="267"/>
      <c r="AQ282" s="267"/>
      <c r="AR282" s="267"/>
      <c r="AS282" s="267"/>
      <c r="AT282" s="267">
        <f t="shared" si="745"/>
        <v>36</v>
      </c>
      <c r="AU282" s="267"/>
      <c r="AV282" s="267"/>
      <c r="AW282" s="267"/>
      <c r="AX282" s="267"/>
      <c r="AY282" s="267"/>
      <c r="AZ282" s="267"/>
      <c r="BA282" s="267"/>
      <c r="BB282" s="267"/>
      <c r="BC282" s="267"/>
      <c r="BD282" s="267"/>
      <c r="BE282" s="267"/>
      <c r="BF282" s="267"/>
      <c r="BG282" s="267"/>
      <c r="BH282" s="267"/>
      <c r="BI282" s="267"/>
      <c r="BJ282" s="269">
        <f t="shared" ref="BJ282:BR282" si="748">$I282*BJ$2</f>
        <v>57.2812499999998</v>
      </c>
      <c r="BK282" s="269">
        <f t="shared" si="748"/>
        <v>57.2812499999998</v>
      </c>
      <c r="BL282" s="269">
        <f t="shared" si="748"/>
        <v>57.2812499999998</v>
      </c>
      <c r="BM282" s="269">
        <f t="shared" si="748"/>
        <v>57.2812499999998</v>
      </c>
      <c r="BN282" s="269">
        <f t="shared" si="748"/>
        <v>57.2812499999998</v>
      </c>
      <c r="BO282" s="269">
        <f t="shared" si="748"/>
        <v>57.2812499999998</v>
      </c>
      <c r="BP282" s="269">
        <f t="shared" si="748"/>
        <v>57.2812499999998</v>
      </c>
      <c r="BQ282" s="269">
        <f t="shared" si="748"/>
        <v>57.2812499999998</v>
      </c>
      <c r="BR282" s="269">
        <f t="shared" si="748"/>
        <v>9.74999999999998</v>
      </c>
      <c r="BT282" s="60">
        <f t="shared" ref="BT282:CB282" si="749">BT281-BJ282</f>
        <v>28087.4505208335</v>
      </c>
      <c r="BU282" s="60">
        <f t="shared" si="749"/>
        <v>28087.4505208335</v>
      </c>
      <c r="BV282" s="60">
        <f t="shared" si="749"/>
        <v>28087.4505208335</v>
      </c>
      <c r="BW282" s="60">
        <f t="shared" si="749"/>
        <v>28087.4505208335</v>
      </c>
      <c r="BX282" s="60">
        <f t="shared" si="749"/>
        <v>28087.4505208335</v>
      </c>
      <c r="BY282" s="60">
        <f t="shared" si="749"/>
        <v>28087.4505208335</v>
      </c>
      <c r="BZ282" s="60">
        <f t="shared" si="749"/>
        <v>28087.4505208335</v>
      </c>
      <c r="CA282" s="60">
        <f t="shared" si="749"/>
        <v>28087.4505208335</v>
      </c>
      <c r="CB282" s="60">
        <f t="shared" si="749"/>
        <v>4732.39583333334</v>
      </c>
    </row>
    <row r="283" s="234" customFormat="1" ht="27" hidden="1" customHeight="1" spans="1:80">
      <c r="A283" s="236">
        <v>45960</v>
      </c>
      <c r="B283" s="237" t="s">
        <v>1492</v>
      </c>
      <c r="C283" s="238" t="s">
        <v>117</v>
      </c>
      <c r="D283" s="239">
        <v>4500183696</v>
      </c>
      <c r="E283" s="304" t="s">
        <v>1500</v>
      </c>
      <c r="F283" s="239" t="s">
        <v>1501</v>
      </c>
      <c r="G283" s="240" t="s">
        <v>152</v>
      </c>
      <c r="H283" s="237" t="s">
        <v>153</v>
      </c>
      <c r="I283" s="247">
        <v>403</v>
      </c>
      <c r="J283" s="247">
        <v>0</v>
      </c>
      <c r="K283" s="247">
        <v>13</v>
      </c>
      <c r="L283" s="247">
        <f t="shared" si="719"/>
        <v>31</v>
      </c>
      <c r="M283" s="248">
        <v>45999</v>
      </c>
      <c r="N283" s="248">
        <v>45995</v>
      </c>
      <c r="O283" s="212"/>
      <c r="P283" s="212" t="s">
        <v>224</v>
      </c>
      <c r="Q283" s="212"/>
      <c r="R283" s="289">
        <v>45967</v>
      </c>
      <c r="S283" s="212" t="s">
        <v>191</v>
      </c>
      <c r="T283" s="212" t="s">
        <v>1499</v>
      </c>
      <c r="U283" s="212"/>
      <c r="V283" s="259" t="s">
        <v>1496</v>
      </c>
      <c r="W283" s="248" t="s">
        <v>752</v>
      </c>
      <c r="X283" s="260">
        <v>0.4687</v>
      </c>
      <c r="Y283" s="247">
        <f t="shared" si="712"/>
        <v>188.8861</v>
      </c>
      <c r="Z283" s="248"/>
      <c r="AA283" s="259">
        <v>403</v>
      </c>
      <c r="AB283" s="259">
        <f t="shared" si="622"/>
        <v>0</v>
      </c>
      <c r="AC283" s="212" t="s">
        <v>113</v>
      </c>
      <c r="AD283" s="212" t="s">
        <v>114</v>
      </c>
      <c r="AE283" s="248" t="s">
        <v>152</v>
      </c>
      <c r="AF283" s="248" t="s">
        <v>115</v>
      </c>
      <c r="AG283" s="267">
        <f t="shared" si="663"/>
        <v>403</v>
      </c>
      <c r="AH283" s="267"/>
      <c r="AI283" s="267">
        <f t="shared" si="664"/>
        <v>403</v>
      </c>
      <c r="AJ283" s="267"/>
      <c r="AK283" s="267">
        <f t="shared" si="744"/>
        <v>403</v>
      </c>
      <c r="AL283" s="267"/>
      <c r="AM283" s="267"/>
      <c r="AN283" s="267"/>
      <c r="AO283" s="267">
        <f t="shared" si="699"/>
        <v>403</v>
      </c>
      <c r="AP283" s="267"/>
      <c r="AQ283" s="267"/>
      <c r="AR283" s="267"/>
      <c r="AS283" s="267"/>
      <c r="AT283" s="267">
        <f t="shared" si="745"/>
        <v>31</v>
      </c>
      <c r="AU283" s="267"/>
      <c r="AV283" s="267"/>
      <c r="AW283" s="267"/>
      <c r="AX283" s="267"/>
      <c r="AY283" s="267"/>
      <c r="AZ283" s="267"/>
      <c r="BA283" s="267"/>
      <c r="BB283" s="267"/>
      <c r="BC283" s="267"/>
      <c r="BD283" s="267"/>
      <c r="BE283" s="267"/>
      <c r="BF283" s="267"/>
      <c r="BG283" s="267"/>
      <c r="BH283" s="267"/>
      <c r="BI283" s="267"/>
      <c r="BJ283" s="269">
        <f t="shared" ref="BJ283:BR283" si="750">$I283*BJ$2</f>
        <v>49.3255208333332</v>
      </c>
      <c r="BK283" s="269">
        <f t="shared" si="750"/>
        <v>49.3255208333332</v>
      </c>
      <c r="BL283" s="269">
        <f t="shared" si="750"/>
        <v>49.3255208333332</v>
      </c>
      <c r="BM283" s="269">
        <f t="shared" si="750"/>
        <v>49.3255208333332</v>
      </c>
      <c r="BN283" s="269">
        <f t="shared" si="750"/>
        <v>49.3255208333332</v>
      </c>
      <c r="BO283" s="269">
        <f t="shared" si="750"/>
        <v>49.3255208333332</v>
      </c>
      <c r="BP283" s="269">
        <f t="shared" si="750"/>
        <v>49.3255208333332</v>
      </c>
      <c r="BQ283" s="269">
        <f t="shared" si="750"/>
        <v>49.3255208333332</v>
      </c>
      <c r="BR283" s="269">
        <f t="shared" si="750"/>
        <v>8.39583333333332</v>
      </c>
      <c r="BT283" s="60">
        <f t="shared" ref="BT283:CB283" si="751">BT282-BJ283</f>
        <v>28038.1250000001</v>
      </c>
      <c r="BU283" s="60">
        <f t="shared" si="751"/>
        <v>28038.1250000001</v>
      </c>
      <c r="BV283" s="60">
        <f t="shared" si="751"/>
        <v>28038.1250000001</v>
      </c>
      <c r="BW283" s="60">
        <f t="shared" si="751"/>
        <v>28038.1250000001</v>
      </c>
      <c r="BX283" s="60">
        <f t="shared" si="751"/>
        <v>28038.1250000001</v>
      </c>
      <c r="BY283" s="60">
        <f t="shared" si="751"/>
        <v>28038.1250000001</v>
      </c>
      <c r="BZ283" s="60">
        <f t="shared" si="751"/>
        <v>28038.1250000001</v>
      </c>
      <c r="CA283" s="60">
        <f t="shared" si="751"/>
        <v>28038.1250000001</v>
      </c>
      <c r="CB283" s="60">
        <f t="shared" si="751"/>
        <v>4724.00000000001</v>
      </c>
    </row>
    <row r="284" s="234" customFormat="1" ht="27" hidden="1" customHeight="1" spans="1:80">
      <c r="A284" s="236">
        <v>45960</v>
      </c>
      <c r="B284" s="237" t="s">
        <v>1492</v>
      </c>
      <c r="C284" s="238" t="s">
        <v>117</v>
      </c>
      <c r="D284" s="239">
        <v>4500183696</v>
      </c>
      <c r="E284" s="304" t="s">
        <v>1502</v>
      </c>
      <c r="F284" s="239" t="s">
        <v>1503</v>
      </c>
      <c r="G284" s="240" t="s">
        <v>152</v>
      </c>
      <c r="H284" s="237" t="s">
        <v>153</v>
      </c>
      <c r="I284" s="247">
        <v>286</v>
      </c>
      <c r="J284" s="247">
        <v>0</v>
      </c>
      <c r="K284" s="247">
        <v>13</v>
      </c>
      <c r="L284" s="247">
        <f t="shared" si="719"/>
        <v>22</v>
      </c>
      <c r="M284" s="248">
        <v>45999</v>
      </c>
      <c r="N284" s="248">
        <v>45995</v>
      </c>
      <c r="O284" s="212"/>
      <c r="P284" s="212" t="s">
        <v>224</v>
      </c>
      <c r="Q284" s="212" t="s">
        <v>1495</v>
      </c>
      <c r="R284" s="289">
        <v>45967</v>
      </c>
      <c r="S284" s="212" t="s">
        <v>191</v>
      </c>
      <c r="T284" s="212" t="s">
        <v>1499</v>
      </c>
      <c r="U284" s="212"/>
      <c r="V284" s="259" t="s">
        <v>1496</v>
      </c>
      <c r="W284" s="248" t="s">
        <v>752</v>
      </c>
      <c r="X284" s="260">
        <v>0.4687</v>
      </c>
      <c r="Y284" s="247">
        <f t="shared" si="712"/>
        <v>134.0482</v>
      </c>
      <c r="Z284" s="248"/>
      <c r="AA284" s="259">
        <v>286</v>
      </c>
      <c r="AB284" s="259">
        <f t="shared" si="622"/>
        <v>0</v>
      </c>
      <c r="AC284" s="212" t="s">
        <v>113</v>
      </c>
      <c r="AD284" s="212" t="s">
        <v>114</v>
      </c>
      <c r="AE284" s="248" t="s">
        <v>152</v>
      </c>
      <c r="AF284" s="248" t="s">
        <v>115</v>
      </c>
      <c r="AG284" s="267">
        <f t="shared" si="663"/>
        <v>286</v>
      </c>
      <c r="AH284" s="267"/>
      <c r="AI284" s="267">
        <f t="shared" si="664"/>
        <v>286</v>
      </c>
      <c r="AJ284" s="267"/>
      <c r="AK284" s="267">
        <f t="shared" si="744"/>
        <v>286</v>
      </c>
      <c r="AL284" s="267"/>
      <c r="AM284" s="267"/>
      <c r="AN284" s="267"/>
      <c r="AO284" s="267">
        <f t="shared" si="699"/>
        <v>286</v>
      </c>
      <c r="AP284" s="267"/>
      <c r="AQ284" s="267"/>
      <c r="AR284" s="267"/>
      <c r="AS284" s="267"/>
      <c r="AT284" s="267">
        <f t="shared" si="745"/>
        <v>22</v>
      </c>
      <c r="AU284" s="267"/>
      <c r="AV284" s="267"/>
      <c r="AW284" s="267"/>
      <c r="AX284" s="267"/>
      <c r="AY284" s="267"/>
      <c r="AZ284" s="267"/>
      <c r="BA284" s="267"/>
      <c r="BB284" s="267"/>
      <c r="BC284" s="267"/>
      <c r="BD284" s="267"/>
      <c r="BE284" s="267"/>
      <c r="BF284" s="267"/>
      <c r="BG284" s="267"/>
      <c r="BH284" s="267"/>
      <c r="BI284" s="267"/>
      <c r="BJ284" s="269">
        <f t="shared" ref="BJ284:BR284" si="752">$I284*BJ$2</f>
        <v>35.0052083333332</v>
      </c>
      <c r="BK284" s="269">
        <f t="shared" si="752"/>
        <v>35.0052083333332</v>
      </c>
      <c r="BL284" s="269">
        <f t="shared" si="752"/>
        <v>35.0052083333332</v>
      </c>
      <c r="BM284" s="269">
        <f t="shared" si="752"/>
        <v>35.0052083333332</v>
      </c>
      <c r="BN284" s="269">
        <f t="shared" si="752"/>
        <v>35.0052083333332</v>
      </c>
      <c r="BO284" s="269">
        <f t="shared" si="752"/>
        <v>35.0052083333332</v>
      </c>
      <c r="BP284" s="269">
        <f t="shared" si="752"/>
        <v>35.0052083333332</v>
      </c>
      <c r="BQ284" s="269">
        <f t="shared" si="752"/>
        <v>35.0052083333332</v>
      </c>
      <c r="BR284" s="269">
        <f t="shared" si="752"/>
        <v>5.95833333333332</v>
      </c>
      <c r="BT284" s="60">
        <f t="shared" ref="BT284:CB284" si="753">BT283-BJ284</f>
        <v>28003.1197916668</v>
      </c>
      <c r="BU284" s="60">
        <f t="shared" si="753"/>
        <v>28003.1197916668</v>
      </c>
      <c r="BV284" s="60">
        <f t="shared" si="753"/>
        <v>28003.1197916668</v>
      </c>
      <c r="BW284" s="60">
        <f t="shared" si="753"/>
        <v>28003.1197916668</v>
      </c>
      <c r="BX284" s="60">
        <f t="shared" si="753"/>
        <v>28003.1197916668</v>
      </c>
      <c r="BY284" s="60">
        <f t="shared" si="753"/>
        <v>28003.1197916668</v>
      </c>
      <c r="BZ284" s="60">
        <f t="shared" si="753"/>
        <v>28003.1197916668</v>
      </c>
      <c r="CA284" s="60">
        <f t="shared" si="753"/>
        <v>28003.1197916668</v>
      </c>
      <c r="CB284" s="60">
        <f t="shared" si="753"/>
        <v>4718.04166666668</v>
      </c>
    </row>
    <row r="285" s="234" customFormat="1" ht="27" hidden="1" customHeight="1" spans="1:80">
      <c r="A285" s="236">
        <v>45960</v>
      </c>
      <c r="B285" s="237" t="s">
        <v>1492</v>
      </c>
      <c r="C285" s="238" t="s">
        <v>117</v>
      </c>
      <c r="D285" s="239">
        <v>4500183696</v>
      </c>
      <c r="E285" s="304" t="s">
        <v>1504</v>
      </c>
      <c r="F285" s="239" t="s">
        <v>1505</v>
      </c>
      <c r="G285" s="240" t="s">
        <v>152</v>
      </c>
      <c r="H285" s="237" t="s">
        <v>153</v>
      </c>
      <c r="I285" s="247">
        <v>351</v>
      </c>
      <c r="J285" s="247">
        <v>0</v>
      </c>
      <c r="K285" s="247">
        <v>13</v>
      </c>
      <c r="L285" s="247">
        <f t="shared" si="719"/>
        <v>27</v>
      </c>
      <c r="M285" s="248">
        <v>45999</v>
      </c>
      <c r="N285" s="248">
        <v>45995</v>
      </c>
      <c r="O285" s="212"/>
      <c r="P285" s="212" t="s">
        <v>224</v>
      </c>
      <c r="Q285" s="212" t="s">
        <v>1495</v>
      </c>
      <c r="R285" s="289">
        <v>45967</v>
      </c>
      <c r="S285" s="212" t="s">
        <v>80</v>
      </c>
      <c r="T285" s="212" t="s">
        <v>80</v>
      </c>
      <c r="U285" s="212"/>
      <c r="V285" s="259" t="s">
        <v>1496</v>
      </c>
      <c r="W285" s="248" t="s">
        <v>752</v>
      </c>
      <c r="X285" s="260">
        <v>0.4687</v>
      </c>
      <c r="Y285" s="247">
        <f t="shared" si="712"/>
        <v>164.5137</v>
      </c>
      <c r="Z285" s="248"/>
      <c r="AA285" s="259">
        <v>351</v>
      </c>
      <c r="AB285" s="259">
        <f t="shared" si="622"/>
        <v>0</v>
      </c>
      <c r="AC285" s="212" t="s">
        <v>80</v>
      </c>
      <c r="AD285" s="212" t="s">
        <v>114</v>
      </c>
      <c r="AE285" s="248" t="s">
        <v>152</v>
      </c>
      <c r="AF285" s="248" t="s">
        <v>115</v>
      </c>
      <c r="AG285" s="267">
        <f t="shared" si="663"/>
        <v>351</v>
      </c>
      <c r="AH285" s="267"/>
      <c r="AI285" s="267">
        <f t="shared" si="664"/>
        <v>351</v>
      </c>
      <c r="AJ285" s="267"/>
      <c r="AK285" s="267">
        <f t="shared" si="744"/>
        <v>351</v>
      </c>
      <c r="AL285" s="267"/>
      <c r="AM285" s="267"/>
      <c r="AN285" s="267"/>
      <c r="AO285" s="267">
        <f t="shared" si="699"/>
        <v>351</v>
      </c>
      <c r="AP285" s="267"/>
      <c r="AQ285" s="267"/>
      <c r="AR285" s="267"/>
      <c r="AS285" s="267"/>
      <c r="AT285" s="267">
        <f t="shared" si="745"/>
        <v>27</v>
      </c>
      <c r="AU285" s="267"/>
      <c r="AV285" s="267"/>
      <c r="AW285" s="267"/>
      <c r="AX285" s="267"/>
      <c r="AY285" s="267"/>
      <c r="AZ285" s="267"/>
      <c r="BA285" s="267"/>
      <c r="BB285" s="267"/>
      <c r="BC285" s="267"/>
      <c r="BD285" s="267"/>
      <c r="BE285" s="267"/>
      <c r="BF285" s="267"/>
      <c r="BG285" s="267"/>
      <c r="BH285" s="267"/>
      <c r="BI285" s="267"/>
      <c r="BJ285" s="269">
        <f t="shared" ref="BJ285:BR285" si="754">$I285*BJ$2</f>
        <v>42.9609374999999</v>
      </c>
      <c r="BK285" s="269">
        <f t="shared" si="754"/>
        <v>42.9609374999999</v>
      </c>
      <c r="BL285" s="269">
        <f t="shared" si="754"/>
        <v>42.9609374999999</v>
      </c>
      <c r="BM285" s="269">
        <f t="shared" si="754"/>
        <v>42.9609374999999</v>
      </c>
      <c r="BN285" s="269">
        <f t="shared" si="754"/>
        <v>42.9609374999999</v>
      </c>
      <c r="BO285" s="269">
        <f t="shared" si="754"/>
        <v>42.9609374999999</v>
      </c>
      <c r="BP285" s="269">
        <f t="shared" si="754"/>
        <v>42.9609374999999</v>
      </c>
      <c r="BQ285" s="269">
        <f t="shared" si="754"/>
        <v>42.9609374999999</v>
      </c>
      <c r="BR285" s="269">
        <f t="shared" si="754"/>
        <v>7.31249999999999</v>
      </c>
      <c r="BT285" s="60">
        <f t="shared" ref="BT285:CB285" si="755">BT284-BJ285</f>
        <v>27960.1588541668</v>
      </c>
      <c r="BU285" s="60">
        <f t="shared" si="755"/>
        <v>27960.1588541668</v>
      </c>
      <c r="BV285" s="60">
        <f t="shared" si="755"/>
        <v>27960.1588541668</v>
      </c>
      <c r="BW285" s="60">
        <f t="shared" si="755"/>
        <v>27960.1588541668</v>
      </c>
      <c r="BX285" s="60">
        <f t="shared" si="755"/>
        <v>27960.1588541668</v>
      </c>
      <c r="BY285" s="60">
        <f t="shared" si="755"/>
        <v>27960.1588541668</v>
      </c>
      <c r="BZ285" s="60">
        <f t="shared" si="755"/>
        <v>27960.1588541668</v>
      </c>
      <c r="CA285" s="60">
        <f t="shared" si="755"/>
        <v>27960.1588541668</v>
      </c>
      <c r="CB285" s="60">
        <f t="shared" si="755"/>
        <v>4710.72916666668</v>
      </c>
    </row>
    <row r="286" s="139" customFormat="1" ht="27" hidden="1" customHeight="1" spans="1:80">
      <c r="A286" s="155">
        <v>45959</v>
      </c>
      <c r="B286" s="156" t="s">
        <v>1448</v>
      </c>
      <c r="C286" s="157" t="s">
        <v>311</v>
      </c>
      <c r="D286" s="158">
        <v>4500183424</v>
      </c>
      <c r="E286" s="157">
        <v>5200008014</v>
      </c>
      <c r="F286" s="158" t="s">
        <v>1506</v>
      </c>
      <c r="G286" s="159" t="s">
        <v>313</v>
      </c>
      <c r="H286" s="156" t="s">
        <v>153</v>
      </c>
      <c r="I286" s="181">
        <v>312</v>
      </c>
      <c r="J286" s="181">
        <v>0</v>
      </c>
      <c r="K286" s="181">
        <v>13</v>
      </c>
      <c r="L286" s="181">
        <f t="shared" si="719"/>
        <v>24</v>
      </c>
      <c r="M286" s="182">
        <v>46000</v>
      </c>
      <c r="N286" s="182">
        <v>45996</v>
      </c>
      <c r="O286" s="183"/>
      <c r="P286" s="212" t="s">
        <v>224</v>
      </c>
      <c r="Q286" s="183" t="s">
        <v>1507</v>
      </c>
      <c r="R286" s="192">
        <v>45966</v>
      </c>
      <c r="S286" s="183" t="s">
        <v>80</v>
      </c>
      <c r="T286" s="183" t="s">
        <v>1508</v>
      </c>
      <c r="U286" s="183"/>
      <c r="V286" s="194" t="s">
        <v>1509</v>
      </c>
      <c r="W286" s="182" t="s">
        <v>1452</v>
      </c>
      <c r="X286" s="195">
        <v>0.7758</v>
      </c>
      <c r="Y286" s="181">
        <f t="shared" si="712"/>
        <v>242.0496</v>
      </c>
      <c r="Z286" s="182"/>
      <c r="AA286" s="194">
        <v>312</v>
      </c>
      <c r="AB286" s="194">
        <f t="shared" si="622"/>
        <v>0</v>
      </c>
      <c r="AC286" s="183" t="s">
        <v>113</v>
      </c>
      <c r="AD286" s="183" t="s">
        <v>114</v>
      </c>
      <c r="AE286" s="182" t="s">
        <v>319</v>
      </c>
      <c r="AF286" s="182" t="s">
        <v>115</v>
      </c>
      <c r="AG286" s="217">
        <f t="shared" si="663"/>
        <v>312</v>
      </c>
      <c r="AH286" s="217"/>
      <c r="AI286" s="217">
        <f t="shared" si="664"/>
        <v>312</v>
      </c>
      <c r="AJ286" s="217"/>
      <c r="AK286" s="217"/>
      <c r="AL286" s="217">
        <f t="shared" ref="AL286:AL289" si="756">I286</f>
        <v>312</v>
      </c>
      <c r="AM286" s="217"/>
      <c r="AN286" s="217"/>
      <c r="AO286" s="217">
        <f t="shared" si="699"/>
        <v>312</v>
      </c>
      <c r="AP286" s="217"/>
      <c r="AQ286" s="217"/>
      <c r="AR286" s="217"/>
      <c r="AS286" s="217"/>
      <c r="AT286" s="217"/>
      <c r="AU286" s="217">
        <f>I286/13</f>
        <v>24</v>
      </c>
      <c r="AV286" s="217"/>
      <c r="AW286" s="217"/>
      <c r="AX286" s="217"/>
      <c r="AY286" s="217"/>
      <c r="AZ286" s="217"/>
      <c r="BA286" s="217"/>
      <c r="BB286" s="217"/>
      <c r="BC286" s="217"/>
      <c r="BD286" s="217"/>
      <c r="BE286" s="217"/>
      <c r="BF286" s="217"/>
      <c r="BG286" s="217"/>
      <c r="BH286" s="217"/>
      <c r="BI286" s="217"/>
      <c r="BJ286" s="227">
        <f t="shared" ref="BJ286:BR286" si="757">$I286*BJ$2</f>
        <v>38.1874999999999</v>
      </c>
      <c r="BK286" s="227">
        <f t="shared" si="757"/>
        <v>38.1874999999999</v>
      </c>
      <c r="BL286" s="227">
        <f t="shared" si="757"/>
        <v>38.1874999999999</v>
      </c>
      <c r="BM286" s="227">
        <f t="shared" si="757"/>
        <v>38.1874999999999</v>
      </c>
      <c r="BN286" s="227">
        <f t="shared" si="757"/>
        <v>38.1874999999999</v>
      </c>
      <c r="BO286" s="227">
        <f t="shared" si="757"/>
        <v>38.1874999999999</v>
      </c>
      <c r="BP286" s="227">
        <f t="shared" si="757"/>
        <v>38.1874999999999</v>
      </c>
      <c r="BQ286" s="227">
        <f t="shared" si="757"/>
        <v>38.1874999999999</v>
      </c>
      <c r="BR286" s="227">
        <f t="shared" si="757"/>
        <v>6.49999999999999</v>
      </c>
      <c r="BT286" s="60">
        <f t="shared" ref="BT286:CB286" si="758">BT285-BJ286</f>
        <v>27921.9713541668</v>
      </c>
      <c r="BU286" s="60">
        <f t="shared" si="758"/>
        <v>27921.9713541668</v>
      </c>
      <c r="BV286" s="60">
        <f t="shared" si="758"/>
        <v>27921.9713541668</v>
      </c>
      <c r="BW286" s="60">
        <f t="shared" si="758"/>
        <v>27921.9713541668</v>
      </c>
      <c r="BX286" s="60">
        <f t="shared" si="758"/>
        <v>27921.9713541668</v>
      </c>
      <c r="BY286" s="60">
        <f t="shared" si="758"/>
        <v>27921.9713541668</v>
      </c>
      <c r="BZ286" s="60">
        <f t="shared" si="758"/>
        <v>27921.9713541668</v>
      </c>
      <c r="CA286" s="60">
        <f t="shared" si="758"/>
        <v>27921.9713541668</v>
      </c>
      <c r="CB286" s="60">
        <f t="shared" si="758"/>
        <v>4704.22916666668</v>
      </c>
    </row>
    <row r="287" s="234" customFormat="1" ht="27" hidden="1" customHeight="1" spans="1:80">
      <c r="A287" s="236">
        <v>45959</v>
      </c>
      <c r="B287" s="237" t="s">
        <v>1448</v>
      </c>
      <c r="C287" s="238" t="s">
        <v>311</v>
      </c>
      <c r="D287" s="239">
        <v>4500183424</v>
      </c>
      <c r="E287" s="238">
        <v>5200008014</v>
      </c>
      <c r="F287" s="239" t="s">
        <v>1510</v>
      </c>
      <c r="G287" s="240" t="s">
        <v>1511</v>
      </c>
      <c r="H287" s="237" t="s">
        <v>174</v>
      </c>
      <c r="I287" s="247">
        <v>594</v>
      </c>
      <c r="J287" s="247">
        <v>0</v>
      </c>
      <c r="K287" s="247">
        <v>33</v>
      </c>
      <c r="L287" s="247">
        <f t="shared" si="719"/>
        <v>18</v>
      </c>
      <c r="M287" s="248">
        <v>46000</v>
      </c>
      <c r="N287" s="248">
        <v>45996</v>
      </c>
      <c r="O287" s="212"/>
      <c r="P287" s="212" t="s">
        <v>224</v>
      </c>
      <c r="Q287" s="183" t="s">
        <v>1512</v>
      </c>
      <c r="R287" s="289">
        <v>45966</v>
      </c>
      <c r="S287" s="212" t="s">
        <v>80</v>
      </c>
      <c r="T287" s="212" t="s">
        <v>1508</v>
      </c>
      <c r="U287" s="212"/>
      <c r="V287" s="259" t="s">
        <v>1513</v>
      </c>
      <c r="W287" s="248" t="s">
        <v>1452</v>
      </c>
      <c r="X287" s="260">
        <v>38.3485</v>
      </c>
      <c r="Y287" s="247">
        <f>X287*L287</f>
        <v>690.273</v>
      </c>
      <c r="Z287" s="248"/>
      <c r="AA287" s="259">
        <v>594</v>
      </c>
      <c r="AB287" s="259">
        <f t="shared" si="622"/>
        <v>0</v>
      </c>
      <c r="AC287" s="212" t="s">
        <v>113</v>
      </c>
      <c r="AD287" s="212" t="s">
        <v>114</v>
      </c>
      <c r="AE287" s="248" t="s">
        <v>484</v>
      </c>
      <c r="AF287" s="248" t="s">
        <v>115</v>
      </c>
      <c r="AG287" s="267"/>
      <c r="AH287" s="267"/>
      <c r="AI287" s="267"/>
      <c r="AJ287" s="267"/>
      <c r="AK287" s="267"/>
      <c r="AL287" s="267">
        <f t="shared" si="756"/>
        <v>594</v>
      </c>
      <c r="AM287" s="267"/>
      <c r="AN287" s="267"/>
      <c r="AO287" s="267">
        <f t="shared" si="699"/>
        <v>594</v>
      </c>
      <c r="AP287" s="267"/>
      <c r="AQ287" s="267"/>
      <c r="AR287" s="267"/>
      <c r="AS287" s="267"/>
      <c r="AT287" s="267"/>
      <c r="AU287" s="267"/>
      <c r="AV287" s="267"/>
      <c r="AW287" s="267"/>
      <c r="AX287" s="267"/>
      <c r="AY287" s="267"/>
      <c r="AZ287" s="267"/>
      <c r="BA287" s="267"/>
      <c r="BB287" s="267"/>
      <c r="BC287" s="267"/>
      <c r="BD287" s="267">
        <f>I287/33</f>
        <v>18</v>
      </c>
      <c r="BE287" s="267">
        <f>BD287</f>
        <v>18</v>
      </c>
      <c r="BF287" s="267"/>
      <c r="BG287" s="267"/>
      <c r="BH287" s="267"/>
      <c r="BI287" s="267"/>
      <c r="BJ287" s="269">
        <f t="shared" ref="BJ287:BR287" si="759">$I287*BJ$2</f>
        <v>72.7031249999998</v>
      </c>
      <c r="BK287" s="269">
        <f t="shared" si="759"/>
        <v>72.7031249999998</v>
      </c>
      <c r="BL287" s="269">
        <f t="shared" si="759"/>
        <v>72.7031249999998</v>
      </c>
      <c r="BM287" s="269">
        <f t="shared" si="759"/>
        <v>72.7031249999998</v>
      </c>
      <c r="BN287" s="269">
        <f t="shared" si="759"/>
        <v>72.7031249999998</v>
      </c>
      <c r="BO287" s="269">
        <f t="shared" si="759"/>
        <v>72.7031249999998</v>
      </c>
      <c r="BP287" s="269">
        <f t="shared" si="759"/>
        <v>72.7031249999998</v>
      </c>
      <c r="BQ287" s="269">
        <f t="shared" si="759"/>
        <v>72.7031249999998</v>
      </c>
      <c r="BR287" s="269">
        <f t="shared" si="759"/>
        <v>12.375</v>
      </c>
      <c r="BT287" s="60">
        <f t="shared" ref="BT287:CB287" si="760">BT286-BJ287</f>
        <v>27849.2682291668</v>
      </c>
      <c r="BU287" s="60">
        <f t="shared" si="760"/>
        <v>27849.2682291668</v>
      </c>
      <c r="BV287" s="60">
        <f t="shared" si="760"/>
        <v>27849.2682291668</v>
      </c>
      <c r="BW287" s="60">
        <f t="shared" si="760"/>
        <v>27849.2682291668</v>
      </c>
      <c r="BX287" s="60">
        <f t="shared" si="760"/>
        <v>27849.2682291668</v>
      </c>
      <c r="BY287" s="60">
        <f t="shared" si="760"/>
        <v>27849.2682291668</v>
      </c>
      <c r="BZ287" s="60">
        <f t="shared" si="760"/>
        <v>27849.2682291668</v>
      </c>
      <c r="CA287" s="60">
        <f t="shared" si="760"/>
        <v>27849.2682291668</v>
      </c>
      <c r="CB287" s="60">
        <f t="shared" si="760"/>
        <v>4691.85416666668</v>
      </c>
    </row>
    <row r="288" s="139" customFormat="1" ht="27" hidden="1" customHeight="1" spans="1:80">
      <c r="A288" s="155">
        <v>45973</v>
      </c>
      <c r="B288" s="156" t="s">
        <v>1514</v>
      </c>
      <c r="C288" s="157" t="s">
        <v>1515</v>
      </c>
      <c r="D288" s="158">
        <v>4500185407</v>
      </c>
      <c r="E288" s="157">
        <v>21213049</v>
      </c>
      <c r="F288" s="156" t="s">
        <v>1516</v>
      </c>
      <c r="G288" s="139" t="s">
        <v>152</v>
      </c>
      <c r="H288" s="156" t="s">
        <v>153</v>
      </c>
      <c r="I288" s="181">
        <v>611</v>
      </c>
      <c r="J288" s="181">
        <v>0</v>
      </c>
      <c r="K288" s="181">
        <v>13</v>
      </c>
      <c r="L288" s="181">
        <f t="shared" si="719"/>
        <v>47</v>
      </c>
      <c r="M288" s="182">
        <v>46001</v>
      </c>
      <c r="N288" s="182">
        <v>45997</v>
      </c>
      <c r="O288" s="183"/>
      <c r="P288" s="183" t="s">
        <v>224</v>
      </c>
      <c r="Q288" s="183"/>
      <c r="R288" s="192">
        <v>45981</v>
      </c>
      <c r="S288" s="183" t="s">
        <v>80</v>
      </c>
      <c r="T288" s="183" t="s">
        <v>1517</v>
      </c>
      <c r="U288" s="183" t="s">
        <v>1518</v>
      </c>
      <c r="V288" s="194" t="s">
        <v>1519</v>
      </c>
      <c r="W288" s="182" t="s">
        <v>1520</v>
      </c>
      <c r="X288" s="195">
        <v>0.7985</v>
      </c>
      <c r="Y288" s="181">
        <f t="shared" ref="Y288:Y297" si="761">X288*I288</f>
        <v>487.8835</v>
      </c>
      <c r="Z288" s="182"/>
      <c r="AA288" s="194">
        <v>611</v>
      </c>
      <c r="AB288" s="194">
        <f t="shared" si="622"/>
        <v>0</v>
      </c>
      <c r="AC288" s="183" t="s">
        <v>113</v>
      </c>
      <c r="AD288" s="183" t="s">
        <v>114</v>
      </c>
      <c r="AE288" s="182" t="s">
        <v>319</v>
      </c>
      <c r="AF288" s="182" t="s">
        <v>115</v>
      </c>
      <c r="AG288" s="217">
        <f t="shared" ref="AG288:AG308" si="762">I288</f>
        <v>611</v>
      </c>
      <c r="AH288" s="217"/>
      <c r="AI288" s="217">
        <f t="shared" ref="AI288:AI308" si="763">I288</f>
        <v>611</v>
      </c>
      <c r="AJ288" s="217"/>
      <c r="AK288" s="217"/>
      <c r="AL288" s="217">
        <f t="shared" si="756"/>
        <v>611</v>
      </c>
      <c r="AM288" s="217"/>
      <c r="AN288" s="217"/>
      <c r="AO288" s="217">
        <f t="shared" si="699"/>
        <v>611</v>
      </c>
      <c r="AP288" s="217"/>
      <c r="AQ288" s="217"/>
      <c r="AR288" s="217"/>
      <c r="AS288" s="217"/>
      <c r="AT288" s="217"/>
      <c r="AU288" s="217">
        <f>I288/13</f>
        <v>47</v>
      </c>
      <c r="AV288" s="217"/>
      <c r="AW288" s="217"/>
      <c r="AX288" s="217"/>
      <c r="AY288" s="217"/>
      <c r="AZ288" s="217"/>
      <c r="BA288" s="217"/>
      <c r="BB288" s="217"/>
      <c r="BC288" s="217"/>
      <c r="BD288" s="217"/>
      <c r="BE288" s="217"/>
      <c r="BF288" s="217"/>
      <c r="BG288" s="217"/>
      <c r="BH288" s="217"/>
      <c r="BI288" s="217"/>
      <c r="BJ288" s="227">
        <f t="shared" ref="BJ288:BR288" si="764">$I288*BJ$2</f>
        <v>74.7838541666665</v>
      </c>
      <c r="BK288" s="227">
        <f t="shared" si="764"/>
        <v>74.7838541666665</v>
      </c>
      <c r="BL288" s="227">
        <f t="shared" si="764"/>
        <v>74.7838541666665</v>
      </c>
      <c r="BM288" s="227">
        <f t="shared" si="764"/>
        <v>74.7838541666665</v>
      </c>
      <c r="BN288" s="227">
        <f t="shared" si="764"/>
        <v>74.7838541666665</v>
      </c>
      <c r="BO288" s="227">
        <f t="shared" si="764"/>
        <v>74.7838541666665</v>
      </c>
      <c r="BP288" s="227">
        <f t="shared" si="764"/>
        <v>74.7838541666665</v>
      </c>
      <c r="BQ288" s="227">
        <f t="shared" si="764"/>
        <v>74.7838541666665</v>
      </c>
      <c r="BR288" s="227">
        <f t="shared" si="764"/>
        <v>12.7291666666666</v>
      </c>
      <c r="BT288" s="60">
        <f t="shared" ref="BT288:CB288" si="765">BT287-BJ288</f>
        <v>27774.4843750001</v>
      </c>
      <c r="BU288" s="60">
        <f t="shared" si="765"/>
        <v>27774.4843750001</v>
      </c>
      <c r="BV288" s="60">
        <f t="shared" si="765"/>
        <v>27774.4843750001</v>
      </c>
      <c r="BW288" s="60">
        <f t="shared" si="765"/>
        <v>27774.4843750001</v>
      </c>
      <c r="BX288" s="60">
        <f t="shared" si="765"/>
        <v>27774.4843750001</v>
      </c>
      <c r="BY288" s="60">
        <f t="shared" si="765"/>
        <v>27774.4843750001</v>
      </c>
      <c r="BZ288" s="60">
        <f t="shared" si="765"/>
        <v>27774.4843750001</v>
      </c>
      <c r="CA288" s="60">
        <f t="shared" si="765"/>
        <v>27774.4843750001</v>
      </c>
      <c r="CB288" s="60">
        <f t="shared" si="765"/>
        <v>4679.12500000001</v>
      </c>
    </row>
    <row r="289" s="234" customFormat="1" ht="27" hidden="1" customHeight="1" spans="1:80">
      <c r="A289" s="236">
        <v>45964</v>
      </c>
      <c r="B289" s="237" t="s">
        <v>1348</v>
      </c>
      <c r="C289" s="238" t="s">
        <v>474</v>
      </c>
      <c r="D289" s="239">
        <v>4500183825</v>
      </c>
      <c r="E289" s="238"/>
      <c r="F289" s="237" t="s">
        <v>1521</v>
      </c>
      <c r="G289" s="240" t="s">
        <v>424</v>
      </c>
      <c r="H289" s="237" t="s">
        <v>174</v>
      </c>
      <c r="I289" s="247">
        <v>330</v>
      </c>
      <c r="J289" s="247">
        <v>0</v>
      </c>
      <c r="K289" s="247">
        <v>33</v>
      </c>
      <c r="L289" s="247">
        <f t="shared" si="719"/>
        <v>10</v>
      </c>
      <c r="M289" s="248">
        <v>46001</v>
      </c>
      <c r="N289" s="248">
        <v>45997</v>
      </c>
      <c r="O289" s="212"/>
      <c r="P289" s="212" t="s">
        <v>224</v>
      </c>
      <c r="Q289" s="297" t="s">
        <v>1522</v>
      </c>
      <c r="R289" s="212">
        <v>45964</v>
      </c>
      <c r="S289" s="273" t="s">
        <v>80</v>
      </c>
      <c r="T289" s="273" t="s">
        <v>1523</v>
      </c>
      <c r="U289" s="212"/>
      <c r="V289" s="259" t="s">
        <v>1524</v>
      </c>
      <c r="W289" s="248" t="s">
        <v>1525</v>
      </c>
      <c r="X289" s="260">
        <v>38.3485</v>
      </c>
      <c r="Y289" s="247">
        <f>X289*L289</f>
        <v>383.485</v>
      </c>
      <c r="Z289" s="248"/>
      <c r="AA289" s="259">
        <v>330</v>
      </c>
      <c r="AB289" s="259">
        <f t="shared" si="622"/>
        <v>0</v>
      </c>
      <c r="AC289" s="212" t="s">
        <v>113</v>
      </c>
      <c r="AD289" s="212" t="s">
        <v>114</v>
      </c>
      <c r="AE289" s="248" t="s">
        <v>484</v>
      </c>
      <c r="AF289" s="248" t="s">
        <v>115</v>
      </c>
      <c r="AG289" s="267">
        <f t="shared" si="762"/>
        <v>330</v>
      </c>
      <c r="AH289" s="267"/>
      <c r="AI289" s="267">
        <f t="shared" si="763"/>
        <v>330</v>
      </c>
      <c r="AJ289" s="267"/>
      <c r="AK289" s="267"/>
      <c r="AL289" s="267">
        <f t="shared" si="756"/>
        <v>330</v>
      </c>
      <c r="AM289" s="267"/>
      <c r="AN289" s="267"/>
      <c r="AO289" s="267">
        <f t="shared" si="699"/>
        <v>330</v>
      </c>
      <c r="AP289" s="267"/>
      <c r="AQ289" s="267"/>
      <c r="AR289" s="267"/>
      <c r="AS289" s="267"/>
      <c r="AT289" s="267"/>
      <c r="AU289" s="267"/>
      <c r="AV289" s="267"/>
      <c r="AW289" s="267"/>
      <c r="AX289" s="267"/>
      <c r="AY289" s="267"/>
      <c r="AZ289" s="267"/>
      <c r="BA289" s="267"/>
      <c r="BB289" s="267"/>
      <c r="BC289" s="267"/>
      <c r="BD289" s="267">
        <f>I289/33</f>
        <v>10</v>
      </c>
      <c r="BE289" s="267">
        <f>BD289</f>
        <v>10</v>
      </c>
      <c r="BF289" s="267"/>
      <c r="BG289" s="267"/>
      <c r="BH289" s="267"/>
      <c r="BI289" s="267"/>
      <c r="BJ289" s="269">
        <f t="shared" ref="BJ289:BR289" si="766">$I289*BJ$2</f>
        <v>40.3906249999999</v>
      </c>
      <c r="BK289" s="269">
        <f t="shared" si="766"/>
        <v>40.3906249999999</v>
      </c>
      <c r="BL289" s="269">
        <f t="shared" si="766"/>
        <v>40.3906249999999</v>
      </c>
      <c r="BM289" s="269">
        <f t="shared" si="766"/>
        <v>40.3906249999999</v>
      </c>
      <c r="BN289" s="269">
        <f t="shared" si="766"/>
        <v>40.3906249999999</v>
      </c>
      <c r="BO289" s="269">
        <f t="shared" si="766"/>
        <v>40.3906249999999</v>
      </c>
      <c r="BP289" s="269">
        <f t="shared" si="766"/>
        <v>40.3906249999999</v>
      </c>
      <c r="BQ289" s="269">
        <f t="shared" si="766"/>
        <v>40.3906249999999</v>
      </c>
      <c r="BR289" s="269">
        <f t="shared" si="766"/>
        <v>6.87499999999999</v>
      </c>
      <c r="BT289" s="60">
        <f t="shared" ref="BT289:CB289" si="767">BT288-BJ289</f>
        <v>27734.0937500001</v>
      </c>
      <c r="BU289" s="60">
        <f t="shared" si="767"/>
        <v>27734.0937500001</v>
      </c>
      <c r="BV289" s="60">
        <f t="shared" si="767"/>
        <v>27734.0937500001</v>
      </c>
      <c r="BW289" s="60">
        <f t="shared" si="767"/>
        <v>27734.0937500001</v>
      </c>
      <c r="BX289" s="60">
        <f t="shared" si="767"/>
        <v>27734.0937500001</v>
      </c>
      <c r="BY289" s="60">
        <f t="shared" si="767"/>
        <v>27734.0937500001</v>
      </c>
      <c r="BZ289" s="60">
        <f t="shared" si="767"/>
        <v>27734.0937500001</v>
      </c>
      <c r="CA289" s="60">
        <f t="shared" si="767"/>
        <v>27734.0937500001</v>
      </c>
      <c r="CB289" s="60">
        <f t="shared" si="767"/>
        <v>4672.25000000001</v>
      </c>
    </row>
    <row r="290" s="139" customFormat="1" ht="27" hidden="1" customHeight="1" spans="1:80">
      <c r="A290" s="155">
        <v>45968</v>
      </c>
      <c r="B290" s="156" t="s">
        <v>1526</v>
      </c>
      <c r="C290" s="157" t="s">
        <v>396</v>
      </c>
      <c r="D290" s="158">
        <v>4500184671</v>
      </c>
      <c r="E290" s="157">
        <v>14742176</v>
      </c>
      <c r="F290" s="156" t="s">
        <v>1527</v>
      </c>
      <c r="G290" s="159" t="s">
        <v>1528</v>
      </c>
      <c r="H290" s="156" t="s">
        <v>1529</v>
      </c>
      <c r="I290" s="181">
        <v>4896</v>
      </c>
      <c r="J290" s="181">
        <v>0</v>
      </c>
      <c r="K290" s="181">
        <v>96</v>
      </c>
      <c r="L290" s="181">
        <f t="shared" si="719"/>
        <v>51</v>
      </c>
      <c r="M290" s="182">
        <v>46003</v>
      </c>
      <c r="N290" s="182">
        <v>45999</v>
      </c>
      <c r="O290" s="183"/>
      <c r="P290" s="183" t="s">
        <v>107</v>
      </c>
      <c r="Q290" s="183" t="s">
        <v>1522</v>
      </c>
      <c r="R290" s="192">
        <v>45975</v>
      </c>
      <c r="S290" s="193" t="s">
        <v>80</v>
      </c>
      <c r="T290" s="183" t="s">
        <v>80</v>
      </c>
      <c r="U290" s="183"/>
      <c r="V290" s="194" t="s">
        <v>1530</v>
      </c>
      <c r="W290" s="182" t="s">
        <v>1531</v>
      </c>
      <c r="X290" s="195">
        <v>0.9094</v>
      </c>
      <c r="Y290" s="181">
        <f t="shared" si="761"/>
        <v>4452.4224</v>
      </c>
      <c r="Z290" s="182"/>
      <c r="AA290" s="194">
        <v>4896</v>
      </c>
      <c r="AB290" s="194">
        <f t="shared" si="622"/>
        <v>0</v>
      </c>
      <c r="AC290" s="183" t="s">
        <v>80</v>
      </c>
      <c r="AD290" s="183" t="s">
        <v>114</v>
      </c>
      <c r="AE290" s="159" t="s">
        <v>1528</v>
      </c>
      <c r="AF290" s="182" t="s">
        <v>115</v>
      </c>
      <c r="AG290" s="217">
        <f t="shared" si="762"/>
        <v>4896</v>
      </c>
      <c r="AH290" s="217"/>
      <c r="AI290" s="217">
        <f t="shared" si="763"/>
        <v>4896</v>
      </c>
      <c r="AJ290" s="217"/>
      <c r="AK290" s="217">
        <f t="shared" ref="AK290:AK298" si="768">I290</f>
        <v>4896</v>
      </c>
      <c r="AL290" s="217"/>
      <c r="AM290" s="217"/>
      <c r="AN290" s="217"/>
      <c r="AO290" s="217">
        <f t="shared" si="699"/>
        <v>4896</v>
      </c>
      <c r="AP290" s="217"/>
      <c r="AQ290" s="217"/>
      <c r="AR290" s="217"/>
      <c r="AS290" s="217"/>
      <c r="AT290" s="217"/>
      <c r="AU290" s="217"/>
      <c r="AV290" s="217"/>
      <c r="AW290" s="217"/>
      <c r="AX290" s="217">
        <f>I290/8</f>
        <v>612</v>
      </c>
      <c r="AY290" s="217"/>
      <c r="AZ290" s="217"/>
      <c r="BA290" s="217"/>
      <c r="BB290" s="217"/>
      <c r="BC290" s="217"/>
      <c r="BD290" s="217"/>
      <c r="BE290" s="217"/>
      <c r="BF290" s="217"/>
      <c r="BG290" s="217"/>
      <c r="BH290" s="217"/>
      <c r="BI290" s="217"/>
      <c r="BJ290" s="227">
        <f t="shared" ref="BJ290:BR290" si="769">$I290*BJ$2</f>
        <v>599.249999999998</v>
      </c>
      <c r="BK290" s="227">
        <f t="shared" si="769"/>
        <v>599.249999999998</v>
      </c>
      <c r="BL290" s="227">
        <f t="shared" si="769"/>
        <v>599.249999999998</v>
      </c>
      <c r="BM290" s="227">
        <f t="shared" si="769"/>
        <v>599.249999999998</v>
      </c>
      <c r="BN290" s="227">
        <f t="shared" si="769"/>
        <v>599.249999999998</v>
      </c>
      <c r="BO290" s="227">
        <f t="shared" si="769"/>
        <v>599.249999999998</v>
      </c>
      <c r="BP290" s="227">
        <f t="shared" si="769"/>
        <v>599.249999999998</v>
      </c>
      <c r="BQ290" s="227">
        <f t="shared" si="769"/>
        <v>599.249999999998</v>
      </c>
      <c r="BR290" s="227">
        <f t="shared" si="769"/>
        <v>102</v>
      </c>
      <c r="BT290" s="60">
        <f t="shared" ref="BT290:CB290" si="770">BT289-BJ290</f>
        <v>27134.8437500001</v>
      </c>
      <c r="BU290" s="60">
        <f t="shared" si="770"/>
        <v>27134.8437500001</v>
      </c>
      <c r="BV290" s="60">
        <f t="shared" si="770"/>
        <v>27134.8437500001</v>
      </c>
      <c r="BW290" s="60">
        <f t="shared" si="770"/>
        <v>27134.8437500001</v>
      </c>
      <c r="BX290" s="60">
        <f t="shared" si="770"/>
        <v>27134.8437500001</v>
      </c>
      <c r="BY290" s="60">
        <f t="shared" si="770"/>
        <v>27134.8437500001</v>
      </c>
      <c r="BZ290" s="60">
        <f t="shared" si="770"/>
        <v>27134.8437500001</v>
      </c>
      <c r="CA290" s="60">
        <f t="shared" si="770"/>
        <v>27134.8437500001</v>
      </c>
      <c r="CB290" s="60">
        <f t="shared" si="770"/>
        <v>4570.25000000001</v>
      </c>
    </row>
    <row r="291" s="139" customFormat="1" ht="27" hidden="1" customHeight="1" spans="1:80">
      <c r="A291" s="155">
        <v>45915</v>
      </c>
      <c r="B291" s="156" t="s">
        <v>795</v>
      </c>
      <c r="C291" s="157" t="s">
        <v>574</v>
      </c>
      <c r="D291" s="158">
        <v>4500179539</v>
      </c>
      <c r="E291" s="157">
        <v>5251218299</v>
      </c>
      <c r="F291" s="156" t="s">
        <v>1532</v>
      </c>
      <c r="G291" s="159" t="s">
        <v>131</v>
      </c>
      <c r="H291" s="156" t="s">
        <v>1533</v>
      </c>
      <c r="I291" s="181">
        <v>7506</v>
      </c>
      <c r="J291" s="181">
        <v>0</v>
      </c>
      <c r="K291" s="181">
        <v>27</v>
      </c>
      <c r="L291" s="181">
        <f t="shared" si="719"/>
        <v>278</v>
      </c>
      <c r="M291" s="182">
        <v>46006</v>
      </c>
      <c r="N291" s="182">
        <v>46002</v>
      </c>
      <c r="O291" s="183"/>
      <c r="P291" s="183" t="s">
        <v>107</v>
      </c>
      <c r="Q291" s="183" t="s">
        <v>1522</v>
      </c>
      <c r="R291" s="192">
        <v>45916</v>
      </c>
      <c r="S291" s="193" t="s">
        <v>80</v>
      </c>
      <c r="T291" s="183" t="s">
        <v>1534</v>
      </c>
      <c r="U291" s="200" t="s">
        <v>1445</v>
      </c>
      <c r="V291" s="194" t="s">
        <v>1535</v>
      </c>
      <c r="W291" s="182" t="s">
        <v>581</v>
      </c>
      <c r="X291" s="195">
        <v>0.7527</v>
      </c>
      <c r="Y291" s="181">
        <f t="shared" si="761"/>
        <v>5649.7662</v>
      </c>
      <c r="Z291" s="182"/>
      <c r="AA291" s="194">
        <v>7506</v>
      </c>
      <c r="AB291" s="194">
        <f t="shared" si="622"/>
        <v>0</v>
      </c>
      <c r="AC291" s="183" t="s">
        <v>113</v>
      </c>
      <c r="AD291" s="183" t="s">
        <v>114</v>
      </c>
      <c r="AE291" s="182" t="s">
        <v>434</v>
      </c>
      <c r="AF291" s="182" t="s">
        <v>115</v>
      </c>
      <c r="AG291" s="217">
        <f t="shared" si="762"/>
        <v>7506</v>
      </c>
      <c r="AH291" s="217"/>
      <c r="AI291" s="217">
        <f t="shared" si="763"/>
        <v>7506</v>
      </c>
      <c r="AJ291" s="217"/>
      <c r="AK291" s="217"/>
      <c r="AL291" s="217">
        <f>I291</f>
        <v>7506</v>
      </c>
      <c r="AM291" s="217"/>
      <c r="AN291" s="217"/>
      <c r="AO291" s="217">
        <f t="shared" si="699"/>
        <v>7506</v>
      </c>
      <c r="AP291" s="217"/>
      <c r="AQ291" s="217"/>
      <c r="AR291" s="217"/>
      <c r="AS291" s="217">
        <f>I291/27</f>
        <v>278</v>
      </c>
      <c r="AT291" s="217"/>
      <c r="AU291" s="217"/>
      <c r="AV291" s="217"/>
      <c r="AW291" s="217"/>
      <c r="AX291" s="217"/>
      <c r="AY291" s="217"/>
      <c r="AZ291" s="217"/>
      <c r="BA291" s="217"/>
      <c r="BB291" s="217"/>
      <c r="BC291" s="217"/>
      <c r="BD291" s="217"/>
      <c r="BE291" s="217"/>
      <c r="BF291" s="217"/>
      <c r="BG291" s="217"/>
      <c r="BH291" s="217"/>
      <c r="BI291" s="217"/>
      <c r="BJ291" s="226">
        <f t="shared" ref="BJ291:BR291" si="771">$I291*BJ$2</f>
        <v>918.703124999998</v>
      </c>
      <c r="BK291" s="226">
        <f t="shared" si="771"/>
        <v>918.703124999998</v>
      </c>
      <c r="BL291" s="226">
        <f t="shared" si="771"/>
        <v>918.703124999998</v>
      </c>
      <c r="BM291" s="226">
        <f t="shared" si="771"/>
        <v>918.703124999998</v>
      </c>
      <c r="BN291" s="226">
        <f t="shared" si="771"/>
        <v>918.703124999998</v>
      </c>
      <c r="BO291" s="226">
        <f t="shared" si="771"/>
        <v>918.703124999998</v>
      </c>
      <c r="BP291" s="226">
        <f t="shared" si="771"/>
        <v>918.703124999998</v>
      </c>
      <c r="BQ291" s="226">
        <f t="shared" si="771"/>
        <v>918.703124999998</v>
      </c>
      <c r="BR291" s="226">
        <f t="shared" si="771"/>
        <v>156.375</v>
      </c>
      <c r="BT291" s="60">
        <f t="shared" ref="BT291:CB291" si="772">BT290-BJ291</f>
        <v>26216.1406250001</v>
      </c>
      <c r="BU291" s="60">
        <f t="shared" si="772"/>
        <v>26216.1406250001</v>
      </c>
      <c r="BV291" s="60">
        <f t="shared" si="772"/>
        <v>26216.1406250001</v>
      </c>
      <c r="BW291" s="60">
        <f t="shared" si="772"/>
        <v>26216.1406250001</v>
      </c>
      <c r="BX291" s="60">
        <f t="shared" si="772"/>
        <v>26216.1406250001</v>
      </c>
      <c r="BY291" s="60">
        <f t="shared" si="772"/>
        <v>26216.1406250001</v>
      </c>
      <c r="BZ291" s="60">
        <f t="shared" si="772"/>
        <v>26216.1406250001</v>
      </c>
      <c r="CA291" s="60">
        <f t="shared" si="772"/>
        <v>26216.1406250001</v>
      </c>
      <c r="CB291" s="60">
        <f t="shared" si="772"/>
        <v>4413.87500000001</v>
      </c>
    </row>
    <row r="292" s="139" customFormat="1" ht="27" hidden="1" customHeight="1" spans="1:80">
      <c r="A292" s="155">
        <v>45968</v>
      </c>
      <c r="B292" s="156" t="s">
        <v>977</v>
      </c>
      <c r="C292" s="157" t="s">
        <v>117</v>
      </c>
      <c r="D292" s="158">
        <v>4500184604</v>
      </c>
      <c r="E292" s="157">
        <v>655489</v>
      </c>
      <c r="F292" s="156" t="s">
        <v>1536</v>
      </c>
      <c r="G292" s="159" t="s">
        <v>152</v>
      </c>
      <c r="H292" s="156" t="s">
        <v>153</v>
      </c>
      <c r="I292" s="181">
        <v>2626</v>
      </c>
      <c r="J292" s="181">
        <v>0</v>
      </c>
      <c r="K292" s="181">
        <v>13</v>
      </c>
      <c r="L292" s="181">
        <f t="shared" si="719"/>
        <v>202</v>
      </c>
      <c r="M292" s="182">
        <v>46008</v>
      </c>
      <c r="N292" s="182">
        <v>46004</v>
      </c>
      <c r="O292" s="183"/>
      <c r="P292" s="183" t="s">
        <v>107</v>
      </c>
      <c r="Q292" s="183" t="s">
        <v>1537</v>
      </c>
      <c r="R292" s="192">
        <v>45968</v>
      </c>
      <c r="S292" s="183" t="s">
        <v>80</v>
      </c>
      <c r="T292" s="183" t="s">
        <v>80</v>
      </c>
      <c r="U292" s="183"/>
      <c r="V292" s="194" t="s">
        <v>1538</v>
      </c>
      <c r="W292" s="182" t="s">
        <v>982</v>
      </c>
      <c r="X292" s="195">
        <v>0.4687</v>
      </c>
      <c r="Y292" s="181">
        <f t="shared" si="761"/>
        <v>1230.8062</v>
      </c>
      <c r="Z292" s="182"/>
      <c r="AA292" s="194">
        <f>2600+26</f>
        <v>2626</v>
      </c>
      <c r="AB292" s="194">
        <f t="shared" si="622"/>
        <v>0</v>
      </c>
      <c r="AC292" s="183" t="s">
        <v>80</v>
      </c>
      <c r="AD292" s="183" t="s">
        <v>114</v>
      </c>
      <c r="AE292" s="182" t="s">
        <v>152</v>
      </c>
      <c r="AF292" s="182" t="s">
        <v>115</v>
      </c>
      <c r="AG292" s="217">
        <f t="shared" si="762"/>
        <v>2626</v>
      </c>
      <c r="AH292" s="217"/>
      <c r="AI292" s="217">
        <f t="shared" si="763"/>
        <v>2626</v>
      </c>
      <c r="AJ292" s="217"/>
      <c r="AK292" s="217">
        <f t="shared" si="768"/>
        <v>2626</v>
      </c>
      <c r="AL292" s="217"/>
      <c r="AM292" s="217"/>
      <c r="AN292" s="217"/>
      <c r="AO292" s="217">
        <f t="shared" si="699"/>
        <v>2626</v>
      </c>
      <c r="AP292" s="217"/>
      <c r="AQ292" s="217"/>
      <c r="AR292" s="217"/>
      <c r="AS292" s="217"/>
      <c r="AT292" s="217">
        <f>I292/13</f>
        <v>202</v>
      </c>
      <c r="AU292" s="217"/>
      <c r="AV292" s="217"/>
      <c r="AW292" s="217"/>
      <c r="AX292" s="217"/>
      <c r="AY292" s="217"/>
      <c r="AZ292" s="217"/>
      <c r="BA292" s="217"/>
      <c r="BB292" s="217"/>
      <c r="BC292" s="217"/>
      <c r="BD292" s="217"/>
      <c r="BE292" s="217"/>
      <c r="BF292" s="217"/>
      <c r="BG292" s="217"/>
      <c r="BH292" s="217"/>
      <c r="BI292" s="217"/>
      <c r="BJ292" s="227">
        <f t="shared" ref="BJ292:BR292" si="773">$I292*BJ$2</f>
        <v>321.411458333332</v>
      </c>
      <c r="BK292" s="227">
        <f t="shared" si="773"/>
        <v>321.411458333332</v>
      </c>
      <c r="BL292" s="227">
        <f t="shared" si="773"/>
        <v>321.411458333332</v>
      </c>
      <c r="BM292" s="227">
        <f t="shared" si="773"/>
        <v>321.411458333332</v>
      </c>
      <c r="BN292" s="227">
        <f t="shared" si="773"/>
        <v>321.411458333332</v>
      </c>
      <c r="BO292" s="227">
        <f t="shared" si="773"/>
        <v>321.411458333332</v>
      </c>
      <c r="BP292" s="227">
        <f t="shared" si="773"/>
        <v>321.411458333332</v>
      </c>
      <c r="BQ292" s="227">
        <f t="shared" si="773"/>
        <v>321.411458333332</v>
      </c>
      <c r="BR292" s="227">
        <f t="shared" si="773"/>
        <v>54.7083333333333</v>
      </c>
      <c r="BT292" s="60">
        <f t="shared" ref="BT292:CB292" si="774">BT291-BJ292</f>
        <v>25894.7291666668</v>
      </c>
      <c r="BU292" s="60">
        <f t="shared" si="774"/>
        <v>25894.7291666668</v>
      </c>
      <c r="BV292" s="60">
        <f t="shared" si="774"/>
        <v>25894.7291666668</v>
      </c>
      <c r="BW292" s="60">
        <f t="shared" si="774"/>
        <v>25894.7291666668</v>
      </c>
      <c r="BX292" s="60">
        <f t="shared" si="774"/>
        <v>25894.7291666668</v>
      </c>
      <c r="BY292" s="60">
        <f t="shared" si="774"/>
        <v>25894.7291666668</v>
      </c>
      <c r="BZ292" s="60">
        <f t="shared" si="774"/>
        <v>25894.7291666668</v>
      </c>
      <c r="CA292" s="60">
        <f t="shared" si="774"/>
        <v>25894.7291666668</v>
      </c>
      <c r="CB292" s="60">
        <f t="shared" si="774"/>
        <v>4359.16666666668</v>
      </c>
    </row>
    <row r="293" s="139" customFormat="1" ht="27" hidden="1" customHeight="1" spans="1:80">
      <c r="A293" s="155">
        <v>45952</v>
      </c>
      <c r="B293" s="156" t="s">
        <v>1539</v>
      </c>
      <c r="C293" s="157" t="s">
        <v>574</v>
      </c>
      <c r="D293" s="158">
        <v>4500182578</v>
      </c>
      <c r="E293" s="157" t="s">
        <v>1540</v>
      </c>
      <c r="F293" s="156" t="s">
        <v>1541</v>
      </c>
      <c r="G293" s="159" t="s">
        <v>78</v>
      </c>
      <c r="H293" s="156" t="s">
        <v>79</v>
      </c>
      <c r="I293" s="181">
        <v>972</v>
      </c>
      <c r="J293" s="181">
        <v>0</v>
      </c>
      <c r="K293" s="181">
        <v>54</v>
      </c>
      <c r="L293" s="181">
        <f t="shared" si="719"/>
        <v>18</v>
      </c>
      <c r="M293" s="182">
        <v>46006</v>
      </c>
      <c r="N293" s="182">
        <v>46004</v>
      </c>
      <c r="O293" s="183"/>
      <c r="P293" s="183" t="s">
        <v>224</v>
      </c>
      <c r="Q293" s="183"/>
      <c r="R293" s="192">
        <v>45971</v>
      </c>
      <c r="S293" s="193" t="s">
        <v>80</v>
      </c>
      <c r="T293" s="183" t="s">
        <v>1542</v>
      </c>
      <c r="U293" s="183"/>
      <c r="V293" s="194" t="s">
        <v>1543</v>
      </c>
      <c r="W293" s="182" t="s">
        <v>228</v>
      </c>
      <c r="X293" s="195">
        <v>0.7795</v>
      </c>
      <c r="Y293" s="181">
        <f t="shared" si="761"/>
        <v>757.674</v>
      </c>
      <c r="Z293" s="182" t="s">
        <v>82</v>
      </c>
      <c r="AA293" s="194">
        <v>972</v>
      </c>
      <c r="AB293" s="194">
        <f t="shared" si="622"/>
        <v>0</v>
      </c>
      <c r="AC293" s="183"/>
      <c r="AD293" s="183" t="s">
        <v>114</v>
      </c>
      <c r="AE293" s="182" t="s">
        <v>230</v>
      </c>
      <c r="AF293" s="182" t="s">
        <v>115</v>
      </c>
      <c r="AG293" s="217">
        <f t="shared" si="762"/>
        <v>972</v>
      </c>
      <c r="AH293" s="217"/>
      <c r="AI293" s="217">
        <f t="shared" si="763"/>
        <v>972</v>
      </c>
      <c r="AJ293" s="217"/>
      <c r="AK293" s="217"/>
      <c r="AL293" s="217">
        <f>I293</f>
        <v>972</v>
      </c>
      <c r="AM293" s="217"/>
      <c r="AN293" s="217"/>
      <c r="AO293" s="217">
        <f t="shared" si="699"/>
        <v>972</v>
      </c>
      <c r="AP293" s="217"/>
      <c r="AQ293" s="217"/>
      <c r="AR293" s="217"/>
      <c r="AS293" s="217">
        <f>I293/27</f>
        <v>36</v>
      </c>
      <c r="AT293" s="217"/>
      <c r="AU293" s="217"/>
      <c r="AV293" s="217"/>
      <c r="AW293" s="217"/>
      <c r="AX293" s="217"/>
      <c r="AY293" s="217"/>
      <c r="AZ293" s="217"/>
      <c r="BA293" s="217"/>
      <c r="BB293" s="217"/>
      <c r="BC293" s="217"/>
      <c r="BD293" s="217"/>
      <c r="BE293" s="217"/>
      <c r="BF293" s="217"/>
      <c r="BG293" s="217"/>
      <c r="BH293" s="217"/>
      <c r="BI293" s="217"/>
      <c r="BJ293" s="226">
        <f t="shared" ref="BJ293:BR293" si="775">$I293*BJ$2</f>
        <v>118.96875</v>
      </c>
      <c r="BK293" s="226">
        <f t="shared" si="775"/>
        <v>118.96875</v>
      </c>
      <c r="BL293" s="226">
        <f t="shared" si="775"/>
        <v>118.96875</v>
      </c>
      <c r="BM293" s="226">
        <f t="shared" si="775"/>
        <v>118.96875</v>
      </c>
      <c r="BN293" s="226">
        <f t="shared" si="775"/>
        <v>118.96875</v>
      </c>
      <c r="BO293" s="226">
        <f t="shared" si="775"/>
        <v>118.96875</v>
      </c>
      <c r="BP293" s="226">
        <f t="shared" si="775"/>
        <v>118.96875</v>
      </c>
      <c r="BQ293" s="226">
        <f t="shared" si="775"/>
        <v>118.96875</v>
      </c>
      <c r="BR293" s="226">
        <f t="shared" si="775"/>
        <v>20.25</v>
      </c>
      <c r="BT293" s="60">
        <f t="shared" ref="BT293:CB293" si="776">BT292-BJ293</f>
        <v>25775.7604166668</v>
      </c>
      <c r="BU293" s="60">
        <f t="shared" si="776"/>
        <v>25775.7604166668</v>
      </c>
      <c r="BV293" s="60">
        <f t="shared" si="776"/>
        <v>25775.7604166668</v>
      </c>
      <c r="BW293" s="60">
        <f t="shared" si="776"/>
        <v>25775.7604166668</v>
      </c>
      <c r="BX293" s="60">
        <f t="shared" si="776"/>
        <v>25775.7604166668</v>
      </c>
      <c r="BY293" s="60">
        <f t="shared" si="776"/>
        <v>25775.7604166668</v>
      </c>
      <c r="BZ293" s="60">
        <f t="shared" si="776"/>
        <v>25775.7604166668</v>
      </c>
      <c r="CA293" s="60">
        <f t="shared" si="776"/>
        <v>25775.7604166668</v>
      </c>
      <c r="CB293" s="60">
        <f t="shared" si="776"/>
        <v>4338.91666666668</v>
      </c>
    </row>
    <row r="294" s="139" customFormat="1" ht="27" hidden="1" customHeight="1" spans="1:80">
      <c r="A294" s="155">
        <v>45964</v>
      </c>
      <c r="B294" s="156" t="s">
        <v>1544</v>
      </c>
      <c r="C294" s="157" t="s">
        <v>1545</v>
      </c>
      <c r="D294" s="158">
        <v>4500180717</v>
      </c>
      <c r="E294" s="157" t="s">
        <v>1546</v>
      </c>
      <c r="F294" s="156" t="s">
        <v>1547</v>
      </c>
      <c r="G294" s="159" t="s">
        <v>78</v>
      </c>
      <c r="H294" s="156" t="s">
        <v>79</v>
      </c>
      <c r="I294" s="181">
        <v>2916</v>
      </c>
      <c r="J294" s="181">
        <v>0</v>
      </c>
      <c r="K294" s="181">
        <v>54</v>
      </c>
      <c r="L294" s="181">
        <f t="shared" si="719"/>
        <v>54</v>
      </c>
      <c r="M294" s="182">
        <v>46006</v>
      </c>
      <c r="N294" s="182">
        <v>46006</v>
      </c>
      <c r="O294" s="183"/>
      <c r="P294" s="183" t="s">
        <v>107</v>
      </c>
      <c r="Q294" s="183"/>
      <c r="R294" s="196">
        <v>45973</v>
      </c>
      <c r="S294" s="196" t="s">
        <v>80</v>
      </c>
      <c r="T294" s="196" t="s">
        <v>1548</v>
      </c>
      <c r="U294" s="183"/>
      <c r="V294" s="194" t="s">
        <v>1549</v>
      </c>
      <c r="W294" s="182" t="s">
        <v>1550</v>
      </c>
      <c r="X294" s="195">
        <v>0.7913</v>
      </c>
      <c r="Y294" s="181">
        <f t="shared" si="761"/>
        <v>2307.4308</v>
      </c>
      <c r="Z294" s="182" t="s">
        <v>82</v>
      </c>
      <c r="AA294" s="194">
        <v>2916</v>
      </c>
      <c r="AB294" s="194">
        <f t="shared" si="622"/>
        <v>0</v>
      </c>
      <c r="AC294" s="183" t="s">
        <v>113</v>
      </c>
      <c r="AD294" s="183" t="s">
        <v>114</v>
      </c>
      <c r="AE294" s="182" t="s">
        <v>78</v>
      </c>
      <c r="AF294" s="182" t="s">
        <v>115</v>
      </c>
      <c r="AG294" s="217">
        <f t="shared" si="762"/>
        <v>2916</v>
      </c>
      <c r="AH294" s="217"/>
      <c r="AI294" s="217">
        <f t="shared" si="763"/>
        <v>2916</v>
      </c>
      <c r="AJ294" s="217"/>
      <c r="AK294" s="217">
        <f t="shared" si="768"/>
        <v>2916</v>
      </c>
      <c r="AL294" s="217"/>
      <c r="AM294" s="217"/>
      <c r="AN294" s="217"/>
      <c r="AO294" s="217">
        <f t="shared" si="699"/>
        <v>2916</v>
      </c>
      <c r="AP294" s="217"/>
      <c r="AQ294" s="217">
        <f t="shared" ref="AQ294:AQ296" si="777">I294/27</f>
        <v>108</v>
      </c>
      <c r="AR294" s="217"/>
      <c r="AS294" s="217"/>
      <c r="AT294" s="217"/>
      <c r="AU294" s="217"/>
      <c r="AV294" s="217"/>
      <c r="AW294" s="217"/>
      <c r="AX294" s="217"/>
      <c r="AY294" s="217"/>
      <c r="AZ294" s="217"/>
      <c r="BA294" s="217"/>
      <c r="BB294" s="217"/>
      <c r="BC294" s="217"/>
      <c r="BD294" s="217"/>
      <c r="BE294" s="217"/>
      <c r="BF294" s="217"/>
      <c r="BG294" s="217"/>
      <c r="BH294" s="217"/>
      <c r="BI294" s="217"/>
      <c r="BJ294" s="227">
        <f t="shared" ref="BJ294:BR294" si="778">$I294*BJ$2</f>
        <v>356.906249999999</v>
      </c>
      <c r="BK294" s="227">
        <f t="shared" si="778"/>
        <v>356.906249999999</v>
      </c>
      <c r="BL294" s="227">
        <f t="shared" si="778"/>
        <v>356.906249999999</v>
      </c>
      <c r="BM294" s="227">
        <f t="shared" si="778"/>
        <v>356.906249999999</v>
      </c>
      <c r="BN294" s="227">
        <f t="shared" si="778"/>
        <v>356.906249999999</v>
      </c>
      <c r="BO294" s="227">
        <f t="shared" si="778"/>
        <v>356.906249999999</v>
      </c>
      <c r="BP294" s="227">
        <f t="shared" si="778"/>
        <v>356.906249999999</v>
      </c>
      <c r="BQ294" s="227">
        <f t="shared" si="778"/>
        <v>356.906249999999</v>
      </c>
      <c r="BR294" s="227">
        <f t="shared" si="778"/>
        <v>60.7499999999999</v>
      </c>
      <c r="BT294" s="227">
        <f t="shared" ref="BT294:CB294" si="779">BT293-BJ294</f>
        <v>25418.8541666668</v>
      </c>
      <c r="BU294" s="227">
        <f t="shared" si="779"/>
        <v>25418.8541666668</v>
      </c>
      <c r="BV294" s="227">
        <f t="shared" si="779"/>
        <v>25418.8541666668</v>
      </c>
      <c r="BW294" s="227">
        <f t="shared" si="779"/>
        <v>25418.8541666668</v>
      </c>
      <c r="BX294" s="227">
        <f t="shared" si="779"/>
        <v>25418.8541666668</v>
      </c>
      <c r="BY294" s="227">
        <f t="shared" si="779"/>
        <v>25418.8541666668</v>
      </c>
      <c r="BZ294" s="227">
        <f t="shared" si="779"/>
        <v>25418.8541666668</v>
      </c>
      <c r="CA294" s="227">
        <f t="shared" si="779"/>
        <v>25418.8541666668</v>
      </c>
      <c r="CB294" s="227">
        <f t="shared" si="779"/>
        <v>4278.16666666668</v>
      </c>
    </row>
    <row r="295" s="139" customFormat="1" ht="27" hidden="1" customHeight="1" spans="1:80">
      <c r="A295" s="155">
        <v>45964</v>
      </c>
      <c r="B295" s="156" t="s">
        <v>1544</v>
      </c>
      <c r="C295" s="157" t="s">
        <v>1545</v>
      </c>
      <c r="D295" s="158">
        <v>4500180735</v>
      </c>
      <c r="E295" s="157" t="s">
        <v>1551</v>
      </c>
      <c r="F295" s="156" t="s">
        <v>1552</v>
      </c>
      <c r="G295" s="159" t="s">
        <v>78</v>
      </c>
      <c r="H295" s="156" t="s">
        <v>79</v>
      </c>
      <c r="I295" s="181">
        <v>1080</v>
      </c>
      <c r="J295" s="181">
        <v>0</v>
      </c>
      <c r="K295" s="181">
        <v>54</v>
      </c>
      <c r="L295" s="181">
        <f t="shared" si="719"/>
        <v>20</v>
      </c>
      <c r="M295" s="182">
        <v>46006</v>
      </c>
      <c r="N295" s="182">
        <v>46006</v>
      </c>
      <c r="O295" s="183"/>
      <c r="P295" s="183" t="s">
        <v>107</v>
      </c>
      <c r="Q295" s="183"/>
      <c r="R295" s="196">
        <v>45973</v>
      </c>
      <c r="S295" s="196" t="s">
        <v>80</v>
      </c>
      <c r="T295" s="196" t="s">
        <v>1548</v>
      </c>
      <c r="U295" s="183"/>
      <c r="V295" s="194" t="s">
        <v>1553</v>
      </c>
      <c r="W295" s="182" t="s">
        <v>1550</v>
      </c>
      <c r="X295" s="195">
        <v>0.7913</v>
      </c>
      <c r="Y295" s="181">
        <f t="shared" si="761"/>
        <v>854.604</v>
      </c>
      <c r="Z295" s="182" t="s">
        <v>82</v>
      </c>
      <c r="AA295" s="194">
        <v>1080</v>
      </c>
      <c r="AB295" s="194">
        <f t="shared" si="622"/>
        <v>0</v>
      </c>
      <c r="AC295" s="183" t="s">
        <v>113</v>
      </c>
      <c r="AD295" s="183" t="s">
        <v>114</v>
      </c>
      <c r="AE295" s="182" t="s">
        <v>78</v>
      </c>
      <c r="AF295" s="182" t="s">
        <v>115</v>
      </c>
      <c r="AG295" s="217">
        <f t="shared" si="762"/>
        <v>1080</v>
      </c>
      <c r="AH295" s="217"/>
      <c r="AI295" s="217">
        <f t="shared" si="763"/>
        <v>1080</v>
      </c>
      <c r="AJ295" s="217"/>
      <c r="AK295" s="217">
        <f t="shared" si="768"/>
        <v>1080</v>
      </c>
      <c r="AL295" s="217"/>
      <c r="AM295" s="217"/>
      <c r="AN295" s="217"/>
      <c r="AO295" s="217">
        <f t="shared" si="699"/>
        <v>1080</v>
      </c>
      <c r="AP295" s="217"/>
      <c r="AQ295" s="217">
        <f t="shared" si="777"/>
        <v>40</v>
      </c>
      <c r="AR295" s="217"/>
      <c r="AS295" s="217"/>
      <c r="AT295" s="217"/>
      <c r="AU295" s="217"/>
      <c r="AV295" s="217"/>
      <c r="AW295" s="217"/>
      <c r="AX295" s="217"/>
      <c r="AY295" s="217"/>
      <c r="AZ295" s="217"/>
      <c r="BA295" s="217"/>
      <c r="BB295" s="217"/>
      <c r="BC295" s="217"/>
      <c r="BD295" s="217"/>
      <c r="BE295" s="217"/>
      <c r="BF295" s="217"/>
      <c r="BG295" s="217"/>
      <c r="BH295" s="217"/>
      <c r="BI295" s="217"/>
      <c r="BJ295" s="227">
        <f t="shared" ref="BJ295:BR295" si="780">$I295*BJ$2</f>
        <v>132.1875</v>
      </c>
      <c r="BK295" s="227">
        <f t="shared" si="780"/>
        <v>132.1875</v>
      </c>
      <c r="BL295" s="227">
        <f t="shared" si="780"/>
        <v>132.1875</v>
      </c>
      <c r="BM295" s="227">
        <f t="shared" si="780"/>
        <v>132.1875</v>
      </c>
      <c r="BN295" s="227">
        <f t="shared" si="780"/>
        <v>132.1875</v>
      </c>
      <c r="BO295" s="227">
        <f t="shared" si="780"/>
        <v>132.1875</v>
      </c>
      <c r="BP295" s="227">
        <f t="shared" si="780"/>
        <v>132.1875</v>
      </c>
      <c r="BQ295" s="227">
        <f t="shared" si="780"/>
        <v>132.1875</v>
      </c>
      <c r="BR295" s="227">
        <f t="shared" si="780"/>
        <v>22.5</v>
      </c>
      <c r="BT295" s="227">
        <f t="shared" ref="BT295:CB295" si="781">BT294-BJ295</f>
        <v>25286.6666666668</v>
      </c>
      <c r="BU295" s="227">
        <f t="shared" si="781"/>
        <v>25286.6666666668</v>
      </c>
      <c r="BV295" s="227">
        <f t="shared" si="781"/>
        <v>25286.6666666668</v>
      </c>
      <c r="BW295" s="227">
        <f t="shared" si="781"/>
        <v>25286.6666666668</v>
      </c>
      <c r="BX295" s="227">
        <f t="shared" si="781"/>
        <v>25286.6666666668</v>
      </c>
      <c r="BY295" s="227">
        <f t="shared" si="781"/>
        <v>25286.6666666668</v>
      </c>
      <c r="BZ295" s="227">
        <f t="shared" si="781"/>
        <v>25286.6666666668</v>
      </c>
      <c r="CA295" s="227">
        <f t="shared" si="781"/>
        <v>25286.6666666668</v>
      </c>
      <c r="CB295" s="227">
        <f t="shared" si="781"/>
        <v>4255.66666666668</v>
      </c>
    </row>
    <row r="296" s="139" customFormat="1" ht="27" hidden="1" customHeight="1" spans="1:80">
      <c r="A296" s="155">
        <v>45964</v>
      </c>
      <c r="B296" s="156" t="s">
        <v>1544</v>
      </c>
      <c r="C296" s="157" t="s">
        <v>1545</v>
      </c>
      <c r="D296" s="158">
        <v>4500180758</v>
      </c>
      <c r="E296" s="157" t="s">
        <v>1554</v>
      </c>
      <c r="F296" s="156" t="s">
        <v>1555</v>
      </c>
      <c r="G296" s="159" t="s">
        <v>78</v>
      </c>
      <c r="H296" s="156" t="s">
        <v>79</v>
      </c>
      <c r="I296" s="181">
        <v>1080</v>
      </c>
      <c r="J296" s="181">
        <v>0</v>
      </c>
      <c r="K296" s="181">
        <v>54</v>
      </c>
      <c r="L296" s="181">
        <f t="shared" si="719"/>
        <v>20</v>
      </c>
      <c r="M296" s="182">
        <v>46006</v>
      </c>
      <c r="N296" s="182">
        <v>46006</v>
      </c>
      <c r="O296" s="183"/>
      <c r="P296" s="183" t="s">
        <v>107</v>
      </c>
      <c r="Q296" s="183"/>
      <c r="R296" s="196">
        <v>45973</v>
      </c>
      <c r="S296" s="196" t="s">
        <v>80</v>
      </c>
      <c r="T296" s="196" t="s">
        <v>1548</v>
      </c>
      <c r="U296" s="183"/>
      <c r="V296" s="194" t="s">
        <v>1549</v>
      </c>
      <c r="W296" s="182" t="s">
        <v>1550</v>
      </c>
      <c r="X296" s="195">
        <v>0.7913</v>
      </c>
      <c r="Y296" s="181">
        <f t="shared" si="761"/>
        <v>854.604</v>
      </c>
      <c r="Z296" s="182" t="s">
        <v>82</v>
      </c>
      <c r="AA296" s="194">
        <v>1080</v>
      </c>
      <c r="AB296" s="194">
        <f t="shared" si="622"/>
        <v>0</v>
      </c>
      <c r="AC296" s="183" t="s">
        <v>113</v>
      </c>
      <c r="AD296" s="183" t="s">
        <v>114</v>
      </c>
      <c r="AE296" s="182" t="s">
        <v>78</v>
      </c>
      <c r="AF296" s="182" t="s">
        <v>115</v>
      </c>
      <c r="AG296" s="217">
        <f t="shared" si="762"/>
        <v>1080</v>
      </c>
      <c r="AH296" s="217"/>
      <c r="AI296" s="217">
        <f t="shared" si="763"/>
        <v>1080</v>
      </c>
      <c r="AJ296" s="217"/>
      <c r="AK296" s="217">
        <f t="shared" si="768"/>
        <v>1080</v>
      </c>
      <c r="AL296" s="217"/>
      <c r="AM296" s="217"/>
      <c r="AN296" s="217"/>
      <c r="AO296" s="217">
        <f t="shared" si="699"/>
        <v>1080</v>
      </c>
      <c r="AP296" s="217"/>
      <c r="AQ296" s="217">
        <f t="shared" si="777"/>
        <v>40</v>
      </c>
      <c r="AR296" s="217"/>
      <c r="AS296" s="217"/>
      <c r="AT296" s="217"/>
      <c r="AU296" s="217"/>
      <c r="AV296" s="217"/>
      <c r="AW296" s="217"/>
      <c r="AX296" s="217"/>
      <c r="AY296" s="217"/>
      <c r="AZ296" s="217"/>
      <c r="BA296" s="217"/>
      <c r="BB296" s="217"/>
      <c r="BC296" s="217"/>
      <c r="BD296" s="217"/>
      <c r="BE296" s="217"/>
      <c r="BF296" s="217"/>
      <c r="BG296" s="217"/>
      <c r="BH296" s="217"/>
      <c r="BI296" s="217"/>
      <c r="BJ296" s="227">
        <f t="shared" ref="BJ296:BR296" si="782">$I296*BJ$2</f>
        <v>132.1875</v>
      </c>
      <c r="BK296" s="227">
        <f t="shared" si="782"/>
        <v>132.1875</v>
      </c>
      <c r="BL296" s="227">
        <f t="shared" si="782"/>
        <v>132.1875</v>
      </c>
      <c r="BM296" s="227">
        <f t="shared" si="782"/>
        <v>132.1875</v>
      </c>
      <c r="BN296" s="227">
        <f t="shared" si="782"/>
        <v>132.1875</v>
      </c>
      <c r="BO296" s="227">
        <f t="shared" si="782"/>
        <v>132.1875</v>
      </c>
      <c r="BP296" s="227">
        <f t="shared" si="782"/>
        <v>132.1875</v>
      </c>
      <c r="BQ296" s="227">
        <f t="shared" si="782"/>
        <v>132.1875</v>
      </c>
      <c r="BR296" s="227">
        <f t="shared" si="782"/>
        <v>22.5</v>
      </c>
      <c r="BT296" s="227">
        <f t="shared" ref="BT296:CB296" si="783">BT295-BJ296</f>
        <v>25154.4791666668</v>
      </c>
      <c r="BU296" s="227">
        <f t="shared" si="783"/>
        <v>25154.4791666668</v>
      </c>
      <c r="BV296" s="227">
        <f t="shared" si="783"/>
        <v>25154.4791666668</v>
      </c>
      <c r="BW296" s="227">
        <f t="shared" si="783"/>
        <v>25154.4791666668</v>
      </c>
      <c r="BX296" s="227">
        <f t="shared" si="783"/>
        <v>25154.4791666668</v>
      </c>
      <c r="BY296" s="227">
        <f t="shared" si="783"/>
        <v>25154.4791666668</v>
      </c>
      <c r="BZ296" s="227">
        <f t="shared" si="783"/>
        <v>25154.4791666668</v>
      </c>
      <c r="CA296" s="227">
        <f t="shared" si="783"/>
        <v>25154.4791666668</v>
      </c>
      <c r="CB296" s="227">
        <f t="shared" si="783"/>
        <v>4233.16666666668</v>
      </c>
    </row>
    <row r="297" s="139" customFormat="1" ht="27" hidden="1" customHeight="1" spans="1:80">
      <c r="A297" s="155">
        <v>45972</v>
      </c>
      <c r="B297" s="156" t="s">
        <v>1384</v>
      </c>
      <c r="C297" s="157" t="s">
        <v>689</v>
      </c>
      <c r="D297" s="158">
        <v>4500185221</v>
      </c>
      <c r="E297" s="157">
        <v>5000002057</v>
      </c>
      <c r="F297" s="156" t="s">
        <v>1556</v>
      </c>
      <c r="G297" s="159" t="s">
        <v>152</v>
      </c>
      <c r="H297" s="156" t="s">
        <v>153</v>
      </c>
      <c r="I297" s="181">
        <v>2600</v>
      </c>
      <c r="J297" s="181">
        <v>0</v>
      </c>
      <c r="K297" s="181">
        <v>13</v>
      </c>
      <c r="L297" s="181">
        <f t="shared" si="719"/>
        <v>200</v>
      </c>
      <c r="M297" s="182">
        <v>46008</v>
      </c>
      <c r="N297" s="182">
        <v>46006</v>
      </c>
      <c r="O297" s="183"/>
      <c r="P297" s="183" t="s">
        <v>107</v>
      </c>
      <c r="Q297" s="183" t="s">
        <v>1557</v>
      </c>
      <c r="R297" s="192" t="s">
        <v>1558</v>
      </c>
      <c r="S297" s="183" t="s">
        <v>80</v>
      </c>
      <c r="T297" s="183" t="s">
        <v>1559</v>
      </c>
      <c r="U297" s="183"/>
      <c r="V297" s="194" t="s">
        <v>1560</v>
      </c>
      <c r="W297" s="182" t="s">
        <v>1068</v>
      </c>
      <c r="X297" s="195">
        <v>0.7758</v>
      </c>
      <c r="Y297" s="181">
        <f t="shared" si="761"/>
        <v>2017.08</v>
      </c>
      <c r="Z297" s="182" t="s">
        <v>82</v>
      </c>
      <c r="AA297" s="194">
        <v>2600</v>
      </c>
      <c r="AB297" s="194">
        <f t="shared" si="622"/>
        <v>0</v>
      </c>
      <c r="AC297" s="183" t="s">
        <v>113</v>
      </c>
      <c r="AD297" s="183" t="s">
        <v>114</v>
      </c>
      <c r="AE297" s="182" t="s">
        <v>696</v>
      </c>
      <c r="AF297" s="182" t="s">
        <v>115</v>
      </c>
      <c r="AG297" s="217">
        <f t="shared" si="762"/>
        <v>2600</v>
      </c>
      <c r="AH297" s="217"/>
      <c r="AI297" s="217">
        <f t="shared" si="763"/>
        <v>2600</v>
      </c>
      <c r="AJ297" s="217"/>
      <c r="AK297" s="217">
        <f t="shared" si="768"/>
        <v>2600</v>
      </c>
      <c r="AL297" s="217"/>
      <c r="AM297" s="217"/>
      <c r="AN297" s="217"/>
      <c r="AO297" s="217"/>
      <c r="AP297" s="217">
        <f>I297</f>
        <v>2600</v>
      </c>
      <c r="AQ297" s="217"/>
      <c r="AR297" s="217"/>
      <c r="AS297" s="217"/>
      <c r="AT297" s="217">
        <f>I297/13</f>
        <v>200</v>
      </c>
      <c r="AU297" s="217"/>
      <c r="AV297" s="217"/>
      <c r="AW297" s="217"/>
      <c r="AX297" s="217"/>
      <c r="AY297" s="217"/>
      <c r="AZ297" s="217"/>
      <c r="BA297" s="217"/>
      <c r="BB297" s="217"/>
      <c r="BC297" s="217"/>
      <c r="BD297" s="217"/>
      <c r="BE297" s="217"/>
      <c r="BF297" s="217"/>
      <c r="BG297" s="217"/>
      <c r="BH297" s="217"/>
      <c r="BI297" s="217"/>
      <c r="BJ297" s="227">
        <f t="shared" ref="BJ297:BR297" si="784">$I297*BJ$2</f>
        <v>318.229166666666</v>
      </c>
      <c r="BK297" s="227">
        <f t="shared" si="784"/>
        <v>318.229166666666</v>
      </c>
      <c r="BL297" s="227">
        <f t="shared" si="784"/>
        <v>318.229166666666</v>
      </c>
      <c r="BM297" s="227">
        <f t="shared" si="784"/>
        <v>318.229166666666</v>
      </c>
      <c r="BN297" s="227">
        <f t="shared" si="784"/>
        <v>318.229166666666</v>
      </c>
      <c r="BO297" s="227">
        <f t="shared" si="784"/>
        <v>318.229166666666</v>
      </c>
      <c r="BP297" s="227">
        <f t="shared" si="784"/>
        <v>318.229166666666</v>
      </c>
      <c r="BQ297" s="227">
        <f t="shared" si="784"/>
        <v>318.229166666666</v>
      </c>
      <c r="BR297" s="227">
        <f t="shared" si="784"/>
        <v>54.1666666666666</v>
      </c>
      <c r="BT297" s="227">
        <f t="shared" ref="BT297:CB297" si="785">BT296-BJ297</f>
        <v>24836.2500000001</v>
      </c>
      <c r="BU297" s="227">
        <f t="shared" si="785"/>
        <v>24836.2500000001</v>
      </c>
      <c r="BV297" s="227">
        <f t="shared" si="785"/>
        <v>24836.2500000001</v>
      </c>
      <c r="BW297" s="227">
        <f t="shared" si="785"/>
        <v>24836.2500000001</v>
      </c>
      <c r="BX297" s="227">
        <f t="shared" si="785"/>
        <v>24836.2500000001</v>
      </c>
      <c r="BY297" s="227">
        <f t="shared" si="785"/>
        <v>24836.2500000001</v>
      </c>
      <c r="BZ297" s="227">
        <f t="shared" si="785"/>
        <v>24836.2500000001</v>
      </c>
      <c r="CA297" s="227">
        <f t="shared" si="785"/>
        <v>24836.2500000001</v>
      </c>
      <c r="CB297" s="227">
        <f t="shared" si="785"/>
        <v>4179.00000000001</v>
      </c>
    </row>
    <row r="298" s="139" customFormat="1" ht="27" hidden="1" customHeight="1" spans="1:80">
      <c r="A298" s="155">
        <v>45995</v>
      </c>
      <c r="B298" s="156" t="s">
        <v>326</v>
      </c>
      <c r="C298" s="157" t="s">
        <v>117</v>
      </c>
      <c r="D298" s="158">
        <v>4500188055</v>
      </c>
      <c r="E298" s="305" t="s">
        <v>1561</v>
      </c>
      <c r="F298" s="156" t="s">
        <v>1562</v>
      </c>
      <c r="G298" s="159" t="s">
        <v>258</v>
      </c>
      <c r="H298" s="156" t="s">
        <v>259</v>
      </c>
      <c r="I298" s="181">
        <v>9216</v>
      </c>
      <c r="J298" s="181">
        <v>0</v>
      </c>
      <c r="K298" s="181">
        <v>1152</v>
      </c>
      <c r="L298" s="181">
        <f t="shared" si="719"/>
        <v>8</v>
      </c>
      <c r="M298" s="182">
        <v>46027</v>
      </c>
      <c r="N298" s="182">
        <v>46027</v>
      </c>
      <c r="O298" s="183" t="s">
        <v>1563</v>
      </c>
      <c r="P298" s="183" t="s">
        <v>107</v>
      </c>
      <c r="Q298" s="183"/>
      <c r="R298" s="196" t="s">
        <v>331</v>
      </c>
      <c r="S298" s="183" t="s">
        <v>191</v>
      </c>
      <c r="T298" s="183" t="s">
        <v>1564</v>
      </c>
      <c r="U298" s="183"/>
      <c r="V298" s="194" t="s">
        <v>1320</v>
      </c>
      <c r="W298" s="182" t="s">
        <v>265</v>
      </c>
      <c r="X298" s="195">
        <v>62.7125</v>
      </c>
      <c r="Y298" s="181">
        <f>X298*L298</f>
        <v>501.7</v>
      </c>
      <c r="Z298" s="182" t="s">
        <v>82</v>
      </c>
      <c r="AA298" s="194"/>
      <c r="AB298" s="194">
        <f t="shared" ref="AB298:AB303" si="786">AA298-I298</f>
        <v>-9216</v>
      </c>
      <c r="AC298" s="183" t="s">
        <v>113</v>
      </c>
      <c r="AD298" s="183" t="s">
        <v>114</v>
      </c>
      <c r="AE298" s="159" t="s">
        <v>258</v>
      </c>
      <c r="AF298" s="182" t="s">
        <v>115</v>
      </c>
      <c r="AG298" s="217">
        <f t="shared" si="762"/>
        <v>9216</v>
      </c>
      <c r="AH298" s="217"/>
      <c r="AI298" s="217">
        <f t="shared" si="763"/>
        <v>9216</v>
      </c>
      <c r="AJ298" s="217"/>
      <c r="AK298" s="217">
        <f t="shared" si="768"/>
        <v>9216</v>
      </c>
      <c r="AL298" s="217"/>
      <c r="AM298" s="217"/>
      <c r="AN298" s="217"/>
      <c r="AO298" s="217">
        <f t="shared" ref="AO298:AO308" si="787">I298</f>
        <v>9216</v>
      </c>
      <c r="AP298" s="217"/>
      <c r="AQ298" s="217"/>
      <c r="AR298" s="217"/>
      <c r="AS298" s="217"/>
      <c r="AT298" s="217"/>
      <c r="AU298" s="217"/>
      <c r="AV298" s="217">
        <f>I298/12</f>
        <v>768</v>
      </c>
      <c r="AW298" s="217"/>
      <c r="AY298" s="217"/>
      <c r="AZ298" s="217"/>
      <c r="BA298" s="217"/>
      <c r="BB298" s="217"/>
      <c r="BC298" s="217"/>
      <c r="BD298" s="217"/>
      <c r="BE298" s="217"/>
      <c r="BF298" s="217"/>
      <c r="BG298" s="217"/>
      <c r="BH298" s="217"/>
      <c r="BI298" s="217"/>
      <c r="BJ298" s="227">
        <f t="shared" ref="BJ298:BR298" si="788">$I298*BJ$2</f>
        <v>1128</v>
      </c>
      <c r="BK298" s="227">
        <f t="shared" si="788"/>
        <v>1128</v>
      </c>
      <c r="BL298" s="227">
        <f t="shared" si="788"/>
        <v>1128</v>
      </c>
      <c r="BM298" s="227">
        <f t="shared" si="788"/>
        <v>1128</v>
      </c>
      <c r="BN298" s="227">
        <f t="shared" si="788"/>
        <v>1128</v>
      </c>
      <c r="BO298" s="227">
        <f t="shared" si="788"/>
        <v>1128</v>
      </c>
      <c r="BP298" s="227">
        <f t="shared" si="788"/>
        <v>1128</v>
      </c>
      <c r="BQ298" s="227">
        <f t="shared" si="788"/>
        <v>1128</v>
      </c>
      <c r="BR298" s="227">
        <f t="shared" si="788"/>
        <v>192</v>
      </c>
      <c r="BT298" s="227">
        <f t="shared" ref="BT298:CB298" si="789">BT297-BJ298</f>
        <v>23708.2500000001</v>
      </c>
      <c r="BU298" s="227">
        <f t="shared" si="789"/>
        <v>23708.2500000001</v>
      </c>
      <c r="BV298" s="227">
        <f t="shared" si="789"/>
        <v>23708.2500000001</v>
      </c>
      <c r="BW298" s="227">
        <f t="shared" si="789"/>
        <v>23708.2500000001</v>
      </c>
      <c r="BX298" s="227">
        <f t="shared" si="789"/>
        <v>23708.2500000001</v>
      </c>
      <c r="BY298" s="227">
        <f t="shared" si="789"/>
        <v>23708.2500000001</v>
      </c>
      <c r="BZ298" s="227">
        <f t="shared" si="789"/>
        <v>23708.2500000001</v>
      </c>
      <c r="CA298" s="227">
        <f t="shared" si="789"/>
        <v>23708.2500000001</v>
      </c>
      <c r="CB298" s="227">
        <f t="shared" si="789"/>
        <v>3987.00000000001</v>
      </c>
    </row>
    <row r="299" s="139" customFormat="1" ht="27" hidden="1" customHeight="1" spans="1:80">
      <c r="A299" s="155">
        <v>45968</v>
      </c>
      <c r="B299" s="156" t="s">
        <v>1565</v>
      </c>
      <c r="C299" s="157" t="s">
        <v>1566</v>
      </c>
      <c r="D299" s="158">
        <v>4500183616</v>
      </c>
      <c r="E299" s="157" t="s">
        <v>1567</v>
      </c>
      <c r="F299" s="156" t="s">
        <v>1568</v>
      </c>
      <c r="G299" s="159" t="s">
        <v>78</v>
      </c>
      <c r="H299" s="156" t="s">
        <v>79</v>
      </c>
      <c r="I299" s="181">
        <v>1782</v>
      </c>
      <c r="J299" s="181">
        <v>0</v>
      </c>
      <c r="K299" s="181">
        <v>54</v>
      </c>
      <c r="L299" s="181">
        <f t="shared" si="719"/>
        <v>33</v>
      </c>
      <c r="M299" s="182">
        <v>46031</v>
      </c>
      <c r="N299" s="182">
        <v>46027</v>
      </c>
      <c r="O299" s="183"/>
      <c r="P299" s="183" t="s">
        <v>224</v>
      </c>
      <c r="Q299" s="183" t="s">
        <v>1569</v>
      </c>
      <c r="R299" s="196">
        <v>45982</v>
      </c>
      <c r="S299" s="196" t="s">
        <v>80</v>
      </c>
      <c r="T299" s="183" t="s">
        <v>1570</v>
      </c>
      <c r="U299" s="183"/>
      <c r="V299" s="194" t="s">
        <v>1571</v>
      </c>
      <c r="W299" s="182" t="s">
        <v>228</v>
      </c>
      <c r="X299" s="195">
        <v>0.7913</v>
      </c>
      <c r="Y299" s="181">
        <f t="shared" ref="Y299:Y310" si="790">X299*I299</f>
        <v>1410.0966</v>
      </c>
      <c r="Z299" s="182" t="s">
        <v>82</v>
      </c>
      <c r="AA299" s="194">
        <v>1782</v>
      </c>
      <c r="AB299" s="194">
        <f t="shared" si="786"/>
        <v>0</v>
      </c>
      <c r="AC299" s="183" t="s">
        <v>113</v>
      </c>
      <c r="AD299" s="183" t="s">
        <v>114</v>
      </c>
      <c r="AE299" s="182" t="s">
        <v>230</v>
      </c>
      <c r="AF299" s="182" t="s">
        <v>115</v>
      </c>
      <c r="AG299" s="217">
        <f t="shared" si="762"/>
        <v>1782</v>
      </c>
      <c r="AH299" s="217"/>
      <c r="AI299" s="217">
        <f t="shared" si="763"/>
        <v>1782</v>
      </c>
      <c r="AJ299" s="217"/>
      <c r="AK299" s="217"/>
      <c r="AL299" s="217">
        <f t="shared" ref="AL299:AL302" si="791">I299</f>
        <v>1782</v>
      </c>
      <c r="AM299" s="217"/>
      <c r="AN299" s="217"/>
      <c r="AO299" s="217">
        <f t="shared" si="787"/>
        <v>1782</v>
      </c>
      <c r="AP299" s="217"/>
      <c r="AQ299" s="217"/>
      <c r="AR299" s="217"/>
      <c r="AS299" s="217">
        <f>I299/27</f>
        <v>66</v>
      </c>
      <c r="AT299" s="217"/>
      <c r="AU299" s="217"/>
      <c r="AV299" s="217"/>
      <c r="AW299" s="217"/>
      <c r="AX299" s="217"/>
      <c r="AY299" s="217"/>
      <c r="AZ299" s="217"/>
      <c r="BA299" s="217"/>
      <c r="BB299" s="217"/>
      <c r="BC299" s="217"/>
      <c r="BD299" s="217"/>
      <c r="BE299" s="217"/>
      <c r="BF299" s="217"/>
      <c r="BG299" s="217"/>
      <c r="BH299" s="217"/>
      <c r="BI299" s="217"/>
      <c r="BJ299" s="227">
        <f t="shared" ref="BJ299:BR299" si="792">$I299*BJ$2</f>
        <v>218.109374999999</v>
      </c>
      <c r="BK299" s="227">
        <f t="shared" si="792"/>
        <v>218.109374999999</v>
      </c>
      <c r="BL299" s="227">
        <f t="shared" si="792"/>
        <v>218.109374999999</v>
      </c>
      <c r="BM299" s="227">
        <f t="shared" si="792"/>
        <v>218.109374999999</v>
      </c>
      <c r="BN299" s="227">
        <f t="shared" si="792"/>
        <v>218.109374999999</v>
      </c>
      <c r="BO299" s="227">
        <f t="shared" si="792"/>
        <v>218.109374999999</v>
      </c>
      <c r="BP299" s="227">
        <f t="shared" si="792"/>
        <v>218.109374999999</v>
      </c>
      <c r="BQ299" s="227">
        <f t="shared" si="792"/>
        <v>218.109374999999</v>
      </c>
      <c r="BR299" s="227">
        <f t="shared" si="792"/>
        <v>37.1249999999999</v>
      </c>
      <c r="BT299" s="227">
        <f t="shared" ref="BT299:CB299" si="793">BT298-BJ299</f>
        <v>23490.1406250001</v>
      </c>
      <c r="BU299" s="227">
        <f t="shared" si="793"/>
        <v>23490.1406250001</v>
      </c>
      <c r="BV299" s="227">
        <f t="shared" si="793"/>
        <v>23490.1406250001</v>
      </c>
      <c r="BW299" s="227">
        <f t="shared" si="793"/>
        <v>23490.1406250001</v>
      </c>
      <c r="BX299" s="227">
        <f t="shared" si="793"/>
        <v>23490.1406250001</v>
      </c>
      <c r="BY299" s="227">
        <f t="shared" si="793"/>
        <v>23490.1406250001</v>
      </c>
      <c r="BZ299" s="227">
        <f t="shared" si="793"/>
        <v>23490.1406250001</v>
      </c>
      <c r="CA299" s="227">
        <f t="shared" si="793"/>
        <v>23490.1406250001</v>
      </c>
      <c r="CB299" s="227">
        <f t="shared" si="793"/>
        <v>3949.87500000001</v>
      </c>
    </row>
    <row r="300" s="139" customFormat="1" ht="27" hidden="1" customHeight="1" spans="1:80">
      <c r="A300" s="155">
        <v>45978</v>
      </c>
      <c r="B300" s="156" t="s">
        <v>1572</v>
      </c>
      <c r="C300" s="157" t="s">
        <v>1573</v>
      </c>
      <c r="D300" s="158">
        <v>4500185782</v>
      </c>
      <c r="E300" s="157"/>
      <c r="F300" s="156" t="s">
        <v>1574</v>
      </c>
      <c r="G300" s="159" t="s">
        <v>1575</v>
      </c>
      <c r="H300" s="156" t="s">
        <v>1576</v>
      </c>
      <c r="I300" s="181">
        <v>5000</v>
      </c>
      <c r="J300" s="181">
        <v>0</v>
      </c>
      <c r="K300" s="181">
        <v>8</v>
      </c>
      <c r="L300" s="181">
        <f t="shared" si="719"/>
        <v>625</v>
      </c>
      <c r="M300" s="182">
        <v>46027</v>
      </c>
      <c r="N300" s="182">
        <v>46030</v>
      </c>
      <c r="O300" s="183"/>
      <c r="P300" s="183" t="s">
        <v>107</v>
      </c>
      <c r="Q300" s="183"/>
      <c r="R300" s="196">
        <v>45999</v>
      </c>
      <c r="S300" s="183" t="s">
        <v>80</v>
      </c>
      <c r="T300" s="183" t="s">
        <v>1577</v>
      </c>
      <c r="U300" s="183"/>
      <c r="V300" s="194" t="s">
        <v>1578</v>
      </c>
      <c r="W300" s="182" t="s">
        <v>881</v>
      </c>
      <c r="X300" s="195">
        <v>0.8485</v>
      </c>
      <c r="Y300" s="181">
        <f t="shared" si="790"/>
        <v>4242.5</v>
      </c>
      <c r="Z300" s="182" t="s">
        <v>82</v>
      </c>
      <c r="AA300" s="194"/>
      <c r="AB300" s="194">
        <f t="shared" si="786"/>
        <v>-5000</v>
      </c>
      <c r="AC300" s="183" t="s">
        <v>113</v>
      </c>
      <c r="AD300" s="183" t="s">
        <v>114</v>
      </c>
      <c r="AE300" s="159" t="s">
        <v>1575</v>
      </c>
      <c r="AF300" s="182" t="s">
        <v>115</v>
      </c>
      <c r="AG300" s="217">
        <f t="shared" si="762"/>
        <v>5000</v>
      </c>
      <c r="AH300" s="217"/>
      <c r="AI300" s="217">
        <f t="shared" si="763"/>
        <v>5000</v>
      </c>
      <c r="AJ300" s="217"/>
      <c r="AK300" s="217"/>
      <c r="AL300" s="217">
        <f t="shared" si="791"/>
        <v>5000</v>
      </c>
      <c r="AM300" s="217"/>
      <c r="AN300" s="217"/>
      <c r="AO300" s="217">
        <f t="shared" si="787"/>
        <v>5000</v>
      </c>
      <c r="AP300" s="217"/>
      <c r="AQ300" s="217"/>
      <c r="AR300" s="217"/>
      <c r="AS300" s="217"/>
      <c r="AT300" s="217"/>
      <c r="AU300" s="217"/>
      <c r="AV300" s="217"/>
      <c r="AW300" s="217"/>
      <c r="AY300" s="217">
        <f>I300/8</f>
        <v>625</v>
      </c>
      <c r="AZ300" s="217"/>
      <c r="BA300" s="217"/>
      <c r="BB300" s="217"/>
      <c r="BC300" s="217"/>
      <c r="BD300" s="217"/>
      <c r="BE300" s="217"/>
      <c r="BF300" s="217"/>
      <c r="BG300" s="217"/>
      <c r="BH300" s="217"/>
      <c r="BI300" s="217"/>
      <c r="BJ300" s="227">
        <f t="shared" ref="BJ300:BR300" si="794">$I300*BJ$2</f>
        <v>611.979166666665</v>
      </c>
      <c r="BK300" s="227">
        <f t="shared" si="794"/>
        <v>611.979166666665</v>
      </c>
      <c r="BL300" s="227">
        <f t="shared" si="794"/>
        <v>611.979166666665</v>
      </c>
      <c r="BM300" s="227">
        <f t="shared" si="794"/>
        <v>611.979166666665</v>
      </c>
      <c r="BN300" s="227">
        <f t="shared" si="794"/>
        <v>611.979166666665</v>
      </c>
      <c r="BO300" s="227">
        <f t="shared" si="794"/>
        <v>611.979166666665</v>
      </c>
      <c r="BP300" s="227">
        <f t="shared" si="794"/>
        <v>611.979166666665</v>
      </c>
      <c r="BQ300" s="227">
        <f t="shared" si="794"/>
        <v>611.979166666665</v>
      </c>
      <c r="BR300" s="227">
        <f t="shared" si="794"/>
        <v>104.166666666667</v>
      </c>
      <c r="BT300" s="227">
        <f t="shared" ref="BT300:CB300" si="795">BT299-BJ300</f>
        <v>22878.1614583335</v>
      </c>
      <c r="BU300" s="227">
        <f t="shared" si="795"/>
        <v>22878.1614583335</v>
      </c>
      <c r="BV300" s="227">
        <f t="shared" si="795"/>
        <v>22878.1614583335</v>
      </c>
      <c r="BW300" s="227">
        <f t="shared" si="795"/>
        <v>22878.1614583335</v>
      </c>
      <c r="BX300" s="227">
        <f t="shared" si="795"/>
        <v>22878.1614583335</v>
      </c>
      <c r="BY300" s="227">
        <f t="shared" si="795"/>
        <v>22878.1614583335</v>
      </c>
      <c r="BZ300" s="227">
        <f t="shared" si="795"/>
        <v>22878.1614583335</v>
      </c>
      <c r="CA300" s="227">
        <f t="shared" si="795"/>
        <v>22878.1614583335</v>
      </c>
      <c r="CB300" s="227">
        <f t="shared" si="795"/>
        <v>3845.70833333335</v>
      </c>
    </row>
    <row r="301" s="139" customFormat="1" ht="27" hidden="1" customHeight="1" spans="1:80">
      <c r="A301" s="155">
        <v>45992</v>
      </c>
      <c r="B301" s="156" t="s">
        <v>701</v>
      </c>
      <c r="C301" s="157" t="s">
        <v>396</v>
      </c>
      <c r="D301" s="158">
        <v>4500187528</v>
      </c>
      <c r="E301" s="157">
        <v>2950867457</v>
      </c>
      <c r="F301" s="156" t="s">
        <v>1579</v>
      </c>
      <c r="G301" s="159" t="s">
        <v>703</v>
      </c>
      <c r="H301" s="156" t="s">
        <v>704</v>
      </c>
      <c r="I301" s="181">
        <v>2080</v>
      </c>
      <c r="J301" s="181">
        <v>0</v>
      </c>
      <c r="K301" s="181">
        <v>1040</v>
      </c>
      <c r="L301" s="181">
        <f t="shared" si="719"/>
        <v>2</v>
      </c>
      <c r="M301" s="182">
        <v>46034</v>
      </c>
      <c r="N301" s="182">
        <v>46030</v>
      </c>
      <c r="O301" s="183"/>
      <c r="P301" s="183" t="s">
        <v>224</v>
      </c>
      <c r="Q301" s="183"/>
      <c r="R301" s="197">
        <v>45992</v>
      </c>
      <c r="S301" s="183" t="s">
        <v>80</v>
      </c>
      <c r="T301" s="198" t="s">
        <v>706</v>
      </c>
      <c r="U301" s="183"/>
      <c r="V301" s="194" t="s">
        <v>1580</v>
      </c>
      <c r="W301" s="182" t="s">
        <v>1207</v>
      </c>
      <c r="X301" s="195">
        <v>82.6221</v>
      </c>
      <c r="Y301" s="181">
        <f>X301*L301</f>
        <v>165.2442</v>
      </c>
      <c r="Z301" s="182" t="s">
        <v>82</v>
      </c>
      <c r="AA301" s="194">
        <v>2080</v>
      </c>
      <c r="AB301" s="194">
        <f t="shared" si="786"/>
        <v>0</v>
      </c>
      <c r="AC301" s="183" t="s">
        <v>80</v>
      </c>
      <c r="AD301" s="183" t="s">
        <v>114</v>
      </c>
      <c r="AE301" s="182" t="s">
        <v>703</v>
      </c>
      <c r="AF301" s="182" t="s">
        <v>115</v>
      </c>
      <c r="AG301" s="217">
        <f t="shared" si="762"/>
        <v>2080</v>
      </c>
      <c r="AH301" s="217"/>
      <c r="AI301" s="217">
        <f t="shared" si="763"/>
        <v>2080</v>
      </c>
      <c r="AJ301" s="217"/>
      <c r="AK301" s="217">
        <f t="shared" ref="AK301:AK305" si="796">I301</f>
        <v>2080</v>
      </c>
      <c r="AL301" s="217"/>
      <c r="AM301" s="217"/>
      <c r="AN301" s="217"/>
      <c r="AO301" s="217">
        <f t="shared" si="787"/>
        <v>2080</v>
      </c>
      <c r="AP301" s="217"/>
      <c r="AQ301" s="217"/>
      <c r="AR301" s="217"/>
      <c r="AS301" s="217"/>
      <c r="AT301" s="217">
        <f t="shared" ref="AT301:AT305" si="797">I301/13</f>
        <v>160</v>
      </c>
      <c r="AU301" s="217"/>
      <c r="AV301" s="217"/>
      <c r="AW301" s="217"/>
      <c r="AX301" s="217"/>
      <c r="AY301" s="217"/>
      <c r="AZ301" s="217"/>
      <c r="BA301" s="217"/>
      <c r="BB301" s="217"/>
      <c r="BC301" s="217"/>
      <c r="BD301" s="217"/>
      <c r="BE301" s="217"/>
      <c r="BF301" s="217"/>
      <c r="BG301" s="217"/>
      <c r="BH301" s="217"/>
      <c r="BI301" s="217"/>
      <c r="BJ301" s="227">
        <f t="shared" ref="BJ301:BR301" si="798">$I301*BJ$2</f>
        <v>254.583333333333</v>
      </c>
      <c r="BK301" s="227">
        <f t="shared" si="798"/>
        <v>254.583333333333</v>
      </c>
      <c r="BL301" s="227">
        <f t="shared" si="798"/>
        <v>254.583333333333</v>
      </c>
      <c r="BM301" s="227">
        <f t="shared" si="798"/>
        <v>254.583333333333</v>
      </c>
      <c r="BN301" s="227">
        <f t="shared" si="798"/>
        <v>254.583333333333</v>
      </c>
      <c r="BO301" s="227">
        <f t="shared" si="798"/>
        <v>254.583333333333</v>
      </c>
      <c r="BP301" s="227">
        <f t="shared" si="798"/>
        <v>254.583333333333</v>
      </c>
      <c r="BQ301" s="227">
        <f t="shared" si="798"/>
        <v>254.583333333333</v>
      </c>
      <c r="BR301" s="227">
        <f t="shared" si="798"/>
        <v>43.3333333333333</v>
      </c>
      <c r="BT301" s="227">
        <f t="shared" ref="BT301:CB301" si="799">BT300-BJ301</f>
        <v>22623.5781250001</v>
      </c>
      <c r="BU301" s="227">
        <f t="shared" si="799"/>
        <v>22623.5781250001</v>
      </c>
      <c r="BV301" s="227">
        <f t="shared" si="799"/>
        <v>22623.5781250001</v>
      </c>
      <c r="BW301" s="227">
        <f t="shared" si="799"/>
        <v>22623.5781250001</v>
      </c>
      <c r="BX301" s="227">
        <f t="shared" si="799"/>
        <v>22623.5781250001</v>
      </c>
      <c r="BY301" s="227">
        <f t="shared" si="799"/>
        <v>22623.5781250001</v>
      </c>
      <c r="BZ301" s="227">
        <f t="shared" si="799"/>
        <v>22623.5781250001</v>
      </c>
      <c r="CA301" s="227">
        <f t="shared" si="799"/>
        <v>22623.5781250001</v>
      </c>
      <c r="CB301" s="227">
        <f t="shared" si="799"/>
        <v>3802.37500000001</v>
      </c>
    </row>
    <row r="302" s="4" customFormat="1" ht="27" hidden="1" customHeight="1" spans="1:80">
      <c r="A302" s="18">
        <v>45993</v>
      </c>
      <c r="B302" s="19" t="s">
        <v>1572</v>
      </c>
      <c r="C302" s="20" t="s">
        <v>1573</v>
      </c>
      <c r="D302" s="21">
        <v>4500187691</v>
      </c>
      <c r="E302" s="20"/>
      <c r="F302" s="19" t="s">
        <v>1581</v>
      </c>
      <c r="G302" s="22" t="s">
        <v>1575</v>
      </c>
      <c r="H302" s="19" t="s">
        <v>1576</v>
      </c>
      <c r="I302" s="34">
        <v>5000</v>
      </c>
      <c r="J302" s="34">
        <v>0</v>
      </c>
      <c r="K302" s="34">
        <v>8</v>
      </c>
      <c r="L302" s="34">
        <f t="shared" si="719"/>
        <v>625</v>
      </c>
      <c r="M302" s="35">
        <v>46038</v>
      </c>
      <c r="N302" s="35">
        <v>46034</v>
      </c>
      <c r="O302" s="37"/>
      <c r="P302" s="37"/>
      <c r="Q302" s="37"/>
      <c r="R302" s="298" t="s">
        <v>1582</v>
      </c>
      <c r="S302" s="37" t="s">
        <v>80</v>
      </c>
      <c r="T302" s="37" t="s">
        <v>1577</v>
      </c>
      <c r="U302" s="37"/>
      <c r="V302" s="45" t="s">
        <v>1583</v>
      </c>
      <c r="W302" s="35" t="s">
        <v>881</v>
      </c>
      <c r="X302" s="46">
        <v>0.7932</v>
      </c>
      <c r="Y302" s="34">
        <f t="shared" si="790"/>
        <v>3966</v>
      </c>
      <c r="Z302" s="35" t="s">
        <v>82</v>
      </c>
      <c r="AA302" s="45"/>
      <c r="AB302" s="194">
        <f t="shared" si="786"/>
        <v>-5000</v>
      </c>
      <c r="AC302" s="37" t="s">
        <v>113</v>
      </c>
      <c r="AD302" s="212" t="s">
        <v>114</v>
      </c>
      <c r="AE302" s="22" t="s">
        <v>1575</v>
      </c>
      <c r="AF302" s="35" t="s">
        <v>115</v>
      </c>
      <c r="AG302" s="52">
        <f t="shared" si="762"/>
        <v>5000</v>
      </c>
      <c r="AH302" s="52"/>
      <c r="AI302" s="52">
        <f t="shared" si="763"/>
        <v>5000</v>
      </c>
      <c r="AJ302" s="52"/>
      <c r="AK302" s="52"/>
      <c r="AL302" s="52">
        <f t="shared" si="791"/>
        <v>5000</v>
      </c>
      <c r="AM302" s="52"/>
      <c r="AN302" s="52"/>
      <c r="AO302" s="52">
        <f t="shared" si="787"/>
        <v>5000</v>
      </c>
      <c r="AP302" s="52"/>
      <c r="AQ302" s="52"/>
      <c r="AR302" s="52"/>
      <c r="AS302" s="52"/>
      <c r="AT302" s="52"/>
      <c r="AU302" s="52"/>
      <c r="AV302" s="52"/>
      <c r="AW302" s="52"/>
      <c r="AX302" s="52"/>
      <c r="AY302" s="52">
        <f>I302/8</f>
        <v>625</v>
      </c>
      <c r="AZ302" s="52"/>
      <c r="BA302" s="52"/>
      <c r="BB302" s="52"/>
      <c r="BC302" s="52"/>
      <c r="BD302" s="52"/>
      <c r="BE302" s="52"/>
      <c r="BF302" s="52"/>
      <c r="BG302" s="52"/>
      <c r="BH302" s="52"/>
      <c r="BI302" s="52"/>
      <c r="BJ302" s="60">
        <f t="shared" ref="BJ302:BR302" si="800">$I302*BJ$2</f>
        <v>611.979166666665</v>
      </c>
      <c r="BK302" s="60">
        <f t="shared" si="800"/>
        <v>611.979166666665</v>
      </c>
      <c r="BL302" s="60">
        <f t="shared" si="800"/>
        <v>611.979166666665</v>
      </c>
      <c r="BM302" s="60">
        <f t="shared" si="800"/>
        <v>611.979166666665</v>
      </c>
      <c r="BN302" s="60">
        <f t="shared" si="800"/>
        <v>611.979166666665</v>
      </c>
      <c r="BO302" s="60">
        <f t="shared" si="800"/>
        <v>611.979166666665</v>
      </c>
      <c r="BP302" s="60">
        <f t="shared" si="800"/>
        <v>611.979166666665</v>
      </c>
      <c r="BQ302" s="60">
        <f t="shared" si="800"/>
        <v>611.979166666665</v>
      </c>
      <c r="BR302" s="60">
        <f t="shared" si="800"/>
        <v>104.166666666667</v>
      </c>
      <c r="BT302" s="60">
        <f t="shared" ref="BT302:CB302" si="801">BT301-BJ302</f>
        <v>22011.5989583335</v>
      </c>
      <c r="BU302" s="60">
        <f t="shared" si="801"/>
        <v>22011.5989583335</v>
      </c>
      <c r="BV302" s="60">
        <f t="shared" si="801"/>
        <v>22011.5989583335</v>
      </c>
      <c r="BW302" s="60">
        <f t="shared" si="801"/>
        <v>22011.5989583335</v>
      </c>
      <c r="BX302" s="60">
        <f t="shared" si="801"/>
        <v>22011.5989583335</v>
      </c>
      <c r="BY302" s="60">
        <f t="shared" si="801"/>
        <v>22011.5989583335</v>
      </c>
      <c r="BZ302" s="60">
        <f t="shared" si="801"/>
        <v>22011.5989583335</v>
      </c>
      <c r="CA302" s="60">
        <f t="shared" si="801"/>
        <v>22011.5989583335</v>
      </c>
      <c r="CB302" s="60">
        <f t="shared" si="801"/>
        <v>3698.20833333335</v>
      </c>
    </row>
    <row r="303" s="4" customFormat="1" ht="27" hidden="1" customHeight="1" spans="1:80">
      <c r="A303" s="18">
        <v>46003</v>
      </c>
      <c r="B303" s="19" t="s">
        <v>1584</v>
      </c>
      <c r="C303" s="20" t="s">
        <v>396</v>
      </c>
      <c r="D303" s="21">
        <v>4500188811</v>
      </c>
      <c r="E303" s="20">
        <v>11519265</v>
      </c>
      <c r="F303" s="19" t="s">
        <v>1585</v>
      </c>
      <c r="G303" s="22" t="s">
        <v>78</v>
      </c>
      <c r="H303" s="19" t="s">
        <v>79</v>
      </c>
      <c r="I303" s="34">
        <v>25272</v>
      </c>
      <c r="J303" s="34">
        <v>0</v>
      </c>
      <c r="K303" s="34">
        <v>54</v>
      </c>
      <c r="L303" s="34">
        <f t="shared" si="719"/>
        <v>468</v>
      </c>
      <c r="M303" s="35">
        <v>46038</v>
      </c>
      <c r="N303" s="35">
        <v>46034</v>
      </c>
      <c r="O303" s="37"/>
      <c r="P303" s="37"/>
      <c r="Q303" s="37"/>
      <c r="R303" s="206">
        <v>46003</v>
      </c>
      <c r="S303" s="207" t="s">
        <v>80</v>
      </c>
      <c r="T303" s="37" t="s">
        <v>80</v>
      </c>
      <c r="U303" s="37"/>
      <c r="V303" s="45" t="s">
        <v>1586</v>
      </c>
      <c r="W303" s="35" t="s">
        <v>413</v>
      </c>
      <c r="X303" s="46">
        <v>0.7751</v>
      </c>
      <c r="Y303" s="34">
        <f t="shared" si="790"/>
        <v>19588.3272</v>
      </c>
      <c r="Z303" s="35" t="s">
        <v>82</v>
      </c>
      <c r="AA303" s="45"/>
      <c r="AB303" s="194">
        <f t="shared" si="786"/>
        <v>-25272</v>
      </c>
      <c r="AC303" s="37" t="s">
        <v>80</v>
      </c>
      <c r="AD303" s="212" t="s">
        <v>114</v>
      </c>
      <c r="AE303" s="35" t="s">
        <v>78</v>
      </c>
      <c r="AF303" s="35" t="s">
        <v>115</v>
      </c>
      <c r="AG303" s="52">
        <f t="shared" si="762"/>
        <v>25272</v>
      </c>
      <c r="AH303" s="52"/>
      <c r="AI303" s="52">
        <f t="shared" si="763"/>
        <v>25272</v>
      </c>
      <c r="AJ303" s="52"/>
      <c r="AK303" s="52">
        <f t="shared" si="796"/>
        <v>25272</v>
      </c>
      <c r="AL303" s="52"/>
      <c r="AM303" s="52"/>
      <c r="AN303" s="52"/>
      <c r="AO303" s="52">
        <f t="shared" si="787"/>
        <v>25272</v>
      </c>
      <c r="AP303" s="52"/>
      <c r="AQ303" s="52">
        <f>I303/27</f>
        <v>936</v>
      </c>
      <c r="AR303" s="52"/>
      <c r="AS303" s="52"/>
      <c r="AT303" s="52"/>
      <c r="AU303" s="52"/>
      <c r="AV303" s="52"/>
      <c r="AW303" s="52"/>
      <c r="AX303" s="52"/>
      <c r="AY303" s="52"/>
      <c r="AZ303" s="52"/>
      <c r="BA303" s="52"/>
      <c r="BB303" s="52"/>
      <c r="BC303" s="52"/>
      <c r="BD303" s="52"/>
      <c r="BE303" s="52"/>
      <c r="BF303" s="52"/>
      <c r="BG303" s="52"/>
      <c r="BH303" s="52"/>
      <c r="BI303" s="52"/>
      <c r="BJ303" s="60">
        <f t="shared" ref="BJ303:BR303" si="802">$I303*BJ$2</f>
        <v>3093.18749999999</v>
      </c>
      <c r="BK303" s="60">
        <f t="shared" si="802"/>
        <v>3093.18749999999</v>
      </c>
      <c r="BL303" s="60">
        <f t="shared" si="802"/>
        <v>3093.18749999999</v>
      </c>
      <c r="BM303" s="60">
        <f t="shared" si="802"/>
        <v>3093.18749999999</v>
      </c>
      <c r="BN303" s="60">
        <f t="shared" si="802"/>
        <v>3093.18749999999</v>
      </c>
      <c r="BO303" s="60">
        <f t="shared" si="802"/>
        <v>3093.18749999999</v>
      </c>
      <c r="BP303" s="60">
        <f t="shared" si="802"/>
        <v>3093.18749999999</v>
      </c>
      <c r="BQ303" s="60">
        <f t="shared" si="802"/>
        <v>3093.18749999999</v>
      </c>
      <c r="BR303" s="60">
        <f t="shared" si="802"/>
        <v>526.499999999999</v>
      </c>
      <c r="BT303" s="60">
        <f t="shared" ref="BT303:CB303" si="803">BT302-BJ303</f>
        <v>18918.4114583335</v>
      </c>
      <c r="BU303" s="60">
        <f t="shared" si="803"/>
        <v>18918.4114583335</v>
      </c>
      <c r="BV303" s="60">
        <f t="shared" si="803"/>
        <v>18918.4114583335</v>
      </c>
      <c r="BW303" s="60">
        <f t="shared" si="803"/>
        <v>18918.4114583335</v>
      </c>
      <c r="BX303" s="60">
        <f t="shared" si="803"/>
        <v>18918.4114583335</v>
      </c>
      <c r="BY303" s="60">
        <f t="shared" si="803"/>
        <v>18918.4114583335</v>
      </c>
      <c r="BZ303" s="60">
        <f t="shared" si="803"/>
        <v>18918.4114583335</v>
      </c>
      <c r="CA303" s="60">
        <f t="shared" si="803"/>
        <v>18918.4114583335</v>
      </c>
      <c r="CB303" s="60">
        <f t="shared" si="803"/>
        <v>3171.70833333335</v>
      </c>
    </row>
    <row r="304" s="4" customFormat="1" ht="27" hidden="1" customHeight="1" spans="1:80">
      <c r="A304" s="18">
        <v>45996</v>
      </c>
      <c r="B304" s="19" t="s">
        <v>1587</v>
      </c>
      <c r="C304" s="20" t="s">
        <v>117</v>
      </c>
      <c r="D304" s="21">
        <v>4500188208</v>
      </c>
      <c r="E304" s="20">
        <v>4353960671</v>
      </c>
      <c r="F304" s="19" t="s">
        <v>1588</v>
      </c>
      <c r="G304" s="22" t="s">
        <v>152</v>
      </c>
      <c r="H304" s="19" t="s">
        <v>153</v>
      </c>
      <c r="I304" s="34">
        <v>1807</v>
      </c>
      <c r="J304" s="34">
        <v>0</v>
      </c>
      <c r="K304" s="34">
        <v>13</v>
      </c>
      <c r="L304" s="34">
        <f t="shared" si="719"/>
        <v>139</v>
      </c>
      <c r="M304" s="35">
        <v>46044</v>
      </c>
      <c r="N304" s="35">
        <v>46041</v>
      </c>
      <c r="O304" s="37"/>
      <c r="P304" s="37"/>
      <c r="Q304" s="37"/>
      <c r="R304" s="209">
        <v>46009</v>
      </c>
      <c r="S304" s="207" t="s">
        <v>80</v>
      </c>
      <c r="T304" s="299" t="s">
        <v>1589</v>
      </c>
      <c r="U304" s="37"/>
      <c r="V304" s="45" t="s">
        <v>1590</v>
      </c>
      <c r="W304" s="35" t="s">
        <v>1591</v>
      </c>
      <c r="X304" s="46">
        <v>0.4655</v>
      </c>
      <c r="Y304" s="34">
        <f t="shared" si="790"/>
        <v>841.1585</v>
      </c>
      <c r="Z304" s="35" t="s">
        <v>82</v>
      </c>
      <c r="AA304" s="37"/>
      <c r="AB304" s="37"/>
      <c r="AC304" s="37"/>
      <c r="AD304" s="212" t="s">
        <v>114</v>
      </c>
      <c r="AE304" s="35" t="s">
        <v>152</v>
      </c>
      <c r="AF304" s="35" t="s">
        <v>115</v>
      </c>
      <c r="AG304" s="52">
        <f t="shared" si="762"/>
        <v>1807</v>
      </c>
      <c r="AH304" s="52"/>
      <c r="AI304" s="52">
        <f t="shared" si="763"/>
        <v>1807</v>
      </c>
      <c r="AJ304" s="52"/>
      <c r="AK304" s="52">
        <f t="shared" si="796"/>
        <v>1807</v>
      </c>
      <c r="AL304" s="52"/>
      <c r="AM304" s="52"/>
      <c r="AN304" s="52"/>
      <c r="AO304" s="52">
        <f t="shared" si="787"/>
        <v>1807</v>
      </c>
      <c r="AP304" s="52"/>
      <c r="AQ304" s="52"/>
      <c r="AR304" s="52"/>
      <c r="AS304" s="52"/>
      <c r="AT304" s="52">
        <f t="shared" si="797"/>
        <v>139</v>
      </c>
      <c r="AU304" s="52"/>
      <c r="AV304" s="52"/>
      <c r="AW304" s="52"/>
      <c r="AX304" s="52"/>
      <c r="AY304" s="52"/>
      <c r="AZ304" s="52"/>
      <c r="BA304" s="52"/>
      <c r="BB304" s="52"/>
      <c r="BC304" s="52"/>
      <c r="BD304" s="52"/>
      <c r="BE304" s="52"/>
      <c r="BF304" s="52"/>
      <c r="BG304" s="52"/>
      <c r="BH304" s="52"/>
      <c r="BI304" s="52"/>
      <c r="BJ304" s="60">
        <f t="shared" ref="BJ304:BR304" si="804">$I304*BJ$2</f>
        <v>221.169270833333</v>
      </c>
      <c r="BK304" s="60">
        <f t="shared" si="804"/>
        <v>221.169270833333</v>
      </c>
      <c r="BL304" s="60">
        <f t="shared" si="804"/>
        <v>221.169270833333</v>
      </c>
      <c r="BM304" s="60">
        <f t="shared" si="804"/>
        <v>221.169270833333</v>
      </c>
      <c r="BN304" s="60">
        <f t="shared" si="804"/>
        <v>221.169270833333</v>
      </c>
      <c r="BO304" s="60">
        <f t="shared" si="804"/>
        <v>221.169270833333</v>
      </c>
      <c r="BP304" s="60">
        <f t="shared" si="804"/>
        <v>221.169270833333</v>
      </c>
      <c r="BQ304" s="60">
        <f t="shared" si="804"/>
        <v>221.169270833333</v>
      </c>
      <c r="BR304" s="60">
        <f t="shared" si="804"/>
        <v>37.6458333333333</v>
      </c>
      <c r="BT304" s="60">
        <f t="shared" ref="BT304:CB304" si="805">BT303-BJ304</f>
        <v>18697.2421875002</v>
      </c>
      <c r="BU304" s="60">
        <f t="shared" si="805"/>
        <v>18697.2421875002</v>
      </c>
      <c r="BV304" s="60">
        <f t="shared" si="805"/>
        <v>18697.2421875002</v>
      </c>
      <c r="BW304" s="60">
        <f t="shared" si="805"/>
        <v>18697.2421875002</v>
      </c>
      <c r="BX304" s="60">
        <f t="shared" si="805"/>
        <v>18697.2421875002</v>
      </c>
      <c r="BY304" s="60">
        <f t="shared" si="805"/>
        <v>18697.2421875002</v>
      </c>
      <c r="BZ304" s="60">
        <f t="shared" si="805"/>
        <v>18697.2421875002</v>
      </c>
      <c r="CA304" s="60">
        <f t="shared" si="805"/>
        <v>18697.2421875002</v>
      </c>
      <c r="CB304" s="60">
        <f t="shared" si="805"/>
        <v>3134.06250000001</v>
      </c>
    </row>
    <row r="305" s="4" customFormat="1" ht="27" hidden="1" customHeight="1" spans="1:80">
      <c r="A305" s="18">
        <v>45995</v>
      </c>
      <c r="B305" s="19" t="s">
        <v>1587</v>
      </c>
      <c r="C305" s="20" t="s">
        <v>117</v>
      </c>
      <c r="D305" s="21">
        <v>4500187984</v>
      </c>
      <c r="E305" s="20">
        <v>4353960389</v>
      </c>
      <c r="F305" s="19" t="s">
        <v>1592</v>
      </c>
      <c r="G305" s="22" t="s">
        <v>152</v>
      </c>
      <c r="H305" s="19" t="s">
        <v>153</v>
      </c>
      <c r="I305" s="34">
        <v>2223</v>
      </c>
      <c r="J305" s="34">
        <v>0</v>
      </c>
      <c r="K305" s="34">
        <v>13</v>
      </c>
      <c r="L305" s="34">
        <f t="shared" si="719"/>
        <v>171</v>
      </c>
      <c r="M305" s="35">
        <v>46044</v>
      </c>
      <c r="N305" s="35">
        <v>46041</v>
      </c>
      <c r="O305" s="37"/>
      <c r="P305" s="37"/>
      <c r="Q305" s="37"/>
      <c r="R305" s="209">
        <v>46009</v>
      </c>
      <c r="S305" s="207" t="s">
        <v>80</v>
      </c>
      <c r="T305" s="299" t="s">
        <v>1589</v>
      </c>
      <c r="U305" s="37"/>
      <c r="V305" s="45" t="s">
        <v>1590</v>
      </c>
      <c r="W305" s="35" t="s">
        <v>1591</v>
      </c>
      <c r="X305" s="46">
        <v>0.4759</v>
      </c>
      <c r="Y305" s="34">
        <f t="shared" si="790"/>
        <v>1057.9257</v>
      </c>
      <c r="Z305" s="35" t="s">
        <v>82</v>
      </c>
      <c r="AA305" s="37"/>
      <c r="AB305" s="37"/>
      <c r="AC305" s="37"/>
      <c r="AD305" s="212" t="s">
        <v>114</v>
      </c>
      <c r="AE305" s="35" t="s">
        <v>152</v>
      </c>
      <c r="AF305" s="35" t="s">
        <v>115</v>
      </c>
      <c r="AG305" s="52">
        <f t="shared" si="762"/>
        <v>2223</v>
      </c>
      <c r="AH305" s="52"/>
      <c r="AI305" s="52">
        <f t="shared" si="763"/>
        <v>2223</v>
      </c>
      <c r="AJ305" s="52"/>
      <c r="AK305" s="52">
        <f t="shared" si="796"/>
        <v>2223</v>
      </c>
      <c r="AL305" s="52"/>
      <c r="AM305" s="52"/>
      <c r="AN305" s="52"/>
      <c r="AO305" s="52">
        <f t="shared" si="787"/>
        <v>2223</v>
      </c>
      <c r="AP305" s="52"/>
      <c r="AQ305" s="52"/>
      <c r="AR305" s="52"/>
      <c r="AS305" s="52"/>
      <c r="AT305" s="52">
        <f t="shared" si="797"/>
        <v>171</v>
      </c>
      <c r="AU305" s="52"/>
      <c r="AV305" s="52"/>
      <c r="AW305" s="52"/>
      <c r="AX305" s="52"/>
      <c r="AY305" s="52"/>
      <c r="AZ305" s="52"/>
      <c r="BA305" s="52"/>
      <c r="BB305" s="52"/>
      <c r="BC305" s="52"/>
      <c r="BD305" s="52"/>
      <c r="BE305" s="52"/>
      <c r="BF305" s="52"/>
      <c r="BG305" s="52"/>
      <c r="BH305" s="52"/>
      <c r="BI305" s="52"/>
      <c r="BJ305" s="60">
        <f t="shared" ref="BJ305:BR305" si="806">$I305*BJ$2</f>
        <v>272.085937499999</v>
      </c>
      <c r="BK305" s="60">
        <f t="shared" si="806"/>
        <v>272.085937499999</v>
      </c>
      <c r="BL305" s="60">
        <f t="shared" si="806"/>
        <v>272.085937499999</v>
      </c>
      <c r="BM305" s="60">
        <f t="shared" si="806"/>
        <v>272.085937499999</v>
      </c>
      <c r="BN305" s="60">
        <f t="shared" si="806"/>
        <v>272.085937499999</v>
      </c>
      <c r="BO305" s="60">
        <f t="shared" si="806"/>
        <v>272.085937499999</v>
      </c>
      <c r="BP305" s="60">
        <f t="shared" si="806"/>
        <v>272.085937499999</v>
      </c>
      <c r="BQ305" s="60">
        <f t="shared" si="806"/>
        <v>272.085937499999</v>
      </c>
      <c r="BR305" s="60">
        <f t="shared" si="806"/>
        <v>46.3124999999999</v>
      </c>
      <c r="BT305" s="60">
        <f t="shared" ref="BT305:CB305" si="807">BT304-BJ305</f>
        <v>18425.1562500002</v>
      </c>
      <c r="BU305" s="60">
        <f t="shared" si="807"/>
        <v>18425.1562500002</v>
      </c>
      <c r="BV305" s="60">
        <f t="shared" si="807"/>
        <v>18425.1562500002</v>
      </c>
      <c r="BW305" s="60">
        <f t="shared" si="807"/>
        <v>18425.1562500002</v>
      </c>
      <c r="BX305" s="60">
        <f t="shared" si="807"/>
        <v>18425.1562500002</v>
      </c>
      <c r="BY305" s="60">
        <f t="shared" si="807"/>
        <v>18425.1562500002</v>
      </c>
      <c r="BZ305" s="60">
        <f t="shared" si="807"/>
        <v>18425.1562500002</v>
      </c>
      <c r="CA305" s="60">
        <f t="shared" si="807"/>
        <v>18425.1562500002</v>
      </c>
      <c r="CB305" s="60">
        <f t="shared" si="807"/>
        <v>3087.75000000001</v>
      </c>
    </row>
    <row r="306" s="4" customFormat="1" ht="27" hidden="1" customHeight="1" spans="1:80">
      <c r="A306" s="18">
        <v>45987</v>
      </c>
      <c r="B306" s="19" t="s">
        <v>795</v>
      </c>
      <c r="C306" s="20" t="s">
        <v>574</v>
      </c>
      <c r="D306" s="21">
        <v>4500187084</v>
      </c>
      <c r="E306" s="20">
        <v>5251218604</v>
      </c>
      <c r="F306" s="19" t="s">
        <v>1593</v>
      </c>
      <c r="G306" s="22" t="s">
        <v>131</v>
      </c>
      <c r="H306" s="19" t="s">
        <v>1533</v>
      </c>
      <c r="I306" s="34">
        <v>1269</v>
      </c>
      <c r="J306" s="34">
        <v>0</v>
      </c>
      <c r="K306" s="34">
        <v>27</v>
      </c>
      <c r="L306" s="34">
        <f t="shared" si="719"/>
        <v>47</v>
      </c>
      <c r="M306" s="35">
        <v>46045</v>
      </c>
      <c r="N306" s="35">
        <v>46041</v>
      </c>
      <c r="O306" s="37"/>
      <c r="P306" s="37"/>
      <c r="Q306" s="37"/>
      <c r="R306" s="206">
        <v>45987</v>
      </c>
      <c r="S306" s="209" t="s">
        <v>80</v>
      </c>
      <c r="T306" s="37" t="s">
        <v>1534</v>
      </c>
      <c r="U306" s="300" t="s">
        <v>1445</v>
      </c>
      <c r="V306" s="45" t="s">
        <v>1594</v>
      </c>
      <c r="W306" s="35" t="s">
        <v>581</v>
      </c>
      <c r="X306" s="46">
        <v>0.89</v>
      </c>
      <c r="Y306" s="34">
        <f t="shared" si="790"/>
        <v>1129.41</v>
      </c>
      <c r="Z306" s="35" t="s">
        <v>82</v>
      </c>
      <c r="AA306" s="37"/>
      <c r="AB306" s="37"/>
      <c r="AC306" s="37" t="s">
        <v>681</v>
      </c>
      <c r="AD306" s="212" t="s">
        <v>114</v>
      </c>
      <c r="AE306" s="35" t="s">
        <v>434</v>
      </c>
      <c r="AF306" s="35" t="s">
        <v>115</v>
      </c>
      <c r="AG306" s="52">
        <f t="shared" si="762"/>
        <v>1269</v>
      </c>
      <c r="AH306" s="52"/>
      <c r="AI306" s="52">
        <f t="shared" si="763"/>
        <v>1269</v>
      </c>
      <c r="AJ306" s="52"/>
      <c r="AK306" s="52"/>
      <c r="AL306" s="52">
        <f t="shared" ref="AL306:AL308" si="808">I306</f>
        <v>1269</v>
      </c>
      <c r="AM306" s="52"/>
      <c r="AN306" s="52"/>
      <c r="AO306" s="52">
        <f t="shared" si="787"/>
        <v>1269</v>
      </c>
      <c r="AP306" s="52"/>
      <c r="AQ306" s="52"/>
      <c r="AR306" s="52"/>
      <c r="AS306" s="52">
        <f t="shared" ref="AS306:AS308" si="809">I306/27</f>
        <v>47</v>
      </c>
      <c r="AT306" s="52"/>
      <c r="AU306" s="52"/>
      <c r="AV306" s="52"/>
      <c r="AW306" s="52"/>
      <c r="AX306" s="52"/>
      <c r="AY306" s="52"/>
      <c r="AZ306" s="52"/>
      <c r="BA306" s="52"/>
      <c r="BB306" s="52"/>
      <c r="BC306" s="52"/>
      <c r="BD306" s="52"/>
      <c r="BE306" s="52"/>
      <c r="BF306" s="52"/>
      <c r="BG306" s="52"/>
      <c r="BH306" s="52"/>
      <c r="BI306" s="52"/>
      <c r="BJ306" s="60">
        <f t="shared" ref="BJ306:BR306" si="810">$I306*BJ$2</f>
        <v>155.3203125</v>
      </c>
      <c r="BK306" s="60">
        <f t="shared" si="810"/>
        <v>155.3203125</v>
      </c>
      <c r="BL306" s="60">
        <f t="shared" si="810"/>
        <v>155.3203125</v>
      </c>
      <c r="BM306" s="60">
        <f t="shared" si="810"/>
        <v>155.3203125</v>
      </c>
      <c r="BN306" s="60">
        <f t="shared" si="810"/>
        <v>155.3203125</v>
      </c>
      <c r="BO306" s="60">
        <f t="shared" si="810"/>
        <v>155.3203125</v>
      </c>
      <c r="BP306" s="60">
        <f t="shared" si="810"/>
        <v>155.3203125</v>
      </c>
      <c r="BQ306" s="60">
        <f t="shared" si="810"/>
        <v>155.3203125</v>
      </c>
      <c r="BR306" s="60">
        <f t="shared" si="810"/>
        <v>26.4375</v>
      </c>
      <c r="BT306" s="60">
        <f t="shared" ref="BT306:CB306" si="811">BT305-BJ306</f>
        <v>18269.8359375002</v>
      </c>
      <c r="BU306" s="60">
        <f t="shared" si="811"/>
        <v>18269.8359375002</v>
      </c>
      <c r="BV306" s="60">
        <f t="shared" si="811"/>
        <v>18269.8359375002</v>
      </c>
      <c r="BW306" s="60">
        <f t="shared" si="811"/>
        <v>18269.8359375002</v>
      </c>
      <c r="BX306" s="60">
        <f t="shared" si="811"/>
        <v>18269.8359375002</v>
      </c>
      <c r="BY306" s="60">
        <f t="shared" si="811"/>
        <v>18269.8359375002</v>
      </c>
      <c r="BZ306" s="60">
        <f t="shared" si="811"/>
        <v>18269.8359375002</v>
      </c>
      <c r="CA306" s="60">
        <f t="shared" si="811"/>
        <v>18269.8359375002</v>
      </c>
      <c r="CB306" s="60">
        <f t="shared" si="811"/>
        <v>3061.31250000001</v>
      </c>
    </row>
    <row r="307" s="4" customFormat="1" ht="27" hidden="1" customHeight="1" spans="1:80">
      <c r="A307" s="18">
        <v>45999</v>
      </c>
      <c r="B307" s="19" t="s">
        <v>1148</v>
      </c>
      <c r="C307" s="20" t="s">
        <v>876</v>
      </c>
      <c r="D307" s="21">
        <v>4500188248</v>
      </c>
      <c r="E307" s="20"/>
      <c r="F307" s="19" t="s">
        <v>1595</v>
      </c>
      <c r="G307" s="22" t="s">
        <v>78</v>
      </c>
      <c r="H307" s="19" t="s">
        <v>79</v>
      </c>
      <c r="I307" s="34">
        <v>540</v>
      </c>
      <c r="J307" s="34">
        <v>0</v>
      </c>
      <c r="K307" s="34">
        <v>54</v>
      </c>
      <c r="L307" s="34">
        <f t="shared" si="719"/>
        <v>10</v>
      </c>
      <c r="M307" s="35">
        <v>46045</v>
      </c>
      <c r="N307" s="292">
        <v>46045</v>
      </c>
      <c r="O307" s="37"/>
      <c r="P307" s="37"/>
      <c r="Q307" s="37"/>
      <c r="R307" s="206">
        <v>46021</v>
      </c>
      <c r="S307" s="207" t="s">
        <v>80</v>
      </c>
      <c r="T307" s="37" t="s">
        <v>1596</v>
      </c>
      <c r="U307" s="37"/>
      <c r="V307" s="45" t="s">
        <v>1597</v>
      </c>
      <c r="W307" s="35" t="s">
        <v>881</v>
      </c>
      <c r="X307" s="46">
        <v>0.7967</v>
      </c>
      <c r="Y307" s="34">
        <f t="shared" si="790"/>
        <v>430.218</v>
      </c>
      <c r="Z307" s="35" t="s">
        <v>82</v>
      </c>
      <c r="AA307" s="45"/>
      <c r="AB307" s="37"/>
      <c r="AC307" s="37"/>
      <c r="AD307" s="212" t="s">
        <v>114</v>
      </c>
      <c r="AE307" s="35" t="s">
        <v>230</v>
      </c>
      <c r="AF307" s="35" t="s">
        <v>115</v>
      </c>
      <c r="AG307" s="52">
        <f t="shared" si="762"/>
        <v>540</v>
      </c>
      <c r="AH307" s="52"/>
      <c r="AI307" s="52">
        <f t="shared" si="763"/>
        <v>540</v>
      </c>
      <c r="AJ307" s="52"/>
      <c r="AK307" s="52"/>
      <c r="AL307" s="52">
        <f t="shared" si="808"/>
        <v>540</v>
      </c>
      <c r="AM307" s="52"/>
      <c r="AN307" s="52"/>
      <c r="AO307" s="52">
        <f t="shared" si="787"/>
        <v>540</v>
      </c>
      <c r="AP307" s="52"/>
      <c r="AQ307" s="52"/>
      <c r="AR307" s="52"/>
      <c r="AS307" s="52">
        <f t="shared" si="809"/>
        <v>20</v>
      </c>
      <c r="AT307" s="52"/>
      <c r="AU307" s="52"/>
      <c r="AV307" s="52"/>
      <c r="AW307" s="52"/>
      <c r="AX307" s="52"/>
      <c r="AY307" s="52"/>
      <c r="AZ307" s="52"/>
      <c r="BA307" s="52"/>
      <c r="BB307" s="52"/>
      <c r="BC307" s="52"/>
      <c r="BD307" s="52"/>
      <c r="BE307" s="52"/>
      <c r="BF307" s="52"/>
      <c r="BG307" s="52"/>
      <c r="BH307" s="52"/>
      <c r="BI307" s="52"/>
      <c r="BJ307" s="60">
        <f t="shared" ref="BJ307:BR307" si="812">$I307*BJ$2</f>
        <v>66.0937499999998</v>
      </c>
      <c r="BK307" s="60">
        <f t="shared" si="812"/>
        <v>66.0937499999998</v>
      </c>
      <c r="BL307" s="60">
        <f t="shared" si="812"/>
        <v>66.0937499999998</v>
      </c>
      <c r="BM307" s="60">
        <f t="shared" si="812"/>
        <v>66.0937499999998</v>
      </c>
      <c r="BN307" s="60">
        <f t="shared" si="812"/>
        <v>66.0937499999998</v>
      </c>
      <c r="BO307" s="60">
        <f t="shared" si="812"/>
        <v>66.0937499999998</v>
      </c>
      <c r="BP307" s="60">
        <f t="shared" si="812"/>
        <v>66.0937499999998</v>
      </c>
      <c r="BQ307" s="60">
        <f t="shared" si="812"/>
        <v>66.0937499999998</v>
      </c>
      <c r="BR307" s="60">
        <f t="shared" si="812"/>
        <v>11.25</v>
      </c>
      <c r="BT307" s="60">
        <f t="shared" ref="BT307:CB307" si="813">BT306-BJ307</f>
        <v>18203.7421875002</v>
      </c>
      <c r="BU307" s="60">
        <f t="shared" si="813"/>
        <v>18203.7421875002</v>
      </c>
      <c r="BV307" s="60">
        <f t="shared" si="813"/>
        <v>18203.7421875002</v>
      </c>
      <c r="BW307" s="60">
        <f t="shared" si="813"/>
        <v>18203.7421875002</v>
      </c>
      <c r="BX307" s="60">
        <f t="shared" si="813"/>
        <v>18203.7421875002</v>
      </c>
      <c r="BY307" s="60">
        <f t="shared" si="813"/>
        <v>18203.7421875002</v>
      </c>
      <c r="BZ307" s="60">
        <f t="shared" si="813"/>
        <v>18203.7421875002</v>
      </c>
      <c r="CA307" s="60">
        <f t="shared" si="813"/>
        <v>18203.7421875002</v>
      </c>
      <c r="CB307" s="60">
        <f t="shared" si="813"/>
        <v>3050.06250000001</v>
      </c>
    </row>
    <row r="308" s="4" customFormat="1" ht="27" hidden="1" customHeight="1" spans="1:80">
      <c r="A308" s="18">
        <v>46014</v>
      </c>
      <c r="B308" s="19" t="s">
        <v>1148</v>
      </c>
      <c r="C308" s="20" t="s">
        <v>876</v>
      </c>
      <c r="D308" s="21">
        <v>4500189691</v>
      </c>
      <c r="E308" s="20"/>
      <c r="F308" s="19" t="s">
        <v>1598</v>
      </c>
      <c r="G308" s="22" t="s">
        <v>78</v>
      </c>
      <c r="H308" s="19" t="s">
        <v>79</v>
      </c>
      <c r="I308" s="34">
        <v>540</v>
      </c>
      <c r="J308" s="34">
        <v>0</v>
      </c>
      <c r="K308" s="34">
        <v>54</v>
      </c>
      <c r="L308" s="34">
        <f t="shared" si="719"/>
        <v>10</v>
      </c>
      <c r="M308" s="35">
        <v>46045</v>
      </c>
      <c r="N308" s="35">
        <v>46041</v>
      </c>
      <c r="O308" s="37"/>
      <c r="P308" s="37"/>
      <c r="Q308" s="37"/>
      <c r="R308" s="206">
        <v>46021</v>
      </c>
      <c r="S308" s="209" t="s">
        <v>80</v>
      </c>
      <c r="T308" s="299" t="s">
        <v>1596</v>
      </c>
      <c r="U308" s="37"/>
      <c r="V308" s="45" t="s">
        <v>1599</v>
      </c>
      <c r="W308" s="35" t="s">
        <v>881</v>
      </c>
      <c r="X308" s="46">
        <v>0.7967</v>
      </c>
      <c r="Y308" s="34">
        <f t="shared" si="790"/>
        <v>430.218</v>
      </c>
      <c r="Z308" s="35" t="s">
        <v>82</v>
      </c>
      <c r="AA308" s="45"/>
      <c r="AB308" s="37"/>
      <c r="AC308" s="37"/>
      <c r="AD308" s="37"/>
      <c r="AE308" s="35" t="s">
        <v>230</v>
      </c>
      <c r="AF308" s="35" t="s">
        <v>115</v>
      </c>
      <c r="AG308" s="52">
        <f t="shared" si="762"/>
        <v>540</v>
      </c>
      <c r="AH308" s="52"/>
      <c r="AI308" s="52">
        <f t="shared" si="763"/>
        <v>540</v>
      </c>
      <c r="AJ308" s="52"/>
      <c r="AK308" s="52"/>
      <c r="AL308" s="52">
        <f t="shared" si="808"/>
        <v>540</v>
      </c>
      <c r="AM308" s="52"/>
      <c r="AN308" s="52"/>
      <c r="AO308" s="52">
        <f t="shared" si="787"/>
        <v>540</v>
      </c>
      <c r="AP308" s="52"/>
      <c r="AQ308" s="52"/>
      <c r="AR308" s="52"/>
      <c r="AS308" s="52">
        <f t="shared" si="809"/>
        <v>20</v>
      </c>
      <c r="AT308" s="52"/>
      <c r="AU308" s="52"/>
      <c r="AV308" s="52"/>
      <c r="AW308" s="52"/>
      <c r="AX308" s="52"/>
      <c r="AY308" s="52"/>
      <c r="AZ308" s="52"/>
      <c r="BA308" s="52"/>
      <c r="BB308" s="52"/>
      <c r="BC308" s="52"/>
      <c r="BD308" s="52"/>
      <c r="BE308" s="52"/>
      <c r="BF308" s="52"/>
      <c r="BG308" s="52"/>
      <c r="BH308" s="52"/>
      <c r="BI308" s="52"/>
      <c r="BJ308" s="58">
        <f t="shared" ref="BJ308:BR308" si="814">$I308*BJ$2</f>
        <v>66.0937499999998</v>
      </c>
      <c r="BK308" s="58">
        <f t="shared" si="814"/>
        <v>66.0937499999998</v>
      </c>
      <c r="BL308" s="58">
        <f t="shared" si="814"/>
        <v>66.0937499999998</v>
      </c>
      <c r="BM308" s="58">
        <f t="shared" si="814"/>
        <v>66.0937499999998</v>
      </c>
      <c r="BN308" s="58">
        <f t="shared" si="814"/>
        <v>66.0937499999998</v>
      </c>
      <c r="BO308" s="58">
        <f t="shared" si="814"/>
        <v>66.0937499999998</v>
      </c>
      <c r="BP308" s="58">
        <f t="shared" si="814"/>
        <v>66.0937499999998</v>
      </c>
      <c r="BQ308" s="58">
        <f t="shared" si="814"/>
        <v>66.0937499999998</v>
      </c>
      <c r="BR308" s="58">
        <f t="shared" si="814"/>
        <v>11.25</v>
      </c>
      <c r="BT308" s="60">
        <f t="shared" ref="BT308:CB308" si="815">BT307-BJ308</f>
        <v>18137.6484375002</v>
      </c>
      <c r="BU308" s="60">
        <f t="shared" si="815"/>
        <v>18137.6484375002</v>
      </c>
      <c r="BV308" s="60">
        <f t="shared" si="815"/>
        <v>18137.6484375002</v>
      </c>
      <c r="BW308" s="60">
        <f t="shared" si="815"/>
        <v>18137.6484375002</v>
      </c>
      <c r="BX308" s="60">
        <f t="shared" si="815"/>
        <v>18137.6484375002</v>
      </c>
      <c r="BY308" s="60">
        <f t="shared" si="815"/>
        <v>18137.6484375002</v>
      </c>
      <c r="BZ308" s="60">
        <f t="shared" si="815"/>
        <v>18137.6484375002</v>
      </c>
      <c r="CA308" s="60">
        <f t="shared" si="815"/>
        <v>18137.6484375002</v>
      </c>
      <c r="CB308" s="60">
        <f t="shared" si="815"/>
        <v>3038.81250000001</v>
      </c>
    </row>
    <row r="309" s="4" customFormat="1" ht="27" hidden="1" customHeight="1" spans="1:80">
      <c r="A309" s="18">
        <v>46016</v>
      </c>
      <c r="B309" s="19" t="s">
        <v>1600</v>
      </c>
      <c r="C309" s="20" t="s">
        <v>389</v>
      </c>
      <c r="D309" s="21">
        <v>4500190061</v>
      </c>
      <c r="E309" s="20" t="s">
        <v>1601</v>
      </c>
      <c r="F309" s="21" t="s">
        <v>1602</v>
      </c>
      <c r="G309" s="22" t="s">
        <v>188</v>
      </c>
      <c r="H309" s="19" t="s">
        <v>120</v>
      </c>
      <c r="I309" s="34">
        <v>12</v>
      </c>
      <c r="J309" s="34">
        <v>0</v>
      </c>
      <c r="K309" s="34">
        <v>12</v>
      </c>
      <c r="L309" s="34">
        <f t="shared" si="719"/>
        <v>1</v>
      </c>
      <c r="M309" s="35">
        <v>46059</v>
      </c>
      <c r="N309" s="35">
        <v>46055</v>
      </c>
      <c r="O309" s="37"/>
      <c r="P309" s="37"/>
      <c r="Q309" s="37"/>
      <c r="R309" s="209">
        <v>46016</v>
      </c>
      <c r="S309" s="209" t="s">
        <v>80</v>
      </c>
      <c r="T309" s="299" t="s">
        <v>1603</v>
      </c>
      <c r="U309" s="37"/>
      <c r="V309" s="45" t="s">
        <v>1604</v>
      </c>
      <c r="W309" s="35" t="s">
        <v>1605</v>
      </c>
      <c r="X309" s="46">
        <v>1.9471</v>
      </c>
      <c r="Y309" s="34">
        <f t="shared" si="790"/>
        <v>23.3652</v>
      </c>
      <c r="Z309" s="35" t="s">
        <v>82</v>
      </c>
      <c r="AA309" s="45"/>
      <c r="AB309" s="37"/>
      <c r="AC309" s="37"/>
      <c r="AD309" s="37"/>
      <c r="AE309" s="35" t="s">
        <v>188</v>
      </c>
      <c r="AF309" s="35" t="s">
        <v>115</v>
      </c>
      <c r="AG309" s="52">
        <f>I309*2</f>
        <v>24</v>
      </c>
      <c r="AH309" s="52"/>
      <c r="AI309" s="52">
        <f>I309*2</f>
        <v>24</v>
      </c>
      <c r="AJ309" s="52"/>
      <c r="AL309" s="52">
        <f>I309*2</f>
        <v>24</v>
      </c>
      <c r="AM309" s="52"/>
      <c r="AN309" s="52"/>
      <c r="AO309" s="52">
        <f>I309*2</f>
        <v>24</v>
      </c>
      <c r="AP309" s="52"/>
      <c r="AQ309" s="52"/>
      <c r="AR309" s="52"/>
      <c r="AS309" s="52"/>
      <c r="AT309" s="52"/>
      <c r="AU309" s="52"/>
      <c r="AV309" s="52"/>
      <c r="AW309" s="52"/>
      <c r="AX309" s="52"/>
      <c r="AY309" s="52"/>
      <c r="AZ309" s="52"/>
      <c r="BA309" s="52"/>
      <c r="BB309" s="52"/>
      <c r="BC309" s="52"/>
      <c r="BD309" s="52"/>
      <c r="BE309" s="52"/>
      <c r="BF309" s="52">
        <f>I309</f>
        <v>12</v>
      </c>
      <c r="BG309" s="52">
        <f>I309</f>
        <v>12</v>
      </c>
      <c r="BH309" s="52"/>
      <c r="BI309" s="52"/>
      <c r="BJ309" s="58">
        <f t="shared" ref="BJ309:BR309" si="816">$I309*BJ$2*2</f>
        <v>2.93749999999999</v>
      </c>
      <c r="BK309" s="58">
        <f t="shared" si="816"/>
        <v>2.93749999999999</v>
      </c>
      <c r="BL309" s="58">
        <f t="shared" si="816"/>
        <v>2.93749999999999</v>
      </c>
      <c r="BM309" s="58">
        <f t="shared" si="816"/>
        <v>2.93749999999999</v>
      </c>
      <c r="BN309" s="58">
        <f t="shared" si="816"/>
        <v>2.93749999999999</v>
      </c>
      <c r="BO309" s="58">
        <f t="shared" si="816"/>
        <v>2.93749999999999</v>
      </c>
      <c r="BP309" s="58">
        <f t="shared" si="816"/>
        <v>2.93749999999999</v>
      </c>
      <c r="BQ309" s="58">
        <f t="shared" si="816"/>
        <v>2.93749999999999</v>
      </c>
      <c r="BR309" s="58">
        <f t="shared" si="816"/>
        <v>0.499999999999999</v>
      </c>
      <c r="BT309" s="60">
        <f t="shared" ref="BT309:CB309" si="817">BT308-BJ309</f>
        <v>18134.7109375002</v>
      </c>
      <c r="BU309" s="60">
        <f t="shared" si="817"/>
        <v>18134.7109375002</v>
      </c>
      <c r="BV309" s="60">
        <f t="shared" si="817"/>
        <v>18134.7109375002</v>
      </c>
      <c r="BW309" s="60">
        <f t="shared" si="817"/>
        <v>18134.7109375002</v>
      </c>
      <c r="BX309" s="60">
        <f t="shared" si="817"/>
        <v>18134.7109375002</v>
      </c>
      <c r="BY309" s="60">
        <f t="shared" si="817"/>
        <v>18134.7109375002</v>
      </c>
      <c r="BZ309" s="60">
        <f t="shared" si="817"/>
        <v>18134.7109375002</v>
      </c>
      <c r="CA309" s="60">
        <f t="shared" si="817"/>
        <v>18134.7109375002</v>
      </c>
      <c r="CB309" s="60">
        <f t="shared" si="817"/>
        <v>3038.31250000001</v>
      </c>
    </row>
    <row r="310" s="4" customFormat="1" ht="27" hidden="1" customHeight="1" spans="1:80">
      <c r="A310" s="18">
        <v>46014</v>
      </c>
      <c r="B310" s="19" t="s">
        <v>1606</v>
      </c>
      <c r="C310" s="20" t="s">
        <v>521</v>
      </c>
      <c r="D310" s="21">
        <v>4500189587</v>
      </c>
      <c r="E310" s="20" t="s">
        <v>1607</v>
      </c>
      <c r="F310" s="19" t="s">
        <v>1608</v>
      </c>
      <c r="G310" s="22" t="s">
        <v>152</v>
      </c>
      <c r="H310" s="19" t="s">
        <v>153</v>
      </c>
      <c r="I310" s="34">
        <v>676</v>
      </c>
      <c r="J310" s="34">
        <v>0</v>
      </c>
      <c r="K310" s="34">
        <v>13</v>
      </c>
      <c r="L310" s="34">
        <f t="shared" si="719"/>
        <v>52</v>
      </c>
      <c r="M310" s="35">
        <v>46092</v>
      </c>
      <c r="N310" s="35">
        <v>46088</v>
      </c>
      <c r="O310" s="37"/>
      <c r="P310" s="37"/>
      <c r="Q310" s="37"/>
      <c r="R310" s="206">
        <v>46015</v>
      </c>
      <c r="S310" s="207" t="s">
        <v>191</v>
      </c>
      <c r="T310" s="37" t="s">
        <v>1609</v>
      </c>
      <c r="U310" s="37"/>
      <c r="V310" s="204" t="s">
        <v>1610</v>
      </c>
      <c r="W310" s="35" t="s">
        <v>273</v>
      </c>
      <c r="X310" s="46">
        <v>0.7985</v>
      </c>
      <c r="Y310" s="34">
        <f t="shared" si="790"/>
        <v>539.786</v>
      </c>
      <c r="Z310" s="35" t="s">
        <v>82</v>
      </c>
      <c r="AA310" s="45"/>
      <c r="AB310" s="37"/>
      <c r="AC310" s="37"/>
      <c r="AD310" s="37"/>
      <c r="AE310" s="35" t="s">
        <v>152</v>
      </c>
      <c r="AF310" s="35" t="s">
        <v>115</v>
      </c>
      <c r="AG310" s="52">
        <f>I310</f>
        <v>676</v>
      </c>
      <c r="AH310" s="52"/>
      <c r="AI310" s="52">
        <f>I310</f>
        <v>676</v>
      </c>
      <c r="AJ310" s="52"/>
      <c r="AK310" s="52">
        <f>I310</f>
        <v>676</v>
      </c>
      <c r="AL310" s="52"/>
      <c r="AM310" s="52"/>
      <c r="AN310" s="52"/>
      <c r="AO310" s="52">
        <f>I310</f>
        <v>676</v>
      </c>
      <c r="AP310" s="52"/>
      <c r="AQ310" s="52"/>
      <c r="AR310" s="52"/>
      <c r="AS310" s="52"/>
      <c r="AT310" s="52">
        <f>I310/13</f>
        <v>52</v>
      </c>
      <c r="AU310" s="52"/>
      <c r="AV310" s="52"/>
      <c r="AW310" s="52"/>
      <c r="AX310" s="52"/>
      <c r="AY310" s="52"/>
      <c r="AZ310" s="52"/>
      <c r="BA310" s="52"/>
      <c r="BB310" s="52"/>
      <c r="BC310" s="52"/>
      <c r="BD310" s="52"/>
      <c r="BE310" s="52"/>
      <c r="BF310" s="52"/>
      <c r="BG310" s="52"/>
      <c r="BH310" s="52"/>
      <c r="BI310" s="52"/>
      <c r="BJ310" s="60">
        <f t="shared" ref="BJ310:BR310" si="818">$I310*BJ$2</f>
        <v>82.7395833333331</v>
      </c>
      <c r="BK310" s="60">
        <f t="shared" si="818"/>
        <v>82.7395833333331</v>
      </c>
      <c r="BL310" s="60">
        <f t="shared" si="818"/>
        <v>82.7395833333331</v>
      </c>
      <c r="BM310" s="60">
        <f t="shared" si="818"/>
        <v>82.7395833333331</v>
      </c>
      <c r="BN310" s="60">
        <f t="shared" si="818"/>
        <v>82.7395833333331</v>
      </c>
      <c r="BO310" s="60">
        <f t="shared" si="818"/>
        <v>82.7395833333331</v>
      </c>
      <c r="BP310" s="60">
        <f t="shared" si="818"/>
        <v>82.7395833333331</v>
      </c>
      <c r="BQ310" s="60">
        <f t="shared" si="818"/>
        <v>82.7395833333331</v>
      </c>
      <c r="BR310" s="60">
        <f t="shared" si="818"/>
        <v>14.0833333333333</v>
      </c>
      <c r="BT310" s="60">
        <f t="shared" ref="BT310:CB310" si="819">BT309-BJ310</f>
        <v>18051.9713541668</v>
      </c>
      <c r="BU310" s="60">
        <f t="shared" si="819"/>
        <v>18051.9713541668</v>
      </c>
      <c r="BV310" s="60">
        <f t="shared" si="819"/>
        <v>18051.9713541668</v>
      </c>
      <c r="BW310" s="60">
        <f t="shared" si="819"/>
        <v>18051.9713541668</v>
      </c>
      <c r="BX310" s="60">
        <f t="shared" si="819"/>
        <v>18051.9713541668</v>
      </c>
      <c r="BY310" s="60">
        <f t="shared" si="819"/>
        <v>18051.9713541668</v>
      </c>
      <c r="BZ310" s="60">
        <f t="shared" si="819"/>
        <v>18051.9713541668</v>
      </c>
      <c r="CA310" s="60">
        <f t="shared" si="819"/>
        <v>18051.9713541668</v>
      </c>
      <c r="CB310" s="60">
        <f t="shared" si="819"/>
        <v>3024.22916666668</v>
      </c>
    </row>
    <row r="311" s="4" customFormat="1" ht="27" customHeight="1" spans="1:80">
      <c r="A311" s="18"/>
      <c r="B311" s="19"/>
      <c r="C311" s="20"/>
      <c r="D311" s="21"/>
      <c r="E311" s="20"/>
      <c r="F311" s="19"/>
      <c r="G311" s="22"/>
      <c r="H311" s="19"/>
      <c r="I311" s="34"/>
      <c r="J311" s="34"/>
      <c r="K311" s="34"/>
      <c r="L311" s="34"/>
      <c r="M311" s="35"/>
      <c r="N311" s="35"/>
      <c r="O311" s="37"/>
      <c r="P311" s="37"/>
      <c r="Q311" s="37"/>
      <c r="R311" s="208"/>
      <c r="S311" s="209"/>
      <c r="T311" s="37"/>
      <c r="U311" s="37"/>
      <c r="V311" s="45"/>
      <c r="W311" s="35"/>
      <c r="X311" s="46"/>
      <c r="Y311" s="34"/>
      <c r="Z311" s="35"/>
      <c r="AA311" s="37"/>
      <c r="AB311" s="37"/>
      <c r="AC311" s="37"/>
      <c r="AD311" s="212"/>
      <c r="AE311" s="35"/>
      <c r="AF311" s="35"/>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8"/>
      <c r="BK311" s="58"/>
      <c r="BL311" s="58"/>
      <c r="BM311" s="58"/>
      <c r="BN311" s="58"/>
      <c r="BO311" s="58"/>
      <c r="BP311" s="58"/>
      <c r="BQ311" s="58"/>
      <c r="BR311" s="58"/>
      <c r="BT311" s="60"/>
      <c r="BU311" s="60"/>
      <c r="BV311" s="60"/>
      <c r="BW311" s="60"/>
      <c r="BX311" s="60"/>
      <c r="BY311" s="60"/>
      <c r="BZ311" s="60"/>
      <c r="CA311" s="60"/>
      <c r="CB311" s="60"/>
    </row>
    <row r="312" s="4" customFormat="1" ht="27" customHeight="1" spans="1:80">
      <c r="A312" s="18"/>
      <c r="B312" s="19"/>
      <c r="C312" s="20"/>
      <c r="D312" s="21"/>
      <c r="E312" s="20"/>
      <c r="F312" s="19"/>
      <c r="G312" s="22"/>
      <c r="H312" s="19"/>
      <c r="I312" s="34"/>
      <c r="J312" s="34"/>
      <c r="K312" s="34"/>
      <c r="L312" s="34"/>
      <c r="M312" s="35"/>
      <c r="N312" s="35"/>
      <c r="O312" s="37"/>
      <c r="P312" s="37"/>
      <c r="Q312" s="37"/>
      <c r="R312" s="37"/>
      <c r="S312" s="180"/>
      <c r="T312" s="37"/>
      <c r="U312" s="37"/>
      <c r="V312" s="45"/>
      <c r="W312" s="35"/>
      <c r="X312" s="46"/>
      <c r="Y312" s="34"/>
      <c r="Z312" s="35"/>
      <c r="AA312" s="37"/>
      <c r="AB312" s="37"/>
      <c r="AC312" s="37"/>
      <c r="AD312" s="37"/>
      <c r="AE312" s="35"/>
      <c r="AF312" s="35"/>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8"/>
      <c r="BK312" s="58"/>
      <c r="BL312" s="58"/>
      <c r="BM312" s="58"/>
      <c r="BN312" s="58"/>
      <c r="BO312" s="58"/>
      <c r="BP312" s="58"/>
      <c r="BQ312" s="58"/>
      <c r="BR312" s="58"/>
      <c r="BT312" s="60"/>
      <c r="BU312" s="60"/>
      <c r="BV312" s="60"/>
      <c r="BW312" s="60"/>
      <c r="BX312" s="60"/>
      <c r="BY312" s="60"/>
      <c r="BZ312" s="60"/>
      <c r="CA312" s="60"/>
      <c r="CB312" s="60"/>
    </row>
    <row r="313" s="138" customFormat="1" ht="15" customHeight="1" spans="1:80">
      <c r="A313" s="170"/>
      <c r="B313" s="171"/>
      <c r="C313" s="171"/>
      <c r="D313" s="171"/>
      <c r="E313" s="171"/>
      <c r="F313" s="171"/>
      <c r="G313" s="171"/>
      <c r="H313" s="171"/>
      <c r="I313" s="171"/>
      <c r="J313" s="171"/>
      <c r="K313" s="171"/>
      <c r="L313" s="171"/>
      <c r="M313" s="171"/>
      <c r="N313" s="171"/>
      <c r="O313" s="171"/>
      <c r="P313" s="171"/>
      <c r="Q313" s="171"/>
      <c r="R313" s="171"/>
      <c r="S313" s="171"/>
      <c r="T313" s="171"/>
      <c r="U313" s="171"/>
      <c r="V313" s="210"/>
      <c r="W313" s="171"/>
      <c r="X313" s="171"/>
      <c r="Y313" s="171"/>
      <c r="Z313" s="171" t="s">
        <v>1611</v>
      </c>
      <c r="AA313" s="171"/>
      <c r="AB313" s="171"/>
      <c r="AC313" s="171"/>
      <c r="AD313" s="171"/>
      <c r="AE313" s="171"/>
      <c r="AF313" s="171"/>
      <c r="AG313" s="171"/>
      <c r="AH313" s="171"/>
      <c r="AI313" s="171"/>
      <c r="AJ313" s="171"/>
      <c r="AK313" s="171"/>
      <c r="AL313" s="171"/>
      <c r="AM313" s="171"/>
      <c r="AN313" s="171"/>
      <c r="AO313" s="171"/>
      <c r="AP313" s="171"/>
      <c r="AQ313" s="171"/>
      <c r="AR313" s="171"/>
      <c r="AS313" s="171"/>
      <c r="AT313" s="171"/>
      <c r="AU313" s="171"/>
      <c r="AV313" s="171"/>
      <c r="AW313" s="171"/>
      <c r="AX313" s="171"/>
      <c r="AY313" s="171"/>
      <c r="AZ313" s="171"/>
      <c r="BA313" s="171"/>
      <c r="BB313" s="171"/>
      <c r="BC313" s="171"/>
      <c r="BD313" s="171"/>
      <c r="BE313" s="171"/>
      <c r="BF313" s="171"/>
      <c r="BG313" s="171"/>
      <c r="BH313" s="171"/>
      <c r="BI313" s="171"/>
      <c r="BJ313" s="225"/>
      <c r="BK313" s="225"/>
      <c r="BL313" s="225"/>
      <c r="BM313" s="225"/>
      <c r="BN313" s="225"/>
      <c r="BO313" s="225"/>
      <c r="BP313" s="225"/>
      <c r="BQ313" s="225"/>
      <c r="BR313" s="225"/>
      <c r="BT313" s="233"/>
      <c r="BU313" s="233"/>
      <c r="BV313" s="233"/>
      <c r="BW313" s="233"/>
      <c r="BX313" s="233"/>
      <c r="BY313" s="233"/>
      <c r="BZ313" s="233"/>
      <c r="CA313" s="233"/>
      <c r="CB313" s="233"/>
    </row>
    <row r="314" s="138" customFormat="1" spans="1:80">
      <c r="A314" s="142"/>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AD314" s="137"/>
      <c r="AE314" s="137"/>
      <c r="AF314" s="137"/>
      <c r="AG314" s="137"/>
      <c r="AM314" s="137"/>
      <c r="AN314" s="137"/>
      <c r="AO314" s="137"/>
      <c r="AP314" s="137"/>
      <c r="AQ314" s="137"/>
      <c r="AR314" s="137"/>
      <c r="AS314" s="137"/>
      <c r="AT314" s="137"/>
      <c r="AU314" s="137"/>
      <c r="AV314" s="137"/>
      <c r="AW314" s="137"/>
      <c r="AX314" s="137"/>
      <c r="AY314" s="137"/>
      <c r="AZ314" s="137"/>
      <c r="BA314" s="137"/>
      <c r="BB314" s="137"/>
      <c r="BC314" s="137"/>
      <c r="BD314" s="137"/>
      <c r="BE314" s="137"/>
      <c r="BF314" s="137"/>
      <c r="BG314" s="137"/>
      <c r="BH314" s="137"/>
      <c r="BI314" s="137"/>
      <c r="BJ314" s="58"/>
      <c r="BK314" s="58"/>
      <c r="BL314" s="58"/>
      <c r="BM314" s="58"/>
      <c r="BN314" s="58"/>
      <c r="BO314" s="58"/>
      <c r="BP314" s="58"/>
      <c r="BQ314" s="58"/>
      <c r="BR314" s="58"/>
      <c r="BS314" s="4"/>
      <c r="BT314" s="60"/>
      <c r="BU314" s="60"/>
      <c r="BV314" s="60"/>
      <c r="BW314" s="60"/>
      <c r="BX314" s="60"/>
      <c r="BY314" s="60"/>
      <c r="BZ314" s="60"/>
      <c r="CA314" s="60"/>
      <c r="CB314" s="60"/>
    </row>
    <row r="315" s="137" customFormat="1" spans="1:80">
      <c r="A315" s="142"/>
      <c r="AF315" s="171" t="s">
        <v>1612</v>
      </c>
      <c r="AG315" s="171">
        <f t="shared" ref="AG315:AX315" si="820">SUM(AG3:AG314)</f>
        <v>781303</v>
      </c>
      <c r="AH315" s="171">
        <f t="shared" si="820"/>
        <v>399867</v>
      </c>
      <c r="AI315" s="171">
        <f t="shared" si="820"/>
        <v>357298</v>
      </c>
      <c r="AJ315" s="171">
        <f t="shared" si="820"/>
        <v>24138</v>
      </c>
      <c r="AK315" s="171">
        <f t="shared" si="820"/>
        <v>584844</v>
      </c>
      <c r="AL315" s="171">
        <f t="shared" si="820"/>
        <v>172915</v>
      </c>
      <c r="AM315" s="171">
        <f t="shared" si="820"/>
        <v>24138</v>
      </c>
      <c r="AN315" s="171">
        <f t="shared" si="820"/>
        <v>98941</v>
      </c>
      <c r="AO315" s="171">
        <f t="shared" si="820"/>
        <v>667967</v>
      </c>
      <c r="AP315" s="171">
        <f t="shared" si="820"/>
        <v>14989</v>
      </c>
      <c r="AQ315" s="171">
        <f t="shared" si="820"/>
        <v>3030</v>
      </c>
      <c r="AR315" s="171">
        <f t="shared" si="820"/>
        <v>1980</v>
      </c>
      <c r="AS315" s="171">
        <f t="shared" si="820"/>
        <v>2719</v>
      </c>
      <c r="AT315" s="171">
        <f t="shared" si="820"/>
        <v>18168</v>
      </c>
      <c r="AU315" s="171">
        <f t="shared" si="820"/>
        <v>2535</v>
      </c>
      <c r="AV315" s="171">
        <f t="shared" si="820"/>
        <v>15613</v>
      </c>
      <c r="AW315" s="171">
        <f t="shared" si="820"/>
        <v>535</v>
      </c>
      <c r="AX315" s="171">
        <f t="shared" si="820"/>
        <v>612</v>
      </c>
      <c r="AY315" s="171"/>
      <c r="AZ315" s="171">
        <f t="shared" ref="AZ315:BR315" si="821">SUM(AZ3:AZ314)</f>
        <v>0</v>
      </c>
      <c r="BA315" s="171">
        <f t="shared" si="821"/>
        <v>50</v>
      </c>
      <c r="BB315" s="171">
        <f t="shared" si="821"/>
        <v>50</v>
      </c>
      <c r="BC315" s="171">
        <f t="shared" si="821"/>
        <v>150</v>
      </c>
      <c r="BD315" s="171">
        <f t="shared" si="821"/>
        <v>47</v>
      </c>
      <c r="BE315" s="171">
        <f t="shared" si="821"/>
        <v>197</v>
      </c>
      <c r="BF315" s="171">
        <f t="shared" si="821"/>
        <v>23688</v>
      </c>
      <c r="BG315" s="171">
        <f t="shared" si="821"/>
        <v>23688</v>
      </c>
      <c r="BH315" s="171">
        <f t="shared" si="821"/>
        <v>0</v>
      </c>
      <c r="BI315" s="171">
        <f t="shared" si="821"/>
        <v>0</v>
      </c>
      <c r="BJ315" s="225">
        <f t="shared" si="821"/>
        <v>95780.0286458332</v>
      </c>
      <c r="BK315" s="225">
        <f t="shared" si="821"/>
        <v>95780.0286458332</v>
      </c>
      <c r="BL315" s="225">
        <f t="shared" si="821"/>
        <v>95780.0286458332</v>
      </c>
      <c r="BM315" s="225">
        <f t="shared" si="821"/>
        <v>95780.0286458332</v>
      </c>
      <c r="BN315" s="225">
        <f t="shared" si="821"/>
        <v>95780.0286458332</v>
      </c>
      <c r="BO315" s="225">
        <f t="shared" si="821"/>
        <v>95780.0286458332</v>
      </c>
      <c r="BP315" s="225">
        <f t="shared" si="821"/>
        <v>95780.0286458332</v>
      </c>
      <c r="BQ315" s="225">
        <f t="shared" si="821"/>
        <v>95780.0286458332</v>
      </c>
      <c r="BR315" s="225">
        <f t="shared" si="821"/>
        <v>16352.7708333333</v>
      </c>
      <c r="BT315" s="225">
        <f t="shared" ref="BT315:CB315" si="822">MIN(BT3:BT313)</f>
        <v>18051.9713541668</v>
      </c>
      <c r="BU315" s="225">
        <f t="shared" si="822"/>
        <v>18051.9713541668</v>
      </c>
      <c r="BV315" s="225">
        <f t="shared" si="822"/>
        <v>18051.9713541668</v>
      </c>
      <c r="BW315" s="225">
        <f t="shared" si="822"/>
        <v>18051.9713541668</v>
      </c>
      <c r="BX315" s="225">
        <f t="shared" si="822"/>
        <v>18051.9713541668</v>
      </c>
      <c r="BY315" s="225">
        <f t="shared" si="822"/>
        <v>18051.9713541668</v>
      </c>
      <c r="BZ315" s="225">
        <f t="shared" si="822"/>
        <v>18051.9713541668</v>
      </c>
      <c r="CA315" s="225">
        <f t="shared" si="822"/>
        <v>18051.9713541668</v>
      </c>
      <c r="CB315" s="225">
        <f t="shared" si="822"/>
        <v>3024.22916666668</v>
      </c>
    </row>
    <row r="316" s="137" customFormat="1" spans="1:25">
      <c r="A316" s="142"/>
      <c r="X316" s="137" t="s">
        <v>1613</v>
      </c>
      <c r="Y316" s="137">
        <f>SUM(Y3:Y314)</f>
        <v>530234.813520001</v>
      </c>
    </row>
    <row r="317" s="137" customFormat="1" spans="1:80">
      <c r="A317" s="142"/>
      <c r="BT317" s="232">
        <f>BT315-生产MA!G13</f>
        <v>1270.46874999999</v>
      </c>
      <c r="BU317" s="232">
        <f>BU315-生产MA!H13</f>
        <v>1270.46874999999</v>
      </c>
      <c r="BV317" s="232">
        <f>BV315-生产MA!I13</f>
        <v>1270.46874999999</v>
      </c>
      <c r="BW317" s="232">
        <f>BW315-生产MA!J13</f>
        <v>1270.46874999999</v>
      </c>
      <c r="BX317" s="232">
        <f>BX315-生产MA!K13</f>
        <v>1270.46874999999</v>
      </c>
      <c r="BY317" s="232">
        <f>BY315-生产MA!L13</f>
        <v>1270.46874999999</v>
      </c>
      <c r="BZ317" s="232">
        <f>BZ315-生产MA!M13</f>
        <v>1270.46874999999</v>
      </c>
      <c r="CA317" s="232">
        <f>CA315-生产MA!N13</f>
        <v>1270.46874999999</v>
      </c>
      <c r="CB317" s="232">
        <f>CB315-生产MA!O13</f>
        <v>216.249999999975</v>
      </c>
    </row>
    <row r="318" s="137" customFormat="1" spans="1:33">
      <c r="A318" s="142"/>
      <c r="Y318" s="137">
        <f>Y316*7.75</f>
        <v>4109319.80478001</v>
      </c>
      <c r="AF318" s="138" t="s">
        <v>1120</v>
      </c>
      <c r="AG318" s="138">
        <f>SUM(AG10:AG297,AG299,AG301)</f>
        <v>729736</v>
      </c>
    </row>
    <row r="319" s="137" customFormat="1" spans="1:70">
      <c r="A319" s="142"/>
      <c r="BI319" s="137" t="s">
        <v>1614</v>
      </c>
      <c r="BJ319" s="232">
        <f t="shared" ref="BJ319:BR319" si="823">SUM(BJ10:BJ297,BJ299,BJ301)</f>
        <v>89468.4427083332</v>
      </c>
      <c r="BK319" s="232">
        <f t="shared" si="823"/>
        <v>89468.4427083332</v>
      </c>
      <c r="BL319" s="232">
        <f t="shared" si="823"/>
        <v>89468.4427083332</v>
      </c>
      <c r="BM319" s="232">
        <f t="shared" si="823"/>
        <v>89468.4427083332</v>
      </c>
      <c r="BN319" s="232">
        <f t="shared" si="823"/>
        <v>89468.4427083332</v>
      </c>
      <c r="BO319" s="232">
        <f t="shared" si="823"/>
        <v>89468.4427083332</v>
      </c>
      <c r="BP319" s="232">
        <f t="shared" si="823"/>
        <v>89468.4427083332</v>
      </c>
      <c r="BQ319" s="232">
        <f t="shared" si="823"/>
        <v>89468.4427083332</v>
      </c>
      <c r="BR319" s="232">
        <f t="shared" si="823"/>
        <v>15278.4583333333</v>
      </c>
    </row>
    <row r="320" s="137" customFormat="1" spans="1:1">
      <c r="A320" s="142"/>
    </row>
    <row r="321" s="137" customFormat="1" spans="1:1">
      <c r="A321" s="142"/>
    </row>
    <row r="322" s="137" customFormat="1" spans="1:1">
      <c r="A322" s="142"/>
    </row>
    <row r="323" s="137" customFormat="1" spans="1:13">
      <c r="A323" s="142"/>
      <c r="J323" s="137" t="s">
        <v>1611</v>
      </c>
      <c r="M323" s="137" t="s">
        <v>1615</v>
      </c>
    </row>
  </sheetData>
  <sheetProtection selectLockedCells="1" autoFilter="0"/>
  <autoFilter xmlns:etc="http://www.wps.cn/officeDocument/2017/etCustomData" ref="A2:CI310" etc:filterBottomFollowUsedRange="0">
    <filterColumn colId="6">
      <customFilters>
        <customFilter operator="equal" val="77685GQ4-S001"/>
      </customFilters>
    </filterColumn>
    <extLst/>
  </autoFilter>
  <mergeCells count="17">
    <mergeCell ref="AH1:AJ1"/>
    <mergeCell ref="AK1:AM1"/>
    <mergeCell ref="AN1:AO1"/>
    <mergeCell ref="AQ1:AS1"/>
    <mergeCell ref="AT1:AU1"/>
    <mergeCell ref="AX1:AY1"/>
    <mergeCell ref="AZ1:BB1"/>
    <mergeCell ref="BC1:BE1"/>
    <mergeCell ref="BF1:BH1"/>
    <mergeCell ref="AC75:AC76"/>
    <mergeCell ref="AC77:AC78"/>
    <mergeCell ref="AC127:AC128"/>
    <mergeCell ref="AC129:AC132"/>
    <mergeCell ref="AC148:AC151"/>
    <mergeCell ref="AC193:AC196"/>
    <mergeCell ref="AC213:AC220"/>
    <mergeCell ref="AC257:AC258"/>
  </mergeCells>
  <conditionalFormatting sqref="R12">
    <cfRule type="cellIs" dxfId="0" priority="482" operator="equal">
      <formula>"欠"</formula>
    </cfRule>
    <cfRule type="containsText" dxfId="1" priority="481" operator="between" text="欠">
      <formula>NOT(ISERROR(SEARCH("欠",R12)))</formula>
    </cfRule>
  </conditionalFormatting>
  <conditionalFormatting sqref="T12:U12">
    <cfRule type="cellIs" dxfId="0" priority="478" operator="equal">
      <formula>"欠"</formula>
    </cfRule>
    <cfRule type="containsText" dxfId="1" priority="477" operator="between" text="欠">
      <formula>NOT(ISERROR(SEARCH("欠",T12)))</formula>
    </cfRule>
  </conditionalFormatting>
  <conditionalFormatting sqref="S17">
    <cfRule type="cellIs" dxfId="0" priority="464" operator="equal">
      <formula>"欠"</formula>
    </cfRule>
    <cfRule type="containsText" dxfId="1" priority="463" operator="between" text="欠">
      <formula>NOT(ISERROR(SEARCH("欠",S17)))</formula>
    </cfRule>
  </conditionalFormatting>
  <conditionalFormatting sqref="T17:U17">
    <cfRule type="cellIs" dxfId="0" priority="462" operator="equal">
      <formula>"欠"</formula>
    </cfRule>
    <cfRule type="containsText" dxfId="1" priority="461" operator="between" text="欠">
      <formula>NOT(ISERROR(SEARCH("欠",T17)))</formula>
    </cfRule>
  </conditionalFormatting>
  <conditionalFormatting sqref="S18">
    <cfRule type="cellIs" dxfId="0" priority="460" operator="equal">
      <formula>"欠"</formula>
    </cfRule>
    <cfRule type="containsText" dxfId="1" priority="459" operator="between" text="欠">
      <formula>NOT(ISERROR(SEARCH("欠",S18)))</formula>
    </cfRule>
  </conditionalFormatting>
  <conditionalFormatting sqref="T18:U18">
    <cfRule type="cellIs" dxfId="0" priority="458" operator="equal">
      <formula>"欠"</formula>
    </cfRule>
    <cfRule type="containsText" dxfId="1" priority="457" operator="between" text="欠">
      <formula>NOT(ISERROR(SEARCH("欠",T18)))</formula>
    </cfRule>
  </conditionalFormatting>
  <conditionalFormatting sqref="T24:U24">
    <cfRule type="containsText" dxfId="1" priority="443" operator="between" text="欠">
      <formula>NOT(ISERROR(SEARCH("欠",T24)))</formula>
    </cfRule>
    <cfRule type="cellIs" dxfId="0" priority="442" operator="equal">
      <formula>"欠"</formula>
    </cfRule>
  </conditionalFormatting>
  <conditionalFormatting sqref="R35">
    <cfRule type="cellIs" dxfId="0" priority="337" operator="equal">
      <formula>"欠"</formula>
    </cfRule>
    <cfRule type="containsText" dxfId="1" priority="336" operator="between" text="欠">
      <formula>NOT(ISERROR(SEARCH("欠",R35)))</formula>
    </cfRule>
  </conditionalFormatting>
  <conditionalFormatting sqref="S35">
    <cfRule type="cellIs" dxfId="0" priority="335" operator="equal">
      <formula>"欠"</formula>
    </cfRule>
    <cfRule type="containsText" dxfId="1" priority="334" operator="between" text="欠">
      <formula>NOT(ISERROR(SEARCH("欠",S35)))</formula>
    </cfRule>
  </conditionalFormatting>
  <conditionalFormatting sqref="T35:U35">
    <cfRule type="cellIs" dxfId="0" priority="333" operator="equal">
      <formula>"欠"</formula>
    </cfRule>
    <cfRule type="containsText" dxfId="1" priority="332" operator="between" text="欠">
      <formula>NOT(ISERROR(SEARCH("欠",T35)))</formula>
    </cfRule>
  </conditionalFormatting>
  <conditionalFormatting sqref="S38">
    <cfRule type="cellIs" dxfId="0" priority="431" operator="equal">
      <formula>"欠"</formula>
    </cfRule>
    <cfRule type="containsText" dxfId="1" priority="430" operator="between" text="欠">
      <formula>NOT(ISERROR(SEARCH("欠",S38)))</formula>
    </cfRule>
  </conditionalFormatting>
  <conditionalFormatting sqref="T38:U38">
    <cfRule type="cellIs" dxfId="0" priority="429" operator="equal">
      <formula>"欠"</formula>
    </cfRule>
    <cfRule type="containsText" dxfId="1" priority="428" operator="between" text="欠">
      <formula>NOT(ISERROR(SEARCH("欠",T38)))</formula>
    </cfRule>
  </conditionalFormatting>
  <conditionalFormatting sqref="R45">
    <cfRule type="cellIs" dxfId="0" priority="385" operator="equal">
      <formula>"欠"</formula>
    </cfRule>
    <cfRule type="containsText" dxfId="1" priority="384" operator="between" text="欠">
      <formula>NOT(ISERROR(SEARCH("欠",R45)))</formula>
    </cfRule>
  </conditionalFormatting>
  <conditionalFormatting sqref="S45">
    <cfRule type="cellIs" dxfId="0" priority="383" operator="equal">
      <formula>"欠"</formula>
    </cfRule>
    <cfRule type="containsText" dxfId="1" priority="382" operator="between" text="欠">
      <formula>NOT(ISERROR(SEARCH("欠",S45)))</formula>
    </cfRule>
  </conditionalFormatting>
  <conditionalFormatting sqref="T45:U45">
    <cfRule type="cellIs" dxfId="0" priority="387" operator="equal">
      <formula>"欠"</formula>
    </cfRule>
    <cfRule type="containsText" dxfId="1" priority="386" operator="between" text="欠">
      <formula>NOT(ISERROR(SEARCH("欠",T45)))</formula>
    </cfRule>
  </conditionalFormatting>
  <conditionalFormatting sqref="R47">
    <cfRule type="cellIs" dxfId="0" priority="486" operator="equal">
      <formula>"欠"</formula>
    </cfRule>
  </conditionalFormatting>
  <conditionalFormatting sqref="S47">
    <cfRule type="cellIs" dxfId="0" priority="427" operator="equal">
      <formula>"欠"</formula>
    </cfRule>
    <cfRule type="containsText" dxfId="1" priority="426" operator="between" text="欠">
      <formula>NOT(ISERROR(SEARCH("欠",S47)))</formula>
    </cfRule>
  </conditionalFormatting>
  <conditionalFormatting sqref="T47:U47">
    <cfRule type="cellIs" dxfId="0" priority="425" operator="equal">
      <formula>"欠"</formula>
    </cfRule>
    <cfRule type="containsText" dxfId="1" priority="424" operator="between" text="欠">
      <formula>NOT(ISERROR(SEARCH("欠",T47)))</formula>
    </cfRule>
  </conditionalFormatting>
  <conditionalFormatting sqref="S55">
    <cfRule type="cellIs" dxfId="0" priority="395" operator="equal">
      <formula>"欠"</formula>
    </cfRule>
    <cfRule type="containsText" dxfId="1" priority="394" operator="between" text="欠">
      <formula>NOT(ISERROR(SEARCH("欠",S55)))</formula>
    </cfRule>
  </conditionalFormatting>
  <conditionalFormatting sqref="T55:U55">
    <cfRule type="cellIs" dxfId="0" priority="393" operator="equal">
      <formula>"欠"</formula>
    </cfRule>
    <cfRule type="containsText" dxfId="1" priority="392" operator="between" text="欠">
      <formula>NOT(ISERROR(SEARCH("欠",T55)))</formula>
    </cfRule>
  </conditionalFormatting>
  <conditionalFormatting sqref="S57">
    <cfRule type="cellIs" dxfId="0" priority="381" operator="equal">
      <formula>"欠"</formula>
    </cfRule>
    <cfRule type="containsText" dxfId="1" priority="380" operator="between" text="欠">
      <formula>NOT(ISERROR(SEARCH("欠",S57)))</formula>
    </cfRule>
  </conditionalFormatting>
  <conditionalFormatting sqref="T57:U57">
    <cfRule type="cellIs" dxfId="0" priority="379" operator="equal">
      <formula>"欠"</formula>
    </cfRule>
    <cfRule type="containsText" dxfId="1" priority="378" operator="between" text="欠">
      <formula>NOT(ISERROR(SEARCH("欠",T57)))</formula>
    </cfRule>
  </conditionalFormatting>
  <conditionalFormatting sqref="S67">
    <cfRule type="cellIs" dxfId="0" priority="399" operator="equal">
      <formula>"欠"</formula>
    </cfRule>
    <cfRule type="containsText" dxfId="1" priority="398" operator="between" text="欠">
      <formula>NOT(ISERROR(SEARCH("欠",S67)))</formula>
    </cfRule>
  </conditionalFormatting>
  <conditionalFormatting sqref="R69">
    <cfRule type="cellIs" dxfId="0" priority="375" operator="equal">
      <formula>"欠"</formula>
    </cfRule>
    <cfRule type="containsText" dxfId="1" priority="374" operator="between" text="欠">
      <formula>NOT(ISERROR(SEARCH("欠",R69)))</formula>
    </cfRule>
  </conditionalFormatting>
  <conditionalFormatting sqref="S69">
    <cfRule type="cellIs" dxfId="0" priority="377" operator="equal">
      <formula>"欠"</formula>
    </cfRule>
    <cfRule type="containsText" dxfId="1" priority="376" operator="between" text="欠">
      <formula>NOT(ISERROR(SEARCH("欠",S69)))</formula>
    </cfRule>
  </conditionalFormatting>
  <conditionalFormatting sqref="T69:U69">
    <cfRule type="cellIs" dxfId="0" priority="373" operator="equal">
      <formula>"欠"</formula>
    </cfRule>
    <cfRule type="containsText" dxfId="1" priority="372" operator="between" text="欠">
      <formula>NOT(ISERROR(SEARCH("欠",T69)))</formula>
    </cfRule>
  </conditionalFormatting>
  <conditionalFormatting sqref="T72:U72">
    <cfRule type="cellIs" dxfId="0" priority="365" operator="equal">
      <formula>"欠"</formula>
    </cfRule>
    <cfRule type="containsText" dxfId="1" priority="364" operator="between" text="欠">
      <formula>NOT(ISERROR(SEARCH("欠",T72)))</formula>
    </cfRule>
  </conditionalFormatting>
  <conditionalFormatting sqref="T85:U85">
    <cfRule type="cellIs" dxfId="0" priority="415" operator="equal">
      <formula>"欠"</formula>
    </cfRule>
    <cfRule type="containsText" dxfId="1" priority="414" operator="between" text="欠">
      <formula>NOT(ISERROR(SEARCH("欠",T85)))</formula>
    </cfRule>
  </conditionalFormatting>
  <conditionalFormatting sqref="R90">
    <cfRule type="cellIs" dxfId="0" priority="343" operator="equal">
      <formula>"欠"</formula>
    </cfRule>
    <cfRule type="containsText" dxfId="1" priority="342" operator="between" text="欠">
      <formula>NOT(ISERROR(SEARCH("欠",R90)))</formula>
    </cfRule>
  </conditionalFormatting>
  <conditionalFormatting sqref="R93">
    <cfRule type="cellIs" dxfId="0" priority="341" operator="equal">
      <formula>"欠"</formula>
    </cfRule>
    <cfRule type="containsText" dxfId="1" priority="340" operator="between" text="欠">
      <formula>NOT(ISERROR(SEARCH("欠",R93)))</formula>
    </cfRule>
  </conditionalFormatting>
  <conditionalFormatting sqref="R104">
    <cfRule type="cellIs" dxfId="0" priority="315" operator="equal">
      <formula>"欠"</formula>
    </cfRule>
    <cfRule type="containsText" dxfId="1" priority="314" operator="between" text="欠">
      <formula>NOT(ISERROR(SEARCH("欠",R104)))</formula>
    </cfRule>
  </conditionalFormatting>
  <conditionalFormatting sqref="S104">
    <cfRule type="cellIs" dxfId="0" priority="311" operator="equal">
      <formula>"欠"</formula>
    </cfRule>
    <cfRule type="containsText" dxfId="1" priority="310" operator="between" text="欠">
      <formula>NOT(ISERROR(SEARCH("欠",S104)))</formula>
    </cfRule>
  </conditionalFormatting>
  <conditionalFormatting sqref="T104:U104">
    <cfRule type="cellIs" dxfId="0" priority="313" operator="equal">
      <formula>"欠"</formula>
    </cfRule>
    <cfRule type="containsText" dxfId="1" priority="312" operator="between" text="欠">
      <formula>NOT(ISERROR(SEARCH("欠",T104)))</formula>
    </cfRule>
  </conditionalFormatting>
  <conditionalFormatting sqref="T112:U112">
    <cfRule type="cellIs" dxfId="0" priority="321" operator="equal">
      <formula>"欠"</formula>
    </cfRule>
    <cfRule type="containsText" dxfId="1" priority="320" operator="between" text="欠">
      <formula>NOT(ISERROR(SEARCH("欠",T112)))</formula>
    </cfRule>
  </conditionalFormatting>
  <conditionalFormatting sqref="R114">
    <cfRule type="cellIs" dxfId="0" priority="295" operator="equal">
      <formula>"欠"</formula>
    </cfRule>
    <cfRule type="containsText" dxfId="1" priority="294" operator="between" text="欠">
      <formula>NOT(ISERROR(SEARCH("欠",R114)))</formula>
    </cfRule>
  </conditionalFormatting>
  <conditionalFormatting sqref="S114">
    <cfRule type="containsText" dxfId="1" priority="296" operator="between" text="欠">
      <formula>NOT(ISERROR(SEARCH("欠",S114)))</formula>
    </cfRule>
  </conditionalFormatting>
  <conditionalFormatting sqref="T114:U114">
    <cfRule type="containsText" dxfId="1" priority="293" operator="between" text="欠">
      <formula>NOT(ISERROR(SEARCH("欠",T114)))</formula>
    </cfRule>
  </conditionalFormatting>
  <conditionalFormatting sqref="R115">
    <cfRule type="cellIs" dxfId="0" priority="307" operator="equal">
      <formula>"欠"</formula>
    </cfRule>
    <cfRule type="containsText" dxfId="1" priority="306" operator="between" text="欠">
      <formula>NOT(ISERROR(SEARCH("欠",R115)))</formula>
    </cfRule>
  </conditionalFormatting>
  <conditionalFormatting sqref="S115">
    <cfRule type="cellIs" dxfId="0" priority="305" operator="equal">
      <formula>"欠"</formula>
    </cfRule>
    <cfRule type="containsText" dxfId="1" priority="304" operator="between" text="欠">
      <formula>NOT(ISERROR(SEARCH("欠",S115)))</formula>
    </cfRule>
  </conditionalFormatting>
  <conditionalFormatting sqref="T115:U115">
    <cfRule type="cellIs" dxfId="0" priority="309" operator="equal">
      <formula>"欠"</formula>
    </cfRule>
    <cfRule type="containsText" dxfId="1" priority="308" operator="between" text="欠">
      <formula>NOT(ISERROR(SEARCH("欠",T115)))</formula>
    </cfRule>
  </conditionalFormatting>
  <conditionalFormatting sqref="R116">
    <cfRule type="cellIs" dxfId="0" priority="282" operator="equal">
      <formula>"欠"</formula>
    </cfRule>
    <cfRule type="containsText" dxfId="1" priority="281" operator="between" text="欠">
      <formula>NOT(ISERROR(SEARCH("欠",R116)))</formula>
    </cfRule>
  </conditionalFormatting>
  <conditionalFormatting sqref="R117">
    <cfRule type="cellIs" dxfId="0" priority="351" operator="equal">
      <formula>"欠"</formula>
    </cfRule>
    <cfRule type="containsText" dxfId="1" priority="350" operator="between" text="欠">
      <formula>NOT(ISERROR(SEARCH("欠",R117)))</formula>
    </cfRule>
  </conditionalFormatting>
  <conditionalFormatting sqref="S117">
    <cfRule type="containsText" dxfId="1" priority="353" operator="between" text="欠">
      <formula>NOT(ISERROR(SEARCH("欠",S117)))</formula>
    </cfRule>
    <cfRule type="cellIs" dxfId="0" priority="352" operator="equal">
      <formula>"欠"</formula>
    </cfRule>
  </conditionalFormatting>
  <conditionalFormatting sqref="T117">
    <cfRule type="containsText" dxfId="1" priority="349" operator="between" text="欠">
      <formula>NOT(ISERROR(SEARCH("欠",T117)))</formula>
    </cfRule>
    <cfRule type="cellIs" dxfId="0" priority="348" operator="equal">
      <formula>"欠"</formula>
    </cfRule>
  </conditionalFormatting>
  <conditionalFormatting sqref="R123">
    <cfRule type="cellIs" dxfId="0" priority="273" operator="equal">
      <formula>"欠"</formula>
    </cfRule>
    <cfRule type="containsText" dxfId="1" priority="272" operator="between" text="欠">
      <formula>NOT(ISERROR(SEARCH("欠",R123)))</formula>
    </cfRule>
  </conditionalFormatting>
  <conditionalFormatting sqref="T123:U123">
    <cfRule type="containsText" dxfId="2" priority="275" operator="between" text="欠">
      <formula>NOT(ISERROR(SEARCH("欠",T123)))</formula>
    </cfRule>
    <cfRule type="containsText" dxfId="1" priority="274" operator="between" text="欠">
      <formula>NOT(ISERROR(SEARCH("欠",T123)))</formula>
    </cfRule>
  </conditionalFormatting>
  <conditionalFormatting sqref="R124">
    <cfRule type="cellIs" dxfId="0" priority="325" operator="equal">
      <formula>"欠"</formula>
    </cfRule>
    <cfRule type="containsText" dxfId="1" priority="324" operator="between" text="欠">
      <formula>NOT(ISERROR(SEARCH("欠",R124)))</formula>
    </cfRule>
  </conditionalFormatting>
  <conditionalFormatting sqref="S124">
    <cfRule type="cellIs" dxfId="0" priority="323" operator="equal">
      <formula>"欠"</formula>
    </cfRule>
    <cfRule type="containsText" dxfId="1" priority="322" operator="between" text="欠">
      <formula>NOT(ISERROR(SEARCH("欠",S124)))</formula>
    </cfRule>
  </conditionalFormatting>
  <conditionalFormatting sqref="T124:U124">
    <cfRule type="cellIs" dxfId="0" priority="327" operator="equal">
      <formula>"欠"</formula>
    </cfRule>
    <cfRule type="containsText" dxfId="1" priority="326" operator="between" text="欠">
      <formula>NOT(ISERROR(SEARCH("欠",T124)))</formula>
    </cfRule>
  </conditionalFormatting>
  <conditionalFormatting sqref="R125">
    <cfRule type="cellIs" dxfId="0" priority="271" operator="equal">
      <formula>"欠"</formula>
    </cfRule>
    <cfRule type="containsText" dxfId="1" priority="270" operator="between" text="欠">
      <formula>NOT(ISERROR(SEARCH("欠",R125)))</formula>
    </cfRule>
  </conditionalFormatting>
  <conditionalFormatting sqref="T135:U135">
    <cfRule type="cellIs" dxfId="0" priority="261" operator="equal">
      <formula>"欠"</formula>
    </cfRule>
    <cfRule type="containsText" dxfId="1" priority="260" operator="between" text="欠">
      <formula>NOT(ISERROR(SEARCH("欠",T135)))</formula>
    </cfRule>
  </conditionalFormatting>
  <conditionalFormatting sqref="R137">
    <cfRule type="cellIs" dxfId="0" priority="292" operator="equal">
      <formula>"欠"</formula>
    </cfRule>
    <cfRule type="containsText" dxfId="1" priority="291" operator="between" text="欠">
      <formula>NOT(ISERROR(SEARCH("欠",R137)))</formula>
    </cfRule>
  </conditionalFormatting>
  <conditionalFormatting sqref="S137">
    <cfRule type="cellIs" dxfId="0" priority="290" operator="equal">
      <formula>"欠"</formula>
    </cfRule>
    <cfRule type="containsText" dxfId="1" priority="289" operator="between" text="欠">
      <formula>NOT(ISERROR(SEARCH("欠",S137)))</formula>
    </cfRule>
  </conditionalFormatting>
  <conditionalFormatting sqref="R138">
    <cfRule type="cellIs" dxfId="0" priority="288" operator="equal">
      <formula>"欠"</formula>
    </cfRule>
    <cfRule type="containsText" dxfId="1" priority="287" operator="between" text="欠">
      <formula>NOT(ISERROR(SEARCH("欠",R138)))</formula>
    </cfRule>
  </conditionalFormatting>
  <conditionalFormatting sqref="S138">
    <cfRule type="cellIs" dxfId="0" priority="286" operator="equal">
      <formula>"欠"</formula>
    </cfRule>
    <cfRule type="containsText" dxfId="1" priority="285" operator="between" text="欠">
      <formula>NOT(ISERROR(SEARCH("欠",S138)))</formula>
    </cfRule>
  </conditionalFormatting>
  <conditionalFormatting sqref="S143">
    <cfRule type="cellIs" dxfId="0" priority="233" operator="equal">
      <formula>"欠"</formula>
    </cfRule>
    <cfRule type="containsText" dxfId="1" priority="232" operator="between" text="欠">
      <formula>NOT(ISERROR(SEARCH("欠",S143)))</formula>
    </cfRule>
  </conditionalFormatting>
  <conditionalFormatting sqref="U143">
    <cfRule type="cellIs" dxfId="0" priority="257" operator="equal">
      <formula>"欠"</formula>
    </cfRule>
    <cfRule type="containsText" dxfId="1" priority="256" operator="between" text="欠">
      <formula>NOT(ISERROR(SEARCH("欠",U143)))</formula>
    </cfRule>
  </conditionalFormatting>
  <conditionalFormatting sqref="R144">
    <cfRule type="cellIs" dxfId="0" priority="231" operator="equal">
      <formula>"欠"</formula>
    </cfRule>
    <cfRule type="containsText" dxfId="1" priority="230" operator="between" text="欠">
      <formula>NOT(ISERROR(SEARCH("欠",R144)))</formula>
    </cfRule>
  </conditionalFormatting>
  <conditionalFormatting sqref="R153">
    <cfRule type="cellIs" dxfId="0" priority="298" operator="equal">
      <formula>"欠"</formula>
    </cfRule>
    <cfRule type="containsText" dxfId="1" priority="297" operator="between" text="欠">
      <formula>NOT(ISERROR(SEARCH("欠",R153)))</formula>
    </cfRule>
  </conditionalFormatting>
  <conditionalFormatting sqref="R158">
    <cfRule type="cellIs" dxfId="0" priority="249" operator="equal">
      <formula>"欠"</formula>
    </cfRule>
    <cfRule type="containsText" dxfId="1" priority="248" operator="between" text="欠">
      <formula>NOT(ISERROR(SEARCH("欠",R158)))</formula>
    </cfRule>
  </conditionalFormatting>
  <conditionalFormatting sqref="T158:U158">
    <cfRule type="cellIs" dxfId="0" priority="251" operator="equal">
      <formula>"欠"</formula>
    </cfRule>
    <cfRule type="containsText" dxfId="1" priority="250" operator="between" text="欠">
      <formula>NOT(ISERROR(SEARCH("欠",T158)))</formula>
    </cfRule>
  </conditionalFormatting>
  <conditionalFormatting sqref="R159">
    <cfRule type="cellIs" dxfId="0" priority="278" operator="equal">
      <formula>"欠"</formula>
    </cfRule>
    <cfRule type="containsText" dxfId="1" priority="277" operator="between" text="欠">
      <formula>NOT(ISERROR(SEARCH("欠",R159)))</formula>
    </cfRule>
  </conditionalFormatting>
  <conditionalFormatting sqref="S159">
    <cfRule type="containsText" dxfId="1" priority="279" operator="between" text="欠">
      <formula>NOT(ISERROR(SEARCH("欠",S159)))</formula>
    </cfRule>
  </conditionalFormatting>
  <conditionalFormatting sqref="T159:U159">
    <cfRule type="containsText" dxfId="1" priority="280" operator="between" text="欠">
      <formula>NOT(ISERROR(SEARCH("欠",T159)))</formula>
    </cfRule>
  </conditionalFormatting>
  <conditionalFormatting sqref="T163">
    <cfRule type="cellIs" dxfId="0" priority="229" operator="equal">
      <formula>"欠"</formula>
    </cfRule>
    <cfRule type="containsText" dxfId="1" priority="228" operator="between" text="欠">
      <formula>NOT(ISERROR(SEARCH("欠",T163)))</formula>
    </cfRule>
  </conditionalFormatting>
  <conditionalFormatting sqref="R164">
    <cfRule type="cellIs" dxfId="0" priority="211" operator="equal">
      <formula>"欠"</formula>
    </cfRule>
    <cfRule type="containsText" dxfId="1" priority="210" operator="between" text="欠">
      <formula>NOT(ISERROR(SEARCH("欠",R164)))</formula>
    </cfRule>
  </conditionalFormatting>
  <conditionalFormatting sqref="S164">
    <cfRule type="cellIs" dxfId="0" priority="209" operator="equal">
      <formula>"欠"</formula>
    </cfRule>
    <cfRule type="containsText" dxfId="1" priority="208" operator="between" text="欠">
      <formula>NOT(ISERROR(SEARCH("欠",S164)))</formula>
    </cfRule>
  </conditionalFormatting>
  <conditionalFormatting sqref="T164">
    <cfRule type="cellIs" dxfId="0" priority="207" operator="equal">
      <formula>"欠"</formula>
    </cfRule>
    <cfRule type="containsText" dxfId="1" priority="206" operator="between" text="欠">
      <formula>NOT(ISERROR(SEARCH("欠",T164)))</formula>
    </cfRule>
  </conditionalFormatting>
  <conditionalFormatting sqref="R170">
    <cfRule type="cellIs" dxfId="0" priority="225" operator="equal">
      <formula>"欠"</formula>
    </cfRule>
    <cfRule type="containsText" dxfId="1" priority="224" operator="between" text="欠">
      <formula>NOT(ISERROR(SEARCH("欠",R170)))</formula>
    </cfRule>
  </conditionalFormatting>
  <conditionalFormatting sqref="U170">
    <cfRule type="cellIs" dxfId="0" priority="227" operator="equal">
      <formula>"欠"</formula>
    </cfRule>
    <cfRule type="containsText" dxfId="1" priority="226" operator="between" text="欠">
      <formula>NOT(ISERROR(SEARCH("欠",U170)))</formula>
    </cfRule>
  </conditionalFormatting>
  <conditionalFormatting sqref="R171">
    <cfRule type="cellIs" dxfId="0" priority="215" operator="equal">
      <formula>"欠"</formula>
    </cfRule>
    <cfRule type="containsText" dxfId="1" priority="214" operator="between" text="欠">
      <formula>NOT(ISERROR(SEARCH("欠",R171)))</formula>
    </cfRule>
  </conditionalFormatting>
  <conditionalFormatting sqref="S171">
    <cfRule type="cellIs" dxfId="0" priority="213" operator="equal">
      <formula>"欠"</formula>
    </cfRule>
    <cfRule type="containsText" dxfId="1" priority="212" operator="between" text="欠">
      <formula>NOT(ISERROR(SEARCH("欠",S171)))</formula>
    </cfRule>
  </conditionalFormatting>
  <conditionalFormatting sqref="S173">
    <cfRule type="cellIs" dxfId="0" priority="239" operator="equal">
      <formula>"欠"</formula>
    </cfRule>
    <cfRule type="containsText" dxfId="1" priority="238" operator="between" text="欠">
      <formula>NOT(ISERROR(SEARCH("欠",S173)))</formula>
    </cfRule>
  </conditionalFormatting>
  <conditionalFormatting sqref="R181">
    <cfRule type="cellIs" dxfId="0" priority="158" operator="equal">
      <formula>"欠"</formula>
    </cfRule>
    <cfRule type="containsText" dxfId="1" priority="157" operator="between" text="欠">
      <formula>NOT(ISERROR(SEARCH("欠",R181)))</formula>
    </cfRule>
  </conditionalFormatting>
  <conditionalFormatting sqref="U181">
    <cfRule type="cellIs" dxfId="0" priority="160" operator="equal">
      <formula>"欠"</formula>
    </cfRule>
    <cfRule type="containsText" dxfId="1" priority="159" operator="between" text="欠">
      <formula>NOT(ISERROR(SEARCH("欠",U181)))</formula>
    </cfRule>
  </conditionalFormatting>
  <conditionalFormatting sqref="R182">
    <cfRule type="cellIs" dxfId="0" priority="201" operator="equal">
      <formula>"欠"</formula>
    </cfRule>
    <cfRule type="containsText" dxfId="1" priority="200" operator="between" text="欠">
      <formula>NOT(ISERROR(SEARCH("欠",R182)))</formula>
    </cfRule>
  </conditionalFormatting>
  <conditionalFormatting sqref="S182">
    <cfRule type="cellIs" dxfId="0" priority="199" operator="equal">
      <formula>"欠"</formula>
    </cfRule>
    <cfRule type="containsText" dxfId="1" priority="198" operator="between" text="欠">
      <formula>NOT(ISERROR(SEARCH("欠",S182)))</formula>
    </cfRule>
  </conditionalFormatting>
  <conditionalFormatting sqref="T182">
    <cfRule type="cellIs" dxfId="0" priority="203" operator="equal">
      <formula>"欠"</formula>
    </cfRule>
    <cfRule type="containsText" dxfId="1" priority="202" operator="between" text="欠">
      <formula>NOT(ISERROR(SEARCH("欠",T182)))</formula>
    </cfRule>
  </conditionalFormatting>
  <conditionalFormatting sqref="U183">
    <cfRule type="cellIs" dxfId="0" priority="186" operator="equal">
      <formula>"欠"</formula>
    </cfRule>
    <cfRule type="containsText" dxfId="1" priority="185" operator="between" text="欠">
      <formula>NOT(ISERROR(SEARCH("欠",U183)))</formula>
    </cfRule>
  </conditionalFormatting>
  <conditionalFormatting sqref="U184">
    <cfRule type="cellIs" dxfId="0" priority="178" operator="equal">
      <formula>"欠"</formula>
    </cfRule>
    <cfRule type="containsText" dxfId="1" priority="177" operator="between" text="欠">
      <formula>NOT(ISERROR(SEARCH("欠",U184)))</formula>
    </cfRule>
  </conditionalFormatting>
  <conditionalFormatting sqref="U185">
    <cfRule type="cellIs" dxfId="0" priority="176" operator="equal">
      <formula>"欠"</formula>
    </cfRule>
    <cfRule type="containsText" dxfId="1" priority="175" operator="between" text="欠">
      <formula>NOT(ISERROR(SEARCH("欠",U185)))</formula>
    </cfRule>
  </conditionalFormatting>
  <conditionalFormatting sqref="U186">
    <cfRule type="cellIs" dxfId="0" priority="174" operator="equal">
      <formula>"欠"</formula>
    </cfRule>
    <cfRule type="containsText" dxfId="1" priority="173" operator="between" text="欠">
      <formula>NOT(ISERROR(SEARCH("欠",U186)))</formula>
    </cfRule>
  </conditionalFormatting>
  <conditionalFormatting sqref="U187">
    <cfRule type="cellIs" dxfId="0" priority="172" operator="equal">
      <formula>"欠"</formula>
    </cfRule>
    <cfRule type="containsText" dxfId="1" priority="171" operator="between" text="欠">
      <formula>NOT(ISERROR(SEARCH("欠",U187)))</formula>
    </cfRule>
  </conditionalFormatting>
  <conditionalFormatting sqref="U188">
    <cfRule type="cellIs" dxfId="0" priority="170" operator="equal">
      <formula>"欠"</formula>
    </cfRule>
    <cfRule type="containsText" dxfId="1" priority="169" operator="between" text="欠">
      <formula>NOT(ISERROR(SEARCH("欠",U188)))</formula>
    </cfRule>
  </conditionalFormatting>
  <conditionalFormatting sqref="U189">
    <cfRule type="cellIs" dxfId="0" priority="168" operator="equal">
      <formula>"欠"</formula>
    </cfRule>
    <cfRule type="containsText" dxfId="1" priority="167" operator="between" text="欠">
      <formula>NOT(ISERROR(SEARCH("欠",U189)))</formula>
    </cfRule>
  </conditionalFormatting>
  <conditionalFormatting sqref="U190">
    <cfRule type="cellIs" dxfId="0" priority="166" operator="equal">
      <formula>"欠"</formula>
    </cfRule>
    <cfRule type="containsText" dxfId="1" priority="165" operator="between" text="欠">
      <formula>NOT(ISERROR(SEARCH("欠",U190)))</formula>
    </cfRule>
  </conditionalFormatting>
  <conditionalFormatting sqref="U191">
    <cfRule type="cellIs" dxfId="0" priority="164" operator="equal">
      <formula>"欠"</formula>
    </cfRule>
    <cfRule type="containsText" dxfId="1" priority="163" operator="between" text="欠">
      <formula>NOT(ISERROR(SEARCH("欠",U191)))</formula>
    </cfRule>
  </conditionalFormatting>
  <conditionalFormatting sqref="U192">
    <cfRule type="cellIs" dxfId="0" priority="162" operator="equal">
      <formula>"欠"</formula>
    </cfRule>
    <cfRule type="containsText" dxfId="1" priority="161" operator="between" text="欠">
      <formula>NOT(ISERROR(SEARCH("欠",U192)))</formula>
    </cfRule>
  </conditionalFormatting>
  <conditionalFormatting sqref="U193">
    <cfRule type="cellIs" dxfId="0" priority="223" operator="equal">
      <formula>"欠"</formula>
    </cfRule>
    <cfRule type="containsText" dxfId="1" priority="222" operator="between" text="欠">
      <formula>NOT(ISERROR(SEARCH("欠",U193)))</formula>
    </cfRule>
  </conditionalFormatting>
  <conditionalFormatting sqref="S200">
    <cfRule type="containsText" dxfId="1" priority="188" operator="between" text="欠">
      <formula>NOT(ISERROR(SEARCH("欠",S200)))</formula>
    </cfRule>
  </conditionalFormatting>
  <conditionalFormatting sqref="R201">
    <cfRule type="cellIs" dxfId="0" priority="152" operator="equal">
      <formula>"欠"</formula>
    </cfRule>
    <cfRule type="containsText" dxfId="1" priority="151" operator="between" text="欠">
      <formula>NOT(ISERROR(SEARCH("欠",R201)))</formula>
    </cfRule>
  </conditionalFormatting>
  <conditionalFormatting sqref="R203">
    <cfRule type="cellIs" dxfId="0" priority="197" operator="equal">
      <formula>"欠"</formula>
    </cfRule>
    <cfRule type="containsText" dxfId="1" priority="196" operator="between" text="欠">
      <formula>NOT(ISERROR(SEARCH("欠",R203)))</formula>
    </cfRule>
  </conditionalFormatting>
  <conditionalFormatting sqref="T203:U203">
    <cfRule type="cellIs" dxfId="0" priority="195" operator="equal">
      <formula>"欠"</formula>
    </cfRule>
    <cfRule type="containsText" dxfId="1" priority="194" operator="between" text="欠">
      <formula>NOT(ISERROR(SEARCH("欠",T203)))</formula>
    </cfRule>
  </conditionalFormatting>
  <conditionalFormatting sqref="S207">
    <cfRule type="cellIs" dxfId="0" priority="146" operator="equal">
      <formula>"欠"</formula>
    </cfRule>
    <cfRule type="containsText" dxfId="1" priority="145" operator="between" text="欠">
      <formula>NOT(ISERROR(SEARCH("欠",S207)))</formula>
    </cfRule>
  </conditionalFormatting>
  <conditionalFormatting sqref="T207">
    <cfRule type="cellIs" dxfId="0" priority="148" operator="equal">
      <formula>"欠"</formula>
    </cfRule>
    <cfRule type="containsText" dxfId="1" priority="147" operator="between" text="欠">
      <formula>NOT(ISERROR(SEARCH("欠",T207)))</formula>
    </cfRule>
  </conditionalFormatting>
  <conditionalFormatting sqref="S208">
    <cfRule type="cellIs" dxfId="0" priority="142" operator="equal">
      <formula>"欠"</formula>
    </cfRule>
    <cfRule type="containsText" dxfId="1" priority="141" operator="between" text="欠">
      <formula>NOT(ISERROR(SEARCH("欠",S208)))</formula>
    </cfRule>
  </conditionalFormatting>
  <conditionalFormatting sqref="R212">
    <cfRule type="cellIs" dxfId="0" priority="140" operator="equal">
      <formula>"欠"</formula>
    </cfRule>
    <cfRule type="containsText" dxfId="1" priority="139" operator="between" text="欠">
      <formula>NOT(ISERROR(SEARCH("欠",R212)))</formula>
    </cfRule>
  </conditionalFormatting>
  <conditionalFormatting sqref="S212">
    <cfRule type="cellIs" dxfId="0" priority="137" operator="equal">
      <formula>"欠"</formula>
    </cfRule>
    <cfRule type="containsText" dxfId="1" priority="136" operator="between" text="欠">
      <formula>NOT(ISERROR(SEARCH("欠",S212)))</formula>
    </cfRule>
  </conditionalFormatting>
  <conditionalFormatting sqref="T212">
    <cfRule type="containsText" dxfId="1" priority="138" operator="between" text="欠">
      <formula>NOT(ISERROR(SEARCH("欠",T212)))</formula>
    </cfRule>
  </conditionalFormatting>
  <conditionalFormatting sqref="S222">
    <cfRule type="cellIs" dxfId="0" priority="133" operator="equal">
      <formula>"欠"</formula>
    </cfRule>
    <cfRule type="containsText" dxfId="1" priority="132" operator="between" text="欠">
      <formula>NOT(ISERROR(SEARCH("欠",S222)))</formula>
    </cfRule>
  </conditionalFormatting>
  <conditionalFormatting sqref="T222">
    <cfRule type="containsText" dxfId="1" priority="134" operator="between" text="欠">
      <formula>NOT(ISERROR(SEARCH("欠",T222)))</formula>
    </cfRule>
  </conditionalFormatting>
  <conditionalFormatting sqref="R238">
    <cfRule type="cellIs" dxfId="0" priority="131" operator="equal">
      <formula>"欠"</formula>
    </cfRule>
    <cfRule type="containsText" dxfId="1" priority="130" operator="between" text="欠">
      <formula>NOT(ISERROR(SEARCH("欠",R238)))</formula>
    </cfRule>
  </conditionalFormatting>
  <conditionalFormatting sqref="S238">
    <cfRule type="containsText" dxfId="1" priority="129" operator="between" text="欠">
      <formula>NOT(ISERROR(SEARCH("欠",S238)))</formula>
    </cfRule>
    <cfRule type="cellIs" dxfId="0" priority="128" operator="equal">
      <formula>"欠"</formula>
    </cfRule>
  </conditionalFormatting>
  <conditionalFormatting sqref="T238">
    <cfRule type="containsText" dxfId="1" priority="127" operator="between" text="欠">
      <formula>NOT(ISERROR(SEARCH("欠",T238)))</formula>
    </cfRule>
    <cfRule type="cellIs" dxfId="0" priority="126" operator="equal">
      <formula>"欠"</formula>
    </cfRule>
  </conditionalFormatting>
  <conditionalFormatting sqref="R253">
    <cfRule type="cellIs" dxfId="0" priority="119" operator="equal">
      <formula>"欠"</formula>
    </cfRule>
  </conditionalFormatting>
  <conditionalFormatting sqref="R254">
    <cfRule type="cellIs" dxfId="0" priority="116" operator="equal">
      <formula>"欠"</formula>
    </cfRule>
  </conditionalFormatting>
  <conditionalFormatting sqref="T254">
    <cfRule type="cellIs" dxfId="0" priority="118" operator="equal">
      <formula>"欠"</formula>
    </cfRule>
    <cfRule type="containsText" dxfId="1" priority="117" operator="between" text="欠">
      <formula>NOT(ISERROR(SEARCH("欠",T254)))</formula>
    </cfRule>
  </conditionalFormatting>
  <conditionalFormatting sqref="T255">
    <cfRule type="cellIs" dxfId="0" priority="114" operator="equal">
      <formula>"欠"</formula>
    </cfRule>
    <cfRule type="containsText" dxfId="1" priority="113" operator="between" text="欠">
      <formula>NOT(ISERROR(SEARCH("欠",T255)))</formula>
    </cfRule>
  </conditionalFormatting>
  <conditionalFormatting sqref="R260">
    <cfRule type="cellIs" dxfId="0" priority="95" operator="equal">
      <formula>"欠"</formula>
    </cfRule>
  </conditionalFormatting>
  <conditionalFormatting sqref="T272">
    <cfRule type="cellIs" dxfId="0" priority="89" operator="equal">
      <formula>"欠"</formula>
    </cfRule>
    <cfRule type="containsText" dxfId="1" priority="88" operator="between" text="欠">
      <formula>NOT(ISERROR(SEARCH("欠",T272)))</formula>
    </cfRule>
  </conditionalFormatting>
  <conditionalFormatting sqref="R274">
    <cfRule type="cellIs" dxfId="0" priority="87" operator="equal">
      <formula>"欠"</formula>
    </cfRule>
  </conditionalFormatting>
  <conditionalFormatting sqref="T274">
    <cfRule type="cellIs" dxfId="0" priority="86" operator="equal">
      <formula>"欠"</formula>
    </cfRule>
    <cfRule type="containsText" dxfId="1" priority="85" operator="between" text="欠">
      <formula>NOT(ISERROR(SEARCH("欠",T274)))</formula>
    </cfRule>
  </conditionalFormatting>
  <conditionalFormatting sqref="R280">
    <cfRule type="cellIs" dxfId="0" priority="94" operator="equal">
      <formula>"欠"</formula>
    </cfRule>
  </conditionalFormatting>
  <conditionalFormatting sqref="T285">
    <cfRule type="cellIs" dxfId="0" priority="74" operator="equal">
      <formula>"欠"</formula>
    </cfRule>
    <cfRule type="containsText" dxfId="1" priority="73" operator="between" text="欠">
      <formula>NOT(ISERROR(SEARCH("欠",T285)))</formula>
    </cfRule>
  </conditionalFormatting>
  <conditionalFormatting sqref="R288">
    <cfRule type="cellIs" dxfId="0" priority="38" operator="equal">
      <formula>"欠"</formula>
    </cfRule>
  </conditionalFormatting>
  <conditionalFormatting sqref="T288">
    <cfRule type="cellIs" dxfId="0" priority="44" operator="equal">
      <formula>"欠"</formula>
    </cfRule>
    <cfRule type="containsText" dxfId="1" priority="43" operator="between" text="欠">
      <formula>NOT(ISERROR(SEARCH("欠",T288)))</formula>
    </cfRule>
  </conditionalFormatting>
  <conditionalFormatting sqref="R289">
    <cfRule type="cellIs" dxfId="0" priority="70" operator="equal">
      <formula>"欠"</formula>
    </cfRule>
    <cfRule type="containsText" dxfId="1" priority="69" operator="between" text="欠">
      <formula>NOT(ISERROR(SEARCH("欠",R289)))</formula>
    </cfRule>
  </conditionalFormatting>
  <conditionalFormatting sqref="T289">
    <cfRule type="containsText" dxfId="1" priority="71" operator="between" text="欠">
      <formula>NOT(ISERROR(SEARCH("欠",T289)))</formula>
    </cfRule>
  </conditionalFormatting>
  <conditionalFormatting sqref="R290">
    <cfRule type="cellIs" dxfId="0" priority="59" operator="equal">
      <formula>"欠"</formula>
    </cfRule>
  </conditionalFormatting>
  <conditionalFormatting sqref="T290">
    <cfRule type="cellIs" dxfId="0" priority="58" operator="equal">
      <formula>"欠"</formula>
    </cfRule>
    <cfRule type="containsText" dxfId="1" priority="57" operator="between" text="欠">
      <formula>NOT(ISERROR(SEARCH("欠",T290)))</formula>
    </cfRule>
  </conditionalFormatting>
  <conditionalFormatting sqref="R291">
    <cfRule type="cellIs" dxfId="0" priority="110" operator="equal">
      <formula>"欠"</formula>
    </cfRule>
  </conditionalFormatting>
  <conditionalFormatting sqref="R292">
    <cfRule type="cellIs" dxfId="0" priority="56" operator="equal">
      <formula>"欠"</formula>
    </cfRule>
  </conditionalFormatting>
  <conditionalFormatting sqref="S292">
    <cfRule type="cellIs" dxfId="0" priority="55" operator="equal">
      <formula>"欠"</formula>
    </cfRule>
    <cfRule type="containsText" dxfId="1" priority="54" operator="between" text="欠">
      <formula>NOT(ISERROR(SEARCH("欠",S292)))</formula>
    </cfRule>
  </conditionalFormatting>
  <conditionalFormatting sqref="T292">
    <cfRule type="cellIs" dxfId="0" priority="53" operator="equal">
      <formula>"欠"</formula>
    </cfRule>
    <cfRule type="containsText" dxfId="1" priority="52" operator="between" text="欠">
      <formula>NOT(ISERROR(SEARCH("欠",T292)))</formula>
    </cfRule>
  </conditionalFormatting>
  <conditionalFormatting sqref="R297">
    <cfRule type="cellIs" dxfId="0" priority="49" operator="equal">
      <formula>"欠"</formula>
    </cfRule>
  </conditionalFormatting>
  <conditionalFormatting sqref="T299">
    <cfRule type="cellIs" dxfId="0" priority="51" operator="equal">
      <formula>"欠"</formula>
    </cfRule>
    <cfRule type="containsText" dxfId="1" priority="50" operator="between" text="欠">
      <formula>NOT(ISERROR(SEARCH("欠",T299)))</formula>
    </cfRule>
  </conditionalFormatting>
  <conditionalFormatting sqref="T302">
    <cfRule type="cellIs" dxfId="0" priority="21" operator="equal">
      <formula>"欠"</formula>
    </cfRule>
    <cfRule type="containsText" dxfId="1" priority="20" operator="between" text="欠">
      <formula>NOT(ISERROR(SEARCH("欠",T302)))</formula>
    </cfRule>
  </conditionalFormatting>
  <conditionalFormatting sqref="S303">
    <cfRule type="containsText" dxfId="1" priority="23" operator="between" text="欠">
      <formula>NOT(ISERROR(SEARCH("欠",S303)))</formula>
    </cfRule>
    <cfRule type="cellIs" dxfId="0" priority="22" operator="equal">
      <formula>"欠"</formula>
    </cfRule>
  </conditionalFormatting>
  <conditionalFormatting sqref="T303">
    <cfRule type="cellIs" dxfId="0" priority="25" operator="equal">
      <formula>"欠"</formula>
    </cfRule>
    <cfRule type="containsText" dxfId="1" priority="24" operator="between" text="欠">
      <formula>NOT(ISERROR(SEARCH("欠",T303)))</formula>
    </cfRule>
  </conditionalFormatting>
  <conditionalFormatting sqref="S307">
    <cfRule type="containsText" dxfId="1" priority="9" operator="between" text="欠">
      <formula>NOT(ISERROR(SEARCH("欠",S307)))</formula>
    </cfRule>
    <cfRule type="cellIs" dxfId="0" priority="7" operator="equal">
      <formula>"欠"</formula>
    </cfRule>
  </conditionalFormatting>
  <conditionalFormatting sqref="T307">
    <cfRule type="cellIs" dxfId="0" priority="13" operator="equal">
      <formula>"欠"</formula>
    </cfRule>
    <cfRule type="containsText" dxfId="1" priority="11" operator="between" text="欠">
      <formula>NOT(ISERROR(SEARCH("欠",T307)))</formula>
    </cfRule>
  </conditionalFormatting>
  <conditionalFormatting sqref="R309">
    <cfRule type="cellIs" dxfId="0" priority="4" operator="equal">
      <formula>"欠"</formula>
    </cfRule>
    <cfRule type="containsText" dxfId="1" priority="3" operator="between" text="欠">
      <formula>NOT(ISERROR(SEARCH("欠",R309)))</formula>
    </cfRule>
  </conditionalFormatting>
  <conditionalFormatting sqref="R310">
    <cfRule type="cellIs" dxfId="0" priority="18" operator="equal">
      <formula>"欠"</formula>
    </cfRule>
    <cfRule type="containsText" dxfId="1" priority="16" operator="between" text="欠">
      <formula>NOT(ISERROR(SEARCH("欠",R310)))</formula>
    </cfRule>
  </conditionalFormatting>
  <conditionalFormatting sqref="S310">
    <cfRule type="containsText" dxfId="1" priority="8" operator="between" text="欠">
      <formula>NOT(ISERROR(SEARCH("欠",S310)))</formula>
    </cfRule>
    <cfRule type="cellIs" dxfId="0" priority="6" operator="equal">
      <formula>"欠"</formula>
    </cfRule>
  </conditionalFormatting>
  <conditionalFormatting sqref="T310">
    <cfRule type="cellIs" dxfId="0" priority="12" operator="equal">
      <formula>"欠"</formula>
    </cfRule>
    <cfRule type="containsText" dxfId="1" priority="10" operator="between" text="欠">
      <formula>NOT(ISERROR(SEARCH("欠",T310)))</formula>
    </cfRule>
  </conditionalFormatting>
  <conditionalFormatting sqref="R24:R27">
    <cfRule type="cellIs" dxfId="0" priority="444" operator="equal">
      <formula>"欠"</formula>
    </cfRule>
  </conditionalFormatting>
  <conditionalFormatting sqref="R81:R83">
    <cfRule type="cellIs" dxfId="0" priority="361" operator="equal">
      <formula>"欠"</formula>
    </cfRule>
    <cfRule type="containsText" dxfId="1" priority="360" operator="between" text="欠">
      <formula>NOT(ISERROR(SEARCH("欠",R81)))</formula>
    </cfRule>
  </conditionalFormatting>
  <conditionalFormatting sqref="R112:R113">
    <cfRule type="cellIs" dxfId="0" priority="331" operator="equal">
      <formula>"欠"</formula>
    </cfRule>
    <cfRule type="containsText" dxfId="1" priority="330" operator="between" text="欠">
      <formula>NOT(ISERROR(SEARCH("欠",R112)))</formula>
    </cfRule>
  </conditionalFormatting>
  <conditionalFormatting sqref="R127:R128">
    <cfRule type="cellIs" dxfId="0" priority="303" operator="equal">
      <formula>"欠"</formula>
    </cfRule>
    <cfRule type="containsText" dxfId="1" priority="302" operator="between" text="欠">
      <formula>NOT(ISERROR(SEARCH("欠",R127)))</formula>
    </cfRule>
  </conditionalFormatting>
  <conditionalFormatting sqref="R183:R192">
    <cfRule type="cellIs" dxfId="0" priority="184" operator="equal">
      <formula>"欠"</formula>
    </cfRule>
    <cfRule type="containsText" dxfId="1" priority="183" operator="between" text="欠">
      <formula>NOT(ISERROR(SEARCH("欠",R183)))</formula>
    </cfRule>
  </conditionalFormatting>
  <conditionalFormatting sqref="R276:R279">
    <cfRule type="cellIs" dxfId="0" priority="107" operator="equal">
      <formula>"欠"</formula>
    </cfRule>
  </conditionalFormatting>
  <conditionalFormatting sqref="R302:R303">
    <cfRule type="cellIs" dxfId="0" priority="34" operator="equal">
      <formula>"欠"</formula>
    </cfRule>
    <cfRule type="containsText" dxfId="1" priority="33" operator="between" text="欠">
      <formula>NOT(ISERROR(SEARCH("欠",R302)))</formula>
    </cfRule>
  </conditionalFormatting>
  <conditionalFormatting sqref="R304:R305">
    <cfRule type="cellIs" dxfId="0" priority="29" operator="equal">
      <formula>"欠"</formula>
    </cfRule>
    <cfRule type="containsText" dxfId="1" priority="28" operator="between" text="欠">
      <formula>NOT(ISERROR(SEARCH("欠",R304)))</formula>
    </cfRule>
  </conditionalFormatting>
  <conditionalFormatting sqref="R307:R308">
    <cfRule type="cellIs" dxfId="0" priority="19" operator="equal">
      <formula>"欠"</formula>
    </cfRule>
    <cfRule type="containsText" dxfId="1" priority="17" operator="between" text="欠">
      <formula>NOT(ISERROR(SEARCH("欠",R307)))</formula>
    </cfRule>
  </conditionalFormatting>
  <conditionalFormatting sqref="S24:S27">
    <cfRule type="containsText" dxfId="1" priority="446" operator="between" text="欠">
      <formula>NOT(ISERROR(SEARCH("欠",S24)))</formula>
    </cfRule>
    <cfRule type="cellIs" dxfId="0" priority="445" operator="equal">
      <formula>"欠"</formula>
    </cfRule>
  </conditionalFormatting>
  <conditionalFormatting sqref="S81:S83">
    <cfRule type="cellIs" dxfId="0" priority="359" operator="equal">
      <formula>"欠"</formula>
    </cfRule>
    <cfRule type="containsText" dxfId="1" priority="358" operator="between" text="欠">
      <formula>NOT(ISERROR(SEARCH("欠",S81)))</formula>
    </cfRule>
  </conditionalFormatting>
  <conditionalFormatting sqref="S175:S177">
    <cfRule type="cellIs" dxfId="0" priority="243" operator="equal">
      <formula>"欠"</formula>
    </cfRule>
    <cfRule type="containsText" dxfId="1" priority="242" operator="between" text="欠">
      <formula>NOT(ISERROR(SEARCH("欠",S175)))</formula>
    </cfRule>
  </conditionalFormatting>
  <conditionalFormatting sqref="S276:S279">
    <cfRule type="cellIs" dxfId="0" priority="42" operator="equal">
      <formula>"欠"</formula>
    </cfRule>
    <cfRule type="containsText" dxfId="1" priority="41" operator="between" text="欠">
      <formula>NOT(ISERROR(SEARCH("欠",S276)))</formula>
    </cfRule>
  </conditionalFormatting>
  <conditionalFormatting sqref="S285:S286">
    <cfRule type="cellIs" dxfId="0" priority="76" operator="equal">
      <formula>"欠"</formula>
    </cfRule>
    <cfRule type="containsText" dxfId="1" priority="75" operator="between" text="欠">
      <formula>NOT(ISERROR(SEARCH("欠",S285)))</formula>
    </cfRule>
  </conditionalFormatting>
  <conditionalFormatting sqref="S287:S288">
    <cfRule type="cellIs" dxfId="0" priority="81" operator="equal">
      <formula>"欠"</formula>
    </cfRule>
    <cfRule type="containsText" dxfId="1" priority="80" operator="between" text="欠">
      <formula>NOT(ISERROR(SEARCH("欠",S287)))</formula>
    </cfRule>
  </conditionalFormatting>
  <conditionalFormatting sqref="S289:S290">
    <cfRule type="containsText" dxfId="1" priority="72" operator="between" text="欠">
      <formula>NOT(ISERROR(SEARCH("欠",S289)))</formula>
    </cfRule>
  </conditionalFormatting>
  <conditionalFormatting sqref="S304:S305">
    <cfRule type="containsText" dxfId="1" priority="27" operator="between" text="欠">
      <formula>NOT(ISERROR(SEARCH("欠",S304)))</formula>
    </cfRule>
    <cfRule type="cellIs" dxfId="0" priority="26" operator="equal">
      <formula>"欠"</formula>
    </cfRule>
  </conditionalFormatting>
  <conditionalFormatting sqref="S308:S309">
    <cfRule type="containsText" dxfId="1" priority="5" operator="between" text="欠">
      <formula>NOT(ISERROR(SEARCH("欠",S308)))</formula>
    </cfRule>
  </conditionalFormatting>
  <conditionalFormatting sqref="T183:T192">
    <cfRule type="cellIs" dxfId="0" priority="182" operator="equal">
      <formula>"欠"</formula>
    </cfRule>
    <cfRule type="containsText" dxfId="1" priority="181" operator="between" text="欠">
      <formula>NOT(ISERROR(SEARCH("欠",T183)))</formula>
    </cfRule>
  </conditionalFormatting>
  <conditionalFormatting sqref="T223:T231">
    <cfRule type="containsText" dxfId="1" priority="193" operator="between" text="欠">
      <formula>NOT(ISERROR(SEARCH("欠",T223)))</formula>
    </cfRule>
  </conditionalFormatting>
  <conditionalFormatting sqref="T276:T279">
    <cfRule type="cellIs" dxfId="0" priority="40" operator="equal">
      <formula>"欠"</formula>
    </cfRule>
    <cfRule type="containsText" dxfId="1" priority="39" operator="between" text="欠">
      <formula>NOT(ISERROR(SEARCH("欠",T276)))</formula>
    </cfRule>
  </conditionalFormatting>
  <conditionalFormatting sqref="T294:T296">
    <cfRule type="containsText" dxfId="1" priority="62" operator="between" text="欠">
      <formula>NOT(ISERROR(SEARCH("欠",T294)))</formula>
    </cfRule>
    <cfRule type="cellIs" dxfId="0" priority="61" operator="equal">
      <formula>"欠"</formula>
    </cfRule>
    <cfRule type="containsText" dxfId="1" priority="60" operator="between" text="欠">
      <formula>NOT(ISERROR(SEARCH("欠",T294)))</formula>
    </cfRule>
  </conditionalFormatting>
  <conditionalFormatting sqref="T304:T305">
    <cfRule type="cellIs" dxfId="0" priority="31" operator="equal">
      <formula>"欠"</formula>
    </cfRule>
    <cfRule type="containsText" dxfId="1" priority="30" operator="between" text="欠">
      <formula>NOT(ISERROR(SEARCH("欠",T304)))</formula>
    </cfRule>
  </conditionalFormatting>
  <conditionalFormatting sqref="T308:T309">
    <cfRule type="cellIs" dxfId="0" priority="2" operator="equal">
      <formula>"欠"</formula>
    </cfRule>
    <cfRule type="containsText" dxfId="1" priority="1" operator="between" text="欠">
      <formula>NOT(ISERROR(SEARCH("欠",T308)))</formula>
    </cfRule>
  </conditionalFormatting>
  <conditionalFormatting sqref="U175:U177">
    <cfRule type="cellIs" dxfId="0" priority="150" operator="equal">
      <formula>"欠"</formula>
    </cfRule>
    <cfRule type="containsText" dxfId="1" priority="149" operator="between" text="欠">
      <formula>NOT(ISERROR(SEARCH("欠",U175)))</formula>
    </cfRule>
  </conditionalFormatting>
  <conditionalFormatting sqref="R1:U2">
    <cfRule type="cellIs" dxfId="0" priority="488" operator="equal">
      <formula>"欠"</formula>
    </cfRule>
  </conditionalFormatting>
  <conditionalFormatting sqref="R3:U9 S12 S10 S23:U23 S15 R13:U14 S68 S37 R32:U32 S39:S44 S28:U28 S30:U30 S61:S66 S74:S80 S46 S48:S54 S70 S161:S162 S97:S99 R71:U71 S118:S121 S84:S86 S140:S142 S103 S133:S136 S168:S170 T61:U61 S91:S92 S152 S154 S146:S147 S166 S202">
    <cfRule type="cellIs" dxfId="0" priority="487" operator="equal">
      <formula>"欠"</formula>
    </cfRule>
  </conditionalFormatting>
  <conditionalFormatting sqref="R3:U9 S23:U23 S10 S12 S15 R13:U14 S28:U28 S30:U30 S168:S170 S70 S118:S121 S37 S61:S66 R32:U32 S39:S44 S97:S99 S84:S86 S166 S140:S142 S103 S161:S162 R71:U71 S48:S54 S74:S80 R47 S46 T61:U61 S68 S91:S92 S133:S136 S152 S146:S147 S154 S202 R313:U313">
    <cfRule type="containsText" dxfId="1" priority="485" operator="between" text="欠">
      <formula>NOT(ISERROR(SEARCH("欠",R3)))</formula>
    </cfRule>
  </conditionalFormatting>
  <conditionalFormatting sqref="R10 T10:U10 T16:U16">
    <cfRule type="cellIs" dxfId="0" priority="480" operator="equal">
      <formula>"欠"</formula>
    </cfRule>
    <cfRule type="containsText" dxfId="1" priority="479" operator="between" text="欠">
      <formula>NOT(ISERROR(SEARCH("欠",R10)))</formula>
    </cfRule>
  </conditionalFormatting>
  <conditionalFormatting sqref="R11 R34">
    <cfRule type="cellIs" dxfId="0" priority="476" operator="equal">
      <formula>"欠"</formula>
    </cfRule>
    <cfRule type="containsText" dxfId="1" priority="475" operator="between" text="欠">
      <formula>NOT(ISERROR(SEARCH("欠",R11)))</formula>
    </cfRule>
  </conditionalFormatting>
  <conditionalFormatting sqref="S11 S34">
    <cfRule type="cellIs" dxfId="0" priority="474" operator="equal">
      <formula>"欠"</formula>
    </cfRule>
    <cfRule type="containsText" dxfId="1" priority="473" operator="between" text="欠">
      <formula>NOT(ISERROR(SEARCH("欠",S11)))</formula>
    </cfRule>
  </conditionalFormatting>
  <conditionalFormatting sqref="T11:U11 T34:U34">
    <cfRule type="cellIs" dxfId="0" priority="472" operator="equal">
      <formula>"欠"</formula>
    </cfRule>
    <cfRule type="containsText" dxfId="1" priority="471" operator="between" text="欠">
      <formula>NOT(ISERROR(SEARCH("欠",T11)))</formula>
    </cfRule>
  </conditionalFormatting>
  <conditionalFormatting sqref="R15:R18 T15">
    <cfRule type="cellIs" dxfId="0" priority="470" operator="equal">
      <formula>"欠"</formula>
    </cfRule>
    <cfRule type="containsText" dxfId="1" priority="469" operator="between" text="欠">
      <formula>NOT(ISERROR(SEARCH("欠",R15)))</formula>
    </cfRule>
  </conditionalFormatting>
  <conditionalFormatting sqref="S16 S33 S36">
    <cfRule type="cellIs" dxfId="0" priority="466" operator="equal">
      <formula>"欠"</formula>
    </cfRule>
    <cfRule type="containsText" dxfId="1" priority="465" operator="between" text="欠">
      <formula>NOT(ISERROR(SEARCH("欠",S16)))</formula>
    </cfRule>
  </conditionalFormatting>
  <conditionalFormatting sqref="R23 R19:U21 R28 R57 R30 R56:U56 T58:U58 S72 R94:U94">
    <cfRule type="cellIs" dxfId="0" priority="468" operator="equal">
      <formula>"欠"</formula>
    </cfRule>
    <cfRule type="containsText" dxfId="1" priority="467" operator="between" text="欠">
      <formula>NOT(ISERROR(SEARCH("欠",R19)))</formula>
    </cfRule>
  </conditionalFormatting>
  <conditionalFormatting sqref="R22 R29 R31">
    <cfRule type="cellIs" dxfId="0" priority="441" operator="equal">
      <formula>"欠"</formula>
    </cfRule>
    <cfRule type="containsText" dxfId="1" priority="440" operator="between" text="欠">
      <formula>NOT(ISERROR(SEARCH("欠",R22)))</formula>
    </cfRule>
  </conditionalFormatting>
  <conditionalFormatting sqref="S22 S29 S31">
    <cfRule type="cellIs" dxfId="0" priority="437" operator="equal">
      <formula>"欠"</formula>
    </cfRule>
    <cfRule type="containsText" dxfId="1" priority="436" operator="between" text="欠">
      <formula>NOT(ISERROR(SEARCH("欠",S22)))</formula>
    </cfRule>
  </conditionalFormatting>
  <conditionalFormatting sqref="T22:U22 T29:U29 T31:U31">
    <cfRule type="cellIs" dxfId="0" priority="439" operator="equal">
      <formula>"欠"</formula>
    </cfRule>
    <cfRule type="containsText" dxfId="1" priority="438" operator="between" text="欠">
      <formula>NOT(ISERROR(SEARCH("欠",T22)))</formula>
    </cfRule>
  </conditionalFormatting>
  <conditionalFormatting sqref="T25:U27">
    <cfRule type="containsText" dxfId="1" priority="407" operator="between" text="欠">
      <formula>NOT(ISERROR(SEARCH("欠",T25)))</formula>
    </cfRule>
    <cfRule type="cellIs" dxfId="0" priority="406" operator="equal">
      <formula>"欠"</formula>
    </cfRule>
  </conditionalFormatting>
  <conditionalFormatting sqref="R33 R36">
    <cfRule type="cellIs" dxfId="0" priority="448" operator="equal">
      <formula>"欠"</formula>
    </cfRule>
    <cfRule type="containsText" dxfId="1" priority="447" operator="between" text="欠">
      <formula>NOT(ISERROR(SEARCH("欠",R33)))</formula>
    </cfRule>
  </conditionalFormatting>
  <conditionalFormatting sqref="T33:U33 T36:U36">
    <cfRule type="cellIs" dxfId="0" priority="450" operator="equal">
      <formula>"欠"</formula>
    </cfRule>
    <cfRule type="containsText" dxfId="1" priority="449" operator="between" text="欠">
      <formula>NOT(ISERROR(SEARCH("欠",T33)))</formula>
    </cfRule>
  </conditionalFormatting>
  <conditionalFormatting sqref="R37 R85:R86 R118:R121">
    <cfRule type="cellIs" dxfId="0" priority="435" operator="equal">
      <formula>"欠"</formula>
    </cfRule>
    <cfRule type="containsText" dxfId="1" priority="434" operator="between" text="欠">
      <formula>NOT(ISERROR(SEARCH("欠",R37)))</formula>
    </cfRule>
  </conditionalFormatting>
  <conditionalFormatting sqref="T37:U37 T86:U86">
    <cfRule type="cellIs" dxfId="0" priority="413" operator="equal">
      <formula>"欠"</formula>
    </cfRule>
    <cfRule type="containsText" dxfId="1" priority="412" operator="between" text="欠">
      <formula>NOT(ISERROR(SEARCH("欠",T37)))</formula>
    </cfRule>
  </conditionalFormatting>
  <conditionalFormatting sqref="R46 R62:R66 R38:R44 R48:R54">
    <cfRule type="cellIs" dxfId="0" priority="433" operator="equal">
      <formula>"欠"</formula>
    </cfRule>
    <cfRule type="containsText" dxfId="1" priority="432" operator="between" text="欠">
      <formula>NOT(ISERROR(SEARCH("欠",R38)))</formula>
    </cfRule>
  </conditionalFormatting>
  <conditionalFormatting sqref="T141:T143 T103:U103 T62:U65 T66 T46:U46 T48:U54 T39:U44 T111:U111 T74 T97:U99 T90:U92 T79:U80 T110 T157:U157 U141 T140:U140 T180">
    <cfRule type="cellIs" dxfId="0" priority="411" operator="equal">
      <formula>"欠"</formula>
    </cfRule>
    <cfRule type="containsText" dxfId="1" priority="410" operator="between" text="欠">
      <formula>NOT(ISERROR(SEARCH("欠",T39)))</formula>
    </cfRule>
  </conditionalFormatting>
  <conditionalFormatting sqref="R55 R74 R110:R111">
    <cfRule type="cellIs" dxfId="0" priority="405" operator="equal">
      <formula>"欠"</formula>
    </cfRule>
    <cfRule type="containsText" dxfId="1" priority="404" operator="between" text="欠">
      <formula>NOT(ISERROR(SEARCH("欠",R55)))</formula>
    </cfRule>
  </conditionalFormatting>
  <conditionalFormatting sqref="R58:R61 R88:R89">
    <cfRule type="cellIs" dxfId="0" priority="456" operator="equal">
      <formula>"欠"</formula>
    </cfRule>
    <cfRule type="containsText" dxfId="1" priority="455" operator="between" text="欠">
      <formula>NOT(ISERROR(SEARCH("欠",R58)))</formula>
    </cfRule>
  </conditionalFormatting>
  <conditionalFormatting sqref="S58:S60 S88:S90 S93">
    <cfRule type="cellIs" dxfId="0" priority="454" operator="equal">
      <formula>"欠"</formula>
    </cfRule>
    <cfRule type="containsText" dxfId="1" priority="453" operator="between" text="欠">
      <formula>NOT(ISERROR(SEARCH("欠",S58)))</formula>
    </cfRule>
  </conditionalFormatting>
  <conditionalFormatting sqref="T59 T60:U60 T88:U89">
    <cfRule type="cellIs" dxfId="0" priority="452" operator="equal">
      <formula>"欠"</formula>
    </cfRule>
    <cfRule type="containsText" dxfId="1" priority="451" operator="between" text="欠">
      <formula>NOT(ISERROR(SEARCH("欠",T59)))</formula>
    </cfRule>
  </conditionalFormatting>
  <conditionalFormatting sqref="R67:R68 R72">
    <cfRule type="cellIs" dxfId="0" priority="401" operator="equal">
      <formula>"欠"</formula>
    </cfRule>
    <cfRule type="containsText" dxfId="1" priority="400" operator="between" text="欠">
      <formula>NOT(ISERROR(SEARCH("欠",R67)))</formula>
    </cfRule>
  </conditionalFormatting>
  <conditionalFormatting sqref="T67:U68">
    <cfRule type="cellIs" dxfId="0" priority="397" operator="equal">
      <formula>"欠"</formula>
    </cfRule>
    <cfRule type="containsText" dxfId="1" priority="396" operator="between" text="欠">
      <formula>NOT(ISERROR(SEARCH("欠",T67)))</formula>
    </cfRule>
  </conditionalFormatting>
  <conditionalFormatting sqref="R84 R73 R70 R75:R78 R87">
    <cfRule type="cellIs" dxfId="0" priority="423" operator="equal">
      <formula>"欠"</formula>
    </cfRule>
    <cfRule type="containsText" dxfId="1" priority="422" operator="between" text="欠">
      <formula>NOT(ISERROR(SEARCH("欠",R70)))</formula>
    </cfRule>
  </conditionalFormatting>
  <conditionalFormatting sqref="T70:U70 T73 T75:U78 T87:U87">
    <cfRule type="cellIs" dxfId="0" priority="419" operator="equal">
      <formula>"欠"</formula>
    </cfRule>
    <cfRule type="containsText" dxfId="1" priority="418" operator="between" text="欠">
      <formula>NOT(ISERROR(SEARCH("欠",T70)))</formula>
    </cfRule>
  </conditionalFormatting>
  <conditionalFormatting sqref="S73 S87">
    <cfRule type="cellIs" dxfId="0" priority="421" operator="equal">
      <formula>"欠"</formula>
    </cfRule>
    <cfRule type="containsText" dxfId="1" priority="420" operator="between" text="欠">
      <formula>NOT(ISERROR(SEARCH("欠",S73)))</formula>
    </cfRule>
  </conditionalFormatting>
  <conditionalFormatting sqref="R103 R97:R99 R79:R80 R91:R92 R166 R146:R147 R133:R136 R161:R162 R168:R169">
    <cfRule type="cellIs" dxfId="0" priority="363" operator="equal">
      <formula>"欠"</formula>
    </cfRule>
    <cfRule type="containsText" dxfId="1" priority="362" operator="between" text="欠">
      <formula>NOT(ISERROR(SEARCH("欠",R79)))</formula>
    </cfRule>
  </conditionalFormatting>
  <conditionalFormatting sqref="T81:U83">
    <cfRule type="cellIs" dxfId="0" priority="357" operator="equal">
      <formula>"欠"</formula>
    </cfRule>
    <cfRule type="containsText" dxfId="1" priority="356" operator="between" text="欠">
      <formula>NOT(ISERROR(SEARCH("欠",T81)))</formula>
    </cfRule>
  </conditionalFormatting>
  <conditionalFormatting sqref="T118:U121 U142 T165:U165 T126 T84 T139:U139 T96:U96 T93:U93 T145:U145 T129:U132 T172:U172 T174:T177">
    <cfRule type="cellIs" dxfId="0" priority="409" operator="equal">
      <formula>"欠"</formula>
    </cfRule>
    <cfRule type="containsText" dxfId="1" priority="408" operator="between" text="欠">
      <formula>NOT(ISERROR(SEARCH("欠",T84)))</formula>
    </cfRule>
  </conditionalFormatting>
  <conditionalFormatting sqref="R95 R105">
    <cfRule type="cellIs" dxfId="0" priority="347" operator="equal">
      <formula>"欠"</formula>
    </cfRule>
    <cfRule type="containsText" dxfId="1" priority="346" operator="between" text="欠">
      <formula>NOT(ISERROR(SEARCH("欠",R95)))</formula>
    </cfRule>
  </conditionalFormatting>
  <conditionalFormatting sqref="S95 S105">
    <cfRule type="cellIs" dxfId="0" priority="345" operator="equal">
      <formula>"欠"</formula>
    </cfRule>
    <cfRule type="containsText" dxfId="1" priority="344" operator="between" text="欠">
      <formula>NOT(ISERROR(SEARCH("欠",S95)))</formula>
    </cfRule>
  </conditionalFormatting>
  <conditionalFormatting sqref="T95:U95 T105:U105">
    <cfRule type="cellIs" dxfId="0" priority="355" operator="equal">
      <formula>"欠"</formula>
    </cfRule>
    <cfRule type="containsText" dxfId="1" priority="354" operator="between" text="欠">
      <formula>NOT(ISERROR(SEARCH("欠",T95)))</formula>
    </cfRule>
  </conditionalFormatting>
  <conditionalFormatting sqref="R145 R165 R155:R157 R126 R174:R177 R180 R172 R139:R143 R96 R167 R129:R132 R209:R211 R239:R252 R257:R258 R264:R267 R213:R222 R232:R237 R262 R312">
    <cfRule type="cellIs" dxfId="0" priority="391" operator="equal">
      <formula>"欠"</formula>
    </cfRule>
    <cfRule type="containsText" dxfId="1" priority="390" operator="between" text="欠">
      <formula>NOT(ISERROR(SEARCH("欠",R96)))</formula>
    </cfRule>
  </conditionalFormatting>
  <conditionalFormatting sqref="S209 S172 S126 S96 S167 S139 S144:S145 S165 S201 S312">
    <cfRule type="cellIs" dxfId="0" priority="389" operator="equal">
      <formula>"欠"</formula>
    </cfRule>
    <cfRule type="containsText" dxfId="1" priority="388" operator="between" text="欠">
      <formula>NOT(ISERROR(SEARCH("欠",S96)))</formula>
    </cfRule>
  </conditionalFormatting>
  <conditionalFormatting sqref="R100:R102 R106:R109 R122">
    <cfRule type="cellIs" dxfId="0" priority="371" operator="equal">
      <formula>"欠"</formula>
    </cfRule>
    <cfRule type="containsText" dxfId="1" priority="370" operator="between" text="欠">
      <formula>NOT(ISERROR(SEARCH("欠",R100)))</formula>
    </cfRule>
  </conditionalFormatting>
  <conditionalFormatting sqref="S100 S106:S109 S174 S206 S203:S204">
    <cfRule type="cellIs" dxfId="0" priority="369" operator="equal">
      <formula>"欠"</formula>
    </cfRule>
    <cfRule type="containsText" dxfId="1" priority="368" operator="between" text="欠">
      <formula>NOT(ISERROR(SEARCH("欠",S100)))</formula>
    </cfRule>
  </conditionalFormatting>
  <conditionalFormatting sqref="T100:U102 T107:U109 T122:U122 U110 T106 T125:U125">
    <cfRule type="cellIs" dxfId="0" priority="367" operator="equal">
      <formula>"欠"</formula>
    </cfRule>
    <cfRule type="containsText" dxfId="1" priority="366" operator="between" text="欠">
      <formula>NOT(ISERROR(SEARCH("欠",T100)))</formula>
    </cfRule>
  </conditionalFormatting>
  <conditionalFormatting sqref="S125 S101:S102 S122 S129:S132 S155:S156 S148:S151">
    <cfRule type="cellIs" dxfId="0" priority="339" operator="equal">
      <formula>"欠"</formula>
    </cfRule>
    <cfRule type="containsText" dxfId="1" priority="338" operator="between" text="欠">
      <formula>NOT(ISERROR(SEARCH("欠",S101)))</formula>
    </cfRule>
  </conditionalFormatting>
  <conditionalFormatting sqref="S157 S110:S111 S180">
    <cfRule type="cellIs" dxfId="0" priority="403" operator="equal">
      <formula>"欠"</formula>
    </cfRule>
    <cfRule type="containsText" dxfId="1" priority="402" operator="between" text="欠">
      <formula>NOT(ISERROR(SEARCH("欠",S110)))</formula>
    </cfRule>
  </conditionalFormatting>
  <conditionalFormatting sqref="S112:S113 S116">
    <cfRule type="cellIs" dxfId="0" priority="329" operator="equal">
      <formula>"欠"</formula>
    </cfRule>
    <cfRule type="containsText" dxfId="1" priority="328" operator="between" text="欠">
      <formula>NOT(ISERROR(SEARCH("欠",S112)))</formula>
    </cfRule>
  </conditionalFormatting>
  <conditionalFormatting sqref="T113:U113 T116">
    <cfRule type="cellIs" dxfId="0" priority="319" operator="equal">
      <formula>"欠"</formula>
    </cfRule>
    <cfRule type="containsText" dxfId="1" priority="318" operator="between" text="欠">
      <formula>NOT(ISERROR(SEARCH("欠",T113)))</formula>
    </cfRule>
  </conditionalFormatting>
  <conditionalFormatting sqref="S123 S127:S128">
    <cfRule type="containsText" dxfId="1" priority="276" operator="between" text="欠">
      <formula>NOT(ISERROR(SEARCH("欠",S123)))</formula>
    </cfRule>
  </conditionalFormatting>
  <conditionalFormatting sqref="T127:U128">
    <cfRule type="cellIs" dxfId="0" priority="301" operator="equal">
      <formula>"欠"</formula>
    </cfRule>
    <cfRule type="containsText" dxfId="1" priority="300" operator="between" text="欠">
      <formula>NOT(ISERROR(SEARCH("欠",T127)))</formula>
    </cfRule>
  </conditionalFormatting>
  <conditionalFormatting sqref="T168:U169 T133:U134 T166:U166 T146:U147 T161:U162 U182 U194:U196 U199">
    <cfRule type="cellIs" dxfId="0" priority="265" operator="equal">
      <formula>"欠"</formula>
    </cfRule>
    <cfRule type="containsText" dxfId="1" priority="264" operator="between" text="欠">
      <formula>NOT(ISERROR(SEARCH("欠",T133)))</formula>
    </cfRule>
  </conditionalFormatting>
  <conditionalFormatting sqref="T136:U136 T144:U144">
    <cfRule type="cellIs" dxfId="0" priority="259" operator="equal">
      <formula>"欠"</formula>
    </cfRule>
    <cfRule type="containsText" dxfId="1" priority="258" operator="between" text="欠">
      <formula>NOT(ISERROR(SEARCH("欠",T136)))</formula>
    </cfRule>
  </conditionalFormatting>
  <conditionalFormatting sqref="T137:U138">
    <cfRule type="cellIs" dxfId="0" priority="284" operator="equal">
      <formula>"欠"</formula>
    </cfRule>
    <cfRule type="containsText" dxfId="1" priority="283" operator="between" text="欠">
      <formula>NOT(ISERROR(SEARCH("欠",T137)))</formula>
    </cfRule>
  </conditionalFormatting>
  <conditionalFormatting sqref="R154 R148:R152">
    <cfRule type="cellIs" dxfId="0" priority="267" operator="equal">
      <formula>"欠"</formula>
    </cfRule>
    <cfRule type="containsText" dxfId="1" priority="266" operator="between" text="欠">
      <formula>NOT(ISERROR(SEARCH("欠",R148)))</formula>
    </cfRule>
  </conditionalFormatting>
  <conditionalFormatting sqref="T154:U154 T148:U152 T170 T253">
    <cfRule type="cellIs" dxfId="0" priority="317" operator="equal">
      <formula>"欠"</formula>
    </cfRule>
    <cfRule type="containsText" dxfId="1" priority="316" operator="between" text="欠">
      <formula>NOT(ISERROR(SEARCH("欠",T148)))</formula>
    </cfRule>
  </conditionalFormatting>
  <conditionalFormatting sqref="S158 S179 S153:U153 S210 S223:S231 S250 S270 S291 S293 S306 S311">
    <cfRule type="containsText" dxfId="1" priority="299" operator="between" text="欠">
      <formula>NOT(ISERROR(SEARCH("欠",S153)))</formula>
    </cfRule>
  </conditionalFormatting>
  <conditionalFormatting sqref="T155:U156">
    <cfRule type="cellIs" dxfId="0" priority="269" operator="equal">
      <formula>"欠"</formula>
    </cfRule>
    <cfRule type="containsText" dxfId="1" priority="268" operator="between" text="欠">
      <formula>NOT(ISERROR(SEARCH("欠",T155)))</formula>
    </cfRule>
  </conditionalFormatting>
  <conditionalFormatting sqref="R160 R163 R178">
    <cfRule type="cellIs" dxfId="0" priority="245" operator="equal">
      <formula>"欠"</formula>
    </cfRule>
    <cfRule type="containsText" dxfId="1" priority="244" operator="between" text="欠">
      <formula>NOT(ISERROR(SEARCH("欠",R160)))</formula>
    </cfRule>
  </conditionalFormatting>
  <conditionalFormatting sqref="S160 S163 S178">
    <cfRule type="cellIs" dxfId="0" priority="237" operator="equal">
      <formula>"欠"</formula>
    </cfRule>
    <cfRule type="containsText" dxfId="1" priority="236" operator="between" text="欠">
      <formula>NOT(ISERROR(SEARCH("欠",S160)))</formula>
    </cfRule>
  </conditionalFormatting>
  <conditionalFormatting sqref="T160 T178">
    <cfRule type="cellIs" dxfId="0" priority="235" operator="equal">
      <formula>"欠"</formula>
    </cfRule>
    <cfRule type="containsText" dxfId="1" priority="234" operator="between" text="欠">
      <formula>NOT(ISERROR(SEARCH("欠",T160)))</formula>
    </cfRule>
  </conditionalFormatting>
  <conditionalFormatting sqref="U160 U163:U164 U178">
    <cfRule type="cellIs" dxfId="0" priority="247" operator="equal">
      <formula>"欠"</formula>
    </cfRule>
    <cfRule type="containsText" dxfId="1" priority="246" operator="between" text="欠">
      <formula>NOT(ISERROR(SEARCH("欠",U160)))</formula>
    </cfRule>
  </conditionalFormatting>
  <conditionalFormatting sqref="T167:U167 T209:T210 T312">
    <cfRule type="cellIs" dxfId="0" priority="263" operator="equal">
      <formula>"欠"</formula>
    </cfRule>
    <cfRule type="containsText" dxfId="1" priority="262" operator="between" text="欠">
      <formula>NOT(ISERROR(SEARCH("欠",T167)))</formula>
    </cfRule>
  </conditionalFormatting>
  <conditionalFormatting sqref="T171 T173 T179">
    <cfRule type="cellIs" dxfId="0" priority="241" operator="equal">
      <formula>"欠"</formula>
    </cfRule>
    <cfRule type="containsText" dxfId="1" priority="240" operator="between" text="欠">
      <formula>NOT(ISERROR(SEARCH("欠",T171)))</formula>
    </cfRule>
  </conditionalFormatting>
  <conditionalFormatting sqref="U171 U173 U179">
    <cfRule type="cellIs" dxfId="0" priority="255" operator="equal">
      <formula>"欠"</formula>
    </cfRule>
    <cfRule type="containsText" dxfId="1" priority="254" operator="between" text="欠">
      <formula>NOT(ISERROR(SEARCH("欠",U171)))</formula>
    </cfRule>
  </conditionalFormatting>
  <conditionalFormatting sqref="R173 R179">
    <cfRule type="cellIs" dxfId="0" priority="253" operator="equal">
      <formula>"欠"</formula>
    </cfRule>
    <cfRule type="containsText" dxfId="1" priority="252" operator="between" text="欠">
      <formula>NOT(ISERROR(SEARCH("欠",R173)))</formula>
    </cfRule>
  </conditionalFormatting>
  <conditionalFormatting sqref="S181 S261:S262 S254:S259">
    <cfRule type="cellIs" dxfId="0" priority="154" operator="equal">
      <formula>"欠"</formula>
    </cfRule>
    <cfRule type="containsText" dxfId="1" priority="153" operator="between" text="欠">
      <formula>NOT(ISERROR(SEARCH("欠",S181)))</formula>
    </cfRule>
  </conditionalFormatting>
  <conditionalFormatting sqref="T181 T257:T258 T262">
    <cfRule type="cellIs" dxfId="0" priority="156" operator="equal">
      <formula>"欠"</formula>
    </cfRule>
    <cfRule type="containsText" dxfId="1" priority="155" operator="between" text="欠">
      <formula>NOT(ISERROR(SEARCH("欠",T181)))</formula>
    </cfRule>
  </conditionalFormatting>
  <conditionalFormatting sqref="S211 S205 S183:S192 S232:S237 S213:S221 S239:S240 S197:S198 S249">
    <cfRule type="cellIs" dxfId="0" priority="180" operator="equal">
      <formula>"欠"</formula>
    </cfRule>
    <cfRule type="containsText" dxfId="1" priority="179" operator="between" text="欠">
      <formula>NOT(ISERROR(SEARCH("欠",S183)))</formula>
    </cfRule>
  </conditionalFormatting>
  <conditionalFormatting sqref="R193:R196 R199">
    <cfRule type="cellIs" dxfId="0" priority="221" operator="equal">
      <formula>"欠"</formula>
    </cfRule>
    <cfRule type="containsText" dxfId="1" priority="220" operator="between" text="欠">
      <formula>NOT(ISERROR(SEARCH("欠",R193)))</formula>
    </cfRule>
  </conditionalFormatting>
  <conditionalFormatting sqref="S193:S196 S199">
    <cfRule type="cellIs" dxfId="0" priority="205" operator="equal">
      <formula>"欠"</formula>
    </cfRule>
    <cfRule type="containsText" dxfId="1" priority="204" operator="between" text="欠">
      <formula>NOT(ISERROR(SEARCH("欠",S193)))</formula>
    </cfRule>
  </conditionalFormatting>
  <conditionalFormatting sqref="T193:T196 T199">
    <cfRule type="cellIs" dxfId="0" priority="219" operator="equal">
      <formula>"欠"</formula>
    </cfRule>
    <cfRule type="containsText" dxfId="1" priority="218" operator="between" text="欠">
      <formula>NOT(ISERROR(SEARCH("欠",T193)))</formula>
    </cfRule>
  </conditionalFormatting>
  <conditionalFormatting sqref="R197:R198 R200">
    <cfRule type="cellIs" dxfId="0" priority="190" operator="equal">
      <formula>"欠"</formula>
    </cfRule>
    <cfRule type="containsText" dxfId="1" priority="189" operator="between" text="欠">
      <formula>NOT(ISERROR(SEARCH("欠",R197)))</formula>
    </cfRule>
  </conditionalFormatting>
  <conditionalFormatting sqref="T205 T236:T237 T240 T211 T197:T198 T200:T201 T213:T221">
    <cfRule type="containsText" dxfId="1" priority="187" operator="between" text="欠">
      <formula>NOT(ISERROR(SEARCH("欠",T197)))</formula>
    </cfRule>
  </conditionalFormatting>
  <conditionalFormatting sqref="U197:U198 U200:U201">
    <cfRule type="cellIs" dxfId="0" priority="192" operator="equal">
      <formula>"欠"</formula>
    </cfRule>
    <cfRule type="containsText" dxfId="1" priority="191" operator="between" text="欠">
      <formula>NOT(ISERROR(SEARCH("欠",U197)))</formula>
    </cfRule>
  </conditionalFormatting>
  <conditionalFormatting sqref="R204:R208 R202 R223:R231">
    <cfRule type="cellIs" dxfId="0" priority="484" operator="equal">
      <formula>"欠"</formula>
    </cfRule>
    <cfRule type="containsText" dxfId="1" priority="483" operator="between" text="欠">
      <formula>NOT(ISERROR(SEARCH("欠",R202)))</formula>
    </cfRule>
  </conditionalFormatting>
  <conditionalFormatting sqref="T204 T206 T202:U202 U205:U208 U224:U231">
    <cfRule type="cellIs" dxfId="0" priority="417" operator="equal">
      <formula>"欠"</formula>
    </cfRule>
    <cfRule type="containsText" dxfId="1" priority="416" operator="between" text="欠">
      <formula>NOT(ISERROR(SEARCH("欠",T202)))</formula>
    </cfRule>
  </conditionalFormatting>
  <conditionalFormatting sqref="T208 T232:T235">
    <cfRule type="cellIs" dxfId="0" priority="144" operator="equal">
      <formula>"欠"</formula>
    </cfRule>
    <cfRule type="containsText" dxfId="1" priority="143" operator="between" text="欠">
      <formula>NOT(ISERROR(SEARCH("欠",T208)))</formula>
    </cfRule>
  </conditionalFormatting>
  <conditionalFormatting sqref="U209:U222 U232:U252 U257 U312">
    <cfRule type="cellIs" dxfId="0" priority="217" operator="equal">
      <formula>"欠"</formula>
    </cfRule>
    <cfRule type="containsText" dxfId="1" priority="216" operator="between" text="欠">
      <formula>NOT(ISERROR(SEARCH("欠",U209)))</formula>
    </cfRule>
  </conditionalFormatting>
  <conditionalFormatting sqref="T249:T250 T239">
    <cfRule type="containsText" dxfId="1" priority="135" operator="between" text="欠">
      <formula>NOT(ISERROR(SEARCH("欠",T239)))</formula>
    </cfRule>
  </conditionalFormatting>
  <conditionalFormatting sqref="S241:S248 S251:S252 S264:S267">
    <cfRule type="containsText" dxfId="1" priority="125" operator="between" text="欠">
      <formula>NOT(ISERROR(SEARCH("欠",S241)))</formula>
    </cfRule>
    <cfRule type="cellIs" dxfId="0" priority="124" operator="equal">
      <formula>"欠"</formula>
    </cfRule>
  </conditionalFormatting>
  <conditionalFormatting sqref="T241:T248 T251:T252 T264:T267">
    <cfRule type="containsText" dxfId="1" priority="123" operator="between" text="欠">
      <formula>NOT(ISERROR(SEARCH("欠",T241)))</formula>
    </cfRule>
    <cfRule type="cellIs" dxfId="0" priority="122" operator="equal">
      <formula>"欠"</formula>
    </cfRule>
  </conditionalFormatting>
  <conditionalFormatting sqref="S253 S268 S273">
    <cfRule type="cellIs" dxfId="0" priority="121" operator="equal">
      <formula>"欠"</formula>
    </cfRule>
    <cfRule type="containsText" dxfId="1" priority="120" operator="between" text="欠">
      <formula>NOT(ISERROR(SEARCH("欠",S253)))</formula>
    </cfRule>
  </conditionalFormatting>
  <conditionalFormatting sqref="R255:R256 R272:R273 R270">
    <cfRule type="cellIs" dxfId="0" priority="115" operator="equal">
      <formula>"欠"</formula>
    </cfRule>
  </conditionalFormatting>
  <conditionalFormatting sqref="T259 T261 T256 T273 T270">
    <cfRule type="cellIs" dxfId="0" priority="112" operator="equal">
      <formula>"欠"</formula>
    </cfRule>
    <cfRule type="containsText" dxfId="1" priority="111" operator="between" text="欠">
      <formula>NOT(ISERROR(SEARCH("欠",T256)))</formula>
    </cfRule>
  </conditionalFormatting>
  <conditionalFormatting sqref="R259 R261">
    <cfRule type="cellIs" dxfId="0" priority="106" operator="equal">
      <formula>"欠"</formula>
    </cfRule>
  </conditionalFormatting>
  <conditionalFormatting sqref="S260 S271:S272 S269 S301:S302">
    <cfRule type="cellIs" dxfId="0" priority="99" operator="equal">
      <formula>"欠"</formula>
    </cfRule>
    <cfRule type="containsText" dxfId="1" priority="98" operator="between" text="欠">
      <formula>NOT(ISERROR(SEARCH("欠",S260)))</formula>
    </cfRule>
  </conditionalFormatting>
  <conditionalFormatting sqref="T260 T269 T271 T301">
    <cfRule type="cellIs" dxfId="0" priority="97" operator="equal">
      <formula>"欠"</formula>
    </cfRule>
    <cfRule type="containsText" dxfId="1" priority="96" operator="between" text="欠">
      <formula>NOT(ISERROR(SEARCH("欠",T260)))</formula>
    </cfRule>
  </conditionalFormatting>
  <conditionalFormatting sqref="R263 R268:R269 R271">
    <cfRule type="cellIs" dxfId="0" priority="105" operator="equal">
      <formula>"欠"</formula>
    </cfRule>
    <cfRule type="containsText" dxfId="1" priority="104" operator="between" text="欠">
      <formula>NOT(ISERROR(SEARCH("欠",R263)))</formula>
    </cfRule>
  </conditionalFormatting>
  <conditionalFormatting sqref="S263 S274">
    <cfRule type="containsText" dxfId="1" priority="103" operator="between" text="欠">
      <formula>NOT(ISERROR(SEARCH("欠",S263)))</formula>
    </cfRule>
    <cfRule type="cellIs" dxfId="0" priority="102" operator="equal">
      <formula>"欠"</formula>
    </cfRule>
  </conditionalFormatting>
  <conditionalFormatting sqref="T263 T268">
    <cfRule type="cellIs" dxfId="0" priority="101" operator="equal">
      <formula>"欠"</formula>
    </cfRule>
    <cfRule type="containsText" dxfId="1" priority="100" operator="between" text="欠">
      <formula>NOT(ISERROR(SEARCH("欠",T263)))</formula>
    </cfRule>
  </conditionalFormatting>
  <conditionalFormatting sqref="R275 R281:R287">
    <cfRule type="cellIs" dxfId="0" priority="77" operator="equal">
      <formula>"欠"</formula>
    </cfRule>
  </conditionalFormatting>
  <conditionalFormatting sqref="S275 S280:S284">
    <cfRule type="cellIs" dxfId="0" priority="93" operator="equal">
      <formula>"欠"</formula>
    </cfRule>
    <cfRule type="containsText" dxfId="1" priority="92" operator="between" text="欠">
      <formula>NOT(ISERROR(SEARCH("欠",S275)))</formula>
    </cfRule>
  </conditionalFormatting>
  <conditionalFormatting sqref="T275 T280:T281">
    <cfRule type="cellIs" dxfId="0" priority="91" operator="equal">
      <formula>"欠"</formula>
    </cfRule>
    <cfRule type="containsText" dxfId="1" priority="90" operator="between" text="欠">
      <formula>NOT(ISERROR(SEARCH("欠",T275)))</formula>
    </cfRule>
  </conditionalFormatting>
  <conditionalFormatting sqref="T282:T284 T286:T287">
    <cfRule type="cellIs" dxfId="0" priority="79" operator="equal">
      <formula>"欠"</formula>
    </cfRule>
    <cfRule type="containsText" dxfId="1" priority="78" operator="between" text="欠">
      <formula>NOT(ISERROR(SEARCH("欠",T282)))</formula>
    </cfRule>
  </conditionalFormatting>
  <conditionalFormatting sqref="T291 T306">
    <cfRule type="cellIs" dxfId="0" priority="109" operator="equal">
      <formula>"欠"</formula>
    </cfRule>
    <cfRule type="containsText" dxfId="1" priority="108" operator="between" text="欠">
      <formula>NOT(ISERROR(SEARCH("欠",T291)))</formula>
    </cfRule>
  </conditionalFormatting>
  <conditionalFormatting sqref="R293 R311">
    <cfRule type="cellIs" dxfId="0" priority="82" operator="equal">
      <formula>"欠"</formula>
    </cfRule>
  </conditionalFormatting>
  <conditionalFormatting sqref="T293 T311">
    <cfRule type="cellIs" dxfId="0" priority="84" operator="equal">
      <formula>"欠"</formula>
    </cfRule>
    <cfRule type="containsText" dxfId="1" priority="83" operator="between" text="欠">
      <formula>NOT(ISERROR(SEARCH("欠",T293)))</formula>
    </cfRule>
  </conditionalFormatting>
  <conditionalFormatting sqref="R306 R301 R299 R294:R296">
    <cfRule type="cellIs" dxfId="0" priority="65" operator="equal">
      <formula>"欠"</formula>
    </cfRule>
    <cfRule type="containsText" dxfId="1" priority="64" operator="between" text="欠">
      <formula>NOT(ISERROR(SEARCH("欠",R294)))</formula>
    </cfRule>
  </conditionalFormatting>
  <conditionalFormatting sqref="S299 S294:S296">
    <cfRule type="containsText" dxfId="1" priority="68" operator="between" text="欠">
      <formula>NOT(ISERROR(SEARCH("欠",S294)))</formula>
    </cfRule>
    <cfRule type="cellIs" dxfId="0" priority="67" operator="equal">
      <formula>"欠"</formula>
    </cfRule>
    <cfRule type="containsText" dxfId="1" priority="66" operator="between" text="欠">
      <formula>NOT(ISERROR(SEARCH("欠",S294)))</formula>
    </cfRule>
  </conditionalFormatting>
  <conditionalFormatting sqref="S297:S298 S300">
    <cfRule type="cellIs" dxfId="0" priority="48" operator="equal">
      <formula>"欠"</formula>
    </cfRule>
    <cfRule type="containsText" dxfId="1" priority="47" operator="between" text="欠">
      <formula>NOT(ISERROR(SEARCH("欠",S297)))</formula>
    </cfRule>
  </conditionalFormatting>
  <conditionalFormatting sqref="T297:T298 T300">
    <cfRule type="cellIs" dxfId="0" priority="46" operator="equal">
      <formula>"欠"</formula>
    </cfRule>
    <cfRule type="containsText" dxfId="1" priority="45" operator="between" text="欠">
      <formula>NOT(ISERROR(SEARCH("欠",T297)))</formula>
    </cfRule>
  </conditionalFormatting>
  <conditionalFormatting sqref="R298 R300">
    <cfRule type="cellIs" dxfId="0" priority="37" operator="equal">
      <formula>"欠"</formula>
    </cfRule>
    <cfRule type="containsText" dxfId="1" priority="36" operator="between" text="欠">
      <formula>NOT(ISERROR(SEARCH("欠",R298)))</formula>
    </cfRule>
  </conditionalFormatting>
  <dataValidations count="1">
    <dataValidation type="list" allowBlank="1" showInputMessage="1" showErrorMessage="1" sqref="S303:S305 S307:S310">
      <formula1>"有,无"</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CB43"/>
  <sheetViews>
    <sheetView tabSelected="1" zoomScale="85" zoomScaleNormal="85" workbookViewId="0">
      <pane xSplit="14" ySplit="2" topLeftCell="S13" activePane="bottomRight" state="frozen"/>
      <selection/>
      <selection pane="topRight"/>
      <selection pane="bottomLeft"/>
      <selection pane="bottomRight" activeCell="G24" sqref="G24"/>
    </sheetView>
  </sheetViews>
  <sheetFormatPr defaultColWidth="9" defaultRowHeight="13.5"/>
  <cols>
    <col min="1" max="1" width="8.19166666666667" style="142" customWidth="1"/>
    <col min="2" max="2" width="9.45" style="137" customWidth="1"/>
    <col min="3" max="3" width="9" style="137" customWidth="1"/>
    <col min="4" max="4" width="10.775" style="137" customWidth="1"/>
    <col min="5" max="5" width="13.0416666666667" style="137" customWidth="1"/>
    <col min="6" max="6" width="10.8583333333333" style="137" customWidth="1"/>
    <col min="7" max="7" width="13.5833333333333" style="137" customWidth="1"/>
    <col min="8" max="8" width="12.9666666666667" style="137" customWidth="1"/>
    <col min="9" max="9" width="8.975" style="137" customWidth="1"/>
    <col min="10" max="10" width="9" style="137"/>
    <col min="11" max="11" width="11.225" style="137" customWidth="1"/>
    <col min="12" max="12" width="9" style="137"/>
    <col min="13" max="13" width="15.3666666666667" style="137" customWidth="1"/>
    <col min="14" max="14" width="13.5083333333333" style="137" customWidth="1"/>
    <col min="15" max="15" width="10.3916666666667" style="137" customWidth="1"/>
    <col min="16" max="16" width="9" style="137"/>
    <col min="17" max="17" width="9.55" style="137" customWidth="1"/>
    <col min="18" max="18" width="10.3" style="137" customWidth="1"/>
    <col min="19" max="19" width="9" style="137"/>
    <col min="20" max="21" width="11.1583333333333" style="137" customWidth="1"/>
    <col min="22" max="22" width="45.425" style="137" customWidth="1"/>
    <col min="23" max="24" width="9" style="137" customWidth="1"/>
    <col min="25" max="25" width="12.8" style="137" customWidth="1"/>
    <col min="26" max="26" width="9" style="137" customWidth="1"/>
    <col min="27" max="28" width="9" style="137"/>
    <col min="29" max="29" width="5.58333333333333" style="137" customWidth="1"/>
    <col min="30" max="30" width="9" style="137"/>
    <col min="31" max="31" width="18.4916666666667" style="137" customWidth="1"/>
    <col min="32" max="32" width="7.01666666666667" style="137" customWidth="1"/>
    <col min="33" max="33" width="11.1833333333333" style="137" customWidth="1"/>
    <col min="34" max="36" width="7.4" style="137" customWidth="1"/>
    <col min="37" max="45" width="9" style="137"/>
    <col min="46" max="46" width="12.8" style="137"/>
    <col min="47" max="60" width="9" style="137"/>
    <col min="61" max="61" width="5.50833333333333" style="137" customWidth="1"/>
    <col min="62" max="69" width="11.1916666666667" style="137" customWidth="1"/>
    <col min="70" max="70" width="12.6166666666667" style="137" customWidth="1"/>
    <col min="71" max="71" width="7.10833333333333" style="137" customWidth="1"/>
    <col min="72" max="79" width="11.7583333333333" style="137" customWidth="1"/>
    <col min="80" max="80" width="14.9333333333333" style="137" customWidth="1"/>
    <col min="81" max="81" width="9" style="137"/>
    <col min="82" max="82" width="18.2083333333333" style="137" customWidth="1"/>
    <col min="83" max="16384" width="9" style="137"/>
  </cols>
  <sheetData>
    <row r="1" s="137" customFormat="1" ht="49" customHeight="1" spans="1:80">
      <c r="A1" s="143" t="s">
        <v>0</v>
      </c>
      <c r="B1" s="144"/>
      <c r="C1" s="145"/>
      <c r="D1" s="146"/>
      <c r="E1" s="146"/>
      <c r="F1" s="147"/>
      <c r="G1" s="148"/>
      <c r="H1" s="149" t="s">
        <v>1</v>
      </c>
      <c r="I1" s="172"/>
      <c r="J1" s="173"/>
      <c r="K1" s="173"/>
      <c r="L1" s="173"/>
      <c r="M1" s="173"/>
      <c r="N1" s="173"/>
      <c r="O1" s="174"/>
      <c r="P1" s="145"/>
      <c r="Q1" s="145"/>
      <c r="R1" s="173"/>
      <c r="S1" s="173"/>
      <c r="T1" s="174"/>
      <c r="U1" s="174"/>
      <c r="V1" s="189"/>
      <c r="AA1" s="145"/>
      <c r="AB1" s="145"/>
      <c r="AC1" s="145"/>
      <c r="AD1" s="145"/>
      <c r="AH1" s="176" t="s">
        <v>2</v>
      </c>
      <c r="AI1" s="176"/>
      <c r="AJ1" s="176"/>
      <c r="AK1" s="213" t="s">
        <v>3</v>
      </c>
      <c r="AL1" s="214"/>
      <c r="AM1" s="215"/>
      <c r="AN1" s="213" t="s">
        <v>4</v>
      </c>
      <c r="AO1" s="215"/>
      <c r="AP1" s="220" t="s">
        <v>5</v>
      </c>
      <c r="AQ1" s="213" t="s">
        <v>6</v>
      </c>
      <c r="AR1" s="214"/>
      <c r="AS1" s="215"/>
      <c r="AT1" s="221" t="s">
        <v>7</v>
      </c>
      <c r="AU1" s="221"/>
      <c r="AV1" s="221" t="s">
        <v>8</v>
      </c>
      <c r="AW1" s="221" t="s">
        <v>9</v>
      </c>
      <c r="AX1" s="213" t="s">
        <v>10</v>
      </c>
      <c r="AY1" s="215"/>
      <c r="AZ1" s="221" t="s">
        <v>11</v>
      </c>
      <c r="BA1" s="221"/>
      <c r="BB1" s="221"/>
      <c r="BC1" s="221" t="s">
        <v>12</v>
      </c>
      <c r="BD1" s="221"/>
      <c r="BE1" s="221"/>
      <c r="BF1" s="222" t="s">
        <v>13</v>
      </c>
      <c r="BG1" s="222"/>
      <c r="BH1" s="222"/>
      <c r="BJ1" s="223" t="s">
        <v>14</v>
      </c>
      <c r="BK1" s="223" t="s">
        <v>15</v>
      </c>
      <c r="BL1" s="223" t="s">
        <v>16</v>
      </c>
      <c r="BM1" s="223" t="s">
        <v>17</v>
      </c>
      <c r="BN1" s="223" t="s">
        <v>18</v>
      </c>
      <c r="BO1" s="223" t="s">
        <v>19</v>
      </c>
      <c r="BP1" s="223" t="s">
        <v>20</v>
      </c>
      <c r="BQ1" s="223" t="s">
        <v>21</v>
      </c>
      <c r="BR1" s="223" t="s">
        <v>22</v>
      </c>
      <c r="BT1" s="171" t="str">
        <f>生产MA!G4</f>
        <v>腕龙</v>
      </c>
      <c r="BU1" s="171" t="str">
        <f>生产MA!H4</f>
        <v>双脊龙</v>
      </c>
      <c r="BV1" s="171" t="str">
        <f>生产MA!I4</f>
        <v>镰刀龙</v>
      </c>
      <c r="BW1" s="171" t="str">
        <f>生产MA!J4</f>
        <v>甲龙</v>
      </c>
      <c r="BX1" s="171" t="str">
        <f>生产MA!K4</f>
        <v>戟龙</v>
      </c>
      <c r="BY1" s="171" t="str">
        <f>生产MA!L4</f>
        <v>棘龙</v>
      </c>
      <c r="BZ1" s="171" t="str">
        <f>生产MA!M4</f>
        <v>沧龙</v>
      </c>
      <c r="CA1" s="171" t="str">
        <f>生产MA!N4</f>
        <v>霸王龙</v>
      </c>
      <c r="CB1" s="171" t="str">
        <f>生产MA!O4</f>
        <v>特殊款霸王龙</v>
      </c>
    </row>
    <row r="2" s="137" customFormat="1" ht="30" customHeight="1" spans="1:80">
      <c r="A2" s="150" t="s">
        <v>23</v>
      </c>
      <c r="B2" s="151" t="s">
        <v>24</v>
      </c>
      <c r="C2" s="151" t="s">
        <v>25</v>
      </c>
      <c r="D2" s="152" t="s">
        <v>26</v>
      </c>
      <c r="E2" s="151" t="s">
        <v>27</v>
      </c>
      <c r="F2" s="152" t="s">
        <v>28</v>
      </c>
      <c r="G2" s="152" t="s">
        <v>29</v>
      </c>
      <c r="H2" s="151" t="s">
        <v>30</v>
      </c>
      <c r="I2" s="175" t="s">
        <v>31</v>
      </c>
      <c r="J2" s="151" t="s">
        <v>32</v>
      </c>
      <c r="K2" s="151" t="s">
        <v>33</v>
      </c>
      <c r="L2" s="151" t="s">
        <v>34</v>
      </c>
      <c r="M2" s="176" t="s">
        <v>35</v>
      </c>
      <c r="N2" s="176" t="s">
        <v>36</v>
      </c>
      <c r="O2" s="177" t="s">
        <v>37</v>
      </c>
      <c r="P2" s="151" t="s">
        <v>38</v>
      </c>
      <c r="Q2" s="151" t="s">
        <v>39</v>
      </c>
      <c r="R2" s="151" t="s">
        <v>40</v>
      </c>
      <c r="S2" s="151" t="s">
        <v>41</v>
      </c>
      <c r="T2" s="177" t="s">
        <v>42</v>
      </c>
      <c r="U2" s="177" t="s">
        <v>43</v>
      </c>
      <c r="V2" s="190" t="s">
        <v>44</v>
      </c>
      <c r="W2" s="176" t="s">
        <v>45</v>
      </c>
      <c r="X2" s="176" t="s">
        <v>46</v>
      </c>
      <c r="Y2" s="176" t="s">
        <v>47</v>
      </c>
      <c r="Z2" s="176" t="s">
        <v>48</v>
      </c>
      <c r="AA2" s="211" t="s">
        <v>49</v>
      </c>
      <c r="AB2" s="211" t="s">
        <v>50</v>
      </c>
      <c r="AC2" s="211" t="s">
        <v>51</v>
      </c>
      <c r="AD2" s="211" t="s">
        <v>52</v>
      </c>
      <c r="AE2" s="176" t="s">
        <v>53</v>
      </c>
      <c r="AF2" s="176" t="s">
        <v>54</v>
      </c>
      <c r="AG2" s="176" t="s">
        <v>55</v>
      </c>
      <c r="AH2" s="176" t="s">
        <v>56</v>
      </c>
      <c r="AI2" s="216" t="s">
        <v>57</v>
      </c>
      <c r="AJ2" s="176" t="s">
        <v>58</v>
      </c>
      <c r="AK2" s="176" t="s">
        <v>59</v>
      </c>
      <c r="AL2" s="176" t="s">
        <v>60</v>
      </c>
      <c r="AM2" s="176" t="s">
        <v>61</v>
      </c>
      <c r="AN2" s="176" t="s">
        <v>62</v>
      </c>
      <c r="AO2" s="216" t="s">
        <v>63</v>
      </c>
      <c r="AP2" s="216" t="s">
        <v>58</v>
      </c>
      <c r="AQ2" s="176" t="s">
        <v>59</v>
      </c>
      <c r="AR2" s="176" t="s">
        <v>60</v>
      </c>
      <c r="AS2" s="176" t="s">
        <v>64</v>
      </c>
      <c r="AT2" s="176" t="s">
        <v>59</v>
      </c>
      <c r="AU2" s="176" t="s">
        <v>60</v>
      </c>
      <c r="AV2" s="176" t="s">
        <v>65</v>
      </c>
      <c r="AW2" s="176" t="s">
        <v>66</v>
      </c>
      <c r="AX2" s="176" t="s">
        <v>67</v>
      </c>
      <c r="AY2" s="176" t="s">
        <v>68</v>
      </c>
      <c r="AZ2" s="176" t="s">
        <v>59</v>
      </c>
      <c r="BA2" s="176" t="s">
        <v>60</v>
      </c>
      <c r="BB2" s="176" t="s">
        <v>69</v>
      </c>
      <c r="BC2" s="176" t="s">
        <v>59</v>
      </c>
      <c r="BD2" s="176" t="s">
        <v>60</v>
      </c>
      <c r="BE2" s="176" t="s">
        <v>70</v>
      </c>
      <c r="BF2" s="176" t="s">
        <v>71</v>
      </c>
      <c r="BG2" s="176" t="s">
        <v>72</v>
      </c>
      <c r="BH2" s="176"/>
      <c r="BI2" s="171"/>
      <c r="BJ2" s="224">
        <v>0.122395833333333</v>
      </c>
      <c r="BK2" s="224">
        <v>0.122395833333333</v>
      </c>
      <c r="BL2" s="224">
        <v>0.122395833333333</v>
      </c>
      <c r="BM2" s="224">
        <v>0.122395833333333</v>
      </c>
      <c r="BN2" s="224">
        <v>0.122395833333333</v>
      </c>
      <c r="BO2" s="224">
        <v>0.122395833333333</v>
      </c>
      <c r="BP2" s="224">
        <v>0.122395833333333</v>
      </c>
      <c r="BQ2" s="224">
        <v>0.122395833333333</v>
      </c>
      <c r="BR2" s="224">
        <v>0.0208333333333333</v>
      </c>
      <c r="BS2" s="137" t="s">
        <v>73</v>
      </c>
      <c r="BT2" s="171">
        <f>生产MA!G11</f>
        <v>113832</v>
      </c>
      <c r="BU2" s="171">
        <f>生产MA!H11</f>
        <v>113832</v>
      </c>
      <c r="BV2" s="171">
        <f>生产MA!I11</f>
        <v>113832</v>
      </c>
      <c r="BW2" s="171">
        <f>生产MA!J11</f>
        <v>113832</v>
      </c>
      <c r="BX2" s="171">
        <f>生产MA!K11</f>
        <v>113832</v>
      </c>
      <c r="BY2" s="171">
        <f>生产MA!L11</f>
        <v>113832</v>
      </c>
      <c r="BZ2" s="171">
        <f>生产MA!M11</f>
        <v>113832</v>
      </c>
      <c r="CA2" s="171">
        <f>生产MA!N11</f>
        <v>113832</v>
      </c>
      <c r="CB2" s="171">
        <f>生产MA!O11</f>
        <v>19377</v>
      </c>
    </row>
    <row r="3" s="138" customFormat="1" ht="27" customHeight="1" spans="1:80">
      <c r="A3" s="18">
        <v>45617</v>
      </c>
      <c r="B3" s="19" t="s">
        <v>74</v>
      </c>
      <c r="C3" s="20" t="s">
        <v>75</v>
      </c>
      <c r="D3" s="21" t="s">
        <v>76</v>
      </c>
      <c r="E3" s="20" t="s">
        <v>77</v>
      </c>
      <c r="F3" s="19"/>
      <c r="G3" s="153" t="s">
        <v>78</v>
      </c>
      <c r="H3" s="154" t="s">
        <v>79</v>
      </c>
      <c r="I3" s="178">
        <v>1135</v>
      </c>
      <c r="J3" s="178">
        <v>0</v>
      </c>
      <c r="K3" s="178">
        <v>54</v>
      </c>
      <c r="L3" s="178">
        <f>I3/K3</f>
        <v>21.0185185185185</v>
      </c>
      <c r="M3" s="179">
        <v>45639</v>
      </c>
      <c r="N3" s="179">
        <v>45635</v>
      </c>
      <c r="O3" s="180"/>
      <c r="P3" s="180"/>
      <c r="Q3" s="180"/>
      <c r="R3" s="180" t="s">
        <v>80</v>
      </c>
      <c r="S3" s="180" t="s">
        <v>80</v>
      </c>
      <c r="T3" s="180" t="s">
        <v>80</v>
      </c>
      <c r="U3" s="180"/>
      <c r="V3" s="191" t="s">
        <v>81</v>
      </c>
      <c r="W3" s="179"/>
      <c r="X3" s="179"/>
      <c r="Y3" s="179"/>
      <c r="Z3" s="179" t="s">
        <v>82</v>
      </c>
      <c r="AA3" s="180"/>
      <c r="AB3" s="180"/>
      <c r="AC3" s="180"/>
      <c r="AD3" s="180"/>
      <c r="AE3" s="179"/>
      <c r="AF3" s="179"/>
      <c r="AG3" s="171"/>
      <c r="AH3" s="171"/>
      <c r="AI3" s="171"/>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225"/>
      <c r="BK3" s="225"/>
      <c r="BL3" s="225"/>
      <c r="BM3" s="225"/>
      <c r="BN3" s="225"/>
      <c r="BO3" s="225"/>
      <c r="BP3" s="225"/>
      <c r="BQ3" s="225"/>
      <c r="BR3" s="225"/>
      <c r="BT3" s="225">
        <f>BT2-BJ3-BJ36</f>
        <v>25894.7291666668</v>
      </c>
      <c r="BU3" s="225">
        <f t="shared" ref="BU3:CB3" si="0">BU2-BK3-BK36</f>
        <v>25894.7291666668</v>
      </c>
      <c r="BV3" s="225">
        <f t="shared" si="0"/>
        <v>25894.7291666668</v>
      </c>
      <c r="BW3" s="225">
        <f t="shared" si="0"/>
        <v>25894.7291666668</v>
      </c>
      <c r="BX3" s="225">
        <f t="shared" si="0"/>
        <v>25894.7291666668</v>
      </c>
      <c r="BY3" s="225">
        <f t="shared" si="0"/>
        <v>25894.7291666668</v>
      </c>
      <c r="BZ3" s="225">
        <f t="shared" si="0"/>
        <v>25894.7291666668</v>
      </c>
      <c r="CA3" s="225">
        <f t="shared" si="0"/>
        <v>25894.7291666668</v>
      </c>
      <c r="CB3" s="225">
        <f t="shared" si="0"/>
        <v>4359.1666666667</v>
      </c>
    </row>
    <row r="4" s="139" customFormat="1" ht="27" customHeight="1" spans="1:80">
      <c r="A4" s="155">
        <v>45952</v>
      </c>
      <c r="B4" s="156" t="s">
        <v>1539</v>
      </c>
      <c r="C4" s="157" t="s">
        <v>574</v>
      </c>
      <c r="D4" s="158">
        <v>4500182578</v>
      </c>
      <c r="E4" s="157" t="s">
        <v>1540</v>
      </c>
      <c r="F4" s="156" t="s">
        <v>1541</v>
      </c>
      <c r="G4" s="159" t="s">
        <v>78</v>
      </c>
      <c r="H4" s="156" t="s">
        <v>79</v>
      </c>
      <c r="I4" s="181">
        <v>972</v>
      </c>
      <c r="J4" s="181">
        <v>0</v>
      </c>
      <c r="K4" s="181">
        <v>54</v>
      </c>
      <c r="L4" s="181">
        <f t="shared" ref="L4:L24" si="1">I4/K4</f>
        <v>18</v>
      </c>
      <c r="M4" s="182">
        <v>46006</v>
      </c>
      <c r="N4" s="182">
        <v>46004</v>
      </c>
      <c r="O4" s="183"/>
      <c r="P4" s="183" t="s">
        <v>224</v>
      </c>
      <c r="Q4" s="183" t="s">
        <v>1616</v>
      </c>
      <c r="R4" s="192">
        <v>45971</v>
      </c>
      <c r="S4" s="193" t="s">
        <v>80</v>
      </c>
      <c r="T4" s="183" t="s">
        <v>1542</v>
      </c>
      <c r="U4" s="183"/>
      <c r="V4" s="194" t="s">
        <v>1543</v>
      </c>
      <c r="W4" s="182" t="s">
        <v>228</v>
      </c>
      <c r="X4" s="195">
        <v>0.7795</v>
      </c>
      <c r="Y4" s="181">
        <f>X4*I4</f>
        <v>757.674</v>
      </c>
      <c r="Z4" s="182" t="s">
        <v>82</v>
      </c>
      <c r="AA4" s="194">
        <v>972</v>
      </c>
      <c r="AB4" s="194">
        <f t="shared" ref="AB4:AB22" si="2">AA4-I4</f>
        <v>0</v>
      </c>
      <c r="AC4" s="183"/>
      <c r="AD4" s="183" t="s">
        <v>114</v>
      </c>
      <c r="AE4" s="182" t="s">
        <v>230</v>
      </c>
      <c r="AF4" s="182" t="s">
        <v>115</v>
      </c>
      <c r="AG4" s="217">
        <f t="shared" ref="AG4:AG20" si="3">I4</f>
        <v>972</v>
      </c>
      <c r="AH4" s="217"/>
      <c r="AI4" s="217">
        <f t="shared" ref="AI4:AI19" si="4">I4</f>
        <v>972</v>
      </c>
      <c r="AJ4" s="217"/>
      <c r="AK4" s="217"/>
      <c r="AL4" s="217">
        <f>I4</f>
        <v>972</v>
      </c>
      <c r="AM4" s="217"/>
      <c r="AN4" s="217"/>
      <c r="AO4" s="217">
        <f>I4</f>
        <v>972</v>
      </c>
      <c r="AP4" s="217"/>
      <c r="AQ4" s="217"/>
      <c r="AR4" s="217"/>
      <c r="AS4" s="217">
        <f>I4/27</f>
        <v>36</v>
      </c>
      <c r="AT4" s="217"/>
      <c r="AU4" s="217"/>
      <c r="AV4" s="217"/>
      <c r="AW4" s="217"/>
      <c r="AX4" s="217"/>
      <c r="AY4" s="217"/>
      <c r="AZ4" s="217"/>
      <c r="BA4" s="217"/>
      <c r="BB4" s="217"/>
      <c r="BC4" s="217"/>
      <c r="BD4" s="217"/>
      <c r="BE4" s="217"/>
      <c r="BF4" s="217"/>
      <c r="BG4" s="217"/>
      <c r="BH4" s="217"/>
      <c r="BI4" s="217"/>
      <c r="BJ4" s="226">
        <f t="shared" ref="BJ4:BR4" si="5">$I4*BJ$2</f>
        <v>118.96875</v>
      </c>
      <c r="BK4" s="226">
        <f t="shared" si="5"/>
        <v>118.96875</v>
      </c>
      <c r="BL4" s="226">
        <f t="shared" si="5"/>
        <v>118.96875</v>
      </c>
      <c r="BM4" s="226">
        <f t="shared" si="5"/>
        <v>118.96875</v>
      </c>
      <c r="BN4" s="226">
        <f t="shared" si="5"/>
        <v>118.96875</v>
      </c>
      <c r="BO4" s="226">
        <f t="shared" si="5"/>
        <v>118.96875</v>
      </c>
      <c r="BP4" s="226">
        <f t="shared" si="5"/>
        <v>118.96875</v>
      </c>
      <c r="BQ4" s="226">
        <f t="shared" si="5"/>
        <v>118.96875</v>
      </c>
      <c r="BR4" s="226">
        <f t="shared" si="5"/>
        <v>20.25</v>
      </c>
      <c r="BT4" s="60">
        <f>BT3-BJ4</f>
        <v>25775.7604166668</v>
      </c>
      <c r="BU4" s="60">
        <f>BU3-BK4</f>
        <v>25775.7604166668</v>
      </c>
      <c r="BV4" s="60">
        <f t="shared" ref="BV4:CB4" si="6">BV3-BL4</f>
        <v>25775.7604166668</v>
      </c>
      <c r="BW4" s="60">
        <f t="shared" si="6"/>
        <v>25775.7604166668</v>
      </c>
      <c r="BX4" s="60">
        <f t="shared" si="6"/>
        <v>25775.7604166668</v>
      </c>
      <c r="BY4" s="60">
        <f t="shared" si="6"/>
        <v>25775.7604166668</v>
      </c>
      <c r="BZ4" s="60">
        <f t="shared" si="6"/>
        <v>25775.7604166668</v>
      </c>
      <c r="CA4" s="60">
        <f t="shared" si="6"/>
        <v>25775.7604166668</v>
      </c>
      <c r="CB4" s="60">
        <f t="shared" si="6"/>
        <v>4338.9166666667</v>
      </c>
    </row>
    <row r="5" s="139" customFormat="1" ht="27" customHeight="1" spans="1:80">
      <c r="A5" s="155">
        <v>45964</v>
      </c>
      <c r="B5" s="156" t="s">
        <v>1544</v>
      </c>
      <c r="C5" s="157" t="s">
        <v>1545</v>
      </c>
      <c r="D5" s="158">
        <v>4500180717</v>
      </c>
      <c r="E5" s="157" t="s">
        <v>1546</v>
      </c>
      <c r="F5" s="156" t="s">
        <v>1547</v>
      </c>
      <c r="G5" s="159" t="s">
        <v>78</v>
      </c>
      <c r="H5" s="156" t="s">
        <v>79</v>
      </c>
      <c r="I5" s="181">
        <v>2916</v>
      </c>
      <c r="J5" s="181">
        <v>0</v>
      </c>
      <c r="K5" s="181">
        <v>54</v>
      </c>
      <c r="L5" s="181">
        <f t="shared" si="1"/>
        <v>54</v>
      </c>
      <c r="M5" s="182">
        <v>46006</v>
      </c>
      <c r="N5" s="182">
        <v>46006</v>
      </c>
      <c r="O5" s="183"/>
      <c r="P5" s="183" t="s">
        <v>107</v>
      </c>
      <c r="Q5" s="183"/>
      <c r="R5" s="196">
        <v>45973</v>
      </c>
      <c r="S5" s="196" t="s">
        <v>80</v>
      </c>
      <c r="T5" s="196" t="s">
        <v>1548</v>
      </c>
      <c r="U5" s="183"/>
      <c r="V5" s="194" t="s">
        <v>1549</v>
      </c>
      <c r="W5" s="182" t="s">
        <v>1550</v>
      </c>
      <c r="X5" s="195">
        <v>0.7913</v>
      </c>
      <c r="Y5" s="181">
        <f>X5*I5</f>
        <v>2307.4308</v>
      </c>
      <c r="Z5" s="182" t="s">
        <v>82</v>
      </c>
      <c r="AA5" s="194">
        <v>2916</v>
      </c>
      <c r="AB5" s="194">
        <f t="shared" si="2"/>
        <v>0</v>
      </c>
      <c r="AC5" s="183" t="s">
        <v>113</v>
      </c>
      <c r="AD5" s="183" t="s">
        <v>114</v>
      </c>
      <c r="AE5" s="182" t="s">
        <v>78</v>
      </c>
      <c r="AF5" s="182" t="s">
        <v>115</v>
      </c>
      <c r="AG5" s="217">
        <f t="shared" si="3"/>
        <v>2916</v>
      </c>
      <c r="AH5" s="217"/>
      <c r="AI5" s="217">
        <f t="shared" si="4"/>
        <v>2916</v>
      </c>
      <c r="AJ5" s="217"/>
      <c r="AK5" s="217">
        <f>I5</f>
        <v>2916</v>
      </c>
      <c r="AL5" s="217"/>
      <c r="AM5" s="217"/>
      <c r="AN5" s="217"/>
      <c r="AO5" s="217">
        <f>I5</f>
        <v>2916</v>
      </c>
      <c r="AP5" s="217"/>
      <c r="AQ5" s="217">
        <f>I5/27</f>
        <v>108</v>
      </c>
      <c r="AR5" s="217"/>
      <c r="AS5" s="217"/>
      <c r="AT5" s="217"/>
      <c r="AU5" s="217"/>
      <c r="AV5" s="217"/>
      <c r="AW5" s="217"/>
      <c r="AX5" s="217"/>
      <c r="AY5" s="217"/>
      <c r="AZ5" s="217"/>
      <c r="BA5" s="217"/>
      <c r="BB5" s="217"/>
      <c r="BC5" s="217"/>
      <c r="BD5" s="217"/>
      <c r="BE5" s="217"/>
      <c r="BF5" s="217"/>
      <c r="BG5" s="217"/>
      <c r="BH5" s="217"/>
      <c r="BI5" s="217"/>
      <c r="BJ5" s="227">
        <f t="shared" ref="BJ5:BR5" si="7">$I5*BJ$2</f>
        <v>356.906249999999</v>
      </c>
      <c r="BK5" s="227">
        <f t="shared" si="7"/>
        <v>356.906249999999</v>
      </c>
      <c r="BL5" s="227">
        <f t="shared" si="7"/>
        <v>356.906249999999</v>
      </c>
      <c r="BM5" s="227">
        <f t="shared" si="7"/>
        <v>356.906249999999</v>
      </c>
      <c r="BN5" s="227">
        <f t="shared" si="7"/>
        <v>356.906249999999</v>
      </c>
      <c r="BO5" s="227">
        <f t="shared" si="7"/>
        <v>356.906249999999</v>
      </c>
      <c r="BP5" s="227">
        <f t="shared" si="7"/>
        <v>356.906249999999</v>
      </c>
      <c r="BQ5" s="227">
        <f t="shared" si="7"/>
        <v>356.906249999999</v>
      </c>
      <c r="BR5" s="227">
        <f t="shared" si="7"/>
        <v>60.7499999999999</v>
      </c>
      <c r="BT5" s="227">
        <f t="shared" ref="BT5:CB5" si="8">BT4-BJ5</f>
        <v>25418.8541666668</v>
      </c>
      <c r="BU5" s="227">
        <f t="shared" si="8"/>
        <v>25418.8541666668</v>
      </c>
      <c r="BV5" s="227">
        <f t="shared" si="8"/>
        <v>25418.8541666668</v>
      </c>
      <c r="BW5" s="227">
        <f t="shared" si="8"/>
        <v>25418.8541666668</v>
      </c>
      <c r="BX5" s="227">
        <f t="shared" si="8"/>
        <v>25418.8541666668</v>
      </c>
      <c r="BY5" s="227">
        <f t="shared" si="8"/>
        <v>25418.8541666668</v>
      </c>
      <c r="BZ5" s="227">
        <f t="shared" si="8"/>
        <v>25418.8541666668</v>
      </c>
      <c r="CA5" s="227">
        <f t="shared" si="8"/>
        <v>25418.8541666668</v>
      </c>
      <c r="CB5" s="227">
        <f t="shared" si="8"/>
        <v>4278.1666666667</v>
      </c>
    </row>
    <row r="6" s="139" customFormat="1" ht="27" customHeight="1" spans="1:80">
      <c r="A6" s="155">
        <v>45964</v>
      </c>
      <c r="B6" s="156" t="s">
        <v>1544</v>
      </c>
      <c r="C6" s="157" t="s">
        <v>1545</v>
      </c>
      <c r="D6" s="158">
        <v>4500180735</v>
      </c>
      <c r="E6" s="157" t="s">
        <v>1551</v>
      </c>
      <c r="F6" s="156" t="s">
        <v>1552</v>
      </c>
      <c r="G6" s="159" t="s">
        <v>78</v>
      </c>
      <c r="H6" s="156" t="s">
        <v>79</v>
      </c>
      <c r="I6" s="181">
        <v>1080</v>
      </c>
      <c r="J6" s="181">
        <v>0</v>
      </c>
      <c r="K6" s="181">
        <v>54</v>
      </c>
      <c r="L6" s="181">
        <f t="shared" si="1"/>
        <v>20</v>
      </c>
      <c r="M6" s="182">
        <v>46006</v>
      </c>
      <c r="N6" s="182">
        <v>46006</v>
      </c>
      <c r="O6" s="183"/>
      <c r="P6" s="183" t="s">
        <v>107</v>
      </c>
      <c r="Q6" s="183" t="s">
        <v>1617</v>
      </c>
      <c r="R6" s="196">
        <v>45973</v>
      </c>
      <c r="S6" s="196" t="s">
        <v>80</v>
      </c>
      <c r="T6" s="196" t="s">
        <v>1548</v>
      </c>
      <c r="U6" s="183"/>
      <c r="V6" s="194" t="s">
        <v>1553</v>
      </c>
      <c r="W6" s="182" t="s">
        <v>1550</v>
      </c>
      <c r="X6" s="195">
        <v>0.7913</v>
      </c>
      <c r="Y6" s="181">
        <f>X6*I6</f>
        <v>854.604</v>
      </c>
      <c r="Z6" s="182" t="s">
        <v>82</v>
      </c>
      <c r="AA6" s="194">
        <v>1080</v>
      </c>
      <c r="AB6" s="194">
        <f t="shared" si="2"/>
        <v>0</v>
      </c>
      <c r="AC6" s="183" t="s">
        <v>113</v>
      </c>
      <c r="AD6" s="183" t="s">
        <v>114</v>
      </c>
      <c r="AE6" s="182" t="s">
        <v>78</v>
      </c>
      <c r="AF6" s="182" t="s">
        <v>115</v>
      </c>
      <c r="AG6" s="217">
        <f t="shared" si="3"/>
        <v>1080</v>
      </c>
      <c r="AH6" s="217"/>
      <c r="AI6" s="217">
        <f t="shared" si="4"/>
        <v>1080</v>
      </c>
      <c r="AJ6" s="217"/>
      <c r="AK6" s="217">
        <f>I6</f>
        <v>1080</v>
      </c>
      <c r="AL6" s="217"/>
      <c r="AM6" s="217"/>
      <c r="AN6" s="217"/>
      <c r="AO6" s="217">
        <f>I6</f>
        <v>1080</v>
      </c>
      <c r="AP6" s="217"/>
      <c r="AQ6" s="217">
        <f>I6/27</f>
        <v>40</v>
      </c>
      <c r="AR6" s="217"/>
      <c r="AS6" s="217"/>
      <c r="AT6" s="217"/>
      <c r="AU6" s="217"/>
      <c r="AV6" s="217"/>
      <c r="AW6" s="217"/>
      <c r="AX6" s="217"/>
      <c r="AY6" s="217"/>
      <c r="AZ6" s="217"/>
      <c r="BA6" s="217"/>
      <c r="BB6" s="217"/>
      <c r="BC6" s="217"/>
      <c r="BD6" s="217"/>
      <c r="BE6" s="217"/>
      <c r="BF6" s="217"/>
      <c r="BG6" s="217"/>
      <c r="BH6" s="217"/>
      <c r="BI6" s="217"/>
      <c r="BJ6" s="227">
        <f t="shared" ref="BJ6:BR6" si="9">$I6*BJ$2</f>
        <v>132.1875</v>
      </c>
      <c r="BK6" s="227">
        <f t="shared" si="9"/>
        <v>132.1875</v>
      </c>
      <c r="BL6" s="227">
        <f t="shared" si="9"/>
        <v>132.1875</v>
      </c>
      <c r="BM6" s="227">
        <f t="shared" si="9"/>
        <v>132.1875</v>
      </c>
      <c r="BN6" s="227">
        <f t="shared" si="9"/>
        <v>132.1875</v>
      </c>
      <c r="BO6" s="227">
        <f t="shared" si="9"/>
        <v>132.1875</v>
      </c>
      <c r="BP6" s="227">
        <f t="shared" si="9"/>
        <v>132.1875</v>
      </c>
      <c r="BQ6" s="227">
        <f t="shared" si="9"/>
        <v>132.1875</v>
      </c>
      <c r="BR6" s="227">
        <f t="shared" si="9"/>
        <v>22.5</v>
      </c>
      <c r="BT6" s="227">
        <f t="shared" ref="BT6:CB6" si="10">BT5-BJ6</f>
        <v>25286.6666666668</v>
      </c>
      <c r="BU6" s="227">
        <f t="shared" si="10"/>
        <v>25286.6666666668</v>
      </c>
      <c r="BV6" s="227">
        <f t="shared" si="10"/>
        <v>25286.6666666668</v>
      </c>
      <c r="BW6" s="227">
        <f t="shared" si="10"/>
        <v>25286.6666666668</v>
      </c>
      <c r="BX6" s="227">
        <f t="shared" si="10"/>
        <v>25286.6666666668</v>
      </c>
      <c r="BY6" s="227">
        <f t="shared" si="10"/>
        <v>25286.6666666668</v>
      </c>
      <c r="BZ6" s="227">
        <f t="shared" si="10"/>
        <v>25286.6666666668</v>
      </c>
      <c r="CA6" s="227">
        <f t="shared" si="10"/>
        <v>25286.6666666668</v>
      </c>
      <c r="CB6" s="227">
        <f t="shared" si="10"/>
        <v>4255.6666666667</v>
      </c>
    </row>
    <row r="7" s="139" customFormat="1" ht="27" customHeight="1" spans="1:80">
      <c r="A7" s="155">
        <v>45964</v>
      </c>
      <c r="B7" s="156" t="s">
        <v>1544</v>
      </c>
      <c r="C7" s="157" t="s">
        <v>1545</v>
      </c>
      <c r="D7" s="158">
        <v>4500180758</v>
      </c>
      <c r="E7" s="157" t="s">
        <v>1554</v>
      </c>
      <c r="F7" s="156" t="s">
        <v>1555</v>
      </c>
      <c r="G7" s="159" t="s">
        <v>78</v>
      </c>
      <c r="H7" s="156" t="s">
        <v>79</v>
      </c>
      <c r="I7" s="181">
        <v>1080</v>
      </c>
      <c r="J7" s="181">
        <v>0</v>
      </c>
      <c r="K7" s="181">
        <v>54</v>
      </c>
      <c r="L7" s="181">
        <f t="shared" si="1"/>
        <v>20</v>
      </c>
      <c r="M7" s="182">
        <v>46006</v>
      </c>
      <c r="N7" s="182">
        <v>46006</v>
      </c>
      <c r="O7" s="183"/>
      <c r="P7" s="183" t="s">
        <v>107</v>
      </c>
      <c r="Q7" s="183" t="s">
        <v>1618</v>
      </c>
      <c r="R7" s="196">
        <v>45973</v>
      </c>
      <c r="S7" s="196" t="s">
        <v>80</v>
      </c>
      <c r="T7" s="196" t="s">
        <v>1548</v>
      </c>
      <c r="U7" s="183"/>
      <c r="V7" s="194" t="s">
        <v>1549</v>
      </c>
      <c r="W7" s="182" t="s">
        <v>1550</v>
      </c>
      <c r="X7" s="195">
        <v>0.7913</v>
      </c>
      <c r="Y7" s="181">
        <f>X7*I7</f>
        <v>854.604</v>
      </c>
      <c r="Z7" s="182" t="s">
        <v>82</v>
      </c>
      <c r="AA7" s="194">
        <v>1080</v>
      </c>
      <c r="AB7" s="194">
        <f t="shared" si="2"/>
        <v>0</v>
      </c>
      <c r="AC7" s="183" t="s">
        <v>113</v>
      </c>
      <c r="AD7" s="183" t="s">
        <v>114</v>
      </c>
      <c r="AE7" s="182" t="s">
        <v>78</v>
      </c>
      <c r="AF7" s="182" t="s">
        <v>115</v>
      </c>
      <c r="AG7" s="217">
        <f t="shared" si="3"/>
        <v>1080</v>
      </c>
      <c r="AH7" s="217"/>
      <c r="AI7" s="217">
        <f t="shared" si="4"/>
        <v>1080</v>
      </c>
      <c r="AJ7" s="217"/>
      <c r="AK7" s="217">
        <f>I7</f>
        <v>1080</v>
      </c>
      <c r="AL7" s="217"/>
      <c r="AM7" s="217"/>
      <c r="AN7" s="217"/>
      <c r="AO7" s="217">
        <f>I7</f>
        <v>1080</v>
      </c>
      <c r="AP7" s="217"/>
      <c r="AQ7" s="217">
        <f>I7/27</f>
        <v>40</v>
      </c>
      <c r="AR7" s="217"/>
      <c r="AS7" s="217"/>
      <c r="AT7" s="217"/>
      <c r="AU7" s="217"/>
      <c r="AV7" s="217"/>
      <c r="AW7" s="217"/>
      <c r="AX7" s="217"/>
      <c r="AY7" s="217"/>
      <c r="AZ7" s="217"/>
      <c r="BA7" s="217"/>
      <c r="BB7" s="217"/>
      <c r="BC7" s="217"/>
      <c r="BD7" s="217"/>
      <c r="BE7" s="217"/>
      <c r="BF7" s="217"/>
      <c r="BG7" s="217"/>
      <c r="BH7" s="217"/>
      <c r="BI7" s="217"/>
      <c r="BJ7" s="227">
        <f t="shared" ref="BJ7:BR7" si="11">$I7*BJ$2</f>
        <v>132.1875</v>
      </c>
      <c r="BK7" s="227">
        <f t="shared" si="11"/>
        <v>132.1875</v>
      </c>
      <c r="BL7" s="227">
        <f t="shared" si="11"/>
        <v>132.1875</v>
      </c>
      <c r="BM7" s="227">
        <f t="shared" si="11"/>
        <v>132.1875</v>
      </c>
      <c r="BN7" s="227">
        <f t="shared" si="11"/>
        <v>132.1875</v>
      </c>
      <c r="BO7" s="227">
        <f t="shared" si="11"/>
        <v>132.1875</v>
      </c>
      <c r="BP7" s="227">
        <f t="shared" si="11"/>
        <v>132.1875</v>
      </c>
      <c r="BQ7" s="227">
        <f t="shared" si="11"/>
        <v>132.1875</v>
      </c>
      <c r="BR7" s="227">
        <f t="shared" si="11"/>
        <v>22.5</v>
      </c>
      <c r="BT7" s="227">
        <f t="shared" ref="BT7:CB7" si="12">BT6-BJ7</f>
        <v>25154.4791666668</v>
      </c>
      <c r="BU7" s="227">
        <f t="shared" si="12"/>
        <v>25154.4791666668</v>
      </c>
      <c r="BV7" s="227">
        <f t="shared" si="12"/>
        <v>25154.4791666668</v>
      </c>
      <c r="BW7" s="227">
        <f t="shared" si="12"/>
        <v>25154.4791666668</v>
      </c>
      <c r="BX7" s="227">
        <f t="shared" si="12"/>
        <v>25154.4791666668</v>
      </c>
      <c r="BY7" s="227">
        <f t="shared" si="12"/>
        <v>25154.4791666668</v>
      </c>
      <c r="BZ7" s="227">
        <f t="shared" si="12"/>
        <v>25154.4791666668</v>
      </c>
      <c r="CA7" s="227">
        <f t="shared" si="12"/>
        <v>25154.4791666668</v>
      </c>
      <c r="CB7" s="227">
        <f t="shared" si="12"/>
        <v>4233.1666666667</v>
      </c>
    </row>
    <row r="8" s="139" customFormat="1" ht="27" customHeight="1" spans="1:80">
      <c r="A8" s="155">
        <v>45972</v>
      </c>
      <c r="B8" s="156" t="s">
        <v>1384</v>
      </c>
      <c r="C8" s="157" t="s">
        <v>689</v>
      </c>
      <c r="D8" s="158">
        <v>4500185221</v>
      </c>
      <c r="E8" s="157">
        <v>5000002057</v>
      </c>
      <c r="F8" s="156" t="s">
        <v>1556</v>
      </c>
      <c r="G8" s="159" t="s">
        <v>152</v>
      </c>
      <c r="H8" s="156" t="s">
        <v>153</v>
      </c>
      <c r="I8" s="181">
        <v>2600</v>
      </c>
      <c r="J8" s="181">
        <v>0</v>
      </c>
      <c r="K8" s="181">
        <v>13</v>
      </c>
      <c r="L8" s="181">
        <f t="shared" si="1"/>
        <v>200</v>
      </c>
      <c r="M8" s="182">
        <v>46008</v>
      </c>
      <c r="N8" s="182">
        <v>46006</v>
      </c>
      <c r="O8" s="183"/>
      <c r="P8" s="183" t="s">
        <v>107</v>
      </c>
      <c r="Q8" s="183" t="s">
        <v>1557</v>
      </c>
      <c r="R8" s="192" t="s">
        <v>1558</v>
      </c>
      <c r="S8" s="183" t="s">
        <v>80</v>
      </c>
      <c r="T8" s="183" t="s">
        <v>1559</v>
      </c>
      <c r="U8" s="183"/>
      <c r="V8" s="194" t="s">
        <v>1560</v>
      </c>
      <c r="W8" s="182" t="s">
        <v>1068</v>
      </c>
      <c r="X8" s="195">
        <v>0.7758</v>
      </c>
      <c r="Y8" s="181">
        <f>X8*I8</f>
        <v>2017.08</v>
      </c>
      <c r="Z8" s="182" t="s">
        <v>82</v>
      </c>
      <c r="AA8" s="194">
        <v>2600</v>
      </c>
      <c r="AB8" s="194">
        <f t="shared" si="2"/>
        <v>0</v>
      </c>
      <c r="AC8" s="183" t="s">
        <v>113</v>
      </c>
      <c r="AD8" s="183" t="s">
        <v>114</v>
      </c>
      <c r="AE8" s="182" t="s">
        <v>696</v>
      </c>
      <c r="AF8" s="182" t="s">
        <v>115</v>
      </c>
      <c r="AG8" s="217">
        <f t="shared" si="3"/>
        <v>2600</v>
      </c>
      <c r="AH8" s="217"/>
      <c r="AI8" s="217">
        <f t="shared" si="4"/>
        <v>2600</v>
      </c>
      <c r="AJ8" s="217"/>
      <c r="AK8" s="217">
        <f>I8</f>
        <v>2600</v>
      </c>
      <c r="AL8" s="217"/>
      <c r="AM8" s="217"/>
      <c r="AN8" s="217"/>
      <c r="AO8" s="217"/>
      <c r="AP8" s="217">
        <f>I8</f>
        <v>2600</v>
      </c>
      <c r="AQ8" s="217"/>
      <c r="AR8" s="217"/>
      <c r="AS8" s="217"/>
      <c r="AT8" s="217">
        <f>I8/13</f>
        <v>200</v>
      </c>
      <c r="AU8" s="217"/>
      <c r="AV8" s="217"/>
      <c r="AW8" s="217"/>
      <c r="AX8" s="217"/>
      <c r="AY8" s="217"/>
      <c r="AZ8" s="217"/>
      <c r="BA8" s="217"/>
      <c r="BB8" s="217"/>
      <c r="BC8" s="217"/>
      <c r="BD8" s="217"/>
      <c r="BE8" s="217"/>
      <c r="BF8" s="217"/>
      <c r="BG8" s="217"/>
      <c r="BH8" s="217"/>
      <c r="BI8" s="217"/>
      <c r="BJ8" s="227">
        <f t="shared" ref="BJ8:BR8" si="13">$I8*BJ$2</f>
        <v>318.229166666666</v>
      </c>
      <c r="BK8" s="227">
        <f t="shared" si="13"/>
        <v>318.229166666666</v>
      </c>
      <c r="BL8" s="227">
        <f t="shared" si="13"/>
        <v>318.229166666666</v>
      </c>
      <c r="BM8" s="227">
        <f t="shared" si="13"/>
        <v>318.229166666666</v>
      </c>
      <c r="BN8" s="227">
        <f t="shared" si="13"/>
        <v>318.229166666666</v>
      </c>
      <c r="BO8" s="227">
        <f t="shared" si="13"/>
        <v>318.229166666666</v>
      </c>
      <c r="BP8" s="227">
        <f t="shared" si="13"/>
        <v>318.229166666666</v>
      </c>
      <c r="BQ8" s="227">
        <f t="shared" si="13"/>
        <v>318.229166666666</v>
      </c>
      <c r="BR8" s="227">
        <f t="shared" si="13"/>
        <v>54.1666666666666</v>
      </c>
      <c r="BT8" s="227">
        <f t="shared" ref="BT8:CB8" si="14">BT7-BJ8</f>
        <v>24836.2500000001</v>
      </c>
      <c r="BU8" s="227">
        <f t="shared" si="14"/>
        <v>24836.2500000001</v>
      </c>
      <c r="BV8" s="227">
        <f t="shared" si="14"/>
        <v>24836.2500000001</v>
      </c>
      <c r="BW8" s="227">
        <f t="shared" si="14"/>
        <v>24836.2500000001</v>
      </c>
      <c r="BX8" s="227">
        <f t="shared" si="14"/>
        <v>24836.2500000001</v>
      </c>
      <c r="BY8" s="227">
        <f t="shared" si="14"/>
        <v>24836.2500000001</v>
      </c>
      <c r="BZ8" s="227">
        <f t="shared" si="14"/>
        <v>24836.2500000001</v>
      </c>
      <c r="CA8" s="227">
        <f t="shared" si="14"/>
        <v>24836.2500000001</v>
      </c>
      <c r="CB8" s="227">
        <f t="shared" si="14"/>
        <v>4179.00000000003</v>
      </c>
    </row>
    <row r="9" s="139" customFormat="1" ht="27" customHeight="1" spans="1:80">
      <c r="A9" s="155">
        <v>45995</v>
      </c>
      <c r="B9" s="156" t="s">
        <v>326</v>
      </c>
      <c r="C9" s="157" t="s">
        <v>117</v>
      </c>
      <c r="D9" s="158">
        <v>4500188055</v>
      </c>
      <c r="E9" s="305" t="s">
        <v>1561</v>
      </c>
      <c r="F9" s="156" t="s">
        <v>1562</v>
      </c>
      <c r="G9" s="159" t="s">
        <v>258</v>
      </c>
      <c r="H9" s="156" t="s">
        <v>259</v>
      </c>
      <c r="I9" s="181">
        <v>9216</v>
      </c>
      <c r="J9" s="181">
        <v>0</v>
      </c>
      <c r="K9" s="181">
        <v>1152</v>
      </c>
      <c r="L9" s="181">
        <f t="shared" si="1"/>
        <v>8</v>
      </c>
      <c r="M9" s="182">
        <v>46027</v>
      </c>
      <c r="N9" s="182">
        <v>46027</v>
      </c>
      <c r="O9" s="183" t="s">
        <v>1563</v>
      </c>
      <c r="P9" s="183" t="s">
        <v>107</v>
      </c>
      <c r="Q9" s="183" t="s">
        <v>1619</v>
      </c>
      <c r="R9" s="196" t="s">
        <v>331</v>
      </c>
      <c r="S9" s="183" t="s">
        <v>191</v>
      </c>
      <c r="T9" s="183" t="s">
        <v>1564</v>
      </c>
      <c r="U9" s="183"/>
      <c r="V9" s="194" t="s">
        <v>1320</v>
      </c>
      <c r="W9" s="182" t="s">
        <v>265</v>
      </c>
      <c r="X9" s="195">
        <v>62.7125</v>
      </c>
      <c r="Y9" s="181">
        <f>X9*L9</f>
        <v>501.7</v>
      </c>
      <c r="Z9" s="182" t="s">
        <v>82</v>
      </c>
      <c r="AA9" s="194">
        <f>9180+36</f>
        <v>9216</v>
      </c>
      <c r="AB9" s="194">
        <f t="shared" si="2"/>
        <v>0</v>
      </c>
      <c r="AC9" s="183" t="s">
        <v>113</v>
      </c>
      <c r="AD9" s="183" t="s">
        <v>114</v>
      </c>
      <c r="AE9" s="159" t="s">
        <v>258</v>
      </c>
      <c r="AF9" s="182" t="s">
        <v>115</v>
      </c>
      <c r="AG9" s="217">
        <f t="shared" si="3"/>
        <v>9216</v>
      </c>
      <c r="AH9" s="217"/>
      <c r="AI9" s="217">
        <f t="shared" si="4"/>
        <v>9216</v>
      </c>
      <c r="AJ9" s="217"/>
      <c r="AK9" s="217">
        <f>I9</f>
        <v>9216</v>
      </c>
      <c r="AL9" s="217"/>
      <c r="AM9" s="217"/>
      <c r="AN9" s="217"/>
      <c r="AO9" s="217">
        <f t="shared" ref="AO9:AO19" si="15">I9</f>
        <v>9216</v>
      </c>
      <c r="AP9" s="217"/>
      <c r="AQ9" s="217"/>
      <c r="AR9" s="217"/>
      <c r="AS9" s="217"/>
      <c r="AT9" s="217"/>
      <c r="AU9" s="217"/>
      <c r="AV9" s="217">
        <f>I9/12</f>
        <v>768</v>
      </c>
      <c r="AW9" s="217"/>
      <c r="AY9" s="217"/>
      <c r="AZ9" s="217"/>
      <c r="BA9" s="217"/>
      <c r="BB9" s="217"/>
      <c r="BC9" s="217"/>
      <c r="BD9" s="217"/>
      <c r="BE9" s="217"/>
      <c r="BF9" s="217"/>
      <c r="BG9" s="217"/>
      <c r="BH9" s="217"/>
      <c r="BI9" s="217"/>
      <c r="BJ9" s="227">
        <f t="shared" ref="BJ9:BR9" si="16">$I9*BJ$2</f>
        <v>1128</v>
      </c>
      <c r="BK9" s="227">
        <f t="shared" si="16"/>
        <v>1128</v>
      </c>
      <c r="BL9" s="227">
        <f t="shared" si="16"/>
        <v>1128</v>
      </c>
      <c r="BM9" s="227">
        <f t="shared" si="16"/>
        <v>1128</v>
      </c>
      <c r="BN9" s="227">
        <f t="shared" si="16"/>
        <v>1128</v>
      </c>
      <c r="BO9" s="227">
        <f t="shared" si="16"/>
        <v>1128</v>
      </c>
      <c r="BP9" s="227">
        <f t="shared" si="16"/>
        <v>1128</v>
      </c>
      <c r="BQ9" s="227">
        <f t="shared" si="16"/>
        <v>1128</v>
      </c>
      <c r="BR9" s="227">
        <f t="shared" si="16"/>
        <v>192</v>
      </c>
      <c r="BT9" s="227">
        <f t="shared" ref="BT9:BT24" si="17">BT8-BJ9</f>
        <v>23708.2500000001</v>
      </c>
      <c r="BU9" s="227">
        <f t="shared" ref="BU9:BU24" si="18">BU8-BK9</f>
        <v>23708.2500000001</v>
      </c>
      <c r="BV9" s="227">
        <f t="shared" ref="BV9:BV24" si="19">BV8-BL9</f>
        <v>23708.2500000001</v>
      </c>
      <c r="BW9" s="227">
        <f t="shared" ref="BW9:BW24" si="20">BW8-BM9</f>
        <v>23708.2500000001</v>
      </c>
      <c r="BX9" s="227">
        <f t="shared" ref="BX9:BX24" si="21">BX8-BN9</f>
        <v>23708.2500000001</v>
      </c>
      <c r="BY9" s="227">
        <f t="shared" ref="BY9:BY24" si="22">BY8-BO9</f>
        <v>23708.2500000001</v>
      </c>
      <c r="BZ9" s="227">
        <f t="shared" ref="BZ9:BZ24" si="23">BZ8-BP9</f>
        <v>23708.2500000001</v>
      </c>
      <c r="CA9" s="227">
        <f t="shared" ref="CA9:CA24" si="24">CA8-BQ9</f>
        <v>23708.2500000001</v>
      </c>
      <c r="CB9" s="227">
        <f t="shared" ref="CB9:CB24" si="25">CB8-BR9</f>
        <v>3987.00000000003</v>
      </c>
    </row>
    <row r="10" s="139" customFormat="1" ht="27" customHeight="1" spans="1:80">
      <c r="A10" s="155">
        <v>45968</v>
      </c>
      <c r="B10" s="156" t="s">
        <v>1565</v>
      </c>
      <c r="C10" s="157" t="s">
        <v>1566</v>
      </c>
      <c r="D10" s="158">
        <v>4500183616</v>
      </c>
      <c r="E10" s="157" t="s">
        <v>1567</v>
      </c>
      <c r="F10" s="156" t="s">
        <v>1568</v>
      </c>
      <c r="G10" s="159" t="s">
        <v>78</v>
      </c>
      <c r="H10" s="156" t="s">
        <v>79</v>
      </c>
      <c r="I10" s="181">
        <v>1782</v>
      </c>
      <c r="J10" s="181">
        <v>0</v>
      </c>
      <c r="K10" s="181">
        <v>54</v>
      </c>
      <c r="L10" s="181">
        <f t="shared" si="1"/>
        <v>33</v>
      </c>
      <c r="M10" s="182">
        <v>46031</v>
      </c>
      <c r="N10" s="182">
        <v>46027</v>
      </c>
      <c r="O10" s="183"/>
      <c r="P10" s="183" t="s">
        <v>224</v>
      </c>
      <c r="Q10" s="183" t="s">
        <v>1569</v>
      </c>
      <c r="R10" s="196">
        <v>45982</v>
      </c>
      <c r="S10" s="196" t="s">
        <v>80</v>
      </c>
      <c r="T10" s="183" t="s">
        <v>1570</v>
      </c>
      <c r="U10" s="183"/>
      <c r="V10" s="194" t="s">
        <v>1571</v>
      </c>
      <c r="W10" s="182" t="s">
        <v>228</v>
      </c>
      <c r="X10" s="195">
        <v>0.7913</v>
      </c>
      <c r="Y10" s="181">
        <f>X10*I10</f>
        <v>1410.0966</v>
      </c>
      <c r="Z10" s="182" t="s">
        <v>82</v>
      </c>
      <c r="AA10" s="194">
        <v>1782</v>
      </c>
      <c r="AB10" s="194">
        <f t="shared" si="2"/>
        <v>0</v>
      </c>
      <c r="AC10" s="183" t="s">
        <v>113</v>
      </c>
      <c r="AD10" s="183" t="s">
        <v>114</v>
      </c>
      <c r="AE10" s="182" t="s">
        <v>230</v>
      </c>
      <c r="AF10" s="182" t="s">
        <v>115</v>
      </c>
      <c r="AG10" s="217">
        <f t="shared" si="3"/>
        <v>1782</v>
      </c>
      <c r="AH10" s="217"/>
      <c r="AI10" s="217">
        <f t="shared" si="4"/>
        <v>1782</v>
      </c>
      <c r="AJ10" s="217"/>
      <c r="AK10" s="217"/>
      <c r="AL10" s="217">
        <f>I10</f>
        <v>1782</v>
      </c>
      <c r="AM10" s="217"/>
      <c r="AN10" s="217"/>
      <c r="AO10" s="217">
        <f t="shared" si="15"/>
        <v>1782</v>
      </c>
      <c r="AP10" s="217"/>
      <c r="AQ10" s="217"/>
      <c r="AR10" s="217"/>
      <c r="AS10" s="217">
        <f>I10/27</f>
        <v>66</v>
      </c>
      <c r="AT10" s="217"/>
      <c r="AU10" s="217"/>
      <c r="AV10" s="217"/>
      <c r="AW10" s="217"/>
      <c r="AX10" s="217"/>
      <c r="AY10" s="217"/>
      <c r="AZ10" s="217"/>
      <c r="BA10" s="217"/>
      <c r="BB10" s="217"/>
      <c r="BC10" s="217"/>
      <c r="BD10" s="217"/>
      <c r="BE10" s="217"/>
      <c r="BF10" s="217"/>
      <c r="BG10" s="217"/>
      <c r="BH10" s="217"/>
      <c r="BI10" s="217"/>
      <c r="BJ10" s="227">
        <f t="shared" ref="BJ10:BR10" si="26">$I10*BJ$2</f>
        <v>218.109374999999</v>
      </c>
      <c r="BK10" s="227">
        <f t="shared" si="26"/>
        <v>218.109374999999</v>
      </c>
      <c r="BL10" s="227">
        <f t="shared" si="26"/>
        <v>218.109374999999</v>
      </c>
      <c r="BM10" s="227">
        <f t="shared" si="26"/>
        <v>218.109374999999</v>
      </c>
      <c r="BN10" s="227">
        <f t="shared" si="26"/>
        <v>218.109374999999</v>
      </c>
      <c r="BO10" s="227">
        <f t="shared" si="26"/>
        <v>218.109374999999</v>
      </c>
      <c r="BP10" s="227">
        <f t="shared" si="26"/>
        <v>218.109374999999</v>
      </c>
      <c r="BQ10" s="227">
        <f t="shared" si="26"/>
        <v>218.109374999999</v>
      </c>
      <c r="BR10" s="227">
        <f t="shared" si="26"/>
        <v>37.1249999999999</v>
      </c>
      <c r="BT10" s="227">
        <f t="shared" si="17"/>
        <v>23490.1406250001</v>
      </c>
      <c r="BU10" s="227">
        <f t="shared" si="18"/>
        <v>23490.1406250001</v>
      </c>
      <c r="BV10" s="227">
        <f t="shared" si="19"/>
        <v>23490.1406250001</v>
      </c>
      <c r="BW10" s="227">
        <f t="shared" si="20"/>
        <v>23490.1406250001</v>
      </c>
      <c r="BX10" s="227">
        <f t="shared" si="21"/>
        <v>23490.1406250001</v>
      </c>
      <c r="BY10" s="227">
        <f t="shared" si="22"/>
        <v>23490.1406250001</v>
      </c>
      <c r="BZ10" s="227">
        <f t="shared" si="23"/>
        <v>23490.1406250001</v>
      </c>
      <c r="CA10" s="227">
        <f t="shared" si="24"/>
        <v>23490.1406250001</v>
      </c>
      <c r="CB10" s="227">
        <f t="shared" si="25"/>
        <v>3949.87500000003</v>
      </c>
    </row>
    <row r="11" s="139" customFormat="1" ht="27" customHeight="1" spans="1:80">
      <c r="A11" s="155">
        <v>45978</v>
      </c>
      <c r="B11" s="156" t="s">
        <v>1572</v>
      </c>
      <c r="C11" s="157" t="s">
        <v>1573</v>
      </c>
      <c r="D11" s="158">
        <v>4500185782</v>
      </c>
      <c r="E11" s="157"/>
      <c r="F11" s="156" t="s">
        <v>1574</v>
      </c>
      <c r="G11" s="159" t="s">
        <v>1575</v>
      </c>
      <c r="H11" s="156" t="s">
        <v>1576</v>
      </c>
      <c r="I11" s="181">
        <v>5000</v>
      </c>
      <c r="J11" s="181">
        <v>0</v>
      </c>
      <c r="K11" s="181">
        <v>8</v>
      </c>
      <c r="L11" s="181">
        <f t="shared" si="1"/>
        <v>625</v>
      </c>
      <c r="M11" s="182">
        <v>46027</v>
      </c>
      <c r="N11" s="182">
        <v>46030</v>
      </c>
      <c r="O11" s="183"/>
      <c r="P11" s="183" t="s">
        <v>107</v>
      </c>
      <c r="Q11" s="183" t="s">
        <v>1620</v>
      </c>
      <c r="R11" s="196">
        <v>45999</v>
      </c>
      <c r="S11" s="183" t="s">
        <v>80</v>
      </c>
      <c r="T11" s="183" t="s">
        <v>1577</v>
      </c>
      <c r="U11" s="183"/>
      <c r="V11" s="194" t="s">
        <v>1578</v>
      </c>
      <c r="W11" s="182" t="s">
        <v>881</v>
      </c>
      <c r="X11" s="195">
        <v>0.8485</v>
      </c>
      <c r="Y11" s="181">
        <f>X11*I11</f>
        <v>4242.5</v>
      </c>
      <c r="Z11" s="182" t="s">
        <v>82</v>
      </c>
      <c r="AA11" s="194">
        <f>4976+24</f>
        <v>5000</v>
      </c>
      <c r="AB11" s="194">
        <f t="shared" si="2"/>
        <v>0</v>
      </c>
      <c r="AC11" s="183" t="s">
        <v>113</v>
      </c>
      <c r="AD11" s="183" t="s">
        <v>114</v>
      </c>
      <c r="AE11" s="159" t="s">
        <v>1575</v>
      </c>
      <c r="AF11" s="182" t="s">
        <v>115</v>
      </c>
      <c r="AG11" s="217">
        <f t="shared" si="3"/>
        <v>5000</v>
      </c>
      <c r="AH11" s="217"/>
      <c r="AI11" s="217">
        <f t="shared" si="4"/>
        <v>5000</v>
      </c>
      <c r="AJ11" s="217"/>
      <c r="AK11" s="217"/>
      <c r="AL11" s="217">
        <f>I11</f>
        <v>5000</v>
      </c>
      <c r="AM11" s="217"/>
      <c r="AN11" s="217"/>
      <c r="AO11" s="217">
        <f t="shared" si="15"/>
        <v>5000</v>
      </c>
      <c r="AP11" s="217"/>
      <c r="AQ11" s="217"/>
      <c r="AR11" s="217"/>
      <c r="AS11" s="217"/>
      <c r="AT11" s="217"/>
      <c r="AU11" s="217"/>
      <c r="AV11" s="217"/>
      <c r="AW11" s="217"/>
      <c r="AY11" s="217">
        <f>I11/8</f>
        <v>625</v>
      </c>
      <c r="AZ11" s="217"/>
      <c r="BA11" s="217"/>
      <c r="BB11" s="217"/>
      <c r="BC11" s="217"/>
      <c r="BD11" s="217"/>
      <c r="BE11" s="217"/>
      <c r="BF11" s="217"/>
      <c r="BG11" s="217"/>
      <c r="BH11" s="217"/>
      <c r="BI11" s="217"/>
      <c r="BJ11" s="227">
        <f t="shared" ref="BJ11:BR11" si="27">$I11*BJ$2</f>
        <v>611.979166666665</v>
      </c>
      <c r="BK11" s="227">
        <f t="shared" si="27"/>
        <v>611.979166666665</v>
      </c>
      <c r="BL11" s="227">
        <f t="shared" si="27"/>
        <v>611.979166666665</v>
      </c>
      <c r="BM11" s="227">
        <f t="shared" si="27"/>
        <v>611.979166666665</v>
      </c>
      <c r="BN11" s="227">
        <f t="shared" si="27"/>
        <v>611.979166666665</v>
      </c>
      <c r="BO11" s="227">
        <f t="shared" si="27"/>
        <v>611.979166666665</v>
      </c>
      <c r="BP11" s="227">
        <f t="shared" si="27"/>
        <v>611.979166666665</v>
      </c>
      <c r="BQ11" s="227">
        <f t="shared" si="27"/>
        <v>611.979166666665</v>
      </c>
      <c r="BR11" s="227">
        <f t="shared" si="27"/>
        <v>104.166666666667</v>
      </c>
      <c r="BT11" s="227">
        <f t="shared" si="17"/>
        <v>22878.1614583335</v>
      </c>
      <c r="BU11" s="227">
        <f t="shared" si="18"/>
        <v>22878.1614583335</v>
      </c>
      <c r="BV11" s="227">
        <f t="shared" si="19"/>
        <v>22878.1614583335</v>
      </c>
      <c r="BW11" s="227">
        <f t="shared" si="20"/>
        <v>22878.1614583335</v>
      </c>
      <c r="BX11" s="227">
        <f t="shared" si="21"/>
        <v>22878.1614583335</v>
      </c>
      <c r="BY11" s="227">
        <f t="shared" si="22"/>
        <v>22878.1614583335</v>
      </c>
      <c r="BZ11" s="227">
        <f t="shared" si="23"/>
        <v>22878.1614583335</v>
      </c>
      <c r="CA11" s="227">
        <f t="shared" si="24"/>
        <v>22878.1614583335</v>
      </c>
      <c r="CB11" s="227">
        <f t="shared" si="25"/>
        <v>3845.70833333337</v>
      </c>
    </row>
    <row r="12" s="139" customFormat="1" ht="27" customHeight="1" spans="1:80">
      <c r="A12" s="155">
        <v>45992</v>
      </c>
      <c r="B12" s="156" t="s">
        <v>701</v>
      </c>
      <c r="C12" s="157" t="s">
        <v>396</v>
      </c>
      <c r="D12" s="158">
        <v>4500187528</v>
      </c>
      <c r="E12" s="157">
        <v>2950867457</v>
      </c>
      <c r="F12" s="156" t="s">
        <v>1579</v>
      </c>
      <c r="G12" s="159" t="s">
        <v>703</v>
      </c>
      <c r="H12" s="156" t="s">
        <v>704</v>
      </c>
      <c r="I12" s="181">
        <v>2080</v>
      </c>
      <c r="J12" s="181">
        <v>0</v>
      </c>
      <c r="K12" s="181">
        <v>1040</v>
      </c>
      <c r="L12" s="181">
        <f t="shared" si="1"/>
        <v>2</v>
      </c>
      <c r="M12" s="182">
        <v>46034</v>
      </c>
      <c r="N12" s="182">
        <v>46030</v>
      </c>
      <c r="O12" s="183"/>
      <c r="P12" s="183" t="s">
        <v>224</v>
      </c>
      <c r="Q12" s="183" t="s">
        <v>1621</v>
      </c>
      <c r="R12" s="197">
        <v>45992</v>
      </c>
      <c r="S12" s="183" t="s">
        <v>80</v>
      </c>
      <c r="T12" s="198" t="s">
        <v>706</v>
      </c>
      <c r="U12" s="183"/>
      <c r="V12" s="194" t="s">
        <v>1580</v>
      </c>
      <c r="W12" s="182" t="s">
        <v>1207</v>
      </c>
      <c r="X12" s="195">
        <v>82.6221</v>
      </c>
      <c r="Y12" s="181">
        <f>X12*L12</f>
        <v>165.2442</v>
      </c>
      <c r="Z12" s="182" t="s">
        <v>82</v>
      </c>
      <c r="AA12" s="194">
        <v>2080</v>
      </c>
      <c r="AB12" s="194">
        <f t="shared" si="2"/>
        <v>0</v>
      </c>
      <c r="AC12" s="183" t="s">
        <v>80</v>
      </c>
      <c r="AD12" s="183" t="s">
        <v>114</v>
      </c>
      <c r="AE12" s="182" t="s">
        <v>703</v>
      </c>
      <c r="AF12" s="182" t="s">
        <v>115</v>
      </c>
      <c r="AG12" s="217">
        <f t="shared" si="3"/>
        <v>2080</v>
      </c>
      <c r="AH12" s="217"/>
      <c r="AI12" s="217">
        <f t="shared" si="4"/>
        <v>2080</v>
      </c>
      <c r="AJ12" s="217"/>
      <c r="AK12" s="217">
        <f>I12</f>
        <v>2080</v>
      </c>
      <c r="AL12" s="217"/>
      <c r="AM12" s="217"/>
      <c r="AN12" s="217"/>
      <c r="AO12" s="217">
        <f t="shared" si="15"/>
        <v>2080</v>
      </c>
      <c r="AP12" s="217"/>
      <c r="AQ12" s="217"/>
      <c r="AR12" s="217"/>
      <c r="AS12" s="217"/>
      <c r="AT12" s="217">
        <f>I12/13</f>
        <v>160</v>
      </c>
      <c r="AU12" s="217"/>
      <c r="AV12" s="217"/>
      <c r="AW12" s="217"/>
      <c r="AX12" s="217"/>
      <c r="AY12" s="217"/>
      <c r="AZ12" s="217"/>
      <c r="BA12" s="217"/>
      <c r="BB12" s="217"/>
      <c r="BC12" s="217"/>
      <c r="BD12" s="217"/>
      <c r="BE12" s="217"/>
      <c r="BF12" s="217"/>
      <c r="BG12" s="217"/>
      <c r="BH12" s="217"/>
      <c r="BI12" s="217"/>
      <c r="BJ12" s="227">
        <f t="shared" ref="BJ12:BR12" si="28">$I12*BJ$2</f>
        <v>254.583333333333</v>
      </c>
      <c r="BK12" s="227">
        <f t="shared" si="28"/>
        <v>254.583333333333</v>
      </c>
      <c r="BL12" s="227">
        <f t="shared" si="28"/>
        <v>254.583333333333</v>
      </c>
      <c r="BM12" s="227">
        <f t="shared" si="28"/>
        <v>254.583333333333</v>
      </c>
      <c r="BN12" s="227">
        <f t="shared" si="28"/>
        <v>254.583333333333</v>
      </c>
      <c r="BO12" s="227">
        <f t="shared" si="28"/>
        <v>254.583333333333</v>
      </c>
      <c r="BP12" s="227">
        <f t="shared" si="28"/>
        <v>254.583333333333</v>
      </c>
      <c r="BQ12" s="227">
        <f t="shared" si="28"/>
        <v>254.583333333333</v>
      </c>
      <c r="BR12" s="227">
        <f t="shared" si="28"/>
        <v>43.3333333333333</v>
      </c>
      <c r="BT12" s="227">
        <f t="shared" si="17"/>
        <v>22623.5781250001</v>
      </c>
      <c r="BU12" s="227">
        <f t="shared" si="18"/>
        <v>22623.5781250001</v>
      </c>
      <c r="BV12" s="227">
        <f t="shared" si="19"/>
        <v>22623.5781250001</v>
      </c>
      <c r="BW12" s="227">
        <f t="shared" si="20"/>
        <v>22623.5781250001</v>
      </c>
      <c r="BX12" s="227">
        <f t="shared" si="21"/>
        <v>22623.5781250001</v>
      </c>
      <c r="BY12" s="227">
        <f t="shared" si="22"/>
        <v>22623.5781250001</v>
      </c>
      <c r="BZ12" s="227">
        <f t="shared" si="23"/>
        <v>22623.5781250001</v>
      </c>
      <c r="CA12" s="227">
        <f t="shared" si="24"/>
        <v>22623.5781250001</v>
      </c>
      <c r="CB12" s="227">
        <f t="shared" si="25"/>
        <v>3802.37500000003</v>
      </c>
    </row>
    <row r="13" s="139" customFormat="1" ht="27" customHeight="1" spans="1:80">
      <c r="A13" s="155">
        <v>46003</v>
      </c>
      <c r="B13" s="156" t="s">
        <v>1584</v>
      </c>
      <c r="C13" s="157" t="s">
        <v>396</v>
      </c>
      <c r="D13" s="158">
        <v>4500188811</v>
      </c>
      <c r="E13" s="157">
        <v>11519265</v>
      </c>
      <c r="F13" s="156" t="s">
        <v>1585</v>
      </c>
      <c r="G13" s="159" t="s">
        <v>78</v>
      </c>
      <c r="H13" s="156" t="s">
        <v>79</v>
      </c>
      <c r="I13" s="181">
        <v>25272</v>
      </c>
      <c r="J13" s="181">
        <v>0</v>
      </c>
      <c r="K13" s="181">
        <v>54</v>
      </c>
      <c r="L13" s="181">
        <f t="shared" si="1"/>
        <v>468</v>
      </c>
      <c r="M13" s="182">
        <v>46038</v>
      </c>
      <c r="N13" s="182">
        <v>46034</v>
      </c>
      <c r="O13" s="183"/>
      <c r="P13" s="183" t="s">
        <v>107</v>
      </c>
      <c r="Q13" s="183" t="s">
        <v>1622</v>
      </c>
      <c r="R13" s="197">
        <v>46003</v>
      </c>
      <c r="S13" s="199" t="s">
        <v>80</v>
      </c>
      <c r="T13" s="183" t="s">
        <v>80</v>
      </c>
      <c r="U13" s="183"/>
      <c r="V13" s="194" t="s">
        <v>1586</v>
      </c>
      <c r="W13" s="182" t="s">
        <v>413</v>
      </c>
      <c r="X13" s="195">
        <v>0.7751</v>
      </c>
      <c r="Y13" s="181">
        <f t="shared" ref="Y13:Y24" si="29">X13*I13</f>
        <v>19588.3272</v>
      </c>
      <c r="Z13" s="182" t="s">
        <v>82</v>
      </c>
      <c r="AA13" s="194">
        <v>25272</v>
      </c>
      <c r="AB13" s="194">
        <f t="shared" si="2"/>
        <v>0</v>
      </c>
      <c r="AC13" s="183" t="s">
        <v>80</v>
      </c>
      <c r="AD13" s="183" t="s">
        <v>114</v>
      </c>
      <c r="AE13" s="182" t="s">
        <v>78</v>
      </c>
      <c r="AF13" s="182" t="s">
        <v>115</v>
      </c>
      <c r="AG13" s="217">
        <f t="shared" si="3"/>
        <v>25272</v>
      </c>
      <c r="AH13" s="217"/>
      <c r="AI13" s="217">
        <f t="shared" si="4"/>
        <v>25272</v>
      </c>
      <c r="AJ13" s="217"/>
      <c r="AK13" s="217">
        <f>I13</f>
        <v>25272</v>
      </c>
      <c r="AL13" s="217"/>
      <c r="AM13" s="217"/>
      <c r="AN13" s="217"/>
      <c r="AO13" s="217">
        <f t="shared" si="15"/>
        <v>25272</v>
      </c>
      <c r="AP13" s="217"/>
      <c r="AQ13" s="217">
        <f>I13/27</f>
        <v>936</v>
      </c>
      <c r="AR13" s="217"/>
      <c r="AS13" s="217"/>
      <c r="AT13" s="217"/>
      <c r="AU13" s="217"/>
      <c r="AV13" s="217"/>
      <c r="AW13" s="217"/>
      <c r="AX13" s="217"/>
      <c r="AY13" s="217"/>
      <c r="AZ13" s="217"/>
      <c r="BA13" s="217"/>
      <c r="BB13" s="217"/>
      <c r="BC13" s="217"/>
      <c r="BD13" s="217"/>
      <c r="BE13" s="217"/>
      <c r="BF13" s="217"/>
      <c r="BG13" s="217"/>
      <c r="BH13" s="217"/>
      <c r="BI13" s="217"/>
      <c r="BJ13" s="227">
        <f t="shared" ref="BJ13:BR13" si="30">$I13*BJ$2</f>
        <v>3093.18749999999</v>
      </c>
      <c r="BK13" s="227">
        <f t="shared" si="30"/>
        <v>3093.18749999999</v>
      </c>
      <c r="BL13" s="227">
        <f t="shared" si="30"/>
        <v>3093.18749999999</v>
      </c>
      <c r="BM13" s="227">
        <f t="shared" si="30"/>
        <v>3093.18749999999</v>
      </c>
      <c r="BN13" s="227">
        <f t="shared" si="30"/>
        <v>3093.18749999999</v>
      </c>
      <c r="BO13" s="227">
        <f t="shared" si="30"/>
        <v>3093.18749999999</v>
      </c>
      <c r="BP13" s="227">
        <f t="shared" si="30"/>
        <v>3093.18749999999</v>
      </c>
      <c r="BQ13" s="227">
        <f t="shared" si="30"/>
        <v>3093.18749999999</v>
      </c>
      <c r="BR13" s="227">
        <f t="shared" si="30"/>
        <v>526.499999999999</v>
      </c>
      <c r="BT13" s="227">
        <f t="shared" si="17"/>
        <v>19530.3906250002</v>
      </c>
      <c r="BU13" s="227">
        <f t="shared" si="18"/>
        <v>19530.3906250002</v>
      </c>
      <c r="BV13" s="227">
        <f t="shared" si="19"/>
        <v>19530.3906250002</v>
      </c>
      <c r="BW13" s="227">
        <f t="shared" si="20"/>
        <v>19530.3906250002</v>
      </c>
      <c r="BX13" s="227">
        <f t="shared" si="21"/>
        <v>19530.3906250002</v>
      </c>
      <c r="BY13" s="227">
        <f t="shared" si="22"/>
        <v>19530.3906250002</v>
      </c>
      <c r="BZ13" s="227">
        <f t="shared" si="23"/>
        <v>19530.3906250002</v>
      </c>
      <c r="CA13" s="227">
        <f t="shared" si="24"/>
        <v>19530.3906250002</v>
      </c>
      <c r="CB13" s="227">
        <f t="shared" si="25"/>
        <v>3275.87500000004</v>
      </c>
    </row>
    <row r="14" s="139" customFormat="1" ht="27" customHeight="1" spans="1:80">
      <c r="A14" s="155">
        <v>45996</v>
      </c>
      <c r="B14" s="156" t="s">
        <v>1587</v>
      </c>
      <c r="C14" s="157" t="s">
        <v>117</v>
      </c>
      <c r="D14" s="158">
        <v>4500188208</v>
      </c>
      <c r="E14" s="157">
        <v>4353960671</v>
      </c>
      <c r="F14" s="156" t="s">
        <v>1588</v>
      </c>
      <c r="G14" s="159" t="s">
        <v>152</v>
      </c>
      <c r="H14" s="156" t="s">
        <v>153</v>
      </c>
      <c r="I14" s="181">
        <v>1807</v>
      </c>
      <c r="J14" s="181">
        <v>0</v>
      </c>
      <c r="K14" s="181">
        <v>13</v>
      </c>
      <c r="L14" s="181">
        <f t="shared" si="1"/>
        <v>139</v>
      </c>
      <c r="M14" s="182">
        <v>46044</v>
      </c>
      <c r="N14" s="182">
        <v>46041</v>
      </c>
      <c r="O14" s="183"/>
      <c r="P14" s="183" t="s">
        <v>107</v>
      </c>
      <c r="Q14" s="183"/>
      <c r="R14" s="193">
        <v>46009</v>
      </c>
      <c r="S14" s="199" t="s">
        <v>80</v>
      </c>
      <c r="T14" s="198" t="s">
        <v>1589</v>
      </c>
      <c r="U14" s="183"/>
      <c r="V14" s="194" t="s">
        <v>1590</v>
      </c>
      <c r="W14" s="182" t="s">
        <v>1591</v>
      </c>
      <c r="X14" s="195">
        <v>0.4655</v>
      </c>
      <c r="Y14" s="181">
        <f t="shared" si="29"/>
        <v>841.1585</v>
      </c>
      <c r="Z14" s="182" t="s">
        <v>82</v>
      </c>
      <c r="AA14" s="194">
        <v>1807</v>
      </c>
      <c r="AB14" s="194">
        <f t="shared" si="2"/>
        <v>0</v>
      </c>
      <c r="AC14" s="183" t="s">
        <v>113</v>
      </c>
      <c r="AD14" s="183" t="s">
        <v>114</v>
      </c>
      <c r="AE14" s="182" t="s">
        <v>152</v>
      </c>
      <c r="AF14" s="182" t="s">
        <v>115</v>
      </c>
      <c r="AG14" s="217">
        <f t="shared" si="3"/>
        <v>1807</v>
      </c>
      <c r="AH14" s="217"/>
      <c r="AI14" s="217">
        <f t="shared" si="4"/>
        <v>1807</v>
      </c>
      <c r="AJ14" s="217"/>
      <c r="AK14" s="217">
        <f>I14</f>
        <v>1807</v>
      </c>
      <c r="AL14" s="217"/>
      <c r="AM14" s="217"/>
      <c r="AN14" s="217"/>
      <c r="AO14" s="217">
        <f t="shared" si="15"/>
        <v>1807</v>
      </c>
      <c r="AP14" s="217"/>
      <c r="AQ14" s="217"/>
      <c r="AR14" s="217"/>
      <c r="AS14" s="217"/>
      <c r="AT14" s="217">
        <f>I14/13</f>
        <v>139</v>
      </c>
      <c r="AU14" s="217"/>
      <c r="AV14" s="217"/>
      <c r="AW14" s="217"/>
      <c r="AX14" s="217"/>
      <c r="AY14" s="217"/>
      <c r="AZ14" s="217"/>
      <c r="BA14" s="217"/>
      <c r="BB14" s="217"/>
      <c r="BC14" s="217"/>
      <c r="BD14" s="217"/>
      <c r="BE14" s="217"/>
      <c r="BF14" s="217"/>
      <c r="BG14" s="217"/>
      <c r="BH14" s="217"/>
      <c r="BI14" s="217"/>
      <c r="BJ14" s="227">
        <f t="shared" ref="BJ14:BR14" si="31">$I14*BJ$2</f>
        <v>221.169270833333</v>
      </c>
      <c r="BK14" s="227">
        <f t="shared" si="31"/>
        <v>221.169270833333</v>
      </c>
      <c r="BL14" s="227">
        <f t="shared" si="31"/>
        <v>221.169270833333</v>
      </c>
      <c r="BM14" s="227">
        <f t="shared" si="31"/>
        <v>221.169270833333</v>
      </c>
      <c r="BN14" s="227">
        <f t="shared" si="31"/>
        <v>221.169270833333</v>
      </c>
      <c r="BO14" s="227">
        <f t="shared" si="31"/>
        <v>221.169270833333</v>
      </c>
      <c r="BP14" s="227">
        <f t="shared" si="31"/>
        <v>221.169270833333</v>
      </c>
      <c r="BQ14" s="227">
        <f t="shared" si="31"/>
        <v>221.169270833333</v>
      </c>
      <c r="BR14" s="227">
        <f t="shared" si="31"/>
        <v>37.6458333333333</v>
      </c>
      <c r="BT14" s="227">
        <f t="shared" si="17"/>
        <v>19309.2213541668</v>
      </c>
      <c r="BU14" s="227">
        <f t="shared" si="18"/>
        <v>19309.2213541668</v>
      </c>
      <c r="BV14" s="227">
        <f t="shared" si="19"/>
        <v>19309.2213541668</v>
      </c>
      <c r="BW14" s="227">
        <f t="shared" si="20"/>
        <v>19309.2213541668</v>
      </c>
      <c r="BX14" s="227">
        <f t="shared" si="21"/>
        <v>19309.2213541668</v>
      </c>
      <c r="BY14" s="227">
        <f t="shared" si="22"/>
        <v>19309.2213541668</v>
      </c>
      <c r="BZ14" s="227">
        <f t="shared" si="23"/>
        <v>19309.2213541668</v>
      </c>
      <c r="CA14" s="227">
        <f t="shared" si="24"/>
        <v>19309.2213541668</v>
      </c>
      <c r="CB14" s="227">
        <f t="shared" si="25"/>
        <v>3238.2291666667</v>
      </c>
    </row>
    <row r="15" s="139" customFormat="1" ht="27" customHeight="1" spans="1:80">
      <c r="A15" s="155">
        <v>45995</v>
      </c>
      <c r="B15" s="156" t="s">
        <v>1587</v>
      </c>
      <c r="C15" s="157" t="s">
        <v>117</v>
      </c>
      <c r="D15" s="158">
        <v>4500187984</v>
      </c>
      <c r="E15" s="157">
        <v>4353960389</v>
      </c>
      <c r="F15" s="156" t="s">
        <v>1592</v>
      </c>
      <c r="G15" s="159" t="s">
        <v>152</v>
      </c>
      <c r="H15" s="156" t="s">
        <v>153</v>
      </c>
      <c r="I15" s="181">
        <v>2223</v>
      </c>
      <c r="J15" s="181">
        <v>0</v>
      </c>
      <c r="K15" s="181">
        <v>13</v>
      </c>
      <c r="L15" s="181">
        <f t="shared" si="1"/>
        <v>171</v>
      </c>
      <c r="M15" s="182">
        <v>46044</v>
      </c>
      <c r="N15" s="182">
        <v>46041</v>
      </c>
      <c r="O15" s="183"/>
      <c r="P15" s="183" t="s">
        <v>107</v>
      </c>
      <c r="Q15" s="183" t="s">
        <v>1623</v>
      </c>
      <c r="R15" s="193">
        <v>46009</v>
      </c>
      <c r="S15" s="199" t="s">
        <v>80</v>
      </c>
      <c r="T15" s="198" t="s">
        <v>1589</v>
      </c>
      <c r="U15" s="183"/>
      <c r="V15" s="194" t="s">
        <v>1590</v>
      </c>
      <c r="W15" s="182" t="s">
        <v>1591</v>
      </c>
      <c r="X15" s="195">
        <v>0.4759</v>
      </c>
      <c r="Y15" s="181">
        <f t="shared" si="29"/>
        <v>1057.9257</v>
      </c>
      <c r="Z15" s="182" t="s">
        <v>82</v>
      </c>
      <c r="AA15" s="194">
        <f>2171+52</f>
        <v>2223</v>
      </c>
      <c r="AB15" s="194">
        <f t="shared" si="2"/>
        <v>0</v>
      </c>
      <c r="AC15" s="183" t="s">
        <v>113</v>
      </c>
      <c r="AD15" s="183" t="s">
        <v>114</v>
      </c>
      <c r="AE15" s="182" t="s">
        <v>152</v>
      </c>
      <c r="AF15" s="182" t="s">
        <v>115</v>
      </c>
      <c r="AG15" s="217">
        <f t="shared" si="3"/>
        <v>2223</v>
      </c>
      <c r="AH15" s="217"/>
      <c r="AI15" s="217">
        <f t="shared" si="4"/>
        <v>2223</v>
      </c>
      <c r="AJ15" s="217"/>
      <c r="AK15" s="217">
        <f>I15</f>
        <v>2223</v>
      </c>
      <c r="AL15" s="217"/>
      <c r="AM15" s="217"/>
      <c r="AN15" s="217"/>
      <c r="AO15" s="217">
        <f t="shared" si="15"/>
        <v>2223</v>
      </c>
      <c r="AP15" s="217"/>
      <c r="AQ15" s="217"/>
      <c r="AR15" s="217"/>
      <c r="AS15" s="217"/>
      <c r="AT15" s="217">
        <f>I15/13</f>
        <v>171</v>
      </c>
      <c r="AU15" s="217"/>
      <c r="AV15" s="217"/>
      <c r="AW15" s="217"/>
      <c r="AX15" s="217"/>
      <c r="AY15" s="217"/>
      <c r="AZ15" s="217"/>
      <c r="BA15" s="217"/>
      <c r="BB15" s="217"/>
      <c r="BC15" s="217"/>
      <c r="BD15" s="217"/>
      <c r="BE15" s="217"/>
      <c r="BF15" s="217"/>
      <c r="BG15" s="217"/>
      <c r="BH15" s="217"/>
      <c r="BI15" s="217"/>
      <c r="BJ15" s="227">
        <f t="shared" ref="BJ15:BR15" si="32">$I15*BJ$2</f>
        <v>272.085937499999</v>
      </c>
      <c r="BK15" s="227">
        <f t="shared" si="32"/>
        <v>272.085937499999</v>
      </c>
      <c r="BL15" s="227">
        <f t="shared" si="32"/>
        <v>272.085937499999</v>
      </c>
      <c r="BM15" s="227">
        <f t="shared" si="32"/>
        <v>272.085937499999</v>
      </c>
      <c r="BN15" s="227">
        <f t="shared" si="32"/>
        <v>272.085937499999</v>
      </c>
      <c r="BO15" s="227">
        <f t="shared" si="32"/>
        <v>272.085937499999</v>
      </c>
      <c r="BP15" s="227">
        <f t="shared" si="32"/>
        <v>272.085937499999</v>
      </c>
      <c r="BQ15" s="227">
        <f t="shared" si="32"/>
        <v>272.085937499999</v>
      </c>
      <c r="BR15" s="227">
        <f t="shared" si="32"/>
        <v>46.3124999999999</v>
      </c>
      <c r="BT15" s="227">
        <f t="shared" si="17"/>
        <v>19037.1354166668</v>
      </c>
      <c r="BU15" s="227">
        <f t="shared" si="18"/>
        <v>19037.1354166668</v>
      </c>
      <c r="BV15" s="227">
        <f t="shared" si="19"/>
        <v>19037.1354166668</v>
      </c>
      <c r="BW15" s="227">
        <f t="shared" si="20"/>
        <v>19037.1354166668</v>
      </c>
      <c r="BX15" s="227">
        <f t="shared" si="21"/>
        <v>19037.1354166668</v>
      </c>
      <c r="BY15" s="227">
        <f t="shared" si="22"/>
        <v>19037.1354166668</v>
      </c>
      <c r="BZ15" s="227">
        <f t="shared" si="23"/>
        <v>19037.1354166668</v>
      </c>
      <c r="CA15" s="227">
        <f t="shared" si="24"/>
        <v>19037.1354166668</v>
      </c>
      <c r="CB15" s="227">
        <f t="shared" si="25"/>
        <v>3191.9166666667</v>
      </c>
    </row>
    <row r="16" s="139" customFormat="1" ht="27" customHeight="1" spans="1:80">
      <c r="A16" s="155">
        <v>45987</v>
      </c>
      <c r="B16" s="156" t="s">
        <v>795</v>
      </c>
      <c r="C16" s="157" t="s">
        <v>574</v>
      </c>
      <c r="D16" s="158">
        <v>4500187084</v>
      </c>
      <c r="E16" s="157">
        <v>5251218604</v>
      </c>
      <c r="F16" s="156" t="s">
        <v>1593</v>
      </c>
      <c r="G16" s="159" t="s">
        <v>131</v>
      </c>
      <c r="H16" s="156" t="s">
        <v>1533</v>
      </c>
      <c r="I16" s="181">
        <v>1269</v>
      </c>
      <c r="J16" s="181">
        <v>0</v>
      </c>
      <c r="K16" s="181">
        <v>27</v>
      </c>
      <c r="L16" s="181">
        <f t="shared" si="1"/>
        <v>47</v>
      </c>
      <c r="M16" s="182">
        <v>46045</v>
      </c>
      <c r="N16" s="182">
        <v>46041</v>
      </c>
      <c r="O16" s="183"/>
      <c r="P16" s="183" t="s">
        <v>224</v>
      </c>
      <c r="Q16" s="183" t="s">
        <v>1624</v>
      </c>
      <c r="R16" s="197">
        <v>45987</v>
      </c>
      <c r="S16" s="193" t="s">
        <v>80</v>
      </c>
      <c r="T16" s="183" t="s">
        <v>1534</v>
      </c>
      <c r="U16" s="200" t="s">
        <v>1445</v>
      </c>
      <c r="V16" s="194" t="s">
        <v>1594</v>
      </c>
      <c r="W16" s="182" t="s">
        <v>581</v>
      </c>
      <c r="X16" s="195">
        <v>0.89</v>
      </c>
      <c r="Y16" s="181">
        <f t="shared" si="29"/>
        <v>1129.41</v>
      </c>
      <c r="Z16" s="182" t="s">
        <v>82</v>
      </c>
      <c r="AA16" s="194">
        <f>1242+27</f>
        <v>1269</v>
      </c>
      <c r="AB16" s="194">
        <f t="shared" si="2"/>
        <v>0</v>
      </c>
      <c r="AC16" s="183" t="s">
        <v>681</v>
      </c>
      <c r="AD16" s="183" t="s">
        <v>114</v>
      </c>
      <c r="AE16" s="182" t="s">
        <v>434</v>
      </c>
      <c r="AF16" s="182" t="s">
        <v>115</v>
      </c>
      <c r="AG16" s="217">
        <f t="shared" si="3"/>
        <v>1269</v>
      </c>
      <c r="AH16" s="217"/>
      <c r="AI16" s="217">
        <f t="shared" si="4"/>
        <v>1269</v>
      </c>
      <c r="AJ16" s="217"/>
      <c r="AK16" s="217"/>
      <c r="AL16" s="217">
        <f>I16</f>
        <v>1269</v>
      </c>
      <c r="AM16" s="217"/>
      <c r="AN16" s="217"/>
      <c r="AO16" s="217">
        <f t="shared" si="15"/>
        <v>1269</v>
      </c>
      <c r="AP16" s="217"/>
      <c r="AQ16" s="217"/>
      <c r="AR16" s="217"/>
      <c r="AS16" s="217">
        <f>I16/27</f>
        <v>47</v>
      </c>
      <c r="AT16" s="217"/>
      <c r="AU16" s="217"/>
      <c r="AV16" s="217"/>
      <c r="AW16" s="217"/>
      <c r="AX16" s="217"/>
      <c r="AY16" s="217"/>
      <c r="AZ16" s="217"/>
      <c r="BA16" s="217"/>
      <c r="BB16" s="217"/>
      <c r="BC16" s="217"/>
      <c r="BD16" s="217"/>
      <c r="BE16" s="217"/>
      <c r="BF16" s="217"/>
      <c r="BG16" s="217"/>
      <c r="BH16" s="217"/>
      <c r="BI16" s="217"/>
      <c r="BJ16" s="227">
        <f t="shared" ref="BJ16:BR16" si="33">$I16*BJ$2</f>
        <v>155.3203125</v>
      </c>
      <c r="BK16" s="227">
        <f t="shared" si="33"/>
        <v>155.3203125</v>
      </c>
      <c r="BL16" s="227">
        <f t="shared" si="33"/>
        <v>155.3203125</v>
      </c>
      <c r="BM16" s="227">
        <f t="shared" si="33"/>
        <v>155.3203125</v>
      </c>
      <c r="BN16" s="227">
        <f t="shared" si="33"/>
        <v>155.3203125</v>
      </c>
      <c r="BO16" s="227">
        <f t="shared" si="33"/>
        <v>155.3203125</v>
      </c>
      <c r="BP16" s="227">
        <f t="shared" si="33"/>
        <v>155.3203125</v>
      </c>
      <c r="BQ16" s="227">
        <f t="shared" si="33"/>
        <v>155.3203125</v>
      </c>
      <c r="BR16" s="227">
        <f t="shared" si="33"/>
        <v>26.4375</v>
      </c>
      <c r="BT16" s="227">
        <f t="shared" si="17"/>
        <v>18881.8151041668</v>
      </c>
      <c r="BU16" s="227">
        <f t="shared" si="18"/>
        <v>18881.8151041668</v>
      </c>
      <c r="BV16" s="227">
        <f t="shared" si="19"/>
        <v>18881.8151041668</v>
      </c>
      <c r="BW16" s="227">
        <f t="shared" si="20"/>
        <v>18881.8151041668</v>
      </c>
      <c r="BX16" s="227">
        <f t="shared" si="21"/>
        <v>18881.8151041668</v>
      </c>
      <c r="BY16" s="227">
        <f t="shared" si="22"/>
        <v>18881.8151041668</v>
      </c>
      <c r="BZ16" s="227">
        <f t="shared" si="23"/>
        <v>18881.8151041668</v>
      </c>
      <c r="CA16" s="227">
        <f t="shared" si="24"/>
        <v>18881.8151041668</v>
      </c>
      <c r="CB16" s="227">
        <f t="shared" si="25"/>
        <v>3165.4791666667</v>
      </c>
    </row>
    <row r="17" s="139" customFormat="1" ht="27" customHeight="1" spans="1:80">
      <c r="A17" s="155">
        <v>46014</v>
      </c>
      <c r="B17" s="156" t="s">
        <v>1148</v>
      </c>
      <c r="C17" s="157" t="s">
        <v>876</v>
      </c>
      <c r="D17" s="158">
        <v>4500189691</v>
      </c>
      <c r="E17" s="157"/>
      <c r="F17" s="156" t="s">
        <v>1598</v>
      </c>
      <c r="G17" s="159" t="s">
        <v>78</v>
      </c>
      <c r="H17" s="156" t="s">
        <v>79</v>
      </c>
      <c r="I17" s="181">
        <v>540</v>
      </c>
      <c r="J17" s="181">
        <v>0</v>
      </c>
      <c r="K17" s="181">
        <v>54</v>
      </c>
      <c r="L17" s="181">
        <f t="shared" si="1"/>
        <v>10</v>
      </c>
      <c r="M17" s="182">
        <v>46052</v>
      </c>
      <c r="N17" s="182">
        <v>46046</v>
      </c>
      <c r="O17" s="183"/>
      <c r="P17" s="183" t="s">
        <v>224</v>
      </c>
      <c r="Q17" s="183" t="s">
        <v>1620</v>
      </c>
      <c r="R17" s="197">
        <v>46021</v>
      </c>
      <c r="S17" s="193" t="s">
        <v>80</v>
      </c>
      <c r="T17" s="198" t="s">
        <v>1596</v>
      </c>
      <c r="U17" s="183"/>
      <c r="V17" s="194" t="s">
        <v>1599</v>
      </c>
      <c r="W17" s="182" t="s">
        <v>881</v>
      </c>
      <c r="X17" s="195">
        <v>0.7967</v>
      </c>
      <c r="Y17" s="181">
        <f t="shared" si="29"/>
        <v>430.218</v>
      </c>
      <c r="Z17" s="182" t="s">
        <v>82</v>
      </c>
      <c r="AA17" s="194">
        <f>486+54</f>
        <v>540</v>
      </c>
      <c r="AB17" s="194">
        <f t="shared" si="2"/>
        <v>0</v>
      </c>
      <c r="AC17" s="183" t="s">
        <v>113</v>
      </c>
      <c r="AD17" s="183" t="s">
        <v>114</v>
      </c>
      <c r="AE17" s="182" t="s">
        <v>230</v>
      </c>
      <c r="AF17" s="182" t="s">
        <v>115</v>
      </c>
      <c r="AG17" s="217">
        <f t="shared" si="3"/>
        <v>540</v>
      </c>
      <c r="AH17" s="217"/>
      <c r="AI17" s="217">
        <f t="shared" si="4"/>
        <v>540</v>
      </c>
      <c r="AJ17" s="217"/>
      <c r="AK17" s="217"/>
      <c r="AL17" s="217">
        <f>I17</f>
        <v>540</v>
      </c>
      <c r="AM17" s="217"/>
      <c r="AN17" s="217"/>
      <c r="AO17" s="217">
        <f t="shared" si="15"/>
        <v>540</v>
      </c>
      <c r="AP17" s="217"/>
      <c r="AQ17" s="217"/>
      <c r="AR17" s="217"/>
      <c r="AS17" s="217">
        <f>I17/27</f>
        <v>20</v>
      </c>
      <c r="AT17" s="217"/>
      <c r="AU17" s="217"/>
      <c r="AV17" s="217"/>
      <c r="AW17" s="217"/>
      <c r="AX17" s="217"/>
      <c r="AY17" s="217"/>
      <c r="AZ17" s="217"/>
      <c r="BA17" s="217"/>
      <c r="BB17" s="217"/>
      <c r="BC17" s="217"/>
      <c r="BD17" s="217"/>
      <c r="BE17" s="217"/>
      <c r="BF17" s="217"/>
      <c r="BG17" s="217"/>
      <c r="BH17" s="217"/>
      <c r="BI17" s="217"/>
      <c r="BJ17" s="227">
        <f t="shared" ref="BJ17:BR17" si="34">$I17*BJ$2</f>
        <v>66.0937499999998</v>
      </c>
      <c r="BK17" s="227">
        <f t="shared" si="34"/>
        <v>66.0937499999998</v>
      </c>
      <c r="BL17" s="227">
        <f t="shared" si="34"/>
        <v>66.0937499999998</v>
      </c>
      <c r="BM17" s="227">
        <f t="shared" si="34"/>
        <v>66.0937499999998</v>
      </c>
      <c r="BN17" s="227">
        <f t="shared" si="34"/>
        <v>66.0937499999998</v>
      </c>
      <c r="BO17" s="227">
        <f t="shared" si="34"/>
        <v>66.0937499999998</v>
      </c>
      <c r="BP17" s="227">
        <f t="shared" si="34"/>
        <v>66.0937499999998</v>
      </c>
      <c r="BQ17" s="227">
        <f t="shared" si="34"/>
        <v>66.0937499999998</v>
      </c>
      <c r="BR17" s="227">
        <f t="shared" si="34"/>
        <v>11.25</v>
      </c>
      <c r="BT17" s="227">
        <f t="shared" si="17"/>
        <v>18815.7213541668</v>
      </c>
      <c r="BU17" s="227">
        <f t="shared" si="18"/>
        <v>18815.7213541668</v>
      </c>
      <c r="BV17" s="227">
        <f t="shared" si="19"/>
        <v>18815.7213541668</v>
      </c>
      <c r="BW17" s="227">
        <f t="shared" si="20"/>
        <v>18815.7213541668</v>
      </c>
      <c r="BX17" s="227">
        <f t="shared" si="21"/>
        <v>18815.7213541668</v>
      </c>
      <c r="BY17" s="227">
        <f t="shared" si="22"/>
        <v>18815.7213541668</v>
      </c>
      <c r="BZ17" s="227">
        <f t="shared" si="23"/>
        <v>18815.7213541668</v>
      </c>
      <c r="CA17" s="227">
        <f t="shared" si="24"/>
        <v>18815.7213541668</v>
      </c>
      <c r="CB17" s="227">
        <f t="shared" si="25"/>
        <v>3154.2291666667</v>
      </c>
    </row>
    <row r="18" s="139" customFormat="1" ht="27" customHeight="1" spans="1:80">
      <c r="A18" s="155">
        <v>45999</v>
      </c>
      <c r="B18" s="156" t="s">
        <v>1148</v>
      </c>
      <c r="C18" s="157" t="s">
        <v>876</v>
      </c>
      <c r="D18" s="158">
        <v>4500188248</v>
      </c>
      <c r="E18" s="157"/>
      <c r="F18" s="156" t="s">
        <v>1595</v>
      </c>
      <c r="G18" s="159" t="s">
        <v>78</v>
      </c>
      <c r="H18" s="156" t="s">
        <v>79</v>
      </c>
      <c r="I18" s="181">
        <v>540</v>
      </c>
      <c r="J18" s="181">
        <v>0</v>
      </c>
      <c r="K18" s="181">
        <v>54</v>
      </c>
      <c r="L18" s="181">
        <f t="shared" si="1"/>
        <v>10</v>
      </c>
      <c r="M18" s="182">
        <v>46052</v>
      </c>
      <c r="N18" s="182">
        <v>46046</v>
      </c>
      <c r="O18" s="183"/>
      <c r="P18" s="183" t="s">
        <v>224</v>
      </c>
      <c r="Q18" s="183" t="s">
        <v>1625</v>
      </c>
      <c r="R18" s="197">
        <v>46021</v>
      </c>
      <c r="S18" s="199" t="s">
        <v>80</v>
      </c>
      <c r="T18" s="183" t="s">
        <v>1596</v>
      </c>
      <c r="U18" s="183"/>
      <c r="V18" s="194" t="s">
        <v>1626</v>
      </c>
      <c r="W18" s="182" t="s">
        <v>881</v>
      </c>
      <c r="X18" s="195">
        <v>0.7967</v>
      </c>
      <c r="Y18" s="181">
        <f t="shared" si="29"/>
        <v>430.218</v>
      </c>
      <c r="Z18" s="182" t="s">
        <v>82</v>
      </c>
      <c r="AA18" s="194">
        <v>540</v>
      </c>
      <c r="AB18" s="194">
        <f t="shared" si="2"/>
        <v>0</v>
      </c>
      <c r="AC18" s="183" t="s">
        <v>113</v>
      </c>
      <c r="AD18" s="183" t="s">
        <v>114</v>
      </c>
      <c r="AE18" s="182" t="s">
        <v>230</v>
      </c>
      <c r="AF18" s="182" t="s">
        <v>115</v>
      </c>
      <c r="AG18" s="217">
        <f t="shared" si="3"/>
        <v>540</v>
      </c>
      <c r="AH18" s="217"/>
      <c r="AI18" s="217">
        <f t="shared" si="4"/>
        <v>540</v>
      </c>
      <c r="AJ18" s="217"/>
      <c r="AK18" s="217"/>
      <c r="AL18" s="217">
        <f>I18</f>
        <v>540</v>
      </c>
      <c r="AM18" s="217"/>
      <c r="AN18" s="217"/>
      <c r="AO18" s="217">
        <f t="shared" si="15"/>
        <v>540</v>
      </c>
      <c r="AP18" s="217"/>
      <c r="AQ18" s="217"/>
      <c r="AR18" s="217"/>
      <c r="AS18" s="217">
        <f>I18/27</f>
        <v>20</v>
      </c>
      <c r="AT18" s="217"/>
      <c r="AU18" s="217"/>
      <c r="AV18" s="217"/>
      <c r="AW18" s="217"/>
      <c r="AX18" s="217"/>
      <c r="AY18" s="217"/>
      <c r="AZ18" s="217"/>
      <c r="BA18" s="217"/>
      <c r="BB18" s="217"/>
      <c r="BC18" s="217"/>
      <c r="BD18" s="217"/>
      <c r="BE18" s="217"/>
      <c r="BF18" s="217"/>
      <c r="BG18" s="217"/>
      <c r="BH18" s="217"/>
      <c r="BI18" s="217"/>
      <c r="BJ18" s="227">
        <f t="shared" ref="BJ18:BR18" si="35">$I18*BJ$2</f>
        <v>66.0937499999998</v>
      </c>
      <c r="BK18" s="227">
        <f t="shared" si="35"/>
        <v>66.0937499999998</v>
      </c>
      <c r="BL18" s="227">
        <f t="shared" si="35"/>
        <v>66.0937499999998</v>
      </c>
      <c r="BM18" s="227">
        <f t="shared" si="35"/>
        <v>66.0937499999998</v>
      </c>
      <c r="BN18" s="227">
        <f t="shared" si="35"/>
        <v>66.0937499999998</v>
      </c>
      <c r="BO18" s="227">
        <f t="shared" si="35"/>
        <v>66.0937499999998</v>
      </c>
      <c r="BP18" s="227">
        <f t="shared" si="35"/>
        <v>66.0937499999998</v>
      </c>
      <c r="BQ18" s="227">
        <f t="shared" si="35"/>
        <v>66.0937499999998</v>
      </c>
      <c r="BR18" s="227">
        <f t="shared" si="35"/>
        <v>11.25</v>
      </c>
      <c r="BT18" s="227">
        <f t="shared" si="17"/>
        <v>18749.6276041668</v>
      </c>
      <c r="BU18" s="227">
        <f t="shared" si="18"/>
        <v>18749.6276041668</v>
      </c>
      <c r="BV18" s="227">
        <f t="shared" si="19"/>
        <v>18749.6276041668</v>
      </c>
      <c r="BW18" s="227">
        <f t="shared" si="20"/>
        <v>18749.6276041668</v>
      </c>
      <c r="BX18" s="227">
        <f t="shared" si="21"/>
        <v>18749.6276041668</v>
      </c>
      <c r="BY18" s="227">
        <f t="shared" si="22"/>
        <v>18749.6276041668</v>
      </c>
      <c r="BZ18" s="227">
        <f t="shared" si="23"/>
        <v>18749.6276041668</v>
      </c>
      <c r="CA18" s="227">
        <f t="shared" si="24"/>
        <v>18749.6276041668</v>
      </c>
      <c r="CB18" s="227">
        <f t="shared" si="25"/>
        <v>3142.9791666667</v>
      </c>
    </row>
    <row r="19" s="139" customFormat="1" ht="27" customHeight="1" spans="1:80">
      <c r="A19" s="155">
        <v>46016</v>
      </c>
      <c r="B19" s="156" t="s">
        <v>1600</v>
      </c>
      <c r="C19" s="157" t="s">
        <v>389</v>
      </c>
      <c r="D19" s="158">
        <v>4500190061</v>
      </c>
      <c r="E19" s="157" t="s">
        <v>1601</v>
      </c>
      <c r="F19" s="158" t="s">
        <v>1602</v>
      </c>
      <c r="G19" s="159" t="s">
        <v>188</v>
      </c>
      <c r="H19" s="156" t="s">
        <v>120</v>
      </c>
      <c r="I19" s="181">
        <v>12</v>
      </c>
      <c r="J19" s="181">
        <v>0</v>
      </c>
      <c r="K19" s="181">
        <v>12</v>
      </c>
      <c r="L19" s="181">
        <f>I19/K19</f>
        <v>1</v>
      </c>
      <c r="M19" s="182">
        <v>46059</v>
      </c>
      <c r="N19" s="182">
        <v>46055</v>
      </c>
      <c r="O19" s="183"/>
      <c r="P19" s="183" t="s">
        <v>224</v>
      </c>
      <c r="Q19" s="183" t="s">
        <v>1627</v>
      </c>
      <c r="R19" s="193">
        <v>46016</v>
      </c>
      <c r="S19" s="193" t="s">
        <v>80</v>
      </c>
      <c r="T19" s="198" t="s">
        <v>1603</v>
      </c>
      <c r="U19" s="183"/>
      <c r="V19" s="194" t="s">
        <v>1604</v>
      </c>
      <c r="W19" s="182" t="s">
        <v>1605</v>
      </c>
      <c r="X19" s="195">
        <v>1.9471</v>
      </c>
      <c r="Y19" s="181">
        <f>X19*I19</f>
        <v>23.3652</v>
      </c>
      <c r="Z19" s="182" t="s">
        <v>82</v>
      </c>
      <c r="AA19" s="194">
        <v>12</v>
      </c>
      <c r="AB19" s="194">
        <f>AA19-I19</f>
        <v>0</v>
      </c>
      <c r="AC19" s="183" t="s">
        <v>113</v>
      </c>
      <c r="AD19" s="183" t="s">
        <v>114</v>
      </c>
      <c r="AE19" s="182" t="s">
        <v>188</v>
      </c>
      <c r="AF19" s="182" t="s">
        <v>115</v>
      </c>
      <c r="AG19" s="217">
        <f>I19*2</f>
        <v>24</v>
      </c>
      <c r="AH19" s="217"/>
      <c r="AI19" s="217">
        <f>I19*2</f>
        <v>24</v>
      </c>
      <c r="AJ19" s="217"/>
      <c r="AL19" s="217">
        <f>I19*2</f>
        <v>24</v>
      </c>
      <c r="AM19" s="217"/>
      <c r="AN19" s="217"/>
      <c r="AO19" s="217">
        <f>I19*2</f>
        <v>24</v>
      </c>
      <c r="AP19" s="217"/>
      <c r="AQ19" s="217"/>
      <c r="AR19" s="217"/>
      <c r="AS19" s="217"/>
      <c r="AT19" s="217"/>
      <c r="AU19" s="217"/>
      <c r="AV19" s="217"/>
      <c r="AW19" s="217"/>
      <c r="AX19" s="217"/>
      <c r="AY19" s="217"/>
      <c r="AZ19" s="217"/>
      <c r="BA19" s="217"/>
      <c r="BB19" s="217"/>
      <c r="BC19" s="217"/>
      <c r="BD19" s="217"/>
      <c r="BE19" s="217"/>
      <c r="BF19" s="217">
        <f>I19</f>
        <v>12</v>
      </c>
      <c r="BG19" s="217">
        <f>I19</f>
        <v>12</v>
      </c>
      <c r="BH19" s="217"/>
      <c r="BI19" s="217"/>
      <c r="BJ19" s="227">
        <f t="shared" ref="BJ19:BR19" si="36">$I19*BJ$2*2</f>
        <v>2.93749999999999</v>
      </c>
      <c r="BK19" s="227">
        <f t="shared" si="36"/>
        <v>2.93749999999999</v>
      </c>
      <c r="BL19" s="227">
        <f t="shared" si="36"/>
        <v>2.93749999999999</v>
      </c>
      <c r="BM19" s="227">
        <f t="shared" si="36"/>
        <v>2.93749999999999</v>
      </c>
      <c r="BN19" s="227">
        <f t="shared" si="36"/>
        <v>2.93749999999999</v>
      </c>
      <c r="BO19" s="227">
        <f t="shared" si="36"/>
        <v>2.93749999999999</v>
      </c>
      <c r="BP19" s="227">
        <f t="shared" si="36"/>
        <v>2.93749999999999</v>
      </c>
      <c r="BQ19" s="227">
        <f t="shared" si="36"/>
        <v>2.93749999999999</v>
      </c>
      <c r="BR19" s="227">
        <f t="shared" si="36"/>
        <v>0.499999999999999</v>
      </c>
      <c r="BT19" s="227">
        <f t="shared" ref="BT19:CB19" si="37">BT18-BJ19</f>
        <v>18746.6901041668</v>
      </c>
      <c r="BU19" s="227">
        <f t="shared" si="37"/>
        <v>18746.6901041668</v>
      </c>
      <c r="BV19" s="227">
        <f t="shared" si="37"/>
        <v>18746.6901041668</v>
      </c>
      <c r="BW19" s="227">
        <f t="shared" si="37"/>
        <v>18746.6901041668</v>
      </c>
      <c r="BX19" s="227">
        <f t="shared" si="37"/>
        <v>18746.6901041668</v>
      </c>
      <c r="BY19" s="227">
        <f t="shared" si="37"/>
        <v>18746.6901041668</v>
      </c>
      <c r="BZ19" s="227">
        <f t="shared" si="37"/>
        <v>18746.6901041668</v>
      </c>
      <c r="CA19" s="227">
        <f t="shared" si="37"/>
        <v>18746.6901041668</v>
      </c>
      <c r="CB19" s="227">
        <f t="shared" si="37"/>
        <v>3142.4791666667</v>
      </c>
    </row>
    <row r="20" s="139" customFormat="1" ht="27" customHeight="1" spans="1:80">
      <c r="A20" s="155">
        <v>46035</v>
      </c>
      <c r="B20" s="156" t="s">
        <v>1219</v>
      </c>
      <c r="C20" s="157" t="s">
        <v>117</v>
      </c>
      <c r="D20" s="158">
        <v>4500191213</v>
      </c>
      <c r="E20" s="160">
        <v>33826</v>
      </c>
      <c r="F20" s="158" t="s">
        <v>1628</v>
      </c>
      <c r="G20" s="159" t="s">
        <v>345</v>
      </c>
      <c r="H20" s="156" t="s">
        <v>346</v>
      </c>
      <c r="I20" s="181">
        <v>1200</v>
      </c>
      <c r="J20" s="181">
        <v>0</v>
      </c>
      <c r="K20" s="181">
        <v>12</v>
      </c>
      <c r="L20" s="181">
        <f>I20/K20</f>
        <v>100</v>
      </c>
      <c r="M20" s="182">
        <v>46083</v>
      </c>
      <c r="N20" s="182">
        <f>M20-4</f>
        <v>46079</v>
      </c>
      <c r="O20" s="183"/>
      <c r="P20" s="183" t="s">
        <v>107</v>
      </c>
      <c r="Q20" s="183"/>
      <c r="R20" s="193">
        <v>46041</v>
      </c>
      <c r="S20" s="193" t="s">
        <v>80</v>
      </c>
      <c r="T20" s="198" t="s">
        <v>80</v>
      </c>
      <c r="U20" s="183"/>
      <c r="V20" s="194" t="s">
        <v>1629</v>
      </c>
      <c r="W20" s="182" t="s">
        <v>1296</v>
      </c>
      <c r="X20" s="195">
        <v>0.4802</v>
      </c>
      <c r="Y20" s="181">
        <f>X20*I20</f>
        <v>576.24</v>
      </c>
      <c r="Z20" s="182"/>
      <c r="AA20" s="194">
        <f>1188+12</f>
        <v>1200</v>
      </c>
      <c r="AB20" s="194">
        <f>AA20-I20</f>
        <v>0</v>
      </c>
      <c r="AC20" s="183" t="s">
        <v>80</v>
      </c>
      <c r="AD20" s="183" t="s">
        <v>114</v>
      </c>
      <c r="AE20" s="182" t="s">
        <v>345</v>
      </c>
      <c r="AF20" s="182" t="s">
        <v>115</v>
      </c>
      <c r="AG20" s="217">
        <f>I20</f>
        <v>1200</v>
      </c>
      <c r="AH20" s="217"/>
      <c r="AI20" s="217">
        <f>I20</f>
        <v>1200</v>
      </c>
      <c r="AJ20" s="217"/>
      <c r="AK20" s="139">
        <f>I20</f>
        <v>1200</v>
      </c>
      <c r="AL20" s="217"/>
      <c r="AM20" s="217"/>
      <c r="AN20" s="217"/>
      <c r="AO20" s="217">
        <f>I20</f>
        <v>1200</v>
      </c>
      <c r="AP20" s="217"/>
      <c r="AQ20" s="217"/>
      <c r="AR20" s="217"/>
      <c r="AS20" s="217"/>
      <c r="AT20" s="217"/>
      <c r="AU20" s="217"/>
      <c r="AV20" s="217">
        <f>I20/12</f>
        <v>100</v>
      </c>
      <c r="AW20" s="217"/>
      <c r="AX20" s="217"/>
      <c r="AY20" s="217"/>
      <c r="AZ20" s="217"/>
      <c r="BA20" s="217"/>
      <c r="BB20" s="217"/>
      <c r="BC20" s="217"/>
      <c r="BD20" s="217"/>
      <c r="BE20" s="217"/>
      <c r="BF20" s="217"/>
      <c r="BG20" s="217"/>
      <c r="BH20" s="217"/>
      <c r="BI20" s="217"/>
      <c r="BJ20" s="227">
        <f t="shared" ref="BJ20:BR20" si="38">$I20*BJ$2</f>
        <v>146.875</v>
      </c>
      <c r="BK20" s="227">
        <f t="shared" si="38"/>
        <v>146.875</v>
      </c>
      <c r="BL20" s="227">
        <f t="shared" si="38"/>
        <v>146.875</v>
      </c>
      <c r="BM20" s="227">
        <f t="shared" si="38"/>
        <v>146.875</v>
      </c>
      <c r="BN20" s="227">
        <f t="shared" si="38"/>
        <v>146.875</v>
      </c>
      <c r="BO20" s="227">
        <f t="shared" si="38"/>
        <v>146.875</v>
      </c>
      <c r="BP20" s="227">
        <f t="shared" si="38"/>
        <v>146.875</v>
      </c>
      <c r="BQ20" s="227">
        <f t="shared" si="38"/>
        <v>146.875</v>
      </c>
      <c r="BR20" s="227">
        <f t="shared" si="38"/>
        <v>25</v>
      </c>
      <c r="BT20" s="227">
        <f t="shared" ref="BT20:CB20" si="39">BT19-BJ20</f>
        <v>18599.8151041668</v>
      </c>
      <c r="BU20" s="227">
        <f t="shared" si="39"/>
        <v>18599.8151041668</v>
      </c>
      <c r="BV20" s="227">
        <f t="shared" si="39"/>
        <v>18599.8151041668</v>
      </c>
      <c r="BW20" s="227">
        <f t="shared" si="39"/>
        <v>18599.8151041668</v>
      </c>
      <c r="BX20" s="227">
        <f t="shared" si="39"/>
        <v>18599.8151041668</v>
      </c>
      <c r="BY20" s="227">
        <f t="shared" si="39"/>
        <v>18599.8151041668</v>
      </c>
      <c r="BZ20" s="227">
        <f t="shared" si="39"/>
        <v>18599.8151041668</v>
      </c>
      <c r="CA20" s="227">
        <f t="shared" si="39"/>
        <v>18599.8151041668</v>
      </c>
      <c r="CB20" s="227">
        <f t="shared" si="39"/>
        <v>3117.4791666667</v>
      </c>
    </row>
    <row r="21" s="139" customFormat="1" ht="27" customHeight="1" spans="1:80">
      <c r="A21" s="155">
        <v>46014</v>
      </c>
      <c r="B21" s="156" t="s">
        <v>1606</v>
      </c>
      <c r="C21" s="157" t="s">
        <v>521</v>
      </c>
      <c r="D21" s="158">
        <v>4500189587</v>
      </c>
      <c r="E21" s="157" t="s">
        <v>1607</v>
      </c>
      <c r="F21" s="156" t="s">
        <v>1608</v>
      </c>
      <c r="G21" s="159" t="s">
        <v>152</v>
      </c>
      <c r="H21" s="156" t="s">
        <v>153</v>
      </c>
      <c r="I21" s="181">
        <v>676</v>
      </c>
      <c r="J21" s="181">
        <v>0</v>
      </c>
      <c r="K21" s="181">
        <v>13</v>
      </c>
      <c r="L21" s="181">
        <f>I21/K21</f>
        <v>52</v>
      </c>
      <c r="M21" s="182">
        <v>46092</v>
      </c>
      <c r="N21" s="182">
        <v>46088</v>
      </c>
      <c r="O21" s="183" t="s">
        <v>1630</v>
      </c>
      <c r="P21" s="183" t="s">
        <v>224</v>
      </c>
      <c r="Q21" s="183"/>
      <c r="R21" s="197">
        <v>46015</v>
      </c>
      <c r="S21" s="199" t="s">
        <v>191</v>
      </c>
      <c r="T21" s="183" t="s">
        <v>1631</v>
      </c>
      <c r="U21" s="183"/>
      <c r="V21" s="201" t="s">
        <v>1632</v>
      </c>
      <c r="W21" s="182" t="s">
        <v>273</v>
      </c>
      <c r="X21" s="195">
        <v>0.7985</v>
      </c>
      <c r="Y21" s="181">
        <f>X21*I21</f>
        <v>539.786</v>
      </c>
      <c r="Z21" s="182" t="s">
        <v>82</v>
      </c>
      <c r="AA21" s="194">
        <v>676</v>
      </c>
      <c r="AB21" s="194">
        <f>AA21-I21</f>
        <v>0</v>
      </c>
      <c r="AC21" s="183" t="s">
        <v>113</v>
      </c>
      <c r="AD21" s="183" t="s">
        <v>114</v>
      </c>
      <c r="AE21" s="182" t="s">
        <v>152</v>
      </c>
      <c r="AF21" s="182" t="s">
        <v>115</v>
      </c>
      <c r="AG21" s="217">
        <f>I21</f>
        <v>676</v>
      </c>
      <c r="AH21" s="217"/>
      <c r="AI21" s="217">
        <f>I21</f>
        <v>676</v>
      </c>
      <c r="AJ21" s="217"/>
      <c r="AK21" s="217">
        <f>I21</f>
        <v>676</v>
      </c>
      <c r="AL21" s="217"/>
      <c r="AM21" s="217"/>
      <c r="AN21" s="217"/>
      <c r="AO21" s="217">
        <f>I21</f>
        <v>676</v>
      </c>
      <c r="AP21" s="217"/>
      <c r="AQ21" s="217"/>
      <c r="AR21" s="217"/>
      <c r="AS21" s="217"/>
      <c r="AT21" s="217">
        <f>I21/13</f>
        <v>52</v>
      </c>
      <c r="AU21" s="217"/>
      <c r="AV21" s="217"/>
      <c r="AW21" s="217"/>
      <c r="AX21" s="217"/>
      <c r="AY21" s="217"/>
      <c r="AZ21" s="217"/>
      <c r="BA21" s="217"/>
      <c r="BB21" s="217"/>
      <c r="BC21" s="217"/>
      <c r="BD21" s="217"/>
      <c r="BE21" s="217"/>
      <c r="BF21" s="217"/>
      <c r="BG21" s="217"/>
      <c r="BH21" s="217"/>
      <c r="BI21" s="217"/>
      <c r="BJ21" s="227">
        <f t="shared" ref="BJ21:BR21" si="40">$I21*BJ$2</f>
        <v>82.7395833333331</v>
      </c>
      <c r="BK21" s="227">
        <f t="shared" si="40"/>
        <v>82.7395833333331</v>
      </c>
      <c r="BL21" s="227">
        <f t="shared" si="40"/>
        <v>82.7395833333331</v>
      </c>
      <c r="BM21" s="227">
        <f t="shared" si="40"/>
        <v>82.7395833333331</v>
      </c>
      <c r="BN21" s="227">
        <f t="shared" si="40"/>
        <v>82.7395833333331</v>
      </c>
      <c r="BO21" s="227">
        <f t="shared" si="40"/>
        <v>82.7395833333331</v>
      </c>
      <c r="BP21" s="227">
        <f t="shared" si="40"/>
        <v>82.7395833333331</v>
      </c>
      <c r="BQ21" s="227">
        <f t="shared" si="40"/>
        <v>82.7395833333331</v>
      </c>
      <c r="BR21" s="227">
        <f t="shared" si="40"/>
        <v>14.0833333333333</v>
      </c>
      <c r="BT21" s="227">
        <f t="shared" ref="BT21:CB21" si="41">BT22-BJ21</f>
        <v>17905.0963541668</v>
      </c>
      <c r="BU21" s="227">
        <f t="shared" si="41"/>
        <v>17905.0963541668</v>
      </c>
      <c r="BV21" s="227">
        <f t="shared" si="41"/>
        <v>17905.0963541668</v>
      </c>
      <c r="BW21" s="227">
        <f t="shared" si="41"/>
        <v>17905.0963541668</v>
      </c>
      <c r="BX21" s="227">
        <f t="shared" si="41"/>
        <v>17905.0963541668</v>
      </c>
      <c r="BY21" s="227">
        <f t="shared" si="41"/>
        <v>17905.0963541668</v>
      </c>
      <c r="BZ21" s="227">
        <f t="shared" si="41"/>
        <v>17905.0963541668</v>
      </c>
      <c r="CA21" s="227">
        <f t="shared" si="41"/>
        <v>17905.0963541668</v>
      </c>
      <c r="CB21" s="227">
        <f t="shared" si="41"/>
        <v>2999.2291666667</v>
      </c>
    </row>
    <row r="22" s="139" customFormat="1" ht="27" customHeight="1" spans="1:80">
      <c r="A22" s="155">
        <v>45993</v>
      </c>
      <c r="B22" s="156" t="s">
        <v>1572</v>
      </c>
      <c r="C22" s="157" t="s">
        <v>1573</v>
      </c>
      <c r="D22" s="158">
        <v>4500187691</v>
      </c>
      <c r="E22" s="160" t="s">
        <v>1633</v>
      </c>
      <c r="F22" s="156" t="s">
        <v>1581</v>
      </c>
      <c r="G22" s="159" t="s">
        <v>1575</v>
      </c>
      <c r="H22" s="156" t="s">
        <v>1576</v>
      </c>
      <c r="I22" s="181">
        <v>5000</v>
      </c>
      <c r="J22" s="181">
        <v>0</v>
      </c>
      <c r="K22" s="181">
        <v>8</v>
      </c>
      <c r="L22" s="181">
        <f>I22/K22</f>
        <v>625</v>
      </c>
      <c r="M22" s="184">
        <v>46132</v>
      </c>
      <c r="N22" s="185">
        <v>46128</v>
      </c>
      <c r="O22" s="183"/>
      <c r="P22" s="183" t="s">
        <v>107</v>
      </c>
      <c r="Q22" s="183"/>
      <c r="R22" s="196" t="s">
        <v>1582</v>
      </c>
      <c r="S22" s="183" t="s">
        <v>80</v>
      </c>
      <c r="T22" s="183" t="s">
        <v>1577</v>
      </c>
      <c r="U22" s="183"/>
      <c r="V22" s="194" t="s">
        <v>1583</v>
      </c>
      <c r="W22" s="182" t="s">
        <v>881</v>
      </c>
      <c r="X22" s="195">
        <v>0.7932</v>
      </c>
      <c r="Y22" s="181">
        <f>X22*I22</f>
        <v>3966</v>
      </c>
      <c r="Z22" s="182" t="s">
        <v>82</v>
      </c>
      <c r="AA22" s="194">
        <v>5000</v>
      </c>
      <c r="AB22" s="194">
        <f>AA22-I22</f>
        <v>0</v>
      </c>
      <c r="AC22" s="183" t="s">
        <v>113</v>
      </c>
      <c r="AD22" s="183" t="s">
        <v>114</v>
      </c>
      <c r="AE22" s="159" t="s">
        <v>1575</v>
      </c>
      <c r="AF22" s="182" t="s">
        <v>115</v>
      </c>
      <c r="AG22" s="217">
        <f>I22</f>
        <v>5000</v>
      </c>
      <c r="AH22" s="217"/>
      <c r="AI22" s="217">
        <f>I22</f>
        <v>5000</v>
      </c>
      <c r="AJ22" s="217"/>
      <c r="AK22" s="217"/>
      <c r="AL22" s="217">
        <f>I22</f>
        <v>5000</v>
      </c>
      <c r="AM22" s="217"/>
      <c r="AN22" s="217"/>
      <c r="AO22" s="217">
        <f>I22</f>
        <v>5000</v>
      </c>
      <c r="AP22" s="217"/>
      <c r="AQ22" s="217"/>
      <c r="AR22" s="217"/>
      <c r="AS22" s="217"/>
      <c r="AT22" s="217"/>
      <c r="AU22" s="217"/>
      <c r="AV22" s="217"/>
      <c r="AW22" s="217"/>
      <c r="AX22" s="217"/>
      <c r="AY22" s="217">
        <f>I22/8</f>
        <v>625</v>
      </c>
      <c r="AZ22" s="217"/>
      <c r="BA22" s="217"/>
      <c r="BB22" s="217"/>
      <c r="BC22" s="217"/>
      <c r="BD22" s="217"/>
      <c r="BE22" s="217"/>
      <c r="BF22" s="217"/>
      <c r="BG22" s="217"/>
      <c r="BH22" s="217"/>
      <c r="BI22" s="217"/>
      <c r="BJ22" s="227">
        <f t="shared" ref="BJ22:BR22" si="42">$I22*BJ$2</f>
        <v>611.979166666665</v>
      </c>
      <c r="BK22" s="227">
        <f t="shared" si="42"/>
        <v>611.979166666665</v>
      </c>
      <c r="BL22" s="227">
        <f t="shared" si="42"/>
        <v>611.979166666665</v>
      </c>
      <c r="BM22" s="227">
        <f t="shared" si="42"/>
        <v>611.979166666665</v>
      </c>
      <c r="BN22" s="227">
        <f t="shared" si="42"/>
        <v>611.979166666665</v>
      </c>
      <c r="BO22" s="227">
        <f t="shared" si="42"/>
        <v>611.979166666665</v>
      </c>
      <c r="BP22" s="227">
        <f t="shared" si="42"/>
        <v>611.979166666665</v>
      </c>
      <c r="BQ22" s="227">
        <f t="shared" si="42"/>
        <v>611.979166666665</v>
      </c>
      <c r="BR22" s="227">
        <f t="shared" si="42"/>
        <v>104.166666666667</v>
      </c>
      <c r="BT22" s="227">
        <f t="shared" ref="BT22:CB22" si="43">BT20-BJ22</f>
        <v>17987.8359375002</v>
      </c>
      <c r="BU22" s="227">
        <f t="shared" si="43"/>
        <v>17987.8359375002</v>
      </c>
      <c r="BV22" s="227">
        <f t="shared" si="43"/>
        <v>17987.8359375002</v>
      </c>
      <c r="BW22" s="227">
        <f t="shared" si="43"/>
        <v>17987.8359375002</v>
      </c>
      <c r="BX22" s="227">
        <f t="shared" si="43"/>
        <v>17987.8359375002</v>
      </c>
      <c r="BY22" s="227">
        <f t="shared" si="43"/>
        <v>17987.8359375002</v>
      </c>
      <c r="BZ22" s="227">
        <f t="shared" si="43"/>
        <v>17987.8359375002</v>
      </c>
      <c r="CA22" s="227">
        <f t="shared" si="43"/>
        <v>17987.8359375002</v>
      </c>
      <c r="CB22" s="227">
        <f t="shared" si="43"/>
        <v>3013.31250000004</v>
      </c>
    </row>
    <row r="23" s="140" customFormat="1" ht="27" customHeight="1" spans="1:80">
      <c r="A23" s="161">
        <v>46065</v>
      </c>
      <c r="B23" s="162" t="s">
        <v>1074</v>
      </c>
      <c r="C23" s="163" t="s">
        <v>117</v>
      </c>
      <c r="D23" s="164">
        <v>4500193766</v>
      </c>
      <c r="E23" s="163">
        <v>272587</v>
      </c>
      <c r="F23" s="162" t="s">
        <v>1634</v>
      </c>
      <c r="G23" s="165" t="s">
        <v>188</v>
      </c>
      <c r="H23" s="166"/>
      <c r="I23" s="186">
        <v>4404</v>
      </c>
      <c r="J23" s="186">
        <v>0</v>
      </c>
      <c r="K23" s="186">
        <v>12</v>
      </c>
      <c r="L23" s="186">
        <f t="shared" si="1"/>
        <v>367</v>
      </c>
      <c r="M23" s="187">
        <v>46113</v>
      </c>
      <c r="N23" s="187">
        <f>M23-4</f>
        <v>46109</v>
      </c>
      <c r="O23" s="188"/>
      <c r="P23" s="188"/>
      <c r="Q23" s="188"/>
      <c r="R23" s="202"/>
      <c r="S23" s="203"/>
      <c r="T23" s="188"/>
      <c r="U23" s="188"/>
      <c r="V23" s="204" t="s">
        <v>1635</v>
      </c>
      <c r="W23" s="187" t="s">
        <v>1079</v>
      </c>
      <c r="X23" s="205">
        <v>0.9082</v>
      </c>
      <c r="Y23" s="186">
        <f t="shared" si="29"/>
        <v>3999.7128</v>
      </c>
      <c r="Z23" s="187"/>
      <c r="AA23" s="204"/>
      <c r="AB23" s="204"/>
      <c r="AC23" s="188"/>
      <c r="AD23" s="188"/>
      <c r="AE23" s="187"/>
      <c r="AF23" s="187"/>
      <c r="AG23" s="218"/>
      <c r="AH23" s="219"/>
      <c r="AI23" s="219"/>
      <c r="AJ23" s="219"/>
      <c r="AK23" s="219"/>
      <c r="AL23" s="219"/>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28"/>
      <c r="BK23" s="228"/>
      <c r="BL23" s="228"/>
      <c r="BM23" s="228"/>
      <c r="BN23" s="228"/>
      <c r="BO23" s="228"/>
      <c r="BP23" s="228"/>
      <c r="BQ23" s="228"/>
      <c r="BR23" s="228"/>
      <c r="BT23" s="228"/>
      <c r="BU23" s="228"/>
      <c r="BV23" s="228"/>
      <c r="BW23" s="228"/>
      <c r="BX23" s="228"/>
      <c r="BY23" s="228"/>
      <c r="BZ23" s="228"/>
      <c r="CA23" s="228"/>
      <c r="CB23" s="228"/>
    </row>
    <row r="24" s="140" customFormat="1" ht="27" customHeight="1" spans="1:80">
      <c r="A24" s="167">
        <v>46065</v>
      </c>
      <c r="B24" s="168" t="s">
        <v>1074</v>
      </c>
      <c r="C24" s="169" t="s">
        <v>117</v>
      </c>
      <c r="D24" s="168">
        <v>4500193767</v>
      </c>
      <c r="E24" s="168">
        <v>272590</v>
      </c>
      <c r="F24" s="168" t="s">
        <v>1636</v>
      </c>
      <c r="G24" s="165" t="s">
        <v>188</v>
      </c>
      <c r="H24" s="166"/>
      <c r="I24" s="186">
        <v>4596</v>
      </c>
      <c r="J24" s="186">
        <v>0</v>
      </c>
      <c r="K24" s="186">
        <v>12</v>
      </c>
      <c r="L24" s="186">
        <f>I24/K24</f>
        <v>383</v>
      </c>
      <c r="M24" s="187">
        <v>46113</v>
      </c>
      <c r="N24" s="187">
        <f>M24-4</f>
        <v>46109</v>
      </c>
      <c r="O24" s="188"/>
      <c r="P24" s="188"/>
      <c r="Q24" s="188"/>
      <c r="R24" s="202"/>
      <c r="S24" s="203"/>
      <c r="T24" s="188"/>
      <c r="U24" s="188"/>
      <c r="V24" s="204" t="s">
        <v>1635</v>
      </c>
      <c r="W24" s="187" t="s">
        <v>1079</v>
      </c>
      <c r="X24" s="205">
        <v>0.9082</v>
      </c>
      <c r="Y24" s="186">
        <f>X24*I24</f>
        <v>4174.0872</v>
      </c>
      <c r="Z24" s="187"/>
      <c r="AA24" s="204"/>
      <c r="AB24" s="204"/>
      <c r="AC24" s="188"/>
      <c r="AD24" s="188"/>
      <c r="AE24" s="187"/>
      <c r="AF24" s="187"/>
      <c r="AG24" s="218"/>
      <c r="AH24" s="219"/>
      <c r="AI24" s="219"/>
      <c r="AJ24" s="219"/>
      <c r="AK24" s="219"/>
      <c r="AL24" s="219"/>
      <c r="AM24" s="219"/>
      <c r="AN24" s="219"/>
      <c r="AO24" s="219"/>
      <c r="AP24" s="219"/>
      <c r="AQ24" s="219"/>
      <c r="AR24" s="219"/>
      <c r="AS24" s="219"/>
      <c r="AT24" s="219"/>
      <c r="AU24" s="219"/>
      <c r="AV24" s="219"/>
      <c r="AW24" s="219"/>
      <c r="AX24" s="219"/>
      <c r="AY24" s="219"/>
      <c r="AZ24" s="219"/>
      <c r="BA24" s="219"/>
      <c r="BB24" s="219"/>
      <c r="BC24" s="219"/>
      <c r="BD24" s="219"/>
      <c r="BE24" s="219"/>
      <c r="BF24" s="219"/>
      <c r="BG24" s="219"/>
      <c r="BH24" s="219"/>
      <c r="BI24" s="219"/>
      <c r="BJ24" s="228"/>
      <c r="BK24" s="228"/>
      <c r="BL24" s="228"/>
      <c r="BM24" s="228"/>
      <c r="BN24" s="228"/>
      <c r="BO24" s="228"/>
      <c r="BP24" s="228"/>
      <c r="BQ24" s="228"/>
      <c r="BR24" s="228"/>
      <c r="BT24" s="228"/>
      <c r="BU24" s="228"/>
      <c r="BV24" s="228"/>
      <c r="BW24" s="228"/>
      <c r="BX24" s="228"/>
      <c r="BY24" s="228"/>
      <c r="BZ24" s="228"/>
      <c r="CA24" s="228"/>
      <c r="CB24" s="228"/>
    </row>
    <row r="25" s="140" customFormat="1" ht="27" customHeight="1" spans="1:80">
      <c r="A25" s="161">
        <v>46065</v>
      </c>
      <c r="B25" s="162" t="s">
        <v>1074</v>
      </c>
      <c r="C25" s="163" t="s">
        <v>117</v>
      </c>
      <c r="D25" s="164">
        <v>4500193770</v>
      </c>
      <c r="E25" s="163">
        <v>272592</v>
      </c>
      <c r="F25" s="307" t="s">
        <v>1637</v>
      </c>
      <c r="G25" s="165" t="s">
        <v>188</v>
      </c>
      <c r="H25" s="166"/>
      <c r="I25" s="186">
        <v>996</v>
      </c>
      <c r="J25" s="186">
        <v>0</v>
      </c>
      <c r="K25" s="186">
        <v>12</v>
      </c>
      <c r="L25" s="186">
        <f>I25/K25</f>
        <v>83</v>
      </c>
      <c r="M25" s="187">
        <v>46122</v>
      </c>
      <c r="N25" s="187">
        <v>46118</v>
      </c>
      <c r="O25" s="188"/>
      <c r="P25" s="188"/>
      <c r="Q25" s="188"/>
      <c r="R25" s="202"/>
      <c r="S25" s="203"/>
      <c r="T25" s="188"/>
      <c r="U25" s="188"/>
      <c r="V25" s="204" t="s">
        <v>1635</v>
      </c>
      <c r="W25" s="187" t="s">
        <v>1079</v>
      </c>
      <c r="X25" s="205">
        <v>1.1176</v>
      </c>
      <c r="Y25" s="186">
        <f>X25*I25</f>
        <v>1113.1296</v>
      </c>
      <c r="Z25" s="187"/>
      <c r="AA25" s="204"/>
      <c r="AB25" s="204"/>
      <c r="AC25" s="188"/>
      <c r="AD25" s="188"/>
      <c r="AE25" s="187"/>
      <c r="AF25" s="187"/>
      <c r="AG25" s="218"/>
      <c r="AH25" s="219"/>
      <c r="AI25" s="219"/>
      <c r="AJ25" s="219"/>
      <c r="AK25" s="219"/>
      <c r="AL25" s="219"/>
      <c r="AM25" s="219"/>
      <c r="AN25" s="219"/>
      <c r="AO25" s="219"/>
      <c r="AP25" s="219"/>
      <c r="AQ25" s="219"/>
      <c r="AR25" s="219"/>
      <c r="AS25" s="219"/>
      <c r="AT25" s="219"/>
      <c r="AU25" s="219"/>
      <c r="AV25" s="219"/>
      <c r="AW25" s="219"/>
      <c r="AX25" s="219"/>
      <c r="AY25" s="219"/>
      <c r="AZ25" s="219"/>
      <c r="BA25" s="219"/>
      <c r="BB25" s="219"/>
      <c r="BC25" s="219"/>
      <c r="BD25" s="219"/>
      <c r="BE25" s="219"/>
      <c r="BF25" s="219"/>
      <c r="BG25" s="219"/>
      <c r="BH25" s="219"/>
      <c r="BI25" s="219"/>
      <c r="BJ25" s="228"/>
      <c r="BK25" s="228"/>
      <c r="BL25" s="228"/>
      <c r="BM25" s="228"/>
      <c r="BN25" s="228"/>
      <c r="BO25" s="228"/>
      <c r="BP25" s="228"/>
      <c r="BQ25" s="228"/>
      <c r="BR25" s="228"/>
      <c r="BT25" s="228"/>
      <c r="BU25" s="228"/>
      <c r="BV25" s="228"/>
      <c r="BW25" s="228"/>
      <c r="BX25" s="228"/>
      <c r="BY25" s="228"/>
      <c r="BZ25" s="228"/>
      <c r="CA25" s="228"/>
      <c r="CB25" s="228"/>
    </row>
    <row r="26" s="140" customFormat="1" ht="27" customHeight="1" spans="1:80">
      <c r="A26" s="161">
        <v>46065</v>
      </c>
      <c r="B26" s="162" t="s">
        <v>1074</v>
      </c>
      <c r="C26" s="163" t="s">
        <v>117</v>
      </c>
      <c r="D26" s="164">
        <v>4500193771</v>
      </c>
      <c r="E26" s="163">
        <v>272596</v>
      </c>
      <c r="F26" s="162" t="s">
        <v>1638</v>
      </c>
      <c r="G26" s="165" t="s">
        <v>188</v>
      </c>
      <c r="H26" s="166"/>
      <c r="I26" s="186">
        <v>1200</v>
      </c>
      <c r="J26" s="186">
        <v>0</v>
      </c>
      <c r="K26" s="186">
        <v>12</v>
      </c>
      <c r="L26" s="186">
        <f>I26/K26</f>
        <v>100</v>
      </c>
      <c r="M26" s="187">
        <v>46122</v>
      </c>
      <c r="N26" s="187">
        <v>46118</v>
      </c>
      <c r="O26" s="188"/>
      <c r="P26" s="188"/>
      <c r="Q26" s="188"/>
      <c r="R26" s="202"/>
      <c r="S26" s="203"/>
      <c r="T26" s="188"/>
      <c r="U26" s="188"/>
      <c r="V26" s="204" t="s">
        <v>1639</v>
      </c>
      <c r="W26" s="187" t="s">
        <v>1079</v>
      </c>
      <c r="X26" s="205">
        <v>0.9147</v>
      </c>
      <c r="Y26" s="186">
        <f>X26*I26</f>
        <v>1097.64</v>
      </c>
      <c r="Z26" s="187"/>
      <c r="AA26" s="204"/>
      <c r="AB26" s="204"/>
      <c r="AC26" s="188"/>
      <c r="AD26" s="188"/>
      <c r="AE26" s="187"/>
      <c r="AF26" s="187"/>
      <c r="AG26" s="218"/>
      <c r="AH26" s="219"/>
      <c r="AI26" s="219"/>
      <c r="AJ26" s="219"/>
      <c r="AK26" s="219"/>
      <c r="AL26" s="219"/>
      <c r="AM26" s="219"/>
      <c r="AN26" s="219"/>
      <c r="AO26" s="219"/>
      <c r="AP26" s="219"/>
      <c r="AQ26" s="219"/>
      <c r="AR26" s="219"/>
      <c r="AS26" s="219"/>
      <c r="AT26" s="219"/>
      <c r="AU26" s="219"/>
      <c r="AV26" s="219"/>
      <c r="AW26" s="219"/>
      <c r="AX26" s="219"/>
      <c r="AY26" s="219"/>
      <c r="AZ26" s="219"/>
      <c r="BA26" s="219"/>
      <c r="BB26" s="219"/>
      <c r="BC26" s="219"/>
      <c r="BD26" s="219"/>
      <c r="BE26" s="219"/>
      <c r="BF26" s="219"/>
      <c r="BG26" s="219"/>
      <c r="BH26" s="219"/>
      <c r="BI26" s="219"/>
      <c r="BJ26" s="228"/>
      <c r="BK26" s="228"/>
      <c r="BL26" s="228"/>
      <c r="BM26" s="228"/>
      <c r="BN26" s="228"/>
      <c r="BO26" s="228"/>
      <c r="BP26" s="228"/>
      <c r="BQ26" s="228"/>
      <c r="BR26" s="228"/>
      <c r="BT26" s="228"/>
      <c r="BU26" s="228"/>
      <c r="BV26" s="228"/>
      <c r="BW26" s="228"/>
      <c r="BX26" s="228"/>
      <c r="BY26" s="228"/>
      <c r="BZ26" s="228"/>
      <c r="CA26" s="228"/>
      <c r="CB26" s="228"/>
    </row>
    <row r="27" s="140" customFormat="1" ht="27" customHeight="1" spans="1:80">
      <c r="A27" s="161">
        <v>46065</v>
      </c>
      <c r="B27" s="162" t="s">
        <v>1514</v>
      </c>
      <c r="C27" s="163" t="s">
        <v>1515</v>
      </c>
      <c r="D27" s="164">
        <v>4500193874</v>
      </c>
      <c r="E27" s="163">
        <v>21214261</v>
      </c>
      <c r="F27" s="162" t="s">
        <v>1640</v>
      </c>
      <c r="G27" s="165" t="s">
        <v>152</v>
      </c>
      <c r="H27" s="166" t="s">
        <v>153</v>
      </c>
      <c r="I27" s="186">
        <v>2405</v>
      </c>
      <c r="J27" s="186">
        <v>0</v>
      </c>
      <c r="K27" s="186">
        <v>13</v>
      </c>
      <c r="L27" s="186">
        <f>I27/K27</f>
        <v>185</v>
      </c>
      <c r="M27" s="187">
        <v>46125</v>
      </c>
      <c r="N27" s="187">
        <v>46121</v>
      </c>
      <c r="O27" s="188"/>
      <c r="P27" s="188"/>
      <c r="Q27" s="188"/>
      <c r="R27" s="202"/>
      <c r="S27" s="203"/>
      <c r="T27" s="188"/>
      <c r="U27" s="188"/>
      <c r="V27" s="204" t="s">
        <v>1641</v>
      </c>
      <c r="W27" s="187" t="s">
        <v>1410</v>
      </c>
      <c r="X27" s="205">
        <v>0.7931</v>
      </c>
      <c r="Y27" s="186">
        <f>X27*I27</f>
        <v>1907.4055</v>
      </c>
      <c r="Z27" s="187"/>
      <c r="AA27" s="204"/>
      <c r="AB27" s="204"/>
      <c r="AC27" s="188"/>
      <c r="AD27" s="188"/>
      <c r="AE27" s="187"/>
      <c r="AF27" s="187"/>
      <c r="AG27" s="218">
        <f>I27</f>
        <v>2405</v>
      </c>
      <c r="AH27" s="219"/>
      <c r="AI27" s="219"/>
      <c r="AJ27" s="219"/>
      <c r="AK27" s="219"/>
      <c r="AL27" s="219"/>
      <c r="AM27" s="219"/>
      <c r="AN27" s="219"/>
      <c r="AO27" s="219"/>
      <c r="AP27" s="219"/>
      <c r="AQ27" s="219"/>
      <c r="AR27" s="219"/>
      <c r="AS27" s="219"/>
      <c r="AT27" s="219"/>
      <c r="AU27" s="219"/>
      <c r="AV27" s="219"/>
      <c r="AW27" s="219"/>
      <c r="AX27" s="219"/>
      <c r="AY27" s="219"/>
      <c r="AZ27" s="219"/>
      <c r="BA27" s="219"/>
      <c r="BB27" s="219"/>
      <c r="BC27" s="219"/>
      <c r="BD27" s="219"/>
      <c r="BE27" s="219"/>
      <c r="BF27" s="219"/>
      <c r="BG27" s="219"/>
      <c r="BH27" s="219"/>
      <c r="BI27" s="219"/>
      <c r="BJ27" s="228"/>
      <c r="BK27" s="228"/>
      <c r="BL27" s="228"/>
      <c r="BM27" s="228"/>
      <c r="BN27" s="228"/>
      <c r="BO27" s="228"/>
      <c r="BP27" s="228"/>
      <c r="BQ27" s="228"/>
      <c r="BR27" s="228"/>
      <c r="BT27" s="228"/>
      <c r="BU27" s="228"/>
      <c r="BV27" s="228"/>
      <c r="BW27" s="228"/>
      <c r="BX27" s="228"/>
      <c r="BY27" s="228"/>
      <c r="BZ27" s="228"/>
      <c r="CA27" s="228"/>
      <c r="CB27" s="228"/>
    </row>
    <row r="28" s="141" customFormat="1" ht="27" customHeight="1" spans="1:80">
      <c r="A28" s="18">
        <v>46041</v>
      </c>
      <c r="B28" s="19" t="s">
        <v>1642</v>
      </c>
      <c r="C28" s="20" t="s">
        <v>203</v>
      </c>
      <c r="D28" s="21">
        <v>4500191695</v>
      </c>
      <c r="E28" s="20">
        <v>2026001079</v>
      </c>
      <c r="F28" s="21" t="s">
        <v>1643</v>
      </c>
      <c r="G28" s="22" t="s">
        <v>131</v>
      </c>
      <c r="H28" s="19" t="s">
        <v>1533</v>
      </c>
      <c r="I28" s="34">
        <v>4590</v>
      </c>
      <c r="J28" s="34">
        <v>0</v>
      </c>
      <c r="K28" s="34">
        <v>27</v>
      </c>
      <c r="L28" s="34">
        <f>I28/K28</f>
        <v>170</v>
      </c>
      <c r="M28" s="35">
        <v>46129</v>
      </c>
      <c r="N28" s="35">
        <v>46125</v>
      </c>
      <c r="O28" s="37"/>
      <c r="P28" s="37" t="s">
        <v>1518</v>
      </c>
      <c r="Q28" s="37"/>
      <c r="R28" s="206">
        <v>46048</v>
      </c>
      <c r="S28" s="207" t="s">
        <v>80</v>
      </c>
      <c r="T28" s="37" t="s">
        <v>1644</v>
      </c>
      <c r="U28" s="37"/>
      <c r="V28" s="45" t="s">
        <v>1645</v>
      </c>
      <c r="W28" s="35" t="s">
        <v>144</v>
      </c>
      <c r="X28" s="46">
        <v>0.7581</v>
      </c>
      <c r="Y28" s="34">
        <f>X28*I28</f>
        <v>3479.679</v>
      </c>
      <c r="Z28" s="35"/>
      <c r="AA28" s="45"/>
      <c r="AB28" s="37"/>
      <c r="AC28" s="37"/>
      <c r="AD28" s="37"/>
      <c r="AE28" s="35" t="s">
        <v>434</v>
      </c>
      <c r="AF28" s="35" t="s">
        <v>115</v>
      </c>
      <c r="AG28" s="52">
        <f>I28</f>
        <v>4590</v>
      </c>
      <c r="AH28" s="52"/>
      <c r="AI28" s="52">
        <f>I28</f>
        <v>4590</v>
      </c>
      <c r="AJ28" s="52"/>
      <c r="AK28" s="52"/>
      <c r="AL28" s="52">
        <f>I28</f>
        <v>4590</v>
      </c>
      <c r="AM28" s="52"/>
      <c r="AN28" s="52"/>
      <c r="AO28" s="52">
        <f>I28</f>
        <v>4590</v>
      </c>
      <c r="AP28" s="52"/>
      <c r="AQ28" s="52"/>
      <c r="AR28" s="52"/>
      <c r="AS28" s="52">
        <f>I28/27</f>
        <v>170</v>
      </c>
      <c r="AT28" s="52"/>
      <c r="AU28" s="52"/>
      <c r="AV28" s="52"/>
      <c r="AW28" s="52"/>
      <c r="AX28" s="52"/>
      <c r="AY28" s="52"/>
      <c r="AZ28" s="52"/>
      <c r="BA28" s="52"/>
      <c r="BB28" s="52"/>
      <c r="BC28" s="52"/>
      <c r="BD28" s="52"/>
      <c r="BE28" s="52"/>
      <c r="BF28" s="52"/>
      <c r="BG28" s="52"/>
      <c r="BH28" s="52"/>
      <c r="BI28" s="229"/>
      <c r="BJ28" s="230">
        <f t="shared" ref="BJ28:BR28" si="44">$I28*BJ$2</f>
        <v>561.796874999998</v>
      </c>
      <c r="BK28" s="230">
        <f t="shared" si="44"/>
        <v>561.796874999998</v>
      </c>
      <c r="BL28" s="230">
        <f t="shared" si="44"/>
        <v>561.796874999998</v>
      </c>
      <c r="BM28" s="230">
        <f t="shared" si="44"/>
        <v>561.796874999998</v>
      </c>
      <c r="BN28" s="230">
        <f t="shared" si="44"/>
        <v>561.796874999998</v>
      </c>
      <c r="BO28" s="230">
        <f t="shared" si="44"/>
        <v>561.796874999998</v>
      </c>
      <c r="BP28" s="230">
        <f t="shared" si="44"/>
        <v>561.796874999998</v>
      </c>
      <c r="BQ28" s="230">
        <f t="shared" si="44"/>
        <v>561.796874999998</v>
      </c>
      <c r="BR28" s="230">
        <f t="shared" si="44"/>
        <v>95.6249999999999</v>
      </c>
      <c r="BT28" s="227">
        <f>BT21-BJ28</f>
        <v>17343.2994791668</v>
      </c>
      <c r="BU28" s="227">
        <f>BU21-BK28</f>
        <v>17343.2994791668</v>
      </c>
      <c r="BV28" s="227">
        <f>BV21-BL28</f>
        <v>17343.2994791668</v>
      </c>
      <c r="BW28" s="227">
        <f>BW21-BM28</f>
        <v>17343.2994791668</v>
      </c>
      <c r="BX28" s="227">
        <f>BX21-BN28</f>
        <v>17343.2994791668</v>
      </c>
      <c r="BY28" s="227">
        <f>BY21-BO28</f>
        <v>17343.2994791668</v>
      </c>
      <c r="BZ28" s="227">
        <f>BZ21-BP28</f>
        <v>17343.2994791668</v>
      </c>
      <c r="CA28" s="227">
        <f>CA21-BQ28</f>
        <v>17343.2994791668</v>
      </c>
      <c r="CB28" s="227">
        <f>CB21-BR28</f>
        <v>2903.6041666667</v>
      </c>
    </row>
    <row r="29" s="141" customFormat="1" ht="27" customHeight="1" spans="1:80">
      <c r="A29" s="18">
        <v>46041</v>
      </c>
      <c r="B29" s="19" t="s">
        <v>1642</v>
      </c>
      <c r="C29" s="20" t="s">
        <v>203</v>
      </c>
      <c r="D29" s="21">
        <v>4500191728</v>
      </c>
      <c r="E29" s="20">
        <v>2026001077</v>
      </c>
      <c r="F29" s="19" t="s">
        <v>1646</v>
      </c>
      <c r="G29" s="22" t="s">
        <v>131</v>
      </c>
      <c r="H29" s="19" t="s">
        <v>1533</v>
      </c>
      <c r="I29" s="34">
        <v>4590</v>
      </c>
      <c r="J29" s="34">
        <v>0</v>
      </c>
      <c r="K29" s="34">
        <v>27</v>
      </c>
      <c r="L29" s="34">
        <f>I29/K29</f>
        <v>170</v>
      </c>
      <c r="M29" s="35">
        <v>46185</v>
      </c>
      <c r="N29" s="35">
        <v>46181</v>
      </c>
      <c r="O29" s="37"/>
      <c r="P29" s="37" t="s">
        <v>1518</v>
      </c>
      <c r="Q29" s="37"/>
      <c r="R29" s="206">
        <v>46048</v>
      </c>
      <c r="S29" s="207" t="s">
        <v>80</v>
      </c>
      <c r="T29" s="37" t="s">
        <v>1644</v>
      </c>
      <c r="U29" s="37"/>
      <c r="V29" s="45" t="s">
        <v>1647</v>
      </c>
      <c r="W29" s="35" t="s">
        <v>144</v>
      </c>
      <c r="X29" s="46">
        <v>0.7738</v>
      </c>
      <c r="Y29" s="34">
        <f>X29*I29</f>
        <v>3551.742</v>
      </c>
      <c r="Z29" s="35"/>
      <c r="AA29" s="45"/>
      <c r="AB29" s="37"/>
      <c r="AC29" s="37"/>
      <c r="AD29" s="37"/>
      <c r="AE29" s="35" t="s">
        <v>434</v>
      </c>
      <c r="AF29" s="35" t="s">
        <v>115</v>
      </c>
      <c r="AG29" s="52">
        <f>I29</f>
        <v>4590</v>
      </c>
      <c r="AH29" s="52"/>
      <c r="AI29" s="52">
        <f>I29</f>
        <v>4590</v>
      </c>
      <c r="AJ29" s="52"/>
      <c r="AK29" s="52"/>
      <c r="AL29" s="52">
        <f>I29</f>
        <v>4590</v>
      </c>
      <c r="AM29" s="52"/>
      <c r="AN29" s="52"/>
      <c r="AO29" s="52">
        <f>I29</f>
        <v>4590</v>
      </c>
      <c r="AP29" s="52"/>
      <c r="AQ29" s="52"/>
      <c r="AR29" s="52"/>
      <c r="AS29" s="52">
        <f>I29/27</f>
        <v>170</v>
      </c>
      <c r="AT29" s="52"/>
      <c r="AU29" s="52"/>
      <c r="AV29" s="52"/>
      <c r="AW29" s="52"/>
      <c r="AX29" s="52"/>
      <c r="AY29" s="52"/>
      <c r="AZ29" s="52"/>
      <c r="BA29" s="52"/>
      <c r="BB29" s="52"/>
      <c r="BC29" s="52"/>
      <c r="BD29" s="52"/>
      <c r="BE29" s="52"/>
      <c r="BF29" s="52"/>
      <c r="BG29" s="52"/>
      <c r="BH29" s="52"/>
      <c r="BI29" s="229"/>
      <c r="BJ29" s="230">
        <f t="shared" ref="BJ29:BR29" si="45">$I29*BJ$2</f>
        <v>561.796874999998</v>
      </c>
      <c r="BK29" s="230">
        <f t="shared" si="45"/>
        <v>561.796874999998</v>
      </c>
      <c r="BL29" s="230">
        <f t="shared" si="45"/>
        <v>561.796874999998</v>
      </c>
      <c r="BM29" s="230">
        <f t="shared" si="45"/>
        <v>561.796874999998</v>
      </c>
      <c r="BN29" s="230">
        <f t="shared" si="45"/>
        <v>561.796874999998</v>
      </c>
      <c r="BO29" s="230">
        <f t="shared" si="45"/>
        <v>561.796874999998</v>
      </c>
      <c r="BP29" s="230">
        <f t="shared" si="45"/>
        <v>561.796874999998</v>
      </c>
      <c r="BQ29" s="230">
        <f t="shared" si="45"/>
        <v>561.796874999998</v>
      </c>
      <c r="BR29" s="230">
        <f t="shared" si="45"/>
        <v>95.6249999999999</v>
      </c>
      <c r="BT29" s="227">
        <f>BT28-BJ29</f>
        <v>16781.5026041668</v>
      </c>
      <c r="BU29" s="227">
        <f>BU28-BK29</f>
        <v>16781.5026041668</v>
      </c>
      <c r="BV29" s="227">
        <f>BV28-BL29</f>
        <v>16781.5026041668</v>
      </c>
      <c r="BW29" s="227">
        <f>BW28-BM29</f>
        <v>16781.5026041668</v>
      </c>
      <c r="BX29" s="227">
        <f>BX28-BN29</f>
        <v>16781.5026041668</v>
      </c>
      <c r="BY29" s="227">
        <f>BY28-BO29</f>
        <v>16781.5026041668</v>
      </c>
      <c r="BZ29" s="227">
        <f>BZ28-BP29</f>
        <v>16781.5026041668</v>
      </c>
      <c r="CA29" s="227">
        <f>CA28-BQ29</f>
        <v>16781.5026041668</v>
      </c>
      <c r="CB29" s="227">
        <f>CB28-BR29</f>
        <v>2807.9791666667</v>
      </c>
    </row>
    <row r="30" s="4" customFormat="1" ht="27" customHeight="1" spans="1:80">
      <c r="A30" s="18"/>
      <c r="B30" s="19"/>
      <c r="C30" s="20"/>
      <c r="D30" s="21"/>
      <c r="E30" s="20"/>
      <c r="F30" s="19"/>
      <c r="G30" s="22"/>
      <c r="H30" s="19"/>
      <c r="I30" s="34"/>
      <c r="J30" s="34"/>
      <c r="K30" s="34"/>
      <c r="L30" s="34"/>
      <c r="M30" s="35"/>
      <c r="N30" s="35"/>
      <c r="O30" s="37"/>
      <c r="P30" s="37"/>
      <c r="Q30" s="37"/>
      <c r="R30" s="208"/>
      <c r="S30" s="209"/>
      <c r="T30" s="37"/>
      <c r="U30" s="37"/>
      <c r="V30" s="45"/>
      <c r="W30" s="35"/>
      <c r="X30" s="46"/>
      <c r="Y30" s="34"/>
      <c r="Z30" s="35"/>
      <c r="AA30" s="37"/>
      <c r="AB30" s="37"/>
      <c r="AC30" s="37"/>
      <c r="AD30" s="212"/>
      <c r="AE30" s="35"/>
      <c r="AF30" s="35"/>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8"/>
      <c r="BK30" s="58"/>
      <c r="BL30" s="58"/>
      <c r="BM30" s="58"/>
      <c r="BN30" s="58"/>
      <c r="BO30" s="58"/>
      <c r="BP30" s="58"/>
      <c r="BQ30" s="58"/>
      <c r="BR30" s="58"/>
      <c r="BT30" s="60"/>
      <c r="BU30" s="60"/>
      <c r="BV30" s="60"/>
      <c r="BW30" s="60"/>
      <c r="BX30" s="60"/>
      <c r="BY30" s="60"/>
      <c r="BZ30" s="60"/>
      <c r="CA30" s="60"/>
      <c r="CB30" s="60"/>
    </row>
    <row r="31" s="4" customFormat="1" ht="27" customHeight="1" spans="1:80">
      <c r="A31" s="18"/>
      <c r="B31" s="19"/>
      <c r="C31" s="20"/>
      <c r="D31" s="21"/>
      <c r="E31" s="20"/>
      <c r="F31" s="19"/>
      <c r="G31" s="22"/>
      <c r="H31" s="19"/>
      <c r="I31" s="34"/>
      <c r="J31" s="34"/>
      <c r="K31" s="34"/>
      <c r="L31" s="34"/>
      <c r="M31" s="35"/>
      <c r="N31" s="35"/>
      <c r="O31" s="37"/>
      <c r="P31" s="37"/>
      <c r="Q31" s="37"/>
      <c r="R31" s="37"/>
      <c r="S31" s="180"/>
      <c r="T31" s="37"/>
      <c r="U31" s="37"/>
      <c r="V31" s="45"/>
      <c r="W31" s="35"/>
      <c r="X31" s="46"/>
      <c r="Y31" s="34"/>
      <c r="Z31" s="35"/>
      <c r="AA31" s="37"/>
      <c r="AB31" s="37"/>
      <c r="AC31" s="37"/>
      <c r="AD31" s="37"/>
      <c r="AE31" s="35"/>
      <c r="AF31" s="35"/>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8"/>
      <c r="BK31" s="58"/>
      <c r="BL31" s="58"/>
      <c r="BM31" s="58"/>
      <c r="BN31" s="58"/>
      <c r="BO31" s="58"/>
      <c r="BP31" s="58"/>
      <c r="BQ31" s="58"/>
      <c r="BR31" s="58"/>
      <c r="BT31" s="60"/>
      <c r="BU31" s="60"/>
      <c r="BV31" s="60"/>
      <c r="BW31" s="60"/>
      <c r="BX31" s="60"/>
      <c r="BY31" s="60"/>
      <c r="BZ31" s="60"/>
      <c r="CA31" s="60"/>
      <c r="CB31" s="60"/>
    </row>
    <row r="32" s="138" customFormat="1" ht="15" customHeight="1" spans="1:80">
      <c r="A32" s="170"/>
      <c r="B32" s="171"/>
      <c r="C32" s="171"/>
      <c r="D32" s="171"/>
      <c r="E32" s="171"/>
      <c r="F32" s="171"/>
      <c r="G32" s="171"/>
      <c r="H32" s="171"/>
      <c r="I32" s="171"/>
      <c r="J32" s="171"/>
      <c r="K32" s="171"/>
      <c r="L32" s="171"/>
      <c r="M32" s="171"/>
      <c r="N32" s="171"/>
      <c r="O32" s="171"/>
      <c r="P32" s="171"/>
      <c r="Q32" s="171"/>
      <c r="R32" s="171"/>
      <c r="S32" s="171"/>
      <c r="T32" s="171"/>
      <c r="U32" s="171"/>
      <c r="V32" s="210"/>
      <c r="W32" s="171"/>
      <c r="X32" s="171"/>
      <c r="Y32" s="171"/>
      <c r="Z32" s="171" t="s">
        <v>1611</v>
      </c>
      <c r="AA32" s="171"/>
      <c r="AB32" s="171"/>
      <c r="AC32" s="171"/>
      <c r="AD32" s="171"/>
      <c r="AE32" s="171"/>
      <c r="AF32" s="171"/>
      <c r="AG32" s="171"/>
      <c r="AH32" s="171"/>
      <c r="AI32" s="171"/>
      <c r="AJ32" s="171"/>
      <c r="AK32" s="171"/>
      <c r="AL32" s="171"/>
      <c r="AM32" s="171"/>
      <c r="AN32" s="171"/>
      <c r="AO32" s="171"/>
      <c r="AP32" s="171"/>
      <c r="AQ32" s="171"/>
      <c r="AR32" s="171"/>
      <c r="AS32" s="171"/>
      <c r="AT32" s="171"/>
      <c r="AU32" s="171"/>
      <c r="AV32" s="171"/>
      <c r="AW32" s="171"/>
      <c r="AX32" s="171"/>
      <c r="AY32" s="171"/>
      <c r="AZ32" s="171"/>
      <c r="BA32" s="171"/>
      <c r="BB32" s="171"/>
      <c r="BC32" s="171"/>
      <c r="BD32" s="171"/>
      <c r="BE32" s="171"/>
      <c r="BF32" s="171"/>
      <c r="BG32" s="171"/>
      <c r="BH32" s="171"/>
      <c r="BI32" s="171"/>
      <c r="BJ32" s="225"/>
      <c r="BK32" s="225"/>
      <c r="BL32" s="225"/>
      <c r="BM32" s="225"/>
      <c r="BN32" s="225"/>
      <c r="BO32" s="225"/>
      <c r="BP32" s="225"/>
      <c r="BQ32" s="225"/>
      <c r="BR32" s="225"/>
      <c r="BT32" s="233"/>
      <c r="BU32" s="233"/>
      <c r="BV32" s="233"/>
      <c r="BW32" s="233"/>
      <c r="BX32" s="233"/>
      <c r="BY32" s="233"/>
      <c r="BZ32" s="233"/>
      <c r="CA32" s="233"/>
      <c r="CB32" s="233"/>
    </row>
    <row r="33" s="138" customFormat="1" spans="1:80">
      <c r="A33" s="142"/>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M33" s="137"/>
      <c r="AN33" s="137"/>
      <c r="AO33" s="137"/>
      <c r="AP33" s="137"/>
      <c r="AQ33" s="137"/>
      <c r="AR33" s="137"/>
      <c r="AS33" s="137"/>
      <c r="AT33" s="137"/>
      <c r="AU33" s="137"/>
      <c r="AV33" s="137"/>
      <c r="AW33" s="137"/>
      <c r="AX33" s="137"/>
      <c r="AY33" s="137"/>
      <c r="AZ33" s="137"/>
      <c r="BA33" s="137"/>
      <c r="BB33" s="137"/>
      <c r="BC33" s="137"/>
      <c r="BD33" s="137"/>
      <c r="BE33" s="137"/>
      <c r="BF33" s="137"/>
      <c r="BG33" s="137"/>
      <c r="BH33" s="137"/>
      <c r="BI33" s="137"/>
      <c r="BJ33" s="58"/>
      <c r="BK33" s="58"/>
      <c r="BL33" s="58"/>
      <c r="BM33" s="58"/>
      <c r="BN33" s="58"/>
      <c r="BO33" s="58"/>
      <c r="BP33" s="58"/>
      <c r="BQ33" s="58"/>
      <c r="BR33" s="58"/>
      <c r="BS33" s="4"/>
      <c r="BT33" s="60"/>
      <c r="BU33" s="60"/>
      <c r="BV33" s="60"/>
      <c r="BW33" s="60"/>
      <c r="BX33" s="60"/>
      <c r="BY33" s="60"/>
      <c r="BZ33" s="60"/>
      <c r="CA33" s="60"/>
      <c r="CB33" s="60"/>
    </row>
    <row r="34" s="137" customFormat="1" spans="1:80">
      <c r="A34" s="142"/>
      <c r="AF34" s="171" t="s">
        <v>1612</v>
      </c>
      <c r="AG34" s="171">
        <f>SUM(AG3:AG33)+AG36</f>
        <v>794088</v>
      </c>
      <c r="AH34" s="171">
        <f t="shared" ref="AH34:BH34" si="46">SUM(AH3:AH33)+AH36</f>
        <v>399867</v>
      </c>
      <c r="AI34" s="171">
        <f t="shared" si="46"/>
        <v>367678</v>
      </c>
      <c r="AJ34" s="171">
        <f t="shared" si="46"/>
        <v>24138</v>
      </c>
      <c r="AK34" s="171">
        <f t="shared" si="46"/>
        <v>586044</v>
      </c>
      <c r="AL34" s="171">
        <f t="shared" si="46"/>
        <v>182095</v>
      </c>
      <c r="AM34" s="171">
        <f t="shared" si="46"/>
        <v>24138</v>
      </c>
      <c r="AN34" s="171">
        <f t="shared" si="46"/>
        <v>98941</v>
      </c>
      <c r="AO34" s="171">
        <f t="shared" si="46"/>
        <v>678347</v>
      </c>
      <c r="AP34" s="171">
        <f t="shared" si="46"/>
        <v>14989</v>
      </c>
      <c r="AQ34" s="171">
        <f t="shared" si="46"/>
        <v>3030</v>
      </c>
      <c r="AR34" s="171">
        <f t="shared" si="46"/>
        <v>1980</v>
      </c>
      <c r="AS34" s="171">
        <f t="shared" si="46"/>
        <v>3059</v>
      </c>
      <c r="AT34" s="171">
        <f t="shared" si="46"/>
        <v>18168</v>
      </c>
      <c r="AU34" s="171">
        <f t="shared" si="46"/>
        <v>2535</v>
      </c>
      <c r="AV34" s="171">
        <f t="shared" si="46"/>
        <v>15713</v>
      </c>
      <c r="AW34" s="171">
        <f t="shared" si="46"/>
        <v>535</v>
      </c>
      <c r="AX34" s="171">
        <f t="shared" si="46"/>
        <v>612</v>
      </c>
      <c r="AY34" s="171">
        <f t="shared" si="46"/>
        <v>1250</v>
      </c>
      <c r="AZ34" s="171">
        <f t="shared" si="46"/>
        <v>0</v>
      </c>
      <c r="BA34" s="171">
        <f t="shared" si="46"/>
        <v>50</v>
      </c>
      <c r="BB34" s="171">
        <f t="shared" si="46"/>
        <v>50</v>
      </c>
      <c r="BC34" s="171">
        <f t="shared" si="46"/>
        <v>150</v>
      </c>
      <c r="BD34" s="171">
        <f t="shared" si="46"/>
        <v>47</v>
      </c>
      <c r="BE34" s="171">
        <f t="shared" si="46"/>
        <v>197</v>
      </c>
      <c r="BF34" s="171">
        <f t="shared" si="46"/>
        <v>23688</v>
      </c>
      <c r="BG34" s="171">
        <f t="shared" si="46"/>
        <v>23688</v>
      </c>
      <c r="BH34" s="171">
        <f t="shared" si="46"/>
        <v>0</v>
      </c>
      <c r="BI34" s="171">
        <f>SUM(BI3:BI33)</f>
        <v>0</v>
      </c>
      <c r="BJ34" s="231">
        <f>SUM(BJ3:BJ33)+BJ36</f>
        <v>97050.4973958332</v>
      </c>
      <c r="BK34" s="231">
        <f t="shared" ref="BK34:BR34" si="47">SUM(BK3:BK33)+BK36</f>
        <v>97050.4973958332</v>
      </c>
      <c r="BL34" s="231">
        <f t="shared" si="47"/>
        <v>97050.4973958332</v>
      </c>
      <c r="BM34" s="231">
        <f t="shared" si="47"/>
        <v>97050.4973958332</v>
      </c>
      <c r="BN34" s="231">
        <f t="shared" si="47"/>
        <v>97050.4973958332</v>
      </c>
      <c r="BO34" s="231">
        <f t="shared" si="47"/>
        <v>97050.4973958332</v>
      </c>
      <c r="BP34" s="231">
        <f t="shared" si="47"/>
        <v>97050.4973958332</v>
      </c>
      <c r="BQ34" s="231">
        <f t="shared" si="47"/>
        <v>97050.4973958332</v>
      </c>
      <c r="BR34" s="231">
        <f t="shared" si="47"/>
        <v>16569.0208333333</v>
      </c>
      <c r="BT34" s="225">
        <f>MIN(BT3:BT32)</f>
        <v>16781.5026041668</v>
      </c>
      <c r="BU34" s="225">
        <f t="shared" ref="BT34:CB34" si="48">MIN(BU3:BU32)</f>
        <v>16781.5026041668</v>
      </c>
      <c r="BV34" s="225">
        <f t="shared" si="48"/>
        <v>16781.5026041668</v>
      </c>
      <c r="BW34" s="225">
        <f t="shared" si="48"/>
        <v>16781.5026041668</v>
      </c>
      <c r="BX34" s="225">
        <f t="shared" si="48"/>
        <v>16781.5026041668</v>
      </c>
      <c r="BY34" s="225">
        <f t="shared" si="48"/>
        <v>16781.5026041668</v>
      </c>
      <c r="BZ34" s="225">
        <f t="shared" si="48"/>
        <v>16781.5026041668</v>
      </c>
      <c r="CA34" s="225">
        <f t="shared" si="48"/>
        <v>16781.5026041668</v>
      </c>
      <c r="CB34" s="225">
        <f t="shared" si="48"/>
        <v>2807.9791666667</v>
      </c>
    </row>
    <row r="35" s="137" customFormat="1" spans="1:25">
      <c r="A35" s="142"/>
      <c r="E35" s="137" t="s">
        <v>1648</v>
      </c>
      <c r="X35" s="137" t="s">
        <v>1613</v>
      </c>
      <c r="Y35" s="137">
        <f>SUM(Y3:Y33)</f>
        <v>61016.9783</v>
      </c>
    </row>
    <row r="36" s="137" customFormat="1" spans="1:80">
      <c r="A36" s="142"/>
      <c r="E36" s="137">
        <f>AG34-AG36</f>
        <v>76862</v>
      </c>
      <c r="AF36" s="171" t="s">
        <v>1649</v>
      </c>
      <c r="AG36" s="171">
        <v>717226</v>
      </c>
      <c r="AH36" s="171">
        <v>399867</v>
      </c>
      <c r="AI36" s="171">
        <v>293221</v>
      </c>
      <c r="AJ36" s="171">
        <v>24138</v>
      </c>
      <c r="AK36" s="171">
        <v>535894</v>
      </c>
      <c r="AL36" s="171">
        <v>157788</v>
      </c>
      <c r="AM36" s="171">
        <v>24138</v>
      </c>
      <c r="AN36" s="171">
        <v>98941</v>
      </c>
      <c r="AO36" s="171">
        <v>606490</v>
      </c>
      <c r="AP36" s="171">
        <v>12389</v>
      </c>
      <c r="AQ36" s="171">
        <v>1906</v>
      </c>
      <c r="AR36" s="171">
        <v>1980</v>
      </c>
      <c r="AS36" s="171">
        <v>2530</v>
      </c>
      <c r="AT36" s="171">
        <v>17446</v>
      </c>
      <c r="AU36" s="171">
        <v>2535</v>
      </c>
      <c r="AV36" s="171">
        <v>14845</v>
      </c>
      <c r="AW36" s="171">
        <v>535</v>
      </c>
      <c r="AX36" s="171">
        <v>612</v>
      </c>
      <c r="AY36" s="171">
        <v>0</v>
      </c>
      <c r="AZ36" s="171">
        <v>0</v>
      </c>
      <c r="BA36" s="171">
        <v>50</v>
      </c>
      <c r="BB36" s="171">
        <v>50</v>
      </c>
      <c r="BC36" s="171">
        <v>150</v>
      </c>
      <c r="BD36" s="171">
        <v>47</v>
      </c>
      <c r="BE36" s="171">
        <v>197</v>
      </c>
      <c r="BF36" s="171">
        <v>23676</v>
      </c>
      <c r="BG36" s="171">
        <v>23676</v>
      </c>
      <c r="BH36" s="171">
        <v>0</v>
      </c>
      <c r="BI36" s="171">
        <v>0</v>
      </c>
      <c r="BJ36" s="225">
        <v>87937.2708333332</v>
      </c>
      <c r="BK36" s="225">
        <v>87937.2708333332</v>
      </c>
      <c r="BL36" s="225">
        <v>87937.2708333332</v>
      </c>
      <c r="BM36" s="225">
        <v>87937.2708333332</v>
      </c>
      <c r="BN36" s="225">
        <v>87937.2708333332</v>
      </c>
      <c r="BO36" s="225">
        <v>87937.2708333332</v>
      </c>
      <c r="BP36" s="225">
        <v>87937.2708333332</v>
      </c>
      <c r="BQ36" s="225">
        <v>87937.2708333332</v>
      </c>
      <c r="BR36" s="225">
        <v>15017.8333333333</v>
      </c>
      <c r="BT36" s="225">
        <f>BT34-生产MA!G13</f>
        <v>0</v>
      </c>
      <c r="BU36" s="225"/>
      <c r="BV36" s="225"/>
      <c r="BW36" s="225"/>
      <c r="BX36" s="225"/>
      <c r="BY36" s="225"/>
      <c r="BZ36" s="225"/>
      <c r="CA36" s="225"/>
      <c r="CB36" s="225"/>
    </row>
    <row r="37" s="137" customFormat="1" spans="1:80">
      <c r="A37" s="142"/>
      <c r="BT37" s="232"/>
      <c r="BU37" s="232"/>
      <c r="BV37" s="232"/>
      <c r="BW37" s="232"/>
      <c r="BX37" s="232"/>
      <c r="BY37" s="232"/>
      <c r="BZ37" s="232"/>
      <c r="CA37" s="232"/>
      <c r="CB37" s="232"/>
    </row>
    <row r="38" s="137" customFormat="1" spans="1:33">
      <c r="A38" s="142"/>
      <c r="E38" s="137">
        <f>E36-AG40</f>
        <v>0</v>
      </c>
      <c r="Y38" s="137">
        <f>Y35*7.75</f>
        <v>472881.581825</v>
      </c>
      <c r="AF38" s="138" t="s">
        <v>1120</v>
      </c>
      <c r="AG38" s="138">
        <f>SUM(AG36,AG4:AG16)</f>
        <v>774523</v>
      </c>
    </row>
    <row r="39" s="137" customFormat="1" spans="1:70">
      <c r="A39" s="142"/>
      <c r="BI39" s="137" t="s">
        <v>1614</v>
      </c>
      <c r="BJ39" s="232">
        <f>SUM(BJ36,BJ3:BJ19)</f>
        <v>95085.3098958332</v>
      </c>
      <c r="BK39" s="232">
        <f t="shared" ref="BK39:BR39" si="49">SUM(BK36,BK3:BK19)</f>
        <v>95085.3098958332</v>
      </c>
      <c r="BL39" s="232">
        <f t="shared" si="49"/>
        <v>95085.3098958332</v>
      </c>
      <c r="BM39" s="232">
        <f t="shared" si="49"/>
        <v>95085.3098958332</v>
      </c>
      <c r="BN39" s="232">
        <f t="shared" si="49"/>
        <v>95085.3098958332</v>
      </c>
      <c r="BO39" s="232">
        <f t="shared" si="49"/>
        <v>95085.3098958332</v>
      </c>
      <c r="BP39" s="232">
        <f t="shared" si="49"/>
        <v>95085.3098958332</v>
      </c>
      <c r="BQ39" s="232">
        <f t="shared" si="49"/>
        <v>95085.3098958332</v>
      </c>
      <c r="BR39" s="232">
        <f t="shared" si="49"/>
        <v>16234.5208333333</v>
      </c>
    </row>
    <row r="40" spans="33:33">
      <c r="AG40" s="137">
        <f>SUM(AG3:AG32)</f>
        <v>76862</v>
      </c>
    </row>
    <row r="43" spans="10:13">
      <c r="J43" s="137" t="s">
        <v>1611</v>
      </c>
      <c r="M43" s="137" t="s">
        <v>1615</v>
      </c>
    </row>
  </sheetData>
  <sheetProtection selectLockedCells="1" autoFilter="0"/>
  <autoFilter xmlns:etc="http://www.wps.cn/officeDocument/2017/etCustomData" ref="A2:CB32" etc:filterBottomFollowUsedRange="0">
    <extLst/>
  </autoFilter>
  <mergeCells count="9">
    <mergeCell ref="AH1:AJ1"/>
    <mergeCell ref="AK1:AM1"/>
    <mergeCell ref="AN1:AO1"/>
    <mergeCell ref="AQ1:AS1"/>
    <mergeCell ref="AT1:AU1"/>
    <mergeCell ref="AX1:AY1"/>
    <mergeCell ref="AZ1:BB1"/>
    <mergeCell ref="BC1:BE1"/>
    <mergeCell ref="BF1:BH1"/>
  </mergeCells>
  <conditionalFormatting sqref="R3:U3">
    <cfRule type="cellIs" dxfId="0" priority="814" operator="equal">
      <formula>"欠"</formula>
    </cfRule>
  </conditionalFormatting>
  <conditionalFormatting sqref="R8">
    <cfRule type="cellIs" dxfId="0" priority="93" operator="equal">
      <formula>"欠"</formula>
    </cfRule>
  </conditionalFormatting>
  <conditionalFormatting sqref="T10">
    <cfRule type="containsText" dxfId="1" priority="94" operator="between" text="欠">
      <formula>NOT(ISERROR(SEARCH("欠",T10)))</formula>
    </cfRule>
    <cfRule type="cellIs" dxfId="0" priority="95" operator="equal">
      <formula>"欠"</formula>
    </cfRule>
  </conditionalFormatting>
  <conditionalFormatting sqref="T12">
    <cfRule type="containsText" dxfId="1" priority="166" operator="between" text="欠">
      <formula>NOT(ISERROR(SEARCH("欠",T12)))</formula>
    </cfRule>
    <cfRule type="cellIs" dxfId="0" priority="167" operator="equal">
      <formula>"欠"</formula>
    </cfRule>
  </conditionalFormatting>
  <conditionalFormatting sqref="S13">
    <cfRule type="cellIs" dxfId="0" priority="52" operator="equal">
      <formula>"欠"</formula>
    </cfRule>
    <cfRule type="containsText" dxfId="1" priority="53" operator="between" text="欠">
      <formula>NOT(ISERROR(SEARCH("欠",S13)))</formula>
    </cfRule>
  </conditionalFormatting>
  <conditionalFormatting sqref="T13">
    <cfRule type="containsText" dxfId="1" priority="54" operator="between" text="欠">
      <formula>NOT(ISERROR(SEARCH("欠",T13)))</formula>
    </cfRule>
    <cfRule type="cellIs" dxfId="0" priority="55" operator="equal">
      <formula>"欠"</formula>
    </cfRule>
  </conditionalFormatting>
  <conditionalFormatting sqref="T16">
    <cfRule type="containsText" dxfId="1" priority="185" operator="between" text="欠">
      <formula>NOT(ISERROR(SEARCH("欠",T16)))</formula>
    </cfRule>
    <cfRule type="cellIs" dxfId="0" priority="186" operator="equal">
      <formula>"欠"</formula>
    </cfRule>
  </conditionalFormatting>
  <conditionalFormatting sqref="S18">
    <cfRule type="cellIs" dxfId="0" priority="31" operator="equal">
      <formula>"欠"</formula>
    </cfRule>
    <cfRule type="containsText" dxfId="1" priority="33" operator="between" text="欠">
      <formula>NOT(ISERROR(SEARCH("欠",S18)))</formula>
    </cfRule>
  </conditionalFormatting>
  <conditionalFormatting sqref="T18">
    <cfRule type="containsText" dxfId="1" priority="35" operator="between" text="欠">
      <formula>NOT(ISERROR(SEARCH("欠",T18)))</formula>
    </cfRule>
    <cfRule type="cellIs" dxfId="0" priority="37" operator="equal">
      <formula>"欠"</formula>
    </cfRule>
  </conditionalFormatting>
  <conditionalFormatting sqref="R19">
    <cfRule type="containsText" dxfId="1" priority="20" operator="between" text="欠">
      <formula>NOT(ISERROR(SEARCH("欠",R19)))</formula>
    </cfRule>
    <cfRule type="cellIs" dxfId="0" priority="21" operator="equal">
      <formula>"欠"</formula>
    </cfRule>
  </conditionalFormatting>
  <conditionalFormatting sqref="R20">
    <cfRule type="containsText" dxfId="1" priority="15" operator="between" text="欠">
      <formula>NOT(ISERROR(SEARCH("欠",R20)))</formula>
    </cfRule>
    <cfRule type="cellIs" dxfId="0" priority="16" operator="equal">
      <formula>"欠"</formula>
    </cfRule>
  </conditionalFormatting>
  <conditionalFormatting sqref="S20">
    <cfRule type="containsText" dxfId="1" priority="17" operator="between" text="欠">
      <formula>NOT(ISERROR(SEARCH("欠",S20)))</formula>
    </cfRule>
  </conditionalFormatting>
  <conditionalFormatting sqref="T20">
    <cfRule type="containsText" dxfId="1" priority="13" operator="between" text="欠">
      <formula>NOT(ISERROR(SEARCH("欠",T20)))</formula>
    </cfRule>
    <cfRule type="cellIs" dxfId="0" priority="14" operator="equal">
      <formula>"欠"</formula>
    </cfRule>
  </conditionalFormatting>
  <conditionalFormatting sqref="T22">
    <cfRule type="containsText" dxfId="1" priority="50" operator="between" text="欠">
      <formula>NOT(ISERROR(SEARCH("欠",T22)))</formula>
    </cfRule>
    <cfRule type="cellIs" dxfId="0" priority="51" operator="equal">
      <formula>"欠"</formula>
    </cfRule>
  </conditionalFormatting>
  <conditionalFormatting sqref="R31">
    <cfRule type="containsText" dxfId="1" priority="675" operator="between" text="欠">
      <formula>NOT(ISERROR(SEARCH("欠",R31)))</formula>
    </cfRule>
    <cfRule type="cellIs" dxfId="0" priority="676" operator="equal">
      <formula>"欠"</formula>
    </cfRule>
  </conditionalFormatting>
  <conditionalFormatting sqref="S31">
    <cfRule type="containsText" dxfId="1" priority="673" operator="between" text="欠">
      <formula>NOT(ISERROR(SEARCH("欠",S31)))</formula>
    </cfRule>
    <cfRule type="cellIs" dxfId="0" priority="674" operator="equal">
      <formula>"欠"</formula>
    </cfRule>
  </conditionalFormatting>
  <conditionalFormatting sqref="T31">
    <cfRule type="containsText" dxfId="1" priority="478" operator="between" text="欠">
      <formula>NOT(ISERROR(SEARCH("欠",T31)))</formula>
    </cfRule>
    <cfRule type="cellIs" dxfId="0" priority="479" operator="equal">
      <formula>"欠"</formula>
    </cfRule>
  </conditionalFormatting>
  <conditionalFormatting sqref="U31">
    <cfRule type="containsText" dxfId="1" priority="386" operator="between" text="欠">
      <formula>NOT(ISERROR(SEARCH("欠",U31)))</formula>
    </cfRule>
    <cfRule type="cellIs" dxfId="0" priority="387" operator="equal">
      <formula>"欠"</formula>
    </cfRule>
  </conditionalFormatting>
  <conditionalFormatting sqref="R14:R15">
    <cfRule type="containsText" dxfId="1" priority="62" operator="between" text="欠">
      <formula>NOT(ISERROR(SEARCH("欠",R14)))</formula>
    </cfRule>
    <cfRule type="cellIs" dxfId="0" priority="63" operator="equal">
      <formula>"欠"</formula>
    </cfRule>
  </conditionalFormatting>
  <conditionalFormatting sqref="R17:R18">
    <cfRule type="containsText" dxfId="1" priority="39" operator="between" text="欠">
      <formula>NOT(ISERROR(SEARCH("欠",R17)))</formula>
    </cfRule>
    <cfRule type="cellIs" dxfId="0" priority="43" operator="equal">
      <formula>"欠"</formula>
    </cfRule>
  </conditionalFormatting>
  <conditionalFormatting sqref="R23:R24">
    <cfRule type="containsText" dxfId="1" priority="5" operator="between" text="欠">
      <formula>NOT(ISERROR(SEARCH("欠",R23)))</formula>
    </cfRule>
    <cfRule type="cellIs" dxfId="0" priority="6" operator="equal">
      <formula>"欠"</formula>
    </cfRule>
  </conditionalFormatting>
  <conditionalFormatting sqref="R25:R26">
    <cfRule type="containsText" dxfId="1" priority="11" operator="between" text="欠">
      <formula>NOT(ISERROR(SEARCH("欠",R25)))</formula>
    </cfRule>
    <cfRule type="cellIs" dxfId="0" priority="12" operator="equal">
      <formula>"欠"</formula>
    </cfRule>
  </conditionalFormatting>
  <conditionalFormatting sqref="S14:S15">
    <cfRule type="cellIs" dxfId="0" priority="60" operator="equal">
      <formula>"欠"</formula>
    </cfRule>
    <cfRule type="containsText" dxfId="1" priority="61" operator="between" text="欠">
      <formula>NOT(ISERROR(SEARCH("欠",S14)))</formula>
    </cfRule>
  </conditionalFormatting>
  <conditionalFormatting sqref="S23:S24">
    <cfRule type="cellIs" dxfId="0" priority="1" operator="equal">
      <formula>"欠"</formula>
    </cfRule>
    <cfRule type="containsText" dxfId="1" priority="2" operator="between" text="欠">
      <formula>NOT(ISERROR(SEARCH("欠",S23)))</formula>
    </cfRule>
  </conditionalFormatting>
  <conditionalFormatting sqref="S25:S26">
    <cfRule type="cellIs" dxfId="0" priority="7" operator="equal">
      <formula>"欠"</formula>
    </cfRule>
    <cfRule type="containsText" dxfId="1" priority="8" operator="between" text="欠">
      <formula>NOT(ISERROR(SEARCH("欠",S25)))</formula>
    </cfRule>
  </conditionalFormatting>
  <conditionalFormatting sqref="T5:T7">
    <cfRule type="containsText" dxfId="1" priority="107" operator="between" text="欠">
      <formula>NOT(ISERROR(SEARCH("欠",T5)))</formula>
    </cfRule>
    <cfRule type="cellIs" dxfId="0" priority="108" operator="equal">
      <formula>"欠"</formula>
    </cfRule>
    <cfRule type="containsText" dxfId="1" priority="109" operator="between" text="欠">
      <formula>NOT(ISERROR(SEARCH("欠",T5)))</formula>
    </cfRule>
  </conditionalFormatting>
  <conditionalFormatting sqref="T14:T15">
    <cfRule type="containsText" dxfId="1" priority="64" operator="between" text="欠">
      <formula>NOT(ISERROR(SEARCH("欠",T14)))</formula>
    </cfRule>
    <cfRule type="cellIs" dxfId="0" priority="65" operator="equal">
      <formula>"欠"</formula>
    </cfRule>
  </conditionalFormatting>
  <conditionalFormatting sqref="T23:T24">
    <cfRule type="containsText" dxfId="1" priority="3" operator="between" text="欠">
      <formula>NOT(ISERROR(SEARCH("欠",T23)))</formula>
    </cfRule>
    <cfRule type="cellIs" dxfId="0" priority="4" operator="equal">
      <formula>"欠"</formula>
    </cfRule>
  </conditionalFormatting>
  <conditionalFormatting sqref="T25:T26">
    <cfRule type="containsText" dxfId="1" priority="9" operator="between" text="欠">
      <formula>NOT(ISERROR(SEARCH("欠",T25)))</formula>
    </cfRule>
    <cfRule type="cellIs" dxfId="0" priority="10" operator="equal">
      <formula>"欠"</formula>
    </cfRule>
  </conditionalFormatting>
  <conditionalFormatting sqref="R1:U2">
    <cfRule type="cellIs" dxfId="0" priority="815" operator="equal">
      <formula>"欠"</formula>
    </cfRule>
  </conditionalFormatting>
  <conditionalFormatting sqref="R3:U3 R32:U32">
    <cfRule type="containsText" dxfId="1" priority="805" operator="between" text="欠">
      <formula>NOT(ISERROR(SEARCH("欠",R3)))</formula>
    </cfRule>
  </conditionalFormatting>
  <conditionalFormatting sqref="R4 R30">
    <cfRule type="cellIs" dxfId="0" priority="135" operator="equal">
      <formula>"欠"</formula>
    </cfRule>
  </conditionalFormatting>
  <conditionalFormatting sqref="S16 S4 S30">
    <cfRule type="containsText" dxfId="1" priority="524" operator="between" text="欠">
      <formula>NOT(ISERROR(SEARCH("欠",S4)))</formula>
    </cfRule>
  </conditionalFormatting>
  <conditionalFormatting sqref="T4 T30">
    <cfRule type="containsText" dxfId="1" priority="136" operator="between" text="欠">
      <formula>NOT(ISERROR(SEARCH("欠",T4)))</formula>
    </cfRule>
    <cfRule type="cellIs" dxfId="0" priority="137" operator="equal">
      <formula>"欠"</formula>
    </cfRule>
  </conditionalFormatting>
  <conditionalFormatting sqref="R12 R5:R7 R10 R16">
    <cfRule type="containsText" dxfId="1" priority="110" operator="between" text="欠">
      <formula>NOT(ISERROR(SEARCH("欠",R5)))</formula>
    </cfRule>
    <cfRule type="cellIs" dxfId="0" priority="112" operator="equal">
      <formula>"欠"</formula>
    </cfRule>
  </conditionalFormatting>
  <conditionalFormatting sqref="S10 S5:S7">
    <cfRule type="containsText" dxfId="1" priority="113" operator="between" text="欠">
      <formula>NOT(ISERROR(SEARCH("欠",S5)))</formula>
    </cfRule>
    <cfRule type="cellIs" dxfId="0" priority="114" operator="equal">
      <formula>"欠"</formula>
    </cfRule>
    <cfRule type="containsText" dxfId="1" priority="115" operator="between" text="欠">
      <formula>NOT(ISERROR(SEARCH("欠",S5)))</formula>
    </cfRule>
  </conditionalFormatting>
  <conditionalFormatting sqref="S8:S9 S11">
    <cfRule type="containsText" dxfId="1" priority="91" operator="between" text="欠">
      <formula>NOT(ISERROR(SEARCH("欠",S8)))</formula>
    </cfRule>
    <cfRule type="cellIs" dxfId="0" priority="92" operator="equal">
      <formula>"欠"</formula>
    </cfRule>
  </conditionalFormatting>
  <conditionalFormatting sqref="T8:T9 T11">
    <cfRule type="containsText" dxfId="1" priority="89" operator="between" text="欠">
      <formula>NOT(ISERROR(SEARCH("欠",T8)))</formula>
    </cfRule>
    <cfRule type="cellIs" dxfId="0" priority="90" operator="equal">
      <formula>"欠"</formula>
    </cfRule>
  </conditionalFormatting>
  <conditionalFormatting sqref="R9 R11">
    <cfRule type="containsText" dxfId="1" priority="76" operator="between" text="欠">
      <formula>NOT(ISERROR(SEARCH("欠",R9)))</formula>
    </cfRule>
    <cfRule type="cellIs" dxfId="0" priority="78" operator="equal">
      <formula>"欠"</formula>
    </cfRule>
  </conditionalFormatting>
  <conditionalFormatting sqref="S12 S22">
    <cfRule type="containsText" dxfId="1" priority="168" operator="between" text="欠">
      <formula>NOT(ISERROR(SEARCH("欠",S12)))</formula>
    </cfRule>
    <cfRule type="cellIs" dxfId="0" priority="169" operator="equal">
      <formula>"欠"</formula>
    </cfRule>
  </conditionalFormatting>
  <conditionalFormatting sqref="R13 R22">
    <cfRule type="containsText" dxfId="1" priority="73" operator="between" text="欠">
      <formula>NOT(ISERROR(SEARCH("欠",R13)))</formula>
    </cfRule>
    <cfRule type="cellIs" dxfId="0" priority="75" operator="equal">
      <formula>"欠"</formula>
    </cfRule>
  </conditionalFormatting>
  <conditionalFormatting sqref="S17 S19">
    <cfRule type="containsText" dxfId="1" priority="22" operator="between" text="欠">
      <formula>NOT(ISERROR(SEARCH("欠",S17)))</formula>
    </cfRule>
  </conditionalFormatting>
  <conditionalFormatting sqref="T17 T19">
    <cfRule type="containsText" dxfId="1" priority="18" operator="between" text="欠">
      <formula>NOT(ISERROR(SEARCH("欠",T17)))</formula>
    </cfRule>
    <cfRule type="cellIs" dxfId="0" priority="19" operator="equal">
      <formula>"欠"</formula>
    </cfRule>
  </conditionalFormatting>
  <conditionalFormatting sqref="R27:R29 R21">
    <cfRule type="containsText" dxfId="1" priority="38" operator="between" text="欠">
      <formula>NOT(ISERROR(SEARCH("欠",R21)))</formula>
    </cfRule>
    <cfRule type="cellIs" dxfId="0" priority="42" operator="equal">
      <formula>"欠"</formula>
    </cfRule>
  </conditionalFormatting>
  <conditionalFormatting sqref="S27:S29 S21">
    <cfRule type="cellIs" dxfId="0" priority="30" operator="equal">
      <formula>"欠"</formula>
    </cfRule>
    <cfRule type="containsText" dxfId="1" priority="32" operator="between" text="欠">
      <formula>NOT(ISERROR(SEARCH("欠",S21)))</formula>
    </cfRule>
  </conditionalFormatting>
  <conditionalFormatting sqref="T27:T29 T21">
    <cfRule type="containsText" dxfId="1" priority="34" operator="between" text="欠">
      <formula>NOT(ISERROR(SEARCH("欠",T21)))</formula>
    </cfRule>
    <cfRule type="cellIs" dxfId="0" priority="36" operator="equal">
      <formula>"欠"</formula>
    </cfRule>
  </conditionalFormatting>
  <dataValidations count="1">
    <dataValidation type="list" allowBlank="1" showInputMessage="1" showErrorMessage="1" sqref="S23 S24 S25 S26 S27 S13:S15 S17:S18 S19:S21 S28:S29">
      <formula1>"有,无"</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
  <sheetViews>
    <sheetView zoomScale="90" zoomScaleNormal="90" workbookViewId="0">
      <selection activeCell="O23" sqref="O23:P23"/>
    </sheetView>
  </sheetViews>
  <sheetFormatPr defaultColWidth="9" defaultRowHeight="13.5"/>
  <cols>
    <col min="1" max="2" width="12.75" customWidth="1"/>
    <col min="3" max="4" width="9.9" customWidth="1"/>
    <col min="5" max="5" width="12.6166666666667" customWidth="1"/>
    <col min="7" max="15" width="12.825" customWidth="1"/>
    <col min="16" max="17" width="8.575" style="1" customWidth="1"/>
    <col min="18" max="18" width="31.05" style="1" customWidth="1"/>
  </cols>
  <sheetData>
    <row r="1" ht="32" customHeight="1" spans="1:18">
      <c r="A1" s="107" t="s">
        <v>1650</v>
      </c>
      <c r="B1" s="108" t="s">
        <v>1651</v>
      </c>
      <c r="C1" s="108" t="s">
        <v>1652</v>
      </c>
      <c r="D1" s="108" t="s">
        <v>1653</v>
      </c>
      <c r="E1" s="109" t="s">
        <v>1654</v>
      </c>
      <c r="F1" s="110" t="s">
        <v>1655</v>
      </c>
      <c r="G1" s="111"/>
      <c r="H1" s="111"/>
      <c r="I1" s="111"/>
      <c r="J1" s="111"/>
      <c r="K1" s="111"/>
      <c r="L1" s="111"/>
      <c r="M1" s="111"/>
      <c r="N1" s="111"/>
      <c r="O1" s="111"/>
      <c r="P1" s="132" t="s">
        <v>1656</v>
      </c>
      <c r="Q1" s="134" t="s">
        <v>1657</v>
      </c>
      <c r="R1" s="132" t="s">
        <v>44</v>
      </c>
    </row>
    <row r="2" ht="17" customHeight="1" spans="1:18">
      <c r="A2" s="107"/>
      <c r="B2" s="108"/>
      <c r="C2" s="108"/>
      <c r="D2" s="108"/>
      <c r="E2" s="109" t="s">
        <v>1658</v>
      </c>
      <c r="F2" s="112"/>
      <c r="G2" s="113">
        <f t="shared" ref="G2:N2" si="0">(1-1/48)/8</f>
        <v>0.122395833333333</v>
      </c>
      <c r="H2" s="113">
        <f t="shared" si="0"/>
        <v>0.122395833333333</v>
      </c>
      <c r="I2" s="113">
        <f t="shared" si="0"/>
        <v>0.122395833333333</v>
      </c>
      <c r="J2" s="113">
        <f t="shared" si="0"/>
        <v>0.122395833333333</v>
      </c>
      <c r="K2" s="113">
        <f t="shared" si="0"/>
        <v>0.122395833333333</v>
      </c>
      <c r="L2" s="113">
        <f t="shared" si="0"/>
        <v>0.122395833333333</v>
      </c>
      <c r="M2" s="113">
        <f t="shared" si="0"/>
        <v>0.122395833333333</v>
      </c>
      <c r="N2" s="113">
        <f t="shared" si="0"/>
        <v>0.122395833333333</v>
      </c>
      <c r="O2" s="113">
        <f>1/48</f>
        <v>0.0208333333333333</v>
      </c>
      <c r="P2" s="132"/>
      <c r="Q2" s="132"/>
      <c r="R2" s="132"/>
    </row>
    <row r="3" ht="17" customHeight="1" spans="1:18">
      <c r="A3" s="107"/>
      <c r="B3" s="108"/>
      <c r="C3" s="108"/>
      <c r="D3" s="108"/>
      <c r="E3" s="109" t="s">
        <v>1659</v>
      </c>
      <c r="F3" s="112"/>
      <c r="G3" s="114" t="s">
        <v>1660</v>
      </c>
      <c r="H3" s="114" t="s">
        <v>1661</v>
      </c>
      <c r="I3" s="114" t="s">
        <v>1662</v>
      </c>
      <c r="J3" s="114" t="s">
        <v>1663</v>
      </c>
      <c r="K3" s="114" t="s">
        <v>1664</v>
      </c>
      <c r="L3" s="114" t="s">
        <v>1665</v>
      </c>
      <c r="M3" s="114" t="s">
        <v>1666</v>
      </c>
      <c r="N3" s="114" t="s">
        <v>1667</v>
      </c>
      <c r="O3" s="114" t="s">
        <v>1668</v>
      </c>
      <c r="P3" s="132"/>
      <c r="Q3" s="132"/>
      <c r="R3" s="132"/>
    </row>
    <row r="4" ht="17" customHeight="1" spans="1:18">
      <c r="A4" s="107"/>
      <c r="B4" s="108"/>
      <c r="C4" s="108"/>
      <c r="D4" s="108"/>
      <c r="E4" s="109" t="s">
        <v>1669</v>
      </c>
      <c r="F4" s="115"/>
      <c r="G4" s="116" t="s">
        <v>14</v>
      </c>
      <c r="H4" s="111" t="s">
        <v>15</v>
      </c>
      <c r="I4" s="116" t="s">
        <v>16</v>
      </c>
      <c r="J4" s="111" t="s">
        <v>17</v>
      </c>
      <c r="K4" s="111" t="s">
        <v>18</v>
      </c>
      <c r="L4" s="116" t="s">
        <v>19</v>
      </c>
      <c r="M4" s="116" t="s">
        <v>20</v>
      </c>
      <c r="N4" s="111" t="s">
        <v>21</v>
      </c>
      <c r="O4" s="111" t="s">
        <v>22</v>
      </c>
      <c r="P4" s="132"/>
      <c r="Q4" s="132"/>
      <c r="R4" s="132"/>
    </row>
    <row r="5" ht="20" customHeight="1" spans="1:18">
      <c r="A5" s="117" t="s">
        <v>1670</v>
      </c>
      <c r="B5" s="117" t="s">
        <v>1671</v>
      </c>
      <c r="C5" s="118">
        <v>45639</v>
      </c>
      <c r="D5" s="119">
        <v>45725</v>
      </c>
      <c r="E5" s="120" t="s">
        <v>1672</v>
      </c>
      <c r="F5" s="121">
        <f t="shared" ref="F5:F9" si="1">SUM(G5:O5)</f>
        <v>165006</v>
      </c>
      <c r="G5" s="122">
        <v>20196</v>
      </c>
      <c r="H5" s="122">
        <v>20196</v>
      </c>
      <c r="I5" s="122">
        <v>20196</v>
      </c>
      <c r="J5" s="122">
        <v>20196</v>
      </c>
      <c r="K5" s="122">
        <v>20196</v>
      </c>
      <c r="L5" s="122">
        <v>20196</v>
      </c>
      <c r="M5" s="122">
        <v>20196</v>
      </c>
      <c r="N5" s="122">
        <v>20196</v>
      </c>
      <c r="O5" s="122">
        <v>3438</v>
      </c>
      <c r="P5" s="122">
        <v>165006</v>
      </c>
      <c r="Q5" s="122"/>
      <c r="R5" s="135" t="s">
        <v>1673</v>
      </c>
    </row>
    <row r="6" ht="20" customHeight="1" spans="1:19">
      <c r="A6" s="117" t="s">
        <v>1670</v>
      </c>
      <c r="B6" s="117" t="s">
        <v>1674</v>
      </c>
      <c r="C6" s="118">
        <v>45673</v>
      </c>
      <c r="D6" s="119">
        <v>45773</v>
      </c>
      <c r="E6" s="120" t="s">
        <v>1672</v>
      </c>
      <c r="F6" s="121">
        <f t="shared" si="1"/>
        <v>235008</v>
      </c>
      <c r="G6" s="122">
        <v>28764</v>
      </c>
      <c r="H6" s="122">
        <v>28764</v>
      </c>
      <c r="I6" s="122">
        <v>28764</v>
      </c>
      <c r="J6" s="122">
        <v>28764</v>
      </c>
      <c r="K6" s="122">
        <v>28764</v>
      </c>
      <c r="L6" s="122">
        <v>28764</v>
      </c>
      <c r="M6" s="122">
        <v>28764</v>
      </c>
      <c r="N6" s="122">
        <v>28764</v>
      </c>
      <c r="O6" s="122">
        <v>4896</v>
      </c>
      <c r="P6" s="122">
        <v>235008</v>
      </c>
      <c r="Q6" s="122"/>
      <c r="R6" s="135" t="s">
        <v>1673</v>
      </c>
      <c r="S6" s="61"/>
    </row>
    <row r="7" ht="20" customHeight="1" spans="1:19">
      <c r="A7" s="117" t="s">
        <v>1670</v>
      </c>
      <c r="B7" s="117" t="s">
        <v>1675</v>
      </c>
      <c r="C7" s="118">
        <v>45792</v>
      </c>
      <c r="D7" s="119">
        <v>45828</v>
      </c>
      <c r="E7" s="120" t="s">
        <v>1672</v>
      </c>
      <c r="F7" s="121">
        <f t="shared" si="1"/>
        <v>200007</v>
      </c>
      <c r="G7" s="122">
        <v>24480</v>
      </c>
      <c r="H7" s="122">
        <v>24480</v>
      </c>
      <c r="I7" s="122">
        <v>24480</v>
      </c>
      <c r="J7" s="122">
        <v>24480</v>
      </c>
      <c r="K7" s="122">
        <v>24480</v>
      </c>
      <c r="L7" s="122">
        <v>24480</v>
      </c>
      <c r="M7" s="122">
        <v>24480</v>
      </c>
      <c r="N7" s="122">
        <v>24480</v>
      </c>
      <c r="O7" s="122">
        <v>4167</v>
      </c>
      <c r="Q7" s="136">
        <v>200000</v>
      </c>
      <c r="R7" s="135" t="s">
        <v>1673</v>
      </c>
      <c r="S7" s="61" t="s">
        <v>1676</v>
      </c>
    </row>
    <row r="8" ht="20" customHeight="1" spans="1:18">
      <c r="A8" s="117" t="s">
        <v>1677</v>
      </c>
      <c r="B8" s="117" t="s">
        <v>1678</v>
      </c>
      <c r="C8" s="118">
        <v>45881</v>
      </c>
      <c r="D8" s="119">
        <v>45917</v>
      </c>
      <c r="E8" s="120" t="s">
        <v>1672</v>
      </c>
      <c r="F8" s="121">
        <f t="shared" si="1"/>
        <v>165006</v>
      </c>
      <c r="G8" s="122">
        <v>20196</v>
      </c>
      <c r="H8" s="122">
        <v>20196</v>
      </c>
      <c r="I8" s="122">
        <v>20196</v>
      </c>
      <c r="J8" s="122">
        <v>20196</v>
      </c>
      <c r="K8" s="122">
        <v>20196</v>
      </c>
      <c r="L8" s="122">
        <v>20196</v>
      </c>
      <c r="M8" s="122">
        <v>20196</v>
      </c>
      <c r="N8" s="122">
        <v>20196</v>
      </c>
      <c r="O8" s="122">
        <v>3438</v>
      </c>
      <c r="P8" s="122"/>
      <c r="Q8" s="122">
        <v>165006</v>
      </c>
      <c r="R8" s="122" t="s">
        <v>1679</v>
      </c>
    </row>
    <row r="9" ht="20" customHeight="1" spans="1:18">
      <c r="A9" s="123" t="s">
        <v>1677</v>
      </c>
      <c r="B9" s="123" t="s">
        <v>1680</v>
      </c>
      <c r="C9" s="124">
        <v>45974</v>
      </c>
      <c r="D9" s="125">
        <v>46018</v>
      </c>
      <c r="E9" s="126" t="s">
        <v>1672</v>
      </c>
      <c r="F9" s="127">
        <f t="shared" si="1"/>
        <v>165006</v>
      </c>
      <c r="G9" s="128">
        <v>20196</v>
      </c>
      <c r="H9" s="128">
        <v>20196</v>
      </c>
      <c r="I9" s="128">
        <v>20196</v>
      </c>
      <c r="J9" s="128">
        <v>20196</v>
      </c>
      <c r="K9" s="128">
        <v>20196</v>
      </c>
      <c r="L9" s="128">
        <v>20196</v>
      </c>
      <c r="M9" s="128">
        <v>20196</v>
      </c>
      <c r="N9" s="128">
        <v>20196</v>
      </c>
      <c r="O9" s="128">
        <v>3438</v>
      </c>
      <c r="P9" s="128"/>
      <c r="Q9" s="128">
        <v>165006</v>
      </c>
      <c r="R9" s="128" t="s">
        <v>1679</v>
      </c>
    </row>
    <row r="10" ht="20" customHeight="1" spans="1:18">
      <c r="A10" s="117"/>
      <c r="B10" s="117"/>
      <c r="C10" s="118"/>
      <c r="D10" s="119"/>
      <c r="E10" s="129"/>
      <c r="F10" s="121"/>
      <c r="G10" s="122"/>
      <c r="H10" s="122"/>
      <c r="I10" s="122"/>
      <c r="J10" s="122"/>
      <c r="K10" s="122"/>
      <c r="L10" s="122"/>
      <c r="M10" s="122"/>
      <c r="N10" s="122"/>
      <c r="O10" s="122"/>
      <c r="P10" s="122"/>
      <c r="Q10" s="122"/>
      <c r="R10" s="122"/>
    </row>
    <row r="11" spans="5:18">
      <c r="E11" s="130" t="s">
        <v>1681</v>
      </c>
      <c r="F11" s="131">
        <f>SUM(F5:F10)</f>
        <v>930033</v>
      </c>
      <c r="G11" s="131">
        <f t="shared" ref="G11:Q11" si="2">SUM(G5:G10)</f>
        <v>113832</v>
      </c>
      <c r="H11" s="131">
        <f t="shared" si="2"/>
        <v>113832</v>
      </c>
      <c r="I11" s="131">
        <f t="shared" si="2"/>
        <v>113832</v>
      </c>
      <c r="J11" s="131">
        <f t="shared" si="2"/>
        <v>113832</v>
      </c>
      <c r="K11" s="131">
        <f t="shared" si="2"/>
        <v>113832</v>
      </c>
      <c r="L11" s="131">
        <f t="shared" si="2"/>
        <v>113832</v>
      </c>
      <c r="M11" s="131">
        <f t="shared" si="2"/>
        <v>113832</v>
      </c>
      <c r="N11" s="131">
        <f t="shared" si="2"/>
        <v>113832</v>
      </c>
      <c r="O11" s="131">
        <f t="shared" si="2"/>
        <v>19377</v>
      </c>
      <c r="P11" s="131">
        <f t="shared" si="2"/>
        <v>400014</v>
      </c>
      <c r="Q11" s="131">
        <f t="shared" si="2"/>
        <v>530012</v>
      </c>
      <c r="R11" s="131"/>
    </row>
    <row r="12" spans="5:18">
      <c r="E12" s="130" t="s">
        <v>1682</v>
      </c>
      <c r="F12" s="131">
        <f>'77685排期'!AG34</f>
        <v>794088</v>
      </c>
      <c r="G12" s="131">
        <f>'77685排期'!BJ34</f>
        <v>97050.4973958332</v>
      </c>
      <c r="H12" s="131">
        <f>'77685排期'!BK34</f>
        <v>97050.4973958332</v>
      </c>
      <c r="I12" s="131">
        <f>'77685排期'!BL34</f>
        <v>97050.4973958332</v>
      </c>
      <c r="J12" s="131">
        <f>'77685排期'!BM34</f>
        <v>97050.4973958332</v>
      </c>
      <c r="K12" s="131">
        <f>'77685排期'!BN34</f>
        <v>97050.4973958332</v>
      </c>
      <c r="L12" s="131">
        <f>'77685排期'!BO34</f>
        <v>97050.4973958332</v>
      </c>
      <c r="M12" s="131">
        <f>'77685排期'!BP34</f>
        <v>97050.4973958332</v>
      </c>
      <c r="N12" s="131">
        <f>'77685排期'!BQ34</f>
        <v>97050.4973958332</v>
      </c>
      <c r="O12" s="131">
        <f>'77685排期'!BR34</f>
        <v>16569.0208333333</v>
      </c>
      <c r="P12" s="131">
        <f>'77685排期'!AH34</f>
        <v>399867</v>
      </c>
      <c r="Q12" s="131">
        <f>'77685排期'!AI34</f>
        <v>367678</v>
      </c>
      <c r="R12" s="131"/>
    </row>
    <row r="13" spans="5:18">
      <c r="E13" s="130" t="s">
        <v>1683</v>
      </c>
      <c r="F13" s="131">
        <f>F11-F12</f>
        <v>135945</v>
      </c>
      <c r="G13" s="131">
        <f t="shared" ref="G13:Q13" si="3">G11-G12</f>
        <v>16781.5026041668</v>
      </c>
      <c r="H13" s="131">
        <f t="shared" si="3"/>
        <v>16781.5026041668</v>
      </c>
      <c r="I13" s="131">
        <f t="shared" si="3"/>
        <v>16781.5026041668</v>
      </c>
      <c r="J13" s="131">
        <f t="shared" si="3"/>
        <v>16781.5026041668</v>
      </c>
      <c r="K13" s="131">
        <f t="shared" si="3"/>
        <v>16781.5026041668</v>
      </c>
      <c r="L13" s="131">
        <f t="shared" si="3"/>
        <v>16781.5026041668</v>
      </c>
      <c r="M13" s="131">
        <f t="shared" si="3"/>
        <v>16781.5026041668</v>
      </c>
      <c r="N13" s="131">
        <f t="shared" si="3"/>
        <v>16781.5026041668</v>
      </c>
      <c r="O13" s="131">
        <f t="shared" si="3"/>
        <v>2807.9791666667</v>
      </c>
      <c r="P13" s="131">
        <f t="shared" si="3"/>
        <v>147</v>
      </c>
      <c r="Q13" s="131">
        <f t="shared" si="3"/>
        <v>162334</v>
      </c>
      <c r="R13" s="131"/>
    </row>
    <row r="15" spans="14:15">
      <c r="N15" s="133" t="s">
        <v>1684</v>
      </c>
      <c r="O15" s="133">
        <f>SUM(G13:O13=F13)</f>
        <v>0</v>
      </c>
    </row>
  </sheetData>
  <mergeCells count="8">
    <mergeCell ref="A1:A4"/>
    <mergeCell ref="B1:B4"/>
    <mergeCell ref="C1:C4"/>
    <mergeCell ref="D1:D4"/>
    <mergeCell ref="F1:F4"/>
    <mergeCell ref="P1:P4"/>
    <mergeCell ref="Q1:Q4"/>
    <mergeCell ref="R1:R4"/>
  </mergeCells>
  <conditionalFormatting sqref="F13:Q13">
    <cfRule type="cellIs" dxfId="0" priority="2" operator="lessThan">
      <formula>0</formula>
    </cfRule>
  </conditionalFormatting>
  <conditionalFormatting sqref="R13">
    <cfRule type="cellIs" dxfId="0" priority="1" operator="lessThan">
      <formula>0</formula>
    </cfRule>
  </conditionalFormatting>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06"/>
  <sheetViews>
    <sheetView zoomScale="85" zoomScaleNormal="85" workbookViewId="0">
      <pane xSplit="7" ySplit="2" topLeftCell="H83" activePane="bottomRight" state="frozen"/>
      <selection/>
      <selection pane="topRight"/>
      <selection pane="bottomLeft"/>
      <selection pane="bottomRight" activeCell="R118" sqref="R118"/>
    </sheetView>
  </sheetViews>
  <sheetFormatPr defaultColWidth="9" defaultRowHeight="13.5"/>
  <cols>
    <col min="1" max="1" width="11.725" customWidth="1"/>
    <col min="2" max="2" width="11.0916666666667" customWidth="1"/>
    <col min="3" max="3" width="10.525" customWidth="1"/>
    <col min="4" max="4" width="9.1" customWidth="1"/>
    <col min="5" max="5" width="7.975" customWidth="1"/>
    <col min="6" max="6" width="5.775" customWidth="1"/>
    <col min="7" max="7" width="12.6833333333333" customWidth="1"/>
    <col min="8" max="9" width="7.575" customWidth="1"/>
    <col min="10" max="11" width="9.3" customWidth="1"/>
    <col min="12" max="23" width="7.575" customWidth="1"/>
    <col min="24" max="24" width="9.7" customWidth="1"/>
    <col min="25" max="26" width="11.0916666666667" customWidth="1"/>
    <col min="27" max="27" width="2.99166666666667" customWidth="1"/>
    <col min="28" max="28" width="55.35" customWidth="1"/>
  </cols>
  <sheetData>
    <row r="1" spans="1:28">
      <c r="A1" s="62" t="s">
        <v>1685</v>
      </c>
      <c r="B1" s="63" t="s">
        <v>1686</v>
      </c>
      <c r="C1" s="64" t="s">
        <v>1687</v>
      </c>
      <c r="D1" s="65" t="s">
        <v>1688</v>
      </c>
      <c r="E1" s="63" t="s">
        <v>1689</v>
      </c>
      <c r="F1" s="63" t="s">
        <v>1690</v>
      </c>
      <c r="G1" s="66" t="s">
        <v>1650</v>
      </c>
      <c r="H1" s="67" t="s">
        <v>1691</v>
      </c>
      <c r="I1" s="67"/>
      <c r="J1" s="79" t="s">
        <v>4</v>
      </c>
      <c r="K1" s="80"/>
      <c r="L1" s="67" t="s">
        <v>11</v>
      </c>
      <c r="M1" s="67"/>
      <c r="N1" s="67"/>
      <c r="O1" s="67" t="s">
        <v>12</v>
      </c>
      <c r="P1" s="67"/>
      <c r="Q1" s="67"/>
      <c r="R1" s="79" t="s">
        <v>6</v>
      </c>
      <c r="S1" s="81"/>
      <c r="T1" s="80"/>
      <c r="U1" s="67" t="s">
        <v>7</v>
      </c>
      <c r="V1" s="67"/>
      <c r="W1" s="79" t="s">
        <v>13</v>
      </c>
      <c r="X1" s="80"/>
      <c r="Y1" s="80" t="s">
        <v>8</v>
      </c>
      <c r="Z1" s="80"/>
      <c r="AA1" s="83"/>
      <c r="AB1" s="84"/>
    </row>
    <row r="2" spans="1:28">
      <c r="A2" s="64"/>
      <c r="B2" s="68"/>
      <c r="C2" s="64"/>
      <c r="D2" s="65"/>
      <c r="E2" s="68"/>
      <c r="F2" s="63"/>
      <c r="G2" s="66"/>
      <c r="H2" s="69" t="s">
        <v>59</v>
      </c>
      <c r="I2" s="69" t="s">
        <v>60</v>
      </c>
      <c r="J2" s="69" t="s">
        <v>62</v>
      </c>
      <c r="K2" s="69" t="s">
        <v>1692</v>
      </c>
      <c r="L2" s="69" t="s">
        <v>59</v>
      </c>
      <c r="M2" s="69" t="s">
        <v>60</v>
      </c>
      <c r="N2" s="69" t="s">
        <v>69</v>
      </c>
      <c r="O2" s="69" t="s">
        <v>59</v>
      </c>
      <c r="P2" s="69" t="s">
        <v>60</v>
      </c>
      <c r="Q2" s="69" t="s">
        <v>70</v>
      </c>
      <c r="R2" s="69" t="s">
        <v>59</v>
      </c>
      <c r="S2" s="69" t="s">
        <v>60</v>
      </c>
      <c r="T2" s="69" t="s">
        <v>1693</v>
      </c>
      <c r="U2" s="69" t="s">
        <v>59</v>
      </c>
      <c r="V2" s="69" t="s">
        <v>60</v>
      </c>
      <c r="W2" s="82" t="s">
        <v>71</v>
      </c>
      <c r="X2" s="82" t="s">
        <v>1694</v>
      </c>
      <c r="Y2" s="82" t="s">
        <v>65</v>
      </c>
      <c r="Z2" s="82" t="s">
        <v>1695</v>
      </c>
      <c r="AA2" s="85"/>
      <c r="AB2" s="86" t="s">
        <v>44</v>
      </c>
    </row>
    <row r="3" spans="1:28">
      <c r="A3" s="70">
        <v>45677</v>
      </c>
      <c r="B3" s="71" t="s">
        <v>1696</v>
      </c>
      <c r="C3" s="71">
        <v>77685</v>
      </c>
      <c r="D3" s="71" t="s">
        <v>1697</v>
      </c>
      <c r="E3" s="71">
        <v>50000</v>
      </c>
      <c r="F3" s="71" t="s">
        <v>1698</v>
      </c>
      <c r="G3" s="71" t="s">
        <v>1699</v>
      </c>
      <c r="H3" s="72">
        <f>E3</f>
        <v>50000</v>
      </c>
      <c r="I3" s="72"/>
      <c r="J3" s="72"/>
      <c r="K3" s="72"/>
      <c r="L3" s="72"/>
      <c r="M3" s="72"/>
      <c r="N3" s="72"/>
      <c r="O3" s="72"/>
      <c r="P3" s="72"/>
      <c r="Q3" s="72"/>
      <c r="R3" s="72"/>
      <c r="S3" s="72"/>
      <c r="T3" s="72"/>
      <c r="U3" s="72"/>
      <c r="V3" s="72"/>
      <c r="W3" s="72"/>
      <c r="X3" s="72"/>
      <c r="Y3" s="72"/>
      <c r="Z3" s="72"/>
      <c r="AA3" s="72"/>
      <c r="AB3" s="72"/>
    </row>
    <row r="4" spans="1:28">
      <c r="A4" s="70">
        <v>45677</v>
      </c>
      <c r="B4" s="71" t="s">
        <v>1700</v>
      </c>
      <c r="C4" s="71">
        <v>77685</v>
      </c>
      <c r="D4" s="71" t="s">
        <v>1701</v>
      </c>
      <c r="E4" s="71">
        <v>50000</v>
      </c>
      <c r="F4" s="71" t="s">
        <v>1702</v>
      </c>
      <c r="G4" s="71" t="s">
        <v>1699</v>
      </c>
      <c r="H4" s="72"/>
      <c r="I4" s="72"/>
      <c r="J4" s="72">
        <f>E4</f>
        <v>50000</v>
      </c>
      <c r="K4" s="72"/>
      <c r="L4" s="72"/>
      <c r="M4" s="72"/>
      <c r="N4" s="72"/>
      <c r="O4" s="72"/>
      <c r="P4" s="72"/>
      <c r="Q4" s="72"/>
      <c r="R4" s="72"/>
      <c r="S4" s="72"/>
      <c r="T4" s="72"/>
      <c r="U4" s="72"/>
      <c r="V4" s="72"/>
      <c r="W4" s="72"/>
      <c r="X4" s="72"/>
      <c r="Y4" s="72"/>
      <c r="Z4" s="72"/>
      <c r="AA4" s="72"/>
      <c r="AB4" s="72"/>
    </row>
    <row r="5" spans="1:28">
      <c r="A5" s="70">
        <v>45677</v>
      </c>
      <c r="B5" s="71" t="s">
        <v>1703</v>
      </c>
      <c r="C5" s="71" t="s">
        <v>1704</v>
      </c>
      <c r="D5" s="71" t="s">
        <v>1705</v>
      </c>
      <c r="E5" s="71">
        <v>500</v>
      </c>
      <c r="F5" s="71" t="s">
        <v>1698</v>
      </c>
      <c r="G5" s="71" t="s">
        <v>1699</v>
      </c>
      <c r="H5" s="72"/>
      <c r="I5" s="72"/>
      <c r="J5" s="72"/>
      <c r="K5" s="72"/>
      <c r="L5" s="72"/>
      <c r="M5" s="72"/>
      <c r="N5" s="72"/>
      <c r="O5" s="72"/>
      <c r="P5" s="72"/>
      <c r="Q5" s="72"/>
      <c r="R5" s="72"/>
      <c r="S5" s="72"/>
      <c r="T5" s="72"/>
      <c r="U5" s="72">
        <f>E5</f>
        <v>500</v>
      </c>
      <c r="V5" s="72"/>
      <c r="W5" s="72"/>
      <c r="X5" s="72"/>
      <c r="Y5" s="72"/>
      <c r="Z5" s="72"/>
      <c r="AA5" s="72"/>
      <c r="AB5" s="72"/>
    </row>
    <row r="6" spans="1:28">
      <c r="A6" s="70">
        <v>45677</v>
      </c>
      <c r="B6" s="71" t="s">
        <v>1706</v>
      </c>
      <c r="C6" s="71" t="s">
        <v>1707</v>
      </c>
      <c r="D6" s="71" t="s">
        <v>1705</v>
      </c>
      <c r="E6" s="71">
        <v>500</v>
      </c>
      <c r="F6" s="71" t="s">
        <v>1698</v>
      </c>
      <c r="G6" s="71" t="s">
        <v>1699</v>
      </c>
      <c r="H6" s="72"/>
      <c r="I6" s="72"/>
      <c r="J6" s="72"/>
      <c r="K6" s="72"/>
      <c r="L6" s="72"/>
      <c r="M6" s="72"/>
      <c r="N6" s="72"/>
      <c r="O6" s="72"/>
      <c r="P6" s="72"/>
      <c r="Q6" s="72"/>
      <c r="R6" s="72">
        <f>E6</f>
        <v>500</v>
      </c>
      <c r="S6" s="72"/>
      <c r="T6" s="72"/>
      <c r="U6" s="72"/>
      <c r="V6" s="72"/>
      <c r="W6" s="72"/>
      <c r="X6" s="72"/>
      <c r="Y6" s="72"/>
      <c r="Z6" s="72"/>
      <c r="AA6" s="72"/>
      <c r="AB6" s="72"/>
    </row>
    <row r="7" spans="1:28">
      <c r="A7" s="70">
        <v>45677</v>
      </c>
      <c r="B7" s="71" t="s">
        <v>1708</v>
      </c>
      <c r="C7" s="71" t="s">
        <v>1707</v>
      </c>
      <c r="D7" s="71" t="s">
        <v>1705</v>
      </c>
      <c r="E7" s="71">
        <v>800</v>
      </c>
      <c r="F7" s="71" t="s">
        <v>1709</v>
      </c>
      <c r="G7" s="71" t="s">
        <v>1699</v>
      </c>
      <c r="H7" s="72"/>
      <c r="I7" s="72"/>
      <c r="J7" s="72"/>
      <c r="K7" s="72"/>
      <c r="L7" s="72"/>
      <c r="M7" s="72"/>
      <c r="N7" s="72"/>
      <c r="O7" s="72"/>
      <c r="P7" s="72"/>
      <c r="Q7" s="72"/>
      <c r="R7" s="72"/>
      <c r="S7" s="72">
        <f>E7</f>
        <v>800</v>
      </c>
      <c r="T7" s="72"/>
      <c r="U7" s="72"/>
      <c r="V7" s="72"/>
      <c r="W7" s="72"/>
      <c r="X7" s="72"/>
      <c r="Y7" s="72"/>
      <c r="Z7" s="72"/>
      <c r="AA7" s="72"/>
      <c r="AB7" s="72"/>
    </row>
    <row r="8" spans="1:28">
      <c r="A8" s="70">
        <v>45705</v>
      </c>
      <c r="B8" s="71" t="s">
        <v>1710</v>
      </c>
      <c r="C8" s="71">
        <v>77723</v>
      </c>
      <c r="D8" s="71" t="s">
        <v>1711</v>
      </c>
      <c r="E8" s="71">
        <v>10000</v>
      </c>
      <c r="F8" s="71" t="s">
        <v>1712</v>
      </c>
      <c r="G8" s="71" t="s">
        <v>1713</v>
      </c>
      <c r="H8" s="72"/>
      <c r="I8" s="72"/>
      <c r="J8" s="72"/>
      <c r="K8" s="72"/>
      <c r="L8" s="72"/>
      <c r="M8" s="72"/>
      <c r="N8" s="72"/>
      <c r="O8" s="72"/>
      <c r="P8" s="72"/>
      <c r="Q8" s="72"/>
      <c r="R8" s="72"/>
      <c r="S8" s="72"/>
      <c r="T8" s="72"/>
      <c r="U8" s="72"/>
      <c r="V8" s="72"/>
      <c r="W8" s="72">
        <f>E8</f>
        <v>10000</v>
      </c>
      <c r="X8" s="72"/>
      <c r="Y8" s="72"/>
      <c r="Z8" s="72"/>
      <c r="AA8" s="72"/>
      <c r="AB8" s="72" t="s">
        <v>1714</v>
      </c>
    </row>
    <row r="9" spans="1:28">
      <c r="A9" s="70">
        <v>45705</v>
      </c>
      <c r="B9" s="71" t="s">
        <v>1715</v>
      </c>
      <c r="C9" s="71">
        <v>77723</v>
      </c>
      <c r="D9" s="71" t="s">
        <v>1716</v>
      </c>
      <c r="E9" s="71">
        <v>5000</v>
      </c>
      <c r="F9" s="71" t="s">
        <v>1712</v>
      </c>
      <c r="G9" s="71" t="s">
        <v>1713</v>
      </c>
      <c r="H9" s="72"/>
      <c r="I9" s="72"/>
      <c r="J9" s="72"/>
      <c r="K9" s="72"/>
      <c r="L9" s="72"/>
      <c r="M9" s="72"/>
      <c r="N9" s="72"/>
      <c r="O9" s="72"/>
      <c r="P9" s="72"/>
      <c r="Q9" s="72"/>
      <c r="R9" s="72"/>
      <c r="S9" s="72"/>
      <c r="T9" s="72"/>
      <c r="U9" s="72"/>
      <c r="V9" s="72"/>
      <c r="W9" s="72"/>
      <c r="X9" s="72">
        <f>E9</f>
        <v>5000</v>
      </c>
      <c r="Y9" s="72"/>
      <c r="Z9" s="72"/>
      <c r="AA9" s="72"/>
      <c r="AB9" s="72" t="s">
        <v>1714</v>
      </c>
    </row>
    <row r="10" s="61" customFormat="1" spans="1:28">
      <c r="A10" s="73">
        <v>45705</v>
      </c>
      <c r="B10" s="74" t="s">
        <v>1717</v>
      </c>
      <c r="C10" s="74">
        <v>77723</v>
      </c>
      <c r="D10" s="74" t="s">
        <v>1718</v>
      </c>
      <c r="E10" s="74">
        <v>5000</v>
      </c>
      <c r="F10" s="74" t="s">
        <v>1712</v>
      </c>
      <c r="G10" s="74" t="s">
        <v>1713</v>
      </c>
      <c r="H10" s="75"/>
      <c r="I10" s="75"/>
      <c r="J10" s="75"/>
      <c r="K10" s="75"/>
      <c r="L10" s="75"/>
      <c r="M10" s="75"/>
      <c r="N10" s="75"/>
      <c r="O10" s="75"/>
      <c r="P10" s="75"/>
      <c r="Q10" s="75"/>
      <c r="R10" s="75"/>
      <c r="S10" s="75"/>
      <c r="T10" s="75"/>
      <c r="U10" s="75"/>
      <c r="V10" s="75"/>
      <c r="W10" s="75"/>
      <c r="X10" s="75"/>
      <c r="Y10" s="75"/>
      <c r="Z10" s="75"/>
      <c r="AA10" s="75"/>
      <c r="AB10" s="75" t="s">
        <v>1714</v>
      </c>
    </row>
    <row r="11" spans="1:28">
      <c r="A11" s="76">
        <v>45714</v>
      </c>
      <c r="B11" s="77" t="s">
        <v>1719</v>
      </c>
      <c r="C11" s="77">
        <v>77685</v>
      </c>
      <c r="D11" s="77" t="s">
        <v>1701</v>
      </c>
      <c r="E11" s="77">
        <v>50000</v>
      </c>
      <c r="F11" s="77" t="s">
        <v>1702</v>
      </c>
      <c r="G11" s="77" t="s">
        <v>1699</v>
      </c>
      <c r="H11" s="72"/>
      <c r="I11" s="72"/>
      <c r="J11" s="72">
        <f>E11</f>
        <v>50000</v>
      </c>
      <c r="K11" s="72"/>
      <c r="L11" s="72"/>
      <c r="M11" s="72"/>
      <c r="N11" s="72"/>
      <c r="O11" s="72"/>
      <c r="P11" s="72"/>
      <c r="Q11" s="72"/>
      <c r="R11" s="72"/>
      <c r="S11" s="72"/>
      <c r="T11" s="72"/>
      <c r="U11" s="72"/>
      <c r="V11" s="72"/>
      <c r="W11" s="72"/>
      <c r="X11" s="72"/>
      <c r="Y11" s="72"/>
      <c r="Z11" s="72"/>
      <c r="AA11" s="72"/>
      <c r="AB11" s="72"/>
    </row>
    <row r="12" spans="1:28">
      <c r="A12" s="76">
        <v>45714</v>
      </c>
      <c r="B12" s="77" t="s">
        <v>1720</v>
      </c>
      <c r="C12" s="77" t="s">
        <v>1704</v>
      </c>
      <c r="D12" s="77" t="s">
        <v>1705</v>
      </c>
      <c r="E12" s="77">
        <v>1500</v>
      </c>
      <c r="F12" s="77" t="s">
        <v>1698</v>
      </c>
      <c r="G12" s="77" t="s">
        <v>1699</v>
      </c>
      <c r="H12" s="72"/>
      <c r="I12" s="72"/>
      <c r="J12" s="72"/>
      <c r="K12" s="72"/>
      <c r="L12" s="72"/>
      <c r="M12" s="72"/>
      <c r="N12" s="72"/>
      <c r="O12" s="72"/>
      <c r="P12" s="72"/>
      <c r="Q12" s="72"/>
      <c r="R12" s="72"/>
      <c r="S12" s="72"/>
      <c r="T12" s="72"/>
      <c r="U12" s="72">
        <f>E12</f>
        <v>1500</v>
      </c>
      <c r="V12" s="72"/>
      <c r="W12" s="72"/>
      <c r="X12" s="72"/>
      <c r="Y12" s="72"/>
      <c r="Z12" s="72"/>
      <c r="AA12" s="72"/>
      <c r="AB12" s="72"/>
    </row>
    <row r="13" spans="1:28">
      <c r="A13" s="76">
        <v>45723</v>
      </c>
      <c r="B13" s="77" t="s">
        <v>1721</v>
      </c>
      <c r="C13" s="77">
        <v>77685</v>
      </c>
      <c r="D13" s="77" t="s">
        <v>1697</v>
      </c>
      <c r="E13" s="77">
        <v>20000</v>
      </c>
      <c r="F13" s="77" t="s">
        <v>1709</v>
      </c>
      <c r="G13" s="77" t="s">
        <v>1699</v>
      </c>
      <c r="H13" s="72"/>
      <c r="I13" s="72">
        <f>E13</f>
        <v>20000</v>
      </c>
      <c r="J13" s="72"/>
      <c r="K13" s="72"/>
      <c r="L13" s="72"/>
      <c r="M13" s="72"/>
      <c r="N13" s="72"/>
      <c r="O13" s="72"/>
      <c r="P13" s="72"/>
      <c r="Q13" s="72"/>
      <c r="R13" s="72"/>
      <c r="S13" s="72"/>
      <c r="T13" s="72"/>
      <c r="U13" s="72"/>
      <c r="V13" s="72"/>
      <c r="W13" s="72"/>
      <c r="X13" s="72"/>
      <c r="Y13" s="72"/>
      <c r="Z13" s="72"/>
      <c r="AA13" s="72"/>
      <c r="AB13" s="72"/>
    </row>
    <row r="14" spans="1:28">
      <c r="A14" s="76">
        <v>45723</v>
      </c>
      <c r="B14" s="77" t="s">
        <v>1722</v>
      </c>
      <c r="C14" s="77" t="s">
        <v>1723</v>
      </c>
      <c r="D14" s="77" t="s">
        <v>1724</v>
      </c>
      <c r="E14" s="77">
        <v>300</v>
      </c>
      <c r="F14" s="77" t="s">
        <v>1709</v>
      </c>
      <c r="G14" s="77" t="s">
        <v>1699</v>
      </c>
      <c r="H14" s="72"/>
      <c r="I14" s="72"/>
      <c r="J14" s="72"/>
      <c r="K14" s="72"/>
      <c r="L14" s="72"/>
      <c r="M14" s="72">
        <f>E14</f>
        <v>300</v>
      </c>
      <c r="N14" s="72"/>
      <c r="O14" s="72"/>
      <c r="P14" s="72"/>
      <c r="Q14" s="72"/>
      <c r="R14" s="72"/>
      <c r="S14" s="72"/>
      <c r="T14" s="72"/>
      <c r="U14" s="72"/>
      <c r="V14" s="72"/>
      <c r="W14" s="72"/>
      <c r="X14" s="72"/>
      <c r="Y14" s="72"/>
      <c r="Z14" s="72"/>
      <c r="AA14" s="72"/>
      <c r="AB14" s="72"/>
    </row>
    <row r="15" spans="1:28">
      <c r="A15" s="76">
        <v>45723</v>
      </c>
      <c r="B15" s="77" t="s">
        <v>1725</v>
      </c>
      <c r="C15" s="77" t="s">
        <v>1723</v>
      </c>
      <c r="D15" s="77" t="s">
        <v>1726</v>
      </c>
      <c r="E15" s="77">
        <v>300</v>
      </c>
      <c r="F15" s="77" t="s">
        <v>1709</v>
      </c>
      <c r="G15" s="77" t="s">
        <v>1699</v>
      </c>
      <c r="H15" s="72"/>
      <c r="I15" s="72"/>
      <c r="J15" s="72"/>
      <c r="K15" s="72"/>
      <c r="L15" s="72"/>
      <c r="M15" s="72"/>
      <c r="N15" s="72">
        <f>E15</f>
        <v>300</v>
      </c>
      <c r="O15" s="72"/>
      <c r="P15" s="72"/>
      <c r="Q15" s="72"/>
      <c r="R15" s="72"/>
      <c r="S15" s="72"/>
      <c r="T15" s="72"/>
      <c r="U15" s="72"/>
      <c r="V15" s="72"/>
      <c r="W15" s="72"/>
      <c r="X15" s="72"/>
      <c r="Y15" s="72"/>
      <c r="Z15" s="72"/>
      <c r="AA15" s="72"/>
      <c r="AB15" s="72"/>
    </row>
    <row r="16" spans="1:28">
      <c r="A16" s="76">
        <v>45727</v>
      </c>
      <c r="B16" s="77" t="s">
        <v>1727</v>
      </c>
      <c r="C16" s="77" t="s">
        <v>1728</v>
      </c>
      <c r="D16" s="77" t="s">
        <v>1705</v>
      </c>
      <c r="E16" s="77">
        <v>500</v>
      </c>
      <c r="F16" s="77" t="s">
        <v>1712</v>
      </c>
      <c r="G16" s="77" t="s">
        <v>1729</v>
      </c>
      <c r="H16" s="72"/>
      <c r="I16" s="72"/>
      <c r="J16" s="72"/>
      <c r="K16" s="72"/>
      <c r="L16" s="72"/>
      <c r="M16" s="72"/>
      <c r="N16" s="72"/>
      <c r="O16" s="72"/>
      <c r="P16" s="72"/>
      <c r="Q16" s="72"/>
      <c r="R16" s="72"/>
      <c r="S16" s="72"/>
      <c r="T16" s="72"/>
      <c r="U16" s="72"/>
      <c r="V16" s="72"/>
      <c r="W16" s="72"/>
      <c r="X16" s="72"/>
      <c r="Y16" s="87">
        <f>E16</f>
        <v>500</v>
      </c>
      <c r="Z16" s="87"/>
      <c r="AA16" s="72"/>
      <c r="AB16" s="72" t="s">
        <v>1730</v>
      </c>
    </row>
    <row r="17" spans="1:28">
      <c r="A17" s="76">
        <v>45743</v>
      </c>
      <c r="B17" s="77" t="s">
        <v>1731</v>
      </c>
      <c r="C17" s="77" t="s">
        <v>1704</v>
      </c>
      <c r="D17" s="77" t="s">
        <v>1705</v>
      </c>
      <c r="E17" s="77">
        <v>1000</v>
      </c>
      <c r="F17" s="77" t="s">
        <v>1698</v>
      </c>
      <c r="G17" s="77" t="s">
        <v>1699</v>
      </c>
      <c r="H17" s="72"/>
      <c r="I17" s="72"/>
      <c r="J17" s="72"/>
      <c r="K17" s="72"/>
      <c r="L17" s="72"/>
      <c r="M17" s="72"/>
      <c r="N17" s="72"/>
      <c r="O17" s="72"/>
      <c r="P17" s="72"/>
      <c r="Q17" s="72"/>
      <c r="R17" s="72"/>
      <c r="S17" s="72"/>
      <c r="T17" s="72"/>
      <c r="U17" s="72">
        <f>E17</f>
        <v>1000</v>
      </c>
      <c r="V17" s="72"/>
      <c r="W17" s="72"/>
      <c r="X17" s="72"/>
      <c r="Y17" s="72"/>
      <c r="Z17" s="72"/>
      <c r="AA17" s="72"/>
      <c r="AB17" s="72"/>
    </row>
    <row r="18" spans="1:28">
      <c r="A18" s="76">
        <v>45743</v>
      </c>
      <c r="B18" s="77" t="s">
        <v>1732</v>
      </c>
      <c r="C18" s="77" t="s">
        <v>1704</v>
      </c>
      <c r="D18" s="77" t="s">
        <v>1705</v>
      </c>
      <c r="E18" s="77">
        <v>500</v>
      </c>
      <c r="F18" s="77" t="s">
        <v>1709</v>
      </c>
      <c r="G18" s="77" t="s">
        <v>1699</v>
      </c>
      <c r="H18" s="72"/>
      <c r="I18" s="72"/>
      <c r="J18" s="72"/>
      <c r="K18" s="72"/>
      <c r="L18" s="72"/>
      <c r="M18" s="72"/>
      <c r="N18" s="72"/>
      <c r="O18" s="72"/>
      <c r="P18" s="72"/>
      <c r="Q18" s="72"/>
      <c r="R18" s="72"/>
      <c r="S18" s="72"/>
      <c r="T18" s="72"/>
      <c r="U18" s="72"/>
      <c r="V18" s="72">
        <f>E18</f>
        <v>500</v>
      </c>
      <c r="W18" s="72"/>
      <c r="X18" s="72"/>
      <c r="Y18" s="72"/>
      <c r="Z18" s="72"/>
      <c r="AA18" s="72"/>
      <c r="AB18" s="72"/>
    </row>
    <row r="19" spans="1:28">
      <c r="A19" s="76">
        <v>45743</v>
      </c>
      <c r="B19" s="77" t="s">
        <v>1733</v>
      </c>
      <c r="C19" s="77" t="s">
        <v>1707</v>
      </c>
      <c r="D19" s="77" t="s">
        <v>1705</v>
      </c>
      <c r="E19" s="77">
        <v>500</v>
      </c>
      <c r="F19" s="77" t="s">
        <v>1709</v>
      </c>
      <c r="G19" s="77" t="s">
        <v>1699</v>
      </c>
      <c r="H19" s="72"/>
      <c r="I19" s="72"/>
      <c r="J19" s="72"/>
      <c r="K19" s="72"/>
      <c r="L19" s="72"/>
      <c r="M19" s="72"/>
      <c r="N19" s="72"/>
      <c r="O19" s="72"/>
      <c r="P19" s="72"/>
      <c r="Q19" s="72"/>
      <c r="R19" s="72"/>
      <c r="S19" s="72">
        <f>E19</f>
        <v>500</v>
      </c>
      <c r="T19" s="72"/>
      <c r="U19" s="72"/>
      <c r="V19" s="72"/>
      <c r="W19" s="72"/>
      <c r="X19" s="72"/>
      <c r="Y19" s="72"/>
      <c r="Z19" s="72"/>
      <c r="AA19" s="72"/>
      <c r="AB19" s="72"/>
    </row>
    <row r="20" spans="1:28">
      <c r="A20" s="76">
        <v>45744</v>
      </c>
      <c r="B20" s="77" t="s">
        <v>1734</v>
      </c>
      <c r="C20" s="77" t="s">
        <v>1728</v>
      </c>
      <c r="D20" s="77" t="s">
        <v>1705</v>
      </c>
      <c r="E20" s="77">
        <v>556</v>
      </c>
      <c r="F20" s="77" t="s">
        <v>1712</v>
      </c>
      <c r="G20" s="77" t="s">
        <v>1729</v>
      </c>
      <c r="H20" s="72"/>
      <c r="I20" s="72"/>
      <c r="J20" s="72"/>
      <c r="K20" s="72"/>
      <c r="L20" s="72"/>
      <c r="M20" s="72"/>
      <c r="N20" s="72"/>
      <c r="O20" s="72"/>
      <c r="P20" s="72"/>
      <c r="Q20" s="72"/>
      <c r="R20" s="72"/>
      <c r="S20" s="72"/>
      <c r="T20" s="72"/>
      <c r="U20" s="72"/>
      <c r="V20" s="72"/>
      <c r="W20" s="72"/>
      <c r="X20" s="72"/>
      <c r="Y20" s="87">
        <f>E20</f>
        <v>556</v>
      </c>
      <c r="Z20" s="87"/>
      <c r="AA20" s="72"/>
      <c r="AB20" s="72" t="s">
        <v>1735</v>
      </c>
    </row>
    <row r="21" spans="1:28">
      <c r="A21" s="76">
        <v>45749</v>
      </c>
      <c r="B21" s="77" t="s">
        <v>1736</v>
      </c>
      <c r="C21" s="77" t="s">
        <v>1728</v>
      </c>
      <c r="D21" s="77" t="s">
        <v>1705</v>
      </c>
      <c r="E21" s="77">
        <v>3901</v>
      </c>
      <c r="F21" s="77" t="s">
        <v>1712</v>
      </c>
      <c r="G21" s="77" t="s">
        <v>1729</v>
      </c>
      <c r="H21" s="72"/>
      <c r="I21" s="72"/>
      <c r="J21" s="72"/>
      <c r="K21" s="72"/>
      <c r="L21" s="72"/>
      <c r="M21" s="72"/>
      <c r="N21" s="72"/>
      <c r="O21" s="72"/>
      <c r="P21" s="72"/>
      <c r="Q21" s="72"/>
      <c r="R21" s="72"/>
      <c r="S21" s="72"/>
      <c r="T21" s="72"/>
      <c r="U21" s="72"/>
      <c r="V21" s="72"/>
      <c r="W21" s="72"/>
      <c r="X21" s="72"/>
      <c r="Y21" s="87">
        <f>E21</f>
        <v>3901</v>
      </c>
      <c r="Z21" s="87"/>
      <c r="AA21" s="72"/>
      <c r="AB21" s="72" t="s">
        <v>1737</v>
      </c>
    </row>
    <row r="22" spans="1:28">
      <c r="A22" s="76">
        <v>45756</v>
      </c>
      <c r="B22" s="77" t="s">
        <v>1738</v>
      </c>
      <c r="C22" s="77">
        <v>77685</v>
      </c>
      <c r="D22" s="77" t="s">
        <v>1697</v>
      </c>
      <c r="E22" s="77">
        <v>100000</v>
      </c>
      <c r="F22" s="77" t="s">
        <v>1698</v>
      </c>
      <c r="G22" s="77" t="s">
        <v>1699</v>
      </c>
      <c r="H22" s="72">
        <f>E22</f>
        <v>100000</v>
      </c>
      <c r="I22" s="72"/>
      <c r="J22" s="72"/>
      <c r="K22" s="72"/>
      <c r="L22" s="72"/>
      <c r="M22" s="72"/>
      <c r="N22" s="72"/>
      <c r="O22" s="72"/>
      <c r="P22" s="72"/>
      <c r="Q22" s="72"/>
      <c r="R22" s="72"/>
      <c r="S22" s="72"/>
      <c r="T22" s="72"/>
      <c r="U22" s="72"/>
      <c r="V22" s="72"/>
      <c r="W22" s="72"/>
      <c r="X22" s="72"/>
      <c r="Y22" s="87"/>
      <c r="Z22" s="87"/>
      <c r="AA22" s="72"/>
      <c r="AB22" s="72"/>
    </row>
    <row r="23" spans="1:28">
      <c r="A23" s="76">
        <v>45756</v>
      </c>
      <c r="B23" s="77" t="s">
        <v>1739</v>
      </c>
      <c r="C23" s="77">
        <v>77685</v>
      </c>
      <c r="D23" s="77" t="s">
        <v>1701</v>
      </c>
      <c r="E23" s="77">
        <v>100000</v>
      </c>
      <c r="F23" s="77" t="s">
        <v>1702</v>
      </c>
      <c r="G23" s="77" t="s">
        <v>1699</v>
      </c>
      <c r="H23" s="72"/>
      <c r="I23" s="72"/>
      <c r="J23" s="72"/>
      <c r="K23" s="72">
        <f>E23</f>
        <v>100000</v>
      </c>
      <c r="L23" s="72"/>
      <c r="M23" s="72"/>
      <c r="N23" s="72"/>
      <c r="O23" s="72"/>
      <c r="P23" s="72"/>
      <c r="Q23" s="72"/>
      <c r="R23" s="72"/>
      <c r="S23" s="72"/>
      <c r="T23" s="72"/>
      <c r="U23" s="72"/>
      <c r="V23" s="72"/>
      <c r="W23" s="72"/>
      <c r="X23" s="72"/>
      <c r="Y23" s="87"/>
      <c r="Z23" s="87"/>
      <c r="AA23" s="72"/>
      <c r="AB23" s="72"/>
    </row>
    <row r="24" spans="1:28">
      <c r="A24" s="76">
        <v>45756</v>
      </c>
      <c r="B24" s="77" t="s">
        <v>1740</v>
      </c>
      <c r="C24" s="77" t="s">
        <v>1704</v>
      </c>
      <c r="D24" s="77" t="s">
        <v>1705</v>
      </c>
      <c r="E24" s="77">
        <v>2000</v>
      </c>
      <c r="F24" s="77" t="s">
        <v>1698</v>
      </c>
      <c r="G24" s="77" t="s">
        <v>1699</v>
      </c>
      <c r="H24" s="72"/>
      <c r="I24" s="72"/>
      <c r="J24" s="72"/>
      <c r="K24" s="72"/>
      <c r="L24" s="72"/>
      <c r="M24" s="72"/>
      <c r="N24" s="72"/>
      <c r="O24" s="72"/>
      <c r="P24" s="72"/>
      <c r="Q24" s="72"/>
      <c r="R24" s="72"/>
      <c r="S24" s="72"/>
      <c r="T24" s="72"/>
      <c r="U24" s="72">
        <f>E24</f>
        <v>2000</v>
      </c>
      <c r="V24" s="72"/>
      <c r="W24" s="72"/>
      <c r="X24" s="72"/>
      <c r="Y24" s="87"/>
      <c r="Z24" s="87"/>
      <c r="AA24" s="72"/>
      <c r="AB24" s="72"/>
    </row>
    <row r="25" spans="1:28">
      <c r="A25" s="76">
        <v>45756</v>
      </c>
      <c r="B25" s="77" t="s">
        <v>1741</v>
      </c>
      <c r="C25" s="77" t="s">
        <v>1704</v>
      </c>
      <c r="D25" s="77" t="s">
        <v>1705</v>
      </c>
      <c r="E25" s="77">
        <v>500</v>
      </c>
      <c r="F25" s="77" t="s">
        <v>1709</v>
      </c>
      <c r="G25" s="77" t="s">
        <v>1699</v>
      </c>
      <c r="H25" s="72"/>
      <c r="I25" s="72"/>
      <c r="J25" s="72"/>
      <c r="K25" s="72"/>
      <c r="L25" s="72"/>
      <c r="M25" s="72"/>
      <c r="N25" s="72"/>
      <c r="O25" s="72"/>
      <c r="P25" s="72"/>
      <c r="Q25" s="72"/>
      <c r="R25" s="72"/>
      <c r="S25" s="72"/>
      <c r="T25" s="72"/>
      <c r="U25" s="72"/>
      <c r="V25" s="72">
        <f>E25</f>
        <v>500</v>
      </c>
      <c r="W25" s="72"/>
      <c r="X25" s="72"/>
      <c r="Y25" s="87"/>
      <c r="Z25" s="87"/>
      <c r="AA25" s="72"/>
      <c r="AB25" s="72"/>
    </row>
    <row r="26" spans="1:28">
      <c r="A26" s="76">
        <v>45770</v>
      </c>
      <c r="B26" s="77" t="s">
        <v>1742</v>
      </c>
      <c r="C26" s="77">
        <v>77723</v>
      </c>
      <c r="D26" s="77" t="s">
        <v>1711</v>
      </c>
      <c r="E26" s="77">
        <v>10000</v>
      </c>
      <c r="F26" s="77" t="s">
        <v>1712</v>
      </c>
      <c r="G26" s="77" t="s">
        <v>1743</v>
      </c>
      <c r="H26" s="72"/>
      <c r="I26" s="72"/>
      <c r="J26" s="72"/>
      <c r="K26" s="72"/>
      <c r="L26" s="72"/>
      <c r="M26" s="72"/>
      <c r="N26" s="72"/>
      <c r="O26" s="72"/>
      <c r="P26" s="72"/>
      <c r="Q26" s="72"/>
      <c r="R26" s="72"/>
      <c r="S26" s="72"/>
      <c r="T26" s="72"/>
      <c r="U26" s="72"/>
      <c r="V26" s="72"/>
      <c r="W26" s="72">
        <f>E26</f>
        <v>10000</v>
      </c>
      <c r="X26" s="72"/>
      <c r="Y26" s="87"/>
      <c r="Z26" s="87"/>
      <c r="AA26" s="72"/>
      <c r="AB26" s="72" t="s">
        <v>1744</v>
      </c>
    </row>
    <row r="27" spans="1:28">
      <c r="A27" s="76">
        <v>45770</v>
      </c>
      <c r="B27" s="77" t="s">
        <v>1745</v>
      </c>
      <c r="C27" s="77">
        <v>77723</v>
      </c>
      <c r="D27" s="77" t="s">
        <v>1716</v>
      </c>
      <c r="E27" s="77">
        <v>5000</v>
      </c>
      <c r="F27" s="77" t="s">
        <v>1712</v>
      </c>
      <c r="G27" s="77" t="s">
        <v>1743</v>
      </c>
      <c r="H27" s="72"/>
      <c r="I27" s="72"/>
      <c r="J27" s="72"/>
      <c r="K27" s="72"/>
      <c r="L27" s="72"/>
      <c r="M27" s="72"/>
      <c r="N27" s="72"/>
      <c r="O27" s="72"/>
      <c r="P27" s="72"/>
      <c r="Q27" s="72"/>
      <c r="R27" s="72"/>
      <c r="S27" s="72"/>
      <c r="T27" s="72"/>
      <c r="U27" s="72"/>
      <c r="V27" s="72"/>
      <c r="W27" s="72"/>
      <c r="X27" s="72">
        <f>E27</f>
        <v>5000</v>
      </c>
      <c r="Y27" s="87"/>
      <c r="Z27" s="87"/>
      <c r="AA27" s="72"/>
      <c r="AB27" s="72" t="s">
        <v>1744</v>
      </c>
    </row>
    <row r="28" spans="1:28">
      <c r="A28" s="76">
        <v>45770</v>
      </c>
      <c r="B28" s="77" t="s">
        <v>1746</v>
      </c>
      <c r="C28" s="77">
        <v>77723</v>
      </c>
      <c r="D28" s="77" t="s">
        <v>1718</v>
      </c>
      <c r="E28" s="77">
        <v>5000</v>
      </c>
      <c r="F28" s="77" t="s">
        <v>1712</v>
      </c>
      <c r="G28" s="77" t="s">
        <v>1743</v>
      </c>
      <c r="H28" s="72"/>
      <c r="I28" s="72"/>
      <c r="J28" s="72"/>
      <c r="K28" s="72"/>
      <c r="L28" s="72"/>
      <c r="M28" s="72"/>
      <c r="N28" s="72"/>
      <c r="O28" s="72"/>
      <c r="P28" s="72"/>
      <c r="Q28" s="72"/>
      <c r="R28" s="72"/>
      <c r="S28" s="72"/>
      <c r="T28" s="72"/>
      <c r="U28" s="72"/>
      <c r="V28" s="72"/>
      <c r="W28" s="72"/>
      <c r="X28" s="72"/>
      <c r="Y28" s="87"/>
      <c r="Z28" s="87"/>
      <c r="AA28" s="72"/>
      <c r="AB28" s="72" t="s">
        <v>1744</v>
      </c>
    </row>
    <row r="29" spans="1:28">
      <c r="A29" s="76">
        <v>45774</v>
      </c>
      <c r="B29" s="77" t="s">
        <v>1747</v>
      </c>
      <c r="C29" s="77">
        <v>77685</v>
      </c>
      <c r="D29" s="77" t="s">
        <v>1697</v>
      </c>
      <c r="E29" s="77">
        <v>60000</v>
      </c>
      <c r="F29" s="77" t="s">
        <v>1698</v>
      </c>
      <c r="G29" s="77" t="s">
        <v>1748</v>
      </c>
      <c r="H29" s="72">
        <f>E29</f>
        <v>60000</v>
      </c>
      <c r="I29" s="72"/>
      <c r="J29" s="72"/>
      <c r="K29" s="72"/>
      <c r="L29" s="72"/>
      <c r="M29" s="72"/>
      <c r="N29" s="72"/>
      <c r="O29" s="72"/>
      <c r="P29" s="72"/>
      <c r="Q29" s="72"/>
      <c r="R29" s="72"/>
      <c r="S29" s="72"/>
      <c r="T29" s="72"/>
      <c r="U29" s="72"/>
      <c r="V29" s="72"/>
      <c r="W29" s="72"/>
      <c r="X29" s="72"/>
      <c r="Y29" s="87"/>
      <c r="Z29" s="87"/>
      <c r="AA29" s="72"/>
      <c r="AB29" s="72"/>
    </row>
    <row r="30" spans="1:28">
      <c r="A30" s="76">
        <v>45774</v>
      </c>
      <c r="B30" s="77" t="s">
        <v>1749</v>
      </c>
      <c r="C30" s="77">
        <v>77685</v>
      </c>
      <c r="D30" s="77" t="s">
        <v>1697</v>
      </c>
      <c r="E30" s="77">
        <v>20000</v>
      </c>
      <c r="F30" s="77" t="s">
        <v>1709</v>
      </c>
      <c r="G30" s="77" t="s">
        <v>1748</v>
      </c>
      <c r="H30" s="72"/>
      <c r="I30" s="72">
        <f>E30</f>
        <v>20000</v>
      </c>
      <c r="J30" s="72"/>
      <c r="K30" s="72"/>
      <c r="L30" s="72"/>
      <c r="M30" s="72"/>
      <c r="N30" s="72"/>
      <c r="O30" s="72"/>
      <c r="P30" s="72"/>
      <c r="Q30" s="72"/>
      <c r="R30" s="72"/>
      <c r="S30" s="72"/>
      <c r="T30" s="72"/>
      <c r="U30" s="72"/>
      <c r="V30" s="72"/>
      <c r="W30" s="72"/>
      <c r="X30" s="72"/>
      <c r="Y30" s="87"/>
      <c r="Z30" s="87"/>
      <c r="AA30" s="72"/>
      <c r="AB30" s="72"/>
    </row>
    <row r="31" spans="1:28">
      <c r="A31" s="76">
        <v>45774</v>
      </c>
      <c r="B31" s="77" t="s">
        <v>1750</v>
      </c>
      <c r="C31" s="77">
        <v>77685</v>
      </c>
      <c r="D31" s="77" t="s">
        <v>1701</v>
      </c>
      <c r="E31" s="77">
        <v>80000</v>
      </c>
      <c r="F31" s="77" t="s">
        <v>1702</v>
      </c>
      <c r="G31" s="77" t="s">
        <v>1751</v>
      </c>
      <c r="H31" s="72"/>
      <c r="I31" s="72"/>
      <c r="J31" s="72"/>
      <c r="K31" s="72">
        <f>E31</f>
        <v>80000</v>
      </c>
      <c r="L31" s="72"/>
      <c r="M31" s="72"/>
      <c r="N31" s="72"/>
      <c r="O31" s="72"/>
      <c r="P31" s="72"/>
      <c r="Q31" s="72"/>
      <c r="R31" s="72"/>
      <c r="S31" s="72"/>
      <c r="T31" s="72"/>
      <c r="U31" s="72"/>
      <c r="V31" s="72"/>
      <c r="W31" s="72"/>
      <c r="X31" s="72"/>
      <c r="Y31" s="87"/>
      <c r="Z31" s="87"/>
      <c r="AA31" s="72"/>
      <c r="AB31" s="72"/>
    </row>
    <row r="32" spans="1:28">
      <c r="A32" s="76">
        <v>45774</v>
      </c>
      <c r="B32" s="77" t="s">
        <v>1752</v>
      </c>
      <c r="C32" s="77" t="s">
        <v>1704</v>
      </c>
      <c r="D32" s="77" t="s">
        <v>1705</v>
      </c>
      <c r="E32" s="77">
        <v>2000</v>
      </c>
      <c r="F32" s="77" t="s">
        <v>1698</v>
      </c>
      <c r="G32" s="77" t="s">
        <v>1748</v>
      </c>
      <c r="H32" s="72"/>
      <c r="I32" s="72"/>
      <c r="J32" s="72"/>
      <c r="K32" s="72"/>
      <c r="L32" s="72"/>
      <c r="M32" s="72"/>
      <c r="N32" s="72"/>
      <c r="O32" s="72"/>
      <c r="P32" s="72"/>
      <c r="Q32" s="72"/>
      <c r="R32" s="72"/>
      <c r="S32" s="72"/>
      <c r="T32" s="72"/>
      <c r="U32" s="72">
        <f>E32</f>
        <v>2000</v>
      </c>
      <c r="V32" s="72"/>
      <c r="W32" s="72"/>
      <c r="X32" s="72"/>
      <c r="Y32" s="87"/>
      <c r="Z32" s="87"/>
      <c r="AA32" s="72"/>
      <c r="AB32" s="72"/>
    </row>
    <row r="33" spans="1:28">
      <c r="A33" s="76">
        <v>45774</v>
      </c>
      <c r="B33" s="77" t="s">
        <v>1753</v>
      </c>
      <c r="C33" s="77" t="s">
        <v>1704</v>
      </c>
      <c r="D33" s="77" t="s">
        <v>1705</v>
      </c>
      <c r="E33" s="77">
        <v>500</v>
      </c>
      <c r="F33" s="77" t="s">
        <v>1709</v>
      </c>
      <c r="G33" s="77" t="s">
        <v>1748</v>
      </c>
      <c r="H33" s="72"/>
      <c r="I33" s="72"/>
      <c r="J33" s="72"/>
      <c r="K33" s="72"/>
      <c r="L33" s="72"/>
      <c r="M33" s="72"/>
      <c r="N33" s="72"/>
      <c r="O33" s="72"/>
      <c r="P33" s="72"/>
      <c r="Q33" s="72"/>
      <c r="R33" s="72"/>
      <c r="S33" s="72"/>
      <c r="T33" s="72"/>
      <c r="U33" s="72"/>
      <c r="V33" s="72">
        <f>E33</f>
        <v>500</v>
      </c>
      <c r="W33" s="72"/>
      <c r="X33" s="72"/>
      <c r="Y33" s="87"/>
      <c r="Z33" s="87"/>
      <c r="AA33" s="72"/>
      <c r="AB33" s="72"/>
    </row>
    <row r="34" spans="1:28">
      <c r="A34" s="76">
        <v>45774</v>
      </c>
      <c r="B34" s="77" t="s">
        <v>1754</v>
      </c>
      <c r="C34" s="77" t="s">
        <v>1755</v>
      </c>
      <c r="D34" s="77" t="s">
        <v>1724</v>
      </c>
      <c r="E34" s="77">
        <v>300</v>
      </c>
      <c r="F34" s="77" t="s">
        <v>1709</v>
      </c>
      <c r="G34" s="77" t="s">
        <v>1748</v>
      </c>
      <c r="H34" s="72"/>
      <c r="I34" s="72"/>
      <c r="J34" s="72"/>
      <c r="K34" s="72"/>
      <c r="L34" s="72"/>
      <c r="M34" s="72"/>
      <c r="N34" s="72"/>
      <c r="O34" s="72"/>
      <c r="P34" s="72">
        <f>E34</f>
        <v>300</v>
      </c>
      <c r="Q34" s="72"/>
      <c r="R34" s="72"/>
      <c r="S34" s="72"/>
      <c r="T34" s="72"/>
      <c r="U34" s="72"/>
      <c r="V34" s="72"/>
      <c r="W34" s="72"/>
      <c r="X34" s="72"/>
      <c r="Y34" s="87"/>
      <c r="Z34" s="87"/>
      <c r="AA34" s="72"/>
      <c r="AB34" s="72"/>
    </row>
    <row r="35" spans="1:28">
      <c r="A35" s="76">
        <v>45774</v>
      </c>
      <c r="B35" s="77" t="s">
        <v>1756</v>
      </c>
      <c r="C35" s="77" t="s">
        <v>1755</v>
      </c>
      <c r="D35" s="77" t="s">
        <v>1726</v>
      </c>
      <c r="E35" s="77">
        <v>300</v>
      </c>
      <c r="F35" s="77" t="s">
        <v>1709</v>
      </c>
      <c r="G35" s="77" t="s">
        <v>1748</v>
      </c>
      <c r="H35" s="72"/>
      <c r="I35" s="72"/>
      <c r="J35" s="72"/>
      <c r="K35" s="72"/>
      <c r="L35" s="72"/>
      <c r="M35" s="72"/>
      <c r="N35" s="72"/>
      <c r="O35" s="72"/>
      <c r="P35" s="72"/>
      <c r="Q35" s="72">
        <f>E35</f>
        <v>300</v>
      </c>
      <c r="R35" s="72"/>
      <c r="S35" s="72"/>
      <c r="T35" s="72"/>
      <c r="U35" s="72"/>
      <c r="V35" s="72"/>
      <c r="W35" s="72"/>
      <c r="X35" s="72"/>
      <c r="Y35" s="87"/>
      <c r="Z35" s="87"/>
      <c r="AA35" s="72"/>
      <c r="AB35" s="72"/>
    </row>
    <row r="36" spans="1:28">
      <c r="A36" s="76">
        <v>45775</v>
      </c>
      <c r="B36" s="77" t="s">
        <v>1757</v>
      </c>
      <c r="C36" s="77" t="s">
        <v>1728</v>
      </c>
      <c r="D36" s="77" t="s">
        <v>1705</v>
      </c>
      <c r="E36" s="77">
        <v>576</v>
      </c>
      <c r="F36" s="77" t="s">
        <v>1712</v>
      </c>
      <c r="G36" s="77" t="s">
        <v>1758</v>
      </c>
      <c r="H36" s="72"/>
      <c r="I36" s="72"/>
      <c r="J36" s="72"/>
      <c r="K36" s="72"/>
      <c r="L36" s="72"/>
      <c r="M36" s="72"/>
      <c r="N36" s="72"/>
      <c r="O36" s="72"/>
      <c r="P36" s="72"/>
      <c r="Q36" s="72"/>
      <c r="R36" s="72"/>
      <c r="S36" s="72"/>
      <c r="T36" s="72"/>
      <c r="U36" s="72"/>
      <c r="V36" s="72"/>
      <c r="W36" s="72"/>
      <c r="X36" s="72"/>
      <c r="Y36" s="87">
        <f>E36</f>
        <v>576</v>
      </c>
      <c r="Z36" s="87"/>
      <c r="AA36" s="72"/>
      <c r="AB36" s="72" t="s">
        <v>1759</v>
      </c>
    </row>
    <row r="37" spans="1:28">
      <c r="A37" s="76">
        <v>45792</v>
      </c>
      <c r="B37" s="77" t="s">
        <v>1760</v>
      </c>
      <c r="C37" s="77" t="s">
        <v>1704</v>
      </c>
      <c r="D37" s="77" t="s">
        <v>1761</v>
      </c>
      <c r="E37" s="77">
        <v>27000</v>
      </c>
      <c r="F37" s="77" t="s">
        <v>1695</v>
      </c>
      <c r="G37" s="77" t="s">
        <v>1762</v>
      </c>
      <c r="H37" s="72"/>
      <c r="I37" s="72"/>
      <c r="J37" s="72"/>
      <c r="K37" s="72"/>
      <c r="L37" s="72"/>
      <c r="M37" s="72"/>
      <c r="N37" s="72"/>
      <c r="O37" s="72"/>
      <c r="P37" s="72"/>
      <c r="Q37" s="72"/>
      <c r="R37" s="72"/>
      <c r="S37" s="72"/>
      <c r="T37" s="72"/>
      <c r="U37" s="72"/>
      <c r="V37" s="72"/>
      <c r="W37" s="72"/>
      <c r="X37" s="72"/>
      <c r="Y37" s="87"/>
      <c r="Z37" s="87">
        <f>E37</f>
        <v>27000</v>
      </c>
      <c r="AA37" s="72"/>
      <c r="AB37" s="72" t="s">
        <v>1763</v>
      </c>
    </row>
    <row r="38" spans="1:28">
      <c r="A38" s="76">
        <v>45792</v>
      </c>
      <c r="B38" s="77" t="s">
        <v>1764</v>
      </c>
      <c r="C38" s="77" t="s">
        <v>1728</v>
      </c>
      <c r="D38" s="77" t="s">
        <v>1705</v>
      </c>
      <c r="E38" s="77">
        <v>960</v>
      </c>
      <c r="F38" s="77" t="s">
        <v>1712</v>
      </c>
      <c r="G38" s="77" t="s">
        <v>1758</v>
      </c>
      <c r="H38" s="72"/>
      <c r="I38" s="72"/>
      <c r="J38" s="72"/>
      <c r="K38" s="72"/>
      <c r="L38" s="72"/>
      <c r="M38" s="72"/>
      <c r="N38" s="72"/>
      <c r="O38" s="72"/>
      <c r="P38" s="72"/>
      <c r="Q38" s="72"/>
      <c r="R38" s="72"/>
      <c r="S38" s="72"/>
      <c r="T38" s="72"/>
      <c r="U38" s="72"/>
      <c r="V38" s="72"/>
      <c r="W38" s="72"/>
      <c r="X38" s="72"/>
      <c r="Y38" s="87">
        <f>E38</f>
        <v>960</v>
      </c>
      <c r="Z38" s="87"/>
      <c r="AA38" s="72"/>
      <c r="AB38" s="72" t="s">
        <v>1765</v>
      </c>
    </row>
    <row r="39" spans="1:28">
      <c r="A39" s="76">
        <v>45800</v>
      </c>
      <c r="B39" s="77" t="s">
        <v>1766</v>
      </c>
      <c r="C39" s="77">
        <v>77685</v>
      </c>
      <c r="D39" s="77" t="s">
        <v>1697</v>
      </c>
      <c r="E39" s="77">
        <v>50000</v>
      </c>
      <c r="F39" s="77" t="s">
        <v>1767</v>
      </c>
      <c r="G39" s="77" t="s">
        <v>1699</v>
      </c>
      <c r="H39" s="72">
        <f>E39</f>
        <v>50000</v>
      </c>
      <c r="I39" s="72"/>
      <c r="J39" s="72"/>
      <c r="K39" s="72"/>
      <c r="L39" s="72"/>
      <c r="M39" s="72"/>
      <c r="N39" s="72"/>
      <c r="O39" s="72"/>
      <c r="P39" s="72"/>
      <c r="Q39" s="72"/>
      <c r="R39" s="72"/>
      <c r="S39" s="72"/>
      <c r="T39" s="72"/>
      <c r="U39" s="72"/>
      <c r="V39" s="72"/>
      <c r="W39" s="72"/>
      <c r="X39" s="72"/>
      <c r="Y39" s="87"/>
      <c r="Z39" s="87"/>
      <c r="AA39" s="72"/>
      <c r="AB39" s="72"/>
    </row>
    <row r="40" spans="1:28">
      <c r="A40" s="76">
        <v>45800</v>
      </c>
      <c r="B40" s="77" t="s">
        <v>1768</v>
      </c>
      <c r="C40" s="77">
        <v>77685</v>
      </c>
      <c r="D40" s="77" t="s">
        <v>1697</v>
      </c>
      <c r="E40" s="77">
        <v>20000</v>
      </c>
      <c r="F40" s="77" t="s">
        <v>1769</v>
      </c>
      <c r="G40" s="77" t="s">
        <v>1699</v>
      </c>
      <c r="H40" s="72"/>
      <c r="I40" s="72">
        <f>E40</f>
        <v>20000</v>
      </c>
      <c r="J40" s="72"/>
      <c r="K40" s="72"/>
      <c r="L40" s="72"/>
      <c r="M40" s="72"/>
      <c r="N40" s="72"/>
      <c r="O40" s="72"/>
      <c r="P40" s="72"/>
      <c r="Q40" s="72"/>
      <c r="R40" s="72"/>
      <c r="S40" s="72"/>
      <c r="T40" s="72"/>
      <c r="U40" s="72"/>
      <c r="V40" s="72"/>
      <c r="W40" s="72"/>
      <c r="X40" s="72"/>
      <c r="Y40" s="87"/>
      <c r="Z40" s="87"/>
      <c r="AA40" s="72"/>
      <c r="AB40" s="72"/>
    </row>
    <row r="41" spans="1:28">
      <c r="A41" s="76">
        <v>45800</v>
      </c>
      <c r="B41" s="77" t="s">
        <v>1770</v>
      </c>
      <c r="C41" s="77">
        <v>77685</v>
      </c>
      <c r="D41" s="77" t="s">
        <v>1701</v>
      </c>
      <c r="E41" s="77">
        <v>100000</v>
      </c>
      <c r="F41" s="77" t="s">
        <v>1771</v>
      </c>
      <c r="G41" s="77" t="s">
        <v>1699</v>
      </c>
      <c r="H41" s="72"/>
      <c r="I41" s="72"/>
      <c r="J41" s="72"/>
      <c r="K41" s="72">
        <f>E41</f>
        <v>100000</v>
      </c>
      <c r="L41" s="72"/>
      <c r="M41" s="72"/>
      <c r="N41" s="72"/>
      <c r="O41" s="72"/>
      <c r="P41" s="72"/>
      <c r="Q41" s="72"/>
      <c r="R41" s="72"/>
      <c r="S41" s="72"/>
      <c r="T41" s="72"/>
      <c r="U41" s="72"/>
      <c r="V41" s="72"/>
      <c r="W41" s="72"/>
      <c r="X41" s="72"/>
      <c r="Y41" s="87"/>
      <c r="Z41" s="87"/>
      <c r="AA41" s="72"/>
      <c r="AB41" s="72"/>
    </row>
    <row r="42" spans="1:28">
      <c r="A42" s="76">
        <v>45800</v>
      </c>
      <c r="B42" s="77" t="s">
        <v>1772</v>
      </c>
      <c r="C42" s="77" t="s">
        <v>1704</v>
      </c>
      <c r="D42" s="77" t="s">
        <v>1705</v>
      </c>
      <c r="E42" s="77">
        <v>1000</v>
      </c>
      <c r="F42" s="77" t="s">
        <v>1767</v>
      </c>
      <c r="G42" s="77" t="s">
        <v>1699</v>
      </c>
      <c r="H42" s="72"/>
      <c r="I42" s="72"/>
      <c r="J42" s="72"/>
      <c r="K42" s="72"/>
      <c r="L42" s="72"/>
      <c r="M42" s="72"/>
      <c r="N42" s="72"/>
      <c r="O42" s="72"/>
      <c r="P42" s="72"/>
      <c r="Q42" s="72"/>
      <c r="R42" s="72"/>
      <c r="S42" s="72"/>
      <c r="T42" s="72"/>
      <c r="U42" s="72">
        <f>E42</f>
        <v>1000</v>
      </c>
      <c r="V42" s="72"/>
      <c r="W42" s="72"/>
      <c r="X42" s="72"/>
      <c r="Y42" s="87"/>
      <c r="Z42" s="87"/>
      <c r="AA42" s="72"/>
      <c r="AB42" s="72"/>
    </row>
    <row r="43" spans="1:28">
      <c r="A43" s="76">
        <v>45800</v>
      </c>
      <c r="B43" s="77" t="s">
        <v>1773</v>
      </c>
      <c r="C43" s="77" t="s">
        <v>1707</v>
      </c>
      <c r="D43" s="77" t="s">
        <v>1705</v>
      </c>
      <c r="E43" s="77">
        <v>800</v>
      </c>
      <c r="F43" s="77" t="s">
        <v>1767</v>
      </c>
      <c r="G43" s="77" t="s">
        <v>1699</v>
      </c>
      <c r="H43" s="72"/>
      <c r="I43" s="72"/>
      <c r="J43" s="72"/>
      <c r="K43" s="72"/>
      <c r="L43" s="72"/>
      <c r="M43" s="72"/>
      <c r="N43" s="72"/>
      <c r="O43" s="72"/>
      <c r="P43" s="72"/>
      <c r="Q43" s="72"/>
      <c r="R43" s="72">
        <f>E43</f>
        <v>800</v>
      </c>
      <c r="S43" s="72"/>
      <c r="T43" s="72"/>
      <c r="U43" s="72"/>
      <c r="V43" s="72"/>
      <c r="W43" s="72"/>
      <c r="X43" s="72"/>
      <c r="Y43" s="87"/>
      <c r="Z43" s="87"/>
      <c r="AA43" s="72"/>
      <c r="AB43" s="72"/>
    </row>
    <row r="44" spans="1:28">
      <c r="A44" s="76">
        <v>45800</v>
      </c>
      <c r="B44" s="77" t="s">
        <v>1774</v>
      </c>
      <c r="C44" s="77" t="s">
        <v>1707</v>
      </c>
      <c r="D44" s="77" t="s">
        <v>1705</v>
      </c>
      <c r="E44" s="77">
        <v>800</v>
      </c>
      <c r="F44" s="77" t="s">
        <v>1775</v>
      </c>
      <c r="G44" s="77" t="s">
        <v>1699</v>
      </c>
      <c r="H44" s="72"/>
      <c r="I44" s="72"/>
      <c r="J44" s="72"/>
      <c r="K44" s="72"/>
      <c r="L44" s="72"/>
      <c r="M44" s="72"/>
      <c r="N44" s="72"/>
      <c r="O44" s="72"/>
      <c r="P44" s="72"/>
      <c r="Q44" s="72"/>
      <c r="R44" s="72"/>
      <c r="S44" s="72"/>
      <c r="T44" s="72">
        <f>E44</f>
        <v>800</v>
      </c>
      <c r="U44" s="72"/>
      <c r="V44" s="72"/>
      <c r="W44" s="72"/>
      <c r="X44" s="72"/>
      <c r="Y44" s="87"/>
      <c r="Z44" s="87"/>
      <c r="AA44" s="72"/>
      <c r="AB44" s="72"/>
    </row>
    <row r="45" spans="1:28">
      <c r="A45" s="76">
        <v>45803</v>
      </c>
      <c r="B45" s="77" t="s">
        <v>1776</v>
      </c>
      <c r="C45" s="77">
        <v>77723</v>
      </c>
      <c r="D45" s="77" t="s">
        <v>1711</v>
      </c>
      <c r="E45" s="77">
        <v>1512</v>
      </c>
      <c r="F45" s="77" t="s">
        <v>1712</v>
      </c>
      <c r="G45" s="77" t="s">
        <v>1743</v>
      </c>
      <c r="H45" s="72"/>
      <c r="I45" s="72"/>
      <c r="J45" s="72"/>
      <c r="K45" s="72"/>
      <c r="L45" s="72"/>
      <c r="M45" s="72"/>
      <c r="N45" s="72"/>
      <c r="O45" s="72"/>
      <c r="P45" s="72"/>
      <c r="Q45" s="72"/>
      <c r="R45" s="72"/>
      <c r="S45" s="72"/>
      <c r="T45" s="72"/>
      <c r="U45" s="72"/>
      <c r="V45" s="72"/>
      <c r="W45" s="72">
        <f>E45</f>
        <v>1512</v>
      </c>
      <c r="X45" s="72"/>
      <c r="Y45" s="87"/>
      <c r="Z45" s="87"/>
      <c r="AA45" s="72"/>
      <c r="AB45" s="72" t="s">
        <v>1777</v>
      </c>
    </row>
    <row r="46" spans="1:28">
      <c r="A46" s="76">
        <v>45803</v>
      </c>
      <c r="B46" s="77" t="s">
        <v>1778</v>
      </c>
      <c r="C46" s="77">
        <v>77723</v>
      </c>
      <c r="D46" s="77" t="s">
        <v>1716</v>
      </c>
      <c r="E46" s="77">
        <v>1512</v>
      </c>
      <c r="F46" s="77" t="s">
        <v>1748</v>
      </c>
      <c r="G46" s="77" t="s">
        <v>1743</v>
      </c>
      <c r="H46" s="72"/>
      <c r="I46" s="72"/>
      <c r="J46" s="72"/>
      <c r="K46" s="72"/>
      <c r="L46" s="72"/>
      <c r="M46" s="72"/>
      <c r="N46" s="72"/>
      <c r="O46" s="72"/>
      <c r="P46" s="72"/>
      <c r="Q46" s="72"/>
      <c r="R46" s="72"/>
      <c r="S46" s="72"/>
      <c r="T46" s="72"/>
      <c r="U46" s="72"/>
      <c r="V46" s="72"/>
      <c r="W46" s="72"/>
      <c r="X46" s="72">
        <f>E46</f>
        <v>1512</v>
      </c>
      <c r="Y46" s="87"/>
      <c r="Z46" s="87"/>
      <c r="AA46" s="72"/>
      <c r="AB46" s="72" t="s">
        <v>1777</v>
      </c>
    </row>
    <row r="47" spans="1:28">
      <c r="A47" s="76">
        <v>45803</v>
      </c>
      <c r="B47" s="77" t="s">
        <v>1776</v>
      </c>
      <c r="C47" s="77">
        <v>77723</v>
      </c>
      <c r="D47" s="77" t="s">
        <v>1718</v>
      </c>
      <c r="E47" s="77">
        <v>1512</v>
      </c>
      <c r="F47" s="77" t="s">
        <v>1712</v>
      </c>
      <c r="G47" s="77" t="s">
        <v>1743</v>
      </c>
      <c r="H47" s="72"/>
      <c r="I47" s="72"/>
      <c r="J47" s="72"/>
      <c r="K47" s="72"/>
      <c r="L47" s="72"/>
      <c r="M47" s="72"/>
      <c r="N47" s="72"/>
      <c r="O47" s="72"/>
      <c r="P47" s="72"/>
      <c r="Q47" s="72"/>
      <c r="R47" s="72"/>
      <c r="S47" s="72"/>
      <c r="T47" s="72"/>
      <c r="U47" s="72"/>
      <c r="V47" s="72"/>
      <c r="W47" s="72"/>
      <c r="X47" s="72"/>
      <c r="Y47" s="87"/>
      <c r="Z47" s="87"/>
      <c r="AA47" s="72"/>
      <c r="AB47" s="72" t="s">
        <v>1777</v>
      </c>
    </row>
    <row r="48" spans="1:28">
      <c r="A48" s="76">
        <v>45805</v>
      </c>
      <c r="B48" s="77">
        <v>1000028460</v>
      </c>
      <c r="C48" s="78">
        <v>77685</v>
      </c>
      <c r="D48" s="77" t="s">
        <v>1697</v>
      </c>
      <c r="E48" s="77">
        <v>20000</v>
      </c>
      <c r="F48" s="77" t="s">
        <v>1767</v>
      </c>
      <c r="G48" s="77" t="s">
        <v>1699</v>
      </c>
      <c r="H48" s="72">
        <f>E48</f>
        <v>20000</v>
      </c>
      <c r="I48" s="72"/>
      <c r="J48" s="72"/>
      <c r="K48" s="72"/>
      <c r="L48" s="72"/>
      <c r="M48" s="72"/>
      <c r="N48" s="72"/>
      <c r="O48" s="72"/>
      <c r="P48" s="72"/>
      <c r="Q48" s="72"/>
      <c r="R48" s="72"/>
      <c r="S48" s="72"/>
      <c r="T48" s="72"/>
      <c r="U48" s="72"/>
      <c r="V48" s="72"/>
      <c r="W48" s="72"/>
      <c r="X48" s="72"/>
      <c r="Y48" s="87"/>
      <c r="Z48" s="87"/>
      <c r="AA48" s="72"/>
      <c r="AB48" s="72"/>
    </row>
    <row r="49" spans="1:28">
      <c r="A49" s="76">
        <v>45805</v>
      </c>
      <c r="B49" s="77" t="s">
        <v>1779</v>
      </c>
      <c r="C49" s="77">
        <v>77685</v>
      </c>
      <c r="D49" s="77" t="s">
        <v>1697</v>
      </c>
      <c r="E49" s="77">
        <v>50000</v>
      </c>
      <c r="F49" s="77" t="s">
        <v>1775</v>
      </c>
      <c r="G49" s="77" t="s">
        <v>1699</v>
      </c>
      <c r="H49" s="72"/>
      <c r="I49" s="72">
        <f>E49</f>
        <v>50000</v>
      </c>
      <c r="J49" s="72"/>
      <c r="K49" s="72"/>
      <c r="L49" s="72"/>
      <c r="M49" s="72"/>
      <c r="N49" s="72"/>
      <c r="O49" s="72"/>
      <c r="P49" s="72"/>
      <c r="Q49" s="72"/>
      <c r="R49" s="72"/>
      <c r="S49" s="72"/>
      <c r="T49" s="72"/>
      <c r="U49" s="72"/>
      <c r="V49" s="72"/>
      <c r="W49" s="72"/>
      <c r="X49" s="72"/>
      <c r="Y49" s="87"/>
      <c r="Z49" s="87"/>
      <c r="AA49" s="72"/>
      <c r="AB49" s="72"/>
    </row>
    <row r="50" spans="1:28">
      <c r="A50" s="76">
        <v>45805</v>
      </c>
      <c r="B50" s="77" t="s">
        <v>1780</v>
      </c>
      <c r="C50" s="77">
        <v>77685</v>
      </c>
      <c r="D50" s="77" t="s">
        <v>1701</v>
      </c>
      <c r="E50" s="77">
        <v>50000</v>
      </c>
      <c r="F50" s="77" t="s">
        <v>1771</v>
      </c>
      <c r="G50" s="77" t="s">
        <v>1699</v>
      </c>
      <c r="H50" s="72"/>
      <c r="I50" s="72"/>
      <c r="J50" s="72"/>
      <c r="K50" s="72">
        <f>E50</f>
        <v>50000</v>
      </c>
      <c r="L50" s="72"/>
      <c r="M50" s="72"/>
      <c r="N50" s="72"/>
      <c r="O50" s="72"/>
      <c r="P50" s="72"/>
      <c r="Q50" s="72"/>
      <c r="R50" s="72"/>
      <c r="S50" s="72"/>
      <c r="T50" s="72"/>
      <c r="U50" s="72"/>
      <c r="V50" s="72"/>
      <c r="W50" s="72"/>
      <c r="X50" s="72"/>
      <c r="Y50" s="87"/>
      <c r="Z50" s="87"/>
      <c r="AA50" s="72"/>
      <c r="AB50" s="72"/>
    </row>
    <row r="51" spans="1:28">
      <c r="A51" s="76">
        <v>45805</v>
      </c>
      <c r="B51" s="77" t="s">
        <v>1781</v>
      </c>
      <c r="C51" s="77" t="s">
        <v>1704</v>
      </c>
      <c r="D51" s="77" t="s">
        <v>1705</v>
      </c>
      <c r="E51" s="77">
        <v>1500</v>
      </c>
      <c r="F51" s="77" t="s">
        <v>1767</v>
      </c>
      <c r="G51" s="77" t="s">
        <v>1699</v>
      </c>
      <c r="H51" s="72"/>
      <c r="I51" s="72"/>
      <c r="J51" s="72"/>
      <c r="K51" s="72"/>
      <c r="L51" s="72"/>
      <c r="M51" s="72"/>
      <c r="N51" s="72"/>
      <c r="O51" s="72"/>
      <c r="P51" s="72"/>
      <c r="Q51" s="72"/>
      <c r="R51" s="72"/>
      <c r="S51" s="72"/>
      <c r="T51" s="72"/>
      <c r="U51" s="72">
        <f>E51</f>
        <v>1500</v>
      </c>
      <c r="V51" s="72"/>
      <c r="W51" s="72"/>
      <c r="X51" s="72"/>
      <c r="Y51" s="87"/>
      <c r="Z51" s="87"/>
      <c r="AA51" s="72"/>
      <c r="AB51" s="72"/>
    </row>
    <row r="52" spans="1:28">
      <c r="A52" s="76">
        <v>45805</v>
      </c>
      <c r="B52" s="77" t="s">
        <v>1782</v>
      </c>
      <c r="C52" s="77" t="s">
        <v>1707</v>
      </c>
      <c r="D52" s="77" t="s">
        <v>1705</v>
      </c>
      <c r="E52" s="77">
        <v>1500</v>
      </c>
      <c r="F52" s="77" t="s">
        <v>1775</v>
      </c>
      <c r="G52" s="77" t="s">
        <v>1699</v>
      </c>
      <c r="H52" s="72"/>
      <c r="I52" s="72"/>
      <c r="J52" s="72"/>
      <c r="K52" s="72"/>
      <c r="L52" s="72"/>
      <c r="M52" s="72"/>
      <c r="N52" s="72"/>
      <c r="O52" s="72"/>
      <c r="P52" s="72"/>
      <c r="Q52" s="72"/>
      <c r="R52" s="72"/>
      <c r="S52" s="72"/>
      <c r="T52" s="72">
        <f>E52</f>
        <v>1500</v>
      </c>
      <c r="U52" s="72"/>
      <c r="V52" s="72"/>
      <c r="W52" s="72"/>
      <c r="X52" s="72"/>
      <c r="Y52" s="87"/>
      <c r="Z52" s="87"/>
      <c r="AA52" s="72"/>
      <c r="AB52" s="72"/>
    </row>
    <row r="53" spans="1:28">
      <c r="A53" s="76">
        <v>45828</v>
      </c>
      <c r="B53" s="77" t="s">
        <v>1783</v>
      </c>
      <c r="C53" s="77">
        <v>77723</v>
      </c>
      <c r="D53" s="77" t="s">
        <v>1716</v>
      </c>
      <c r="E53" s="77">
        <v>5000</v>
      </c>
      <c r="F53" s="77" t="s">
        <v>1712</v>
      </c>
      <c r="G53" s="77" t="s">
        <v>1743</v>
      </c>
      <c r="H53" s="72"/>
      <c r="I53" s="72"/>
      <c r="J53" s="72"/>
      <c r="K53" s="72"/>
      <c r="L53" s="72"/>
      <c r="M53" s="72"/>
      <c r="N53" s="72"/>
      <c r="O53" s="72"/>
      <c r="P53" s="72"/>
      <c r="Q53" s="72"/>
      <c r="R53" s="72"/>
      <c r="S53" s="72"/>
      <c r="T53" s="72"/>
      <c r="U53" s="72"/>
      <c r="V53" s="72"/>
      <c r="W53" s="72"/>
      <c r="X53" s="72">
        <f>E53</f>
        <v>5000</v>
      </c>
      <c r="Y53" s="87"/>
      <c r="Z53" s="87"/>
      <c r="AA53" s="72"/>
      <c r="AB53" s="72" t="s">
        <v>1784</v>
      </c>
    </row>
    <row r="54" spans="1:28">
      <c r="A54" s="76">
        <v>45828</v>
      </c>
      <c r="B54" s="77" t="s">
        <v>1785</v>
      </c>
      <c r="C54" s="77">
        <v>77723</v>
      </c>
      <c r="D54" s="77" t="s">
        <v>1718</v>
      </c>
      <c r="E54" s="77">
        <v>5000</v>
      </c>
      <c r="F54" s="77" t="s">
        <v>1712</v>
      </c>
      <c r="G54" s="77" t="s">
        <v>1743</v>
      </c>
      <c r="H54" s="72"/>
      <c r="I54" s="72"/>
      <c r="J54" s="72"/>
      <c r="K54" s="72"/>
      <c r="L54" s="72"/>
      <c r="M54" s="72"/>
      <c r="N54" s="72"/>
      <c r="O54" s="72"/>
      <c r="P54" s="72"/>
      <c r="Q54" s="72"/>
      <c r="R54" s="72"/>
      <c r="S54" s="72"/>
      <c r="T54" s="72"/>
      <c r="U54" s="72"/>
      <c r="V54" s="72"/>
      <c r="W54" s="72"/>
      <c r="X54" s="72"/>
      <c r="Y54" s="87"/>
      <c r="Z54" s="87"/>
      <c r="AA54" s="72"/>
      <c r="AB54" s="72" t="s">
        <v>1784</v>
      </c>
    </row>
    <row r="55" spans="1:28">
      <c r="A55" s="76">
        <v>45842</v>
      </c>
      <c r="B55" s="77">
        <v>1000029733</v>
      </c>
      <c r="C55" s="77">
        <v>77723</v>
      </c>
      <c r="D55" s="77" t="s">
        <v>1716</v>
      </c>
      <c r="E55" s="77">
        <v>9696</v>
      </c>
      <c r="F55" s="77" t="s">
        <v>1769</v>
      </c>
      <c r="G55" s="77" t="s">
        <v>1786</v>
      </c>
      <c r="H55" s="72"/>
      <c r="I55" s="72"/>
      <c r="J55" s="72"/>
      <c r="K55" s="72"/>
      <c r="L55" s="72"/>
      <c r="M55" s="72"/>
      <c r="N55" s="72"/>
      <c r="O55" s="72"/>
      <c r="P55" s="72"/>
      <c r="Q55" s="72"/>
      <c r="R55" s="72"/>
      <c r="S55" s="72"/>
      <c r="T55" s="72"/>
      <c r="U55" s="72"/>
      <c r="V55" s="72"/>
      <c r="W55" s="72"/>
      <c r="X55" s="72">
        <f>E55</f>
        <v>9696</v>
      </c>
      <c r="Y55" s="87"/>
      <c r="Z55" s="87"/>
      <c r="AA55" s="72"/>
      <c r="AB55" s="72" t="s">
        <v>1787</v>
      </c>
    </row>
    <row r="56" spans="1:28">
      <c r="A56" s="76">
        <v>45842</v>
      </c>
      <c r="B56" s="77">
        <v>1000029734</v>
      </c>
      <c r="C56" s="77">
        <v>77723</v>
      </c>
      <c r="D56" s="77" t="s">
        <v>1711</v>
      </c>
      <c r="E56" s="77">
        <v>9696</v>
      </c>
      <c r="F56" s="77" t="s">
        <v>1712</v>
      </c>
      <c r="G56" s="77" t="s">
        <v>1786</v>
      </c>
      <c r="H56" s="72"/>
      <c r="I56" s="72"/>
      <c r="J56" s="72"/>
      <c r="K56" s="72"/>
      <c r="L56" s="72"/>
      <c r="M56" s="72"/>
      <c r="N56" s="72"/>
      <c r="O56" s="72"/>
      <c r="P56" s="72"/>
      <c r="Q56" s="72"/>
      <c r="R56" s="72"/>
      <c r="S56" s="72"/>
      <c r="T56" s="72"/>
      <c r="U56" s="72"/>
      <c r="V56" s="72"/>
      <c r="W56" s="72">
        <f>E56</f>
        <v>9696</v>
      </c>
      <c r="X56" s="72"/>
      <c r="Y56" s="87"/>
      <c r="Z56" s="87"/>
      <c r="AA56" s="72"/>
      <c r="AB56" s="72" t="s">
        <v>1787</v>
      </c>
    </row>
    <row r="57" spans="1:28">
      <c r="A57" s="76">
        <v>45842</v>
      </c>
      <c r="B57" s="77">
        <v>1000029735</v>
      </c>
      <c r="C57" s="77">
        <v>77723</v>
      </c>
      <c r="D57" s="77" t="s">
        <v>1718</v>
      </c>
      <c r="E57" s="77">
        <v>9696</v>
      </c>
      <c r="F57" s="77" t="s">
        <v>1712</v>
      </c>
      <c r="G57" s="77" t="s">
        <v>1786</v>
      </c>
      <c r="H57" s="72"/>
      <c r="I57" s="72"/>
      <c r="J57" s="72"/>
      <c r="K57" s="72"/>
      <c r="L57" s="72"/>
      <c r="M57" s="72"/>
      <c r="N57" s="72"/>
      <c r="O57" s="72"/>
      <c r="P57" s="72"/>
      <c r="Q57" s="72"/>
      <c r="R57" s="72"/>
      <c r="S57" s="72"/>
      <c r="T57" s="72"/>
      <c r="U57" s="72"/>
      <c r="V57" s="72"/>
      <c r="W57" s="72"/>
      <c r="X57" s="72"/>
      <c r="Y57" s="87"/>
      <c r="Z57" s="87"/>
      <c r="AA57" s="72"/>
      <c r="AB57" s="72" t="s">
        <v>1787</v>
      </c>
    </row>
    <row r="58" spans="1:28">
      <c r="A58" s="76">
        <v>45845</v>
      </c>
      <c r="B58" s="77" t="s">
        <v>1788</v>
      </c>
      <c r="C58" s="77">
        <v>77685</v>
      </c>
      <c r="D58" s="77" t="s">
        <v>1697</v>
      </c>
      <c r="E58" s="77">
        <v>60000</v>
      </c>
      <c r="F58" s="77" t="s">
        <v>1767</v>
      </c>
      <c r="G58" s="77" t="s">
        <v>1699</v>
      </c>
      <c r="H58" s="72">
        <f>E58</f>
        <v>60000</v>
      </c>
      <c r="I58" s="72"/>
      <c r="J58" s="72"/>
      <c r="K58" s="72"/>
      <c r="L58" s="72"/>
      <c r="M58" s="72"/>
      <c r="N58" s="72"/>
      <c r="O58" s="72"/>
      <c r="P58" s="72"/>
      <c r="Q58" s="72"/>
      <c r="R58" s="72"/>
      <c r="S58" s="72"/>
      <c r="T58" s="72"/>
      <c r="U58" s="72"/>
      <c r="V58" s="72"/>
      <c r="W58" s="72"/>
      <c r="X58" s="72"/>
      <c r="Y58" s="87"/>
      <c r="Z58" s="87"/>
      <c r="AA58" s="72"/>
      <c r="AB58" s="72"/>
    </row>
    <row r="59" spans="1:28">
      <c r="A59" s="76">
        <v>45845</v>
      </c>
      <c r="B59" s="77" t="s">
        <v>1789</v>
      </c>
      <c r="C59" s="77">
        <v>77685</v>
      </c>
      <c r="D59" s="77" t="s">
        <v>1697</v>
      </c>
      <c r="E59" s="77">
        <v>20000</v>
      </c>
      <c r="F59" s="77" t="s">
        <v>1769</v>
      </c>
      <c r="G59" s="77" t="s">
        <v>1699</v>
      </c>
      <c r="H59" s="72"/>
      <c r="I59" s="72">
        <f>E59</f>
        <v>20000</v>
      </c>
      <c r="J59" s="72"/>
      <c r="K59" s="72"/>
      <c r="L59" s="72"/>
      <c r="M59" s="72"/>
      <c r="N59" s="72"/>
      <c r="O59" s="72"/>
      <c r="P59" s="72"/>
      <c r="Q59" s="72"/>
      <c r="R59" s="72"/>
      <c r="S59" s="72"/>
      <c r="T59" s="72"/>
      <c r="U59" s="72"/>
      <c r="V59" s="72"/>
      <c r="W59" s="72"/>
      <c r="X59" s="72"/>
      <c r="Y59" s="87"/>
      <c r="Z59" s="87"/>
      <c r="AA59" s="72"/>
      <c r="AB59" s="72"/>
    </row>
    <row r="60" spans="1:28">
      <c r="A60" s="76">
        <v>45845</v>
      </c>
      <c r="B60" s="77" t="s">
        <v>1790</v>
      </c>
      <c r="C60" s="77">
        <v>77685</v>
      </c>
      <c r="D60" s="77" t="s">
        <v>1701</v>
      </c>
      <c r="E60" s="77">
        <v>50000</v>
      </c>
      <c r="F60" s="77" t="s">
        <v>1771</v>
      </c>
      <c r="G60" s="77" t="s">
        <v>1699</v>
      </c>
      <c r="H60" s="72"/>
      <c r="I60" s="72"/>
      <c r="J60" s="72"/>
      <c r="K60" s="72">
        <f>E60</f>
        <v>50000</v>
      </c>
      <c r="L60" s="72"/>
      <c r="M60" s="72"/>
      <c r="N60" s="72"/>
      <c r="O60" s="72"/>
      <c r="P60" s="72"/>
      <c r="Q60" s="72"/>
      <c r="R60" s="72"/>
      <c r="S60" s="72"/>
      <c r="T60" s="72"/>
      <c r="U60" s="72"/>
      <c r="V60" s="72"/>
      <c r="W60" s="72"/>
      <c r="X60" s="72"/>
      <c r="Y60" s="87"/>
      <c r="Z60" s="87"/>
      <c r="AA60" s="72"/>
      <c r="AB60" s="72"/>
    </row>
    <row r="61" spans="1:28">
      <c r="A61" s="76">
        <v>45845</v>
      </c>
      <c r="B61" s="77" t="s">
        <v>1791</v>
      </c>
      <c r="C61" s="77" t="s">
        <v>1704</v>
      </c>
      <c r="D61" s="77" t="s">
        <v>1705</v>
      </c>
      <c r="E61" s="77">
        <v>1500</v>
      </c>
      <c r="F61" s="77" t="s">
        <v>1767</v>
      </c>
      <c r="G61" s="77" t="s">
        <v>1699</v>
      </c>
      <c r="H61" s="72"/>
      <c r="I61" s="72"/>
      <c r="J61" s="72"/>
      <c r="K61" s="72"/>
      <c r="L61" s="72"/>
      <c r="M61" s="72"/>
      <c r="N61" s="72"/>
      <c r="O61" s="72"/>
      <c r="P61" s="72"/>
      <c r="Q61" s="72"/>
      <c r="R61" s="72"/>
      <c r="S61" s="72"/>
      <c r="T61" s="72"/>
      <c r="U61" s="72">
        <f>E61</f>
        <v>1500</v>
      </c>
      <c r="V61" s="72"/>
      <c r="W61" s="72"/>
      <c r="X61" s="72"/>
      <c r="Y61" s="87"/>
      <c r="Z61" s="87"/>
      <c r="AA61" s="72"/>
      <c r="AB61" s="72"/>
    </row>
    <row r="62" spans="1:28">
      <c r="A62" s="76">
        <v>45845</v>
      </c>
      <c r="B62" s="77" t="s">
        <v>1792</v>
      </c>
      <c r="C62" s="77" t="s">
        <v>1704</v>
      </c>
      <c r="D62" s="77" t="s">
        <v>1705</v>
      </c>
      <c r="E62" s="77">
        <v>1000</v>
      </c>
      <c r="F62" s="77" t="s">
        <v>1769</v>
      </c>
      <c r="G62" s="77" t="s">
        <v>1699</v>
      </c>
      <c r="H62" s="72"/>
      <c r="I62" s="72"/>
      <c r="J62" s="72"/>
      <c r="K62" s="72"/>
      <c r="L62" s="72"/>
      <c r="M62" s="72"/>
      <c r="N62" s="72"/>
      <c r="O62" s="72"/>
      <c r="P62" s="72"/>
      <c r="Q62" s="72"/>
      <c r="R62" s="72"/>
      <c r="S62" s="72"/>
      <c r="T62" s="72"/>
      <c r="U62" s="72"/>
      <c r="V62" s="72">
        <f>E62</f>
        <v>1000</v>
      </c>
      <c r="W62" s="72"/>
      <c r="X62" s="72"/>
      <c r="Y62" s="87"/>
      <c r="Z62" s="87"/>
      <c r="AA62" s="72"/>
      <c r="AB62" s="72"/>
    </row>
    <row r="63" spans="1:28">
      <c r="A63" s="76">
        <v>45845</v>
      </c>
      <c r="B63" s="77" t="s">
        <v>1793</v>
      </c>
      <c r="C63" s="77" t="s">
        <v>1707</v>
      </c>
      <c r="D63" s="77" t="s">
        <v>1705</v>
      </c>
      <c r="E63" s="77">
        <v>500</v>
      </c>
      <c r="F63" s="77" t="s">
        <v>1767</v>
      </c>
      <c r="G63" s="77" t="s">
        <v>1699</v>
      </c>
      <c r="H63" s="72"/>
      <c r="I63" s="72"/>
      <c r="J63" s="72"/>
      <c r="K63" s="72"/>
      <c r="L63" s="72"/>
      <c r="M63" s="72"/>
      <c r="N63" s="72"/>
      <c r="O63" s="72"/>
      <c r="P63" s="72"/>
      <c r="Q63" s="72"/>
      <c r="R63" s="72">
        <f>E63</f>
        <v>500</v>
      </c>
      <c r="S63" s="72"/>
      <c r="T63" s="72"/>
      <c r="U63" s="72"/>
      <c r="V63" s="72"/>
      <c r="W63" s="72"/>
      <c r="X63" s="72"/>
      <c r="Y63" s="87"/>
      <c r="Z63" s="87"/>
      <c r="AA63" s="72"/>
      <c r="AB63" s="72"/>
    </row>
    <row r="64" spans="1:28">
      <c r="A64" s="76">
        <v>45845</v>
      </c>
      <c r="B64" s="77" t="s">
        <v>1794</v>
      </c>
      <c r="C64" s="77" t="s">
        <v>1707</v>
      </c>
      <c r="D64" s="77" t="s">
        <v>1705</v>
      </c>
      <c r="E64" s="77">
        <v>500</v>
      </c>
      <c r="F64" s="77" t="s">
        <v>1775</v>
      </c>
      <c r="G64" s="77" t="s">
        <v>1699</v>
      </c>
      <c r="H64" s="72"/>
      <c r="I64" s="72"/>
      <c r="J64" s="72"/>
      <c r="K64" s="72"/>
      <c r="L64" s="72"/>
      <c r="M64" s="72"/>
      <c r="N64" s="72"/>
      <c r="O64" s="72"/>
      <c r="P64" s="72"/>
      <c r="Q64" s="72"/>
      <c r="R64" s="72"/>
      <c r="S64" s="72"/>
      <c r="T64" s="72">
        <f>E64</f>
        <v>500</v>
      </c>
      <c r="U64" s="72"/>
      <c r="V64" s="72"/>
      <c r="W64" s="72"/>
      <c r="X64" s="72"/>
      <c r="Y64" s="87"/>
      <c r="Z64" s="87"/>
      <c r="AA64" s="72"/>
      <c r="AB64" s="72"/>
    </row>
    <row r="65" spans="1:28">
      <c r="A65" s="76">
        <v>45875</v>
      </c>
      <c r="B65" s="77" t="s">
        <v>1795</v>
      </c>
      <c r="C65" s="77">
        <v>77685</v>
      </c>
      <c r="D65" s="77" t="s">
        <v>1697</v>
      </c>
      <c r="E65" s="77">
        <v>60000</v>
      </c>
      <c r="F65" s="77" t="s">
        <v>1767</v>
      </c>
      <c r="G65" s="77" t="s">
        <v>1699</v>
      </c>
      <c r="H65" s="72">
        <f>E65</f>
        <v>60000</v>
      </c>
      <c r="I65" s="72"/>
      <c r="J65" s="72"/>
      <c r="K65" s="72"/>
      <c r="L65" s="72"/>
      <c r="M65" s="72"/>
      <c r="N65" s="72"/>
      <c r="O65" s="72"/>
      <c r="P65" s="72"/>
      <c r="Q65" s="72"/>
      <c r="R65" s="72"/>
      <c r="S65" s="72"/>
      <c r="T65" s="72"/>
      <c r="U65" s="72"/>
      <c r="V65" s="72"/>
      <c r="W65" s="72"/>
      <c r="X65" s="72"/>
      <c r="Y65" s="87"/>
      <c r="Z65" s="87"/>
      <c r="AA65" s="72"/>
      <c r="AB65" s="72"/>
    </row>
    <row r="66" spans="1:28">
      <c r="A66" s="76">
        <v>45875</v>
      </c>
      <c r="B66" s="77" t="s">
        <v>1796</v>
      </c>
      <c r="C66" s="77">
        <v>77685</v>
      </c>
      <c r="D66" s="77" t="s">
        <v>1701</v>
      </c>
      <c r="E66" s="77">
        <v>70000</v>
      </c>
      <c r="F66" s="77" t="s">
        <v>1771</v>
      </c>
      <c r="G66" s="77" t="s">
        <v>1699</v>
      </c>
      <c r="H66" s="72"/>
      <c r="I66" s="72"/>
      <c r="J66" s="72"/>
      <c r="K66" s="72">
        <f>E66</f>
        <v>70000</v>
      </c>
      <c r="L66" s="72"/>
      <c r="M66" s="72"/>
      <c r="N66" s="72"/>
      <c r="O66" s="72"/>
      <c r="P66" s="72"/>
      <c r="Q66" s="72"/>
      <c r="R66" s="72"/>
      <c r="S66" s="72"/>
      <c r="T66" s="72"/>
      <c r="U66" s="72"/>
      <c r="V66" s="72"/>
      <c r="W66" s="72"/>
      <c r="X66" s="72"/>
      <c r="Y66" s="87"/>
      <c r="Z66" s="87"/>
      <c r="AA66" s="72"/>
      <c r="AB66" s="72"/>
    </row>
    <row r="67" spans="1:28">
      <c r="A67" s="76">
        <v>45875</v>
      </c>
      <c r="B67" s="77" t="s">
        <v>1797</v>
      </c>
      <c r="C67" s="77" t="s">
        <v>1704</v>
      </c>
      <c r="D67" s="77" t="s">
        <v>1705</v>
      </c>
      <c r="E67" s="77">
        <v>5000</v>
      </c>
      <c r="F67" s="77" t="s">
        <v>1767</v>
      </c>
      <c r="G67" s="77" t="s">
        <v>1699</v>
      </c>
      <c r="H67" s="72"/>
      <c r="I67" s="72"/>
      <c r="J67" s="72"/>
      <c r="K67" s="72"/>
      <c r="L67" s="72"/>
      <c r="M67" s="72"/>
      <c r="N67" s="72"/>
      <c r="O67" s="72"/>
      <c r="P67" s="72"/>
      <c r="Q67" s="72"/>
      <c r="R67" s="72"/>
      <c r="S67" s="72"/>
      <c r="T67" s="72"/>
      <c r="U67" s="72">
        <f>E67</f>
        <v>5000</v>
      </c>
      <c r="V67" s="72"/>
      <c r="W67" s="72"/>
      <c r="X67" s="72"/>
      <c r="Y67" s="87"/>
      <c r="Z67" s="87"/>
      <c r="AA67" s="72"/>
      <c r="AB67" s="72"/>
    </row>
    <row r="68" spans="1:28">
      <c r="A68" s="76">
        <v>45882</v>
      </c>
      <c r="B68" s="77" t="s">
        <v>1798</v>
      </c>
      <c r="C68" s="77" t="s">
        <v>1728</v>
      </c>
      <c r="D68" s="77" t="s">
        <v>1705</v>
      </c>
      <c r="E68" s="77">
        <v>1488</v>
      </c>
      <c r="F68" s="77" t="s">
        <v>1712</v>
      </c>
      <c r="G68" s="77" t="s">
        <v>1758</v>
      </c>
      <c r="H68" s="72"/>
      <c r="I68" s="72"/>
      <c r="J68" s="72"/>
      <c r="K68" s="72"/>
      <c r="L68" s="72"/>
      <c r="M68" s="72"/>
      <c r="N68" s="72"/>
      <c r="O68" s="72"/>
      <c r="P68" s="72"/>
      <c r="Q68" s="72"/>
      <c r="R68" s="72"/>
      <c r="S68" s="72"/>
      <c r="T68" s="72"/>
      <c r="U68" s="72"/>
      <c r="V68" s="72"/>
      <c r="W68" s="72"/>
      <c r="X68" s="72"/>
      <c r="Y68" s="87">
        <f>E68</f>
        <v>1488</v>
      </c>
      <c r="Z68" s="87"/>
      <c r="AA68" s="72"/>
      <c r="AB68" s="72" t="s">
        <v>1799</v>
      </c>
    </row>
    <row r="69" spans="1:28">
      <c r="A69" s="76">
        <v>45884</v>
      </c>
      <c r="B69" s="77"/>
      <c r="C69" s="77" t="s">
        <v>1707</v>
      </c>
      <c r="D69" s="77" t="s">
        <v>1705</v>
      </c>
      <c r="E69" s="77">
        <v>500</v>
      </c>
      <c r="F69" s="77" t="s">
        <v>1767</v>
      </c>
      <c r="G69" s="77" t="s">
        <v>1699</v>
      </c>
      <c r="H69" s="72"/>
      <c r="I69" s="72"/>
      <c r="J69" s="72"/>
      <c r="K69" s="72"/>
      <c r="L69" s="72"/>
      <c r="M69" s="72"/>
      <c r="N69" s="72"/>
      <c r="O69" s="72"/>
      <c r="P69" s="72"/>
      <c r="Q69" s="72"/>
      <c r="R69" s="106">
        <f>E69</f>
        <v>500</v>
      </c>
      <c r="T69" s="72"/>
      <c r="U69" s="72"/>
      <c r="V69" s="72"/>
      <c r="W69" s="72"/>
      <c r="X69" s="72"/>
      <c r="Y69" s="87"/>
      <c r="Z69" s="87"/>
      <c r="AA69" s="72"/>
      <c r="AB69" s="72"/>
    </row>
    <row r="70" spans="1:28">
      <c r="A70" s="76">
        <v>45890</v>
      </c>
      <c r="B70" s="88">
        <v>1000031208</v>
      </c>
      <c r="C70" s="77">
        <v>77685</v>
      </c>
      <c r="D70" s="77" t="s">
        <v>1697</v>
      </c>
      <c r="E70" s="89">
        <v>50000</v>
      </c>
      <c r="F70" s="77" t="s">
        <v>1767</v>
      </c>
      <c r="G70" s="77" t="s">
        <v>1677</v>
      </c>
      <c r="H70" s="72">
        <f>E70</f>
        <v>50000</v>
      </c>
      <c r="I70" s="72"/>
      <c r="J70" s="72"/>
      <c r="K70" s="72"/>
      <c r="L70" s="72"/>
      <c r="M70" s="72"/>
      <c r="N70" s="72"/>
      <c r="O70" s="72"/>
      <c r="P70" s="72"/>
      <c r="Q70" s="72"/>
      <c r="R70" s="72"/>
      <c r="S70" s="72"/>
      <c r="T70" s="72"/>
      <c r="U70" s="72"/>
      <c r="V70" s="72"/>
      <c r="W70" s="72"/>
      <c r="X70" s="72"/>
      <c r="Y70" s="87"/>
      <c r="Z70" s="87"/>
      <c r="AA70" s="72"/>
      <c r="AB70" s="72"/>
    </row>
    <row r="71" spans="1:28">
      <c r="A71" s="76">
        <v>45890</v>
      </c>
      <c r="B71" s="88">
        <v>1000031209</v>
      </c>
      <c r="C71" s="77">
        <v>77685</v>
      </c>
      <c r="D71" s="77" t="s">
        <v>1701</v>
      </c>
      <c r="E71" s="89">
        <v>50000</v>
      </c>
      <c r="F71" s="77" t="s">
        <v>1771</v>
      </c>
      <c r="G71" s="77" t="s">
        <v>1677</v>
      </c>
      <c r="H71" s="72"/>
      <c r="I71" s="72"/>
      <c r="J71" s="72"/>
      <c r="K71" s="72">
        <f>E71</f>
        <v>50000</v>
      </c>
      <c r="L71" s="72"/>
      <c r="M71" s="72"/>
      <c r="N71" s="72"/>
      <c r="O71" s="72"/>
      <c r="P71" s="72"/>
      <c r="Q71" s="72"/>
      <c r="R71" s="72"/>
      <c r="S71" s="72"/>
      <c r="T71" s="72"/>
      <c r="U71" s="72"/>
      <c r="V71" s="72"/>
      <c r="W71" s="72"/>
      <c r="X71" s="72"/>
      <c r="Y71" s="87"/>
      <c r="Z71" s="87"/>
      <c r="AA71" s="72"/>
      <c r="AB71" s="72"/>
    </row>
    <row r="72" spans="1:28">
      <c r="A72" s="76">
        <v>45890</v>
      </c>
      <c r="B72" s="88">
        <v>1000031210</v>
      </c>
      <c r="C72" s="77" t="s">
        <v>1704</v>
      </c>
      <c r="D72" s="77" t="s">
        <v>1705</v>
      </c>
      <c r="E72" s="89">
        <v>650</v>
      </c>
      <c r="F72" s="77" t="s">
        <v>1767</v>
      </c>
      <c r="G72" s="77"/>
      <c r="H72" s="72"/>
      <c r="I72" s="72"/>
      <c r="J72" s="72"/>
      <c r="K72" s="72"/>
      <c r="L72" s="72"/>
      <c r="M72" s="72"/>
      <c r="N72" s="72"/>
      <c r="O72" s="72"/>
      <c r="P72" s="72"/>
      <c r="Q72" s="72"/>
      <c r="R72" s="72"/>
      <c r="S72" s="72"/>
      <c r="T72" s="72"/>
      <c r="U72" s="72">
        <f>E72</f>
        <v>650</v>
      </c>
      <c r="V72" s="72"/>
      <c r="W72" s="72"/>
      <c r="X72" s="72"/>
      <c r="Y72" s="87"/>
      <c r="Z72" s="87"/>
      <c r="AA72" s="72"/>
      <c r="AB72" s="72"/>
    </row>
    <row r="73" s="1" customFormat="1" spans="1:28">
      <c r="A73" s="76">
        <v>45898</v>
      </c>
      <c r="B73" s="88">
        <v>1000031604</v>
      </c>
      <c r="C73" s="77">
        <v>77685</v>
      </c>
      <c r="D73" s="77" t="s">
        <v>1697</v>
      </c>
      <c r="E73" s="77">
        <v>35000</v>
      </c>
      <c r="F73" s="77" t="s">
        <v>1767</v>
      </c>
      <c r="G73" s="77" t="s">
        <v>1677</v>
      </c>
      <c r="H73" s="90">
        <f>E73</f>
        <v>35000</v>
      </c>
      <c r="I73" s="90"/>
      <c r="J73" s="90"/>
      <c r="K73" s="90"/>
      <c r="L73" s="90"/>
      <c r="M73" s="90"/>
      <c r="N73" s="90"/>
      <c r="O73" s="90"/>
      <c r="P73" s="90"/>
      <c r="Q73" s="90"/>
      <c r="R73" s="90"/>
      <c r="S73" s="90"/>
      <c r="T73" s="90"/>
      <c r="U73" s="90"/>
      <c r="V73" s="90"/>
      <c r="W73" s="90"/>
      <c r="X73" s="90"/>
      <c r="Y73" s="53"/>
      <c r="Z73" s="53"/>
      <c r="AA73" s="90"/>
      <c r="AB73" s="90"/>
    </row>
    <row r="74" s="1" customFormat="1" spans="1:28">
      <c r="A74" s="76">
        <v>45898</v>
      </c>
      <c r="B74" s="88">
        <v>1000031606</v>
      </c>
      <c r="C74" s="77">
        <v>77685</v>
      </c>
      <c r="D74" s="77" t="s">
        <v>1701</v>
      </c>
      <c r="E74" s="77">
        <v>35000</v>
      </c>
      <c r="F74" s="77" t="s">
        <v>1771</v>
      </c>
      <c r="G74" s="77" t="s">
        <v>1677</v>
      </c>
      <c r="H74" s="90"/>
      <c r="I74" s="90"/>
      <c r="J74" s="90"/>
      <c r="K74" s="90">
        <f>E74</f>
        <v>35000</v>
      </c>
      <c r="L74" s="90"/>
      <c r="M74" s="90"/>
      <c r="N74" s="90"/>
      <c r="O74" s="90"/>
      <c r="P74" s="90"/>
      <c r="Q74" s="90"/>
      <c r="R74" s="90"/>
      <c r="S74" s="90"/>
      <c r="T74" s="90"/>
      <c r="U74" s="90"/>
      <c r="V74" s="90"/>
      <c r="W74" s="90"/>
      <c r="X74" s="90"/>
      <c r="Y74" s="53"/>
      <c r="Z74" s="53"/>
      <c r="AA74" s="90"/>
      <c r="AB74" s="90"/>
    </row>
    <row r="75" s="1" customFormat="1" spans="1:28">
      <c r="A75" s="76">
        <v>45898</v>
      </c>
      <c r="B75" s="88"/>
      <c r="C75" s="77" t="s">
        <v>1728</v>
      </c>
      <c r="D75" s="77" t="s">
        <v>1705</v>
      </c>
      <c r="E75" s="77">
        <v>5808</v>
      </c>
      <c r="F75" s="77" t="s">
        <v>1712</v>
      </c>
      <c r="G75" s="77" t="s">
        <v>1758</v>
      </c>
      <c r="H75" s="90"/>
      <c r="I75" s="90"/>
      <c r="J75" s="90"/>
      <c r="K75" s="90"/>
      <c r="L75" s="90"/>
      <c r="M75" s="90"/>
      <c r="N75" s="90"/>
      <c r="O75" s="90"/>
      <c r="P75" s="90"/>
      <c r="Q75" s="90"/>
      <c r="R75" s="90"/>
      <c r="S75" s="90"/>
      <c r="T75" s="90"/>
      <c r="U75" s="90"/>
      <c r="V75" s="90"/>
      <c r="W75" s="90"/>
      <c r="X75" s="90"/>
      <c r="Y75" s="53">
        <f>E75</f>
        <v>5808</v>
      </c>
      <c r="Z75" s="53"/>
      <c r="AA75" s="90"/>
      <c r="AB75" s="90" t="s">
        <v>1800</v>
      </c>
    </row>
    <row r="76" s="1" customFormat="1" spans="1:28">
      <c r="A76" s="76">
        <v>45912</v>
      </c>
      <c r="B76" s="88" t="s">
        <v>1801</v>
      </c>
      <c r="C76" s="77" t="s">
        <v>1728</v>
      </c>
      <c r="D76" s="77" t="s">
        <v>1705</v>
      </c>
      <c r="E76" s="77">
        <v>500</v>
      </c>
      <c r="F76" s="77" t="s">
        <v>1698</v>
      </c>
      <c r="G76" s="77" t="s">
        <v>1758</v>
      </c>
      <c r="H76" s="90"/>
      <c r="I76" s="90"/>
      <c r="J76" s="90"/>
      <c r="K76" s="90"/>
      <c r="L76" s="90"/>
      <c r="M76" s="90"/>
      <c r="N76" s="90"/>
      <c r="O76" s="90"/>
      <c r="P76" s="90"/>
      <c r="Q76" s="90"/>
      <c r="R76" s="90"/>
      <c r="S76" s="90"/>
      <c r="T76" s="90"/>
      <c r="U76" s="90"/>
      <c r="V76" s="90"/>
      <c r="W76" s="90"/>
      <c r="X76" s="90"/>
      <c r="Y76" s="53">
        <f>E76</f>
        <v>500</v>
      </c>
      <c r="Z76" s="53"/>
      <c r="AA76" s="90"/>
      <c r="AB76" s="90" t="s">
        <v>1802</v>
      </c>
    </row>
    <row r="77" spans="1:28">
      <c r="A77" s="76">
        <v>45915</v>
      </c>
      <c r="B77" s="88" t="s">
        <v>1803</v>
      </c>
      <c r="C77" s="77">
        <v>77685</v>
      </c>
      <c r="D77" s="77" t="s">
        <v>1697</v>
      </c>
      <c r="E77" s="77">
        <v>20000</v>
      </c>
      <c r="F77" s="77" t="s">
        <v>1767</v>
      </c>
      <c r="G77" s="77" t="s">
        <v>1677</v>
      </c>
      <c r="H77" s="72">
        <f>E77</f>
        <v>20000</v>
      </c>
      <c r="I77" s="72"/>
      <c r="J77" s="72"/>
      <c r="K77" s="72"/>
      <c r="L77" s="72"/>
      <c r="M77" s="72"/>
      <c r="N77" s="72"/>
      <c r="O77" s="72"/>
      <c r="P77" s="72"/>
      <c r="Q77" s="72"/>
      <c r="R77" s="72"/>
      <c r="S77" s="72"/>
      <c r="T77" s="72"/>
      <c r="U77" s="72"/>
      <c r="V77" s="72"/>
      <c r="W77" s="72"/>
      <c r="X77" s="72"/>
      <c r="Y77" s="87"/>
      <c r="Z77" s="87"/>
      <c r="AA77" s="72"/>
      <c r="AB77" s="72"/>
    </row>
    <row r="78" spans="1:28">
      <c r="A78" s="76">
        <v>45915</v>
      </c>
      <c r="B78" s="88" t="s">
        <v>1804</v>
      </c>
      <c r="C78" s="77">
        <v>77685</v>
      </c>
      <c r="D78" s="77" t="s">
        <v>1701</v>
      </c>
      <c r="E78" s="77">
        <v>20000</v>
      </c>
      <c r="F78" s="77" t="s">
        <v>1771</v>
      </c>
      <c r="G78" s="77" t="s">
        <v>1677</v>
      </c>
      <c r="H78" s="72"/>
      <c r="I78" s="72"/>
      <c r="J78" s="72"/>
      <c r="K78" s="72">
        <f>E78</f>
        <v>20000</v>
      </c>
      <c r="L78" s="72"/>
      <c r="M78" s="72"/>
      <c r="N78" s="72"/>
      <c r="O78" s="72"/>
      <c r="P78" s="72"/>
      <c r="Q78" s="72"/>
      <c r="R78" s="72"/>
      <c r="S78" s="72"/>
      <c r="T78" s="72"/>
      <c r="U78" s="72"/>
      <c r="V78" s="72"/>
      <c r="W78" s="72"/>
      <c r="X78" s="72"/>
      <c r="Y78" s="87"/>
      <c r="Z78" s="87"/>
      <c r="AA78" s="72"/>
      <c r="AB78" s="72"/>
    </row>
    <row r="79" spans="1:28">
      <c r="A79" s="76">
        <v>45923</v>
      </c>
      <c r="B79" s="88" t="s">
        <v>1805</v>
      </c>
      <c r="C79" s="77">
        <v>77685</v>
      </c>
      <c r="D79" s="77" t="s">
        <v>1697</v>
      </c>
      <c r="E79" s="77">
        <v>20000</v>
      </c>
      <c r="F79" s="77" t="s">
        <v>1767</v>
      </c>
      <c r="G79" s="77" t="s">
        <v>1677</v>
      </c>
      <c r="H79" s="72">
        <f>E79</f>
        <v>20000</v>
      </c>
      <c r="I79" s="72"/>
      <c r="J79" s="72"/>
      <c r="K79" s="72"/>
      <c r="L79" s="72"/>
      <c r="M79" s="72"/>
      <c r="N79" s="72"/>
      <c r="O79" s="72"/>
      <c r="P79" s="72"/>
      <c r="Q79" s="72"/>
      <c r="R79" s="72"/>
      <c r="S79" s="72"/>
      <c r="T79" s="72"/>
      <c r="U79" s="72"/>
      <c r="V79" s="72"/>
      <c r="W79" s="72"/>
      <c r="X79" s="72"/>
      <c r="Y79" s="87"/>
      <c r="Z79" s="87"/>
      <c r="AA79" s="72"/>
      <c r="AB79" s="72"/>
    </row>
    <row r="80" spans="1:28">
      <c r="A80" s="76">
        <v>45923</v>
      </c>
      <c r="B80" s="88" t="s">
        <v>1806</v>
      </c>
      <c r="C80" s="77">
        <v>77685</v>
      </c>
      <c r="D80" s="77" t="s">
        <v>1697</v>
      </c>
      <c r="E80" s="77">
        <v>20000</v>
      </c>
      <c r="F80" s="77" t="s">
        <v>1769</v>
      </c>
      <c r="G80" s="77" t="s">
        <v>1677</v>
      </c>
      <c r="H80" s="72"/>
      <c r="I80" s="72">
        <f>E80</f>
        <v>20000</v>
      </c>
      <c r="J80" s="72"/>
      <c r="K80" s="72"/>
      <c r="L80" s="72"/>
      <c r="M80" s="72"/>
      <c r="N80" s="72"/>
      <c r="O80" s="72"/>
      <c r="P80" s="72"/>
      <c r="Q80" s="72"/>
      <c r="R80" s="72"/>
      <c r="S80" s="72"/>
      <c r="T80" s="72"/>
      <c r="U80" s="72"/>
      <c r="V80" s="72"/>
      <c r="W80" s="72"/>
      <c r="X80" s="72"/>
      <c r="Y80" s="87"/>
      <c r="Z80" s="87"/>
      <c r="AA80" s="72"/>
      <c r="AB80" s="72"/>
    </row>
    <row r="81" spans="1:28">
      <c r="A81" s="76">
        <v>45923</v>
      </c>
      <c r="B81" s="88" t="s">
        <v>1807</v>
      </c>
      <c r="C81" s="77">
        <v>77685</v>
      </c>
      <c r="D81" s="77" t="s">
        <v>1701</v>
      </c>
      <c r="E81" s="77">
        <v>20000</v>
      </c>
      <c r="F81" s="77" t="s">
        <v>1771</v>
      </c>
      <c r="G81" s="77" t="s">
        <v>1677</v>
      </c>
      <c r="H81" s="72"/>
      <c r="I81" s="72"/>
      <c r="J81" s="72"/>
      <c r="K81" s="72">
        <f>E81</f>
        <v>20000</v>
      </c>
      <c r="L81" s="72"/>
      <c r="M81" s="72"/>
      <c r="N81" s="72"/>
      <c r="O81" s="72"/>
      <c r="P81" s="72"/>
      <c r="Q81" s="72"/>
      <c r="R81" s="72"/>
      <c r="S81" s="72"/>
      <c r="T81" s="72"/>
      <c r="U81" s="72"/>
      <c r="V81" s="72"/>
      <c r="W81" s="72"/>
      <c r="X81" s="72"/>
      <c r="Y81" s="87"/>
      <c r="Z81" s="87"/>
      <c r="AA81" s="72"/>
      <c r="AB81" s="72"/>
    </row>
    <row r="82" spans="1:28">
      <c r="A82" s="76">
        <v>45923</v>
      </c>
      <c r="B82" s="88" t="s">
        <v>1808</v>
      </c>
      <c r="C82" s="77" t="s">
        <v>1704</v>
      </c>
      <c r="D82" s="77" t="s">
        <v>1705</v>
      </c>
      <c r="E82" s="77">
        <v>500</v>
      </c>
      <c r="F82" s="77" t="s">
        <v>1767</v>
      </c>
      <c r="G82" s="77" t="s">
        <v>1677</v>
      </c>
      <c r="H82" s="72"/>
      <c r="I82" s="72"/>
      <c r="J82" s="72"/>
      <c r="K82" s="72"/>
      <c r="L82" s="72"/>
      <c r="M82" s="72"/>
      <c r="N82" s="72"/>
      <c r="O82" s="72"/>
      <c r="P82" s="72"/>
      <c r="Q82" s="72"/>
      <c r="R82" s="72"/>
      <c r="S82" s="72"/>
      <c r="T82" s="72"/>
      <c r="U82" s="72">
        <f>E82</f>
        <v>500</v>
      </c>
      <c r="V82" s="72"/>
      <c r="W82" s="72"/>
      <c r="X82" s="72"/>
      <c r="Y82" s="87"/>
      <c r="Z82" s="87"/>
      <c r="AA82" s="72"/>
      <c r="AB82" s="72"/>
    </row>
    <row r="83" spans="1:28">
      <c r="A83" s="76">
        <v>45930</v>
      </c>
      <c r="B83" s="88" t="s">
        <v>1809</v>
      </c>
      <c r="C83" s="77" t="s">
        <v>1728</v>
      </c>
      <c r="D83" s="77" t="s">
        <v>1705</v>
      </c>
      <c r="E83" s="77">
        <v>500</v>
      </c>
      <c r="F83" s="77" t="s">
        <v>1698</v>
      </c>
      <c r="G83" s="77" t="s">
        <v>1758</v>
      </c>
      <c r="H83" s="72"/>
      <c r="I83" s="72"/>
      <c r="J83" s="72"/>
      <c r="K83" s="72"/>
      <c r="L83" s="72"/>
      <c r="M83" s="72"/>
      <c r="N83" s="72"/>
      <c r="O83" s="72"/>
      <c r="P83" s="72"/>
      <c r="Q83" s="72"/>
      <c r="R83" s="72"/>
      <c r="S83" s="72"/>
      <c r="T83" s="72"/>
      <c r="U83" s="72"/>
      <c r="V83" s="72"/>
      <c r="W83" s="72"/>
      <c r="X83" s="72"/>
      <c r="Y83" s="53">
        <f>E83</f>
        <v>500</v>
      </c>
      <c r="Z83" s="87"/>
      <c r="AA83" s="72"/>
      <c r="AB83" s="72" t="s">
        <v>1810</v>
      </c>
    </row>
    <row r="84" spans="1:28">
      <c r="A84" s="76">
        <v>45939</v>
      </c>
      <c r="B84" s="88" t="s">
        <v>1811</v>
      </c>
      <c r="C84" s="77">
        <v>77685</v>
      </c>
      <c r="D84" s="77" t="s">
        <v>1697</v>
      </c>
      <c r="E84" s="77">
        <v>20000</v>
      </c>
      <c r="F84" s="77" t="s">
        <v>1767</v>
      </c>
      <c r="G84" s="77" t="s">
        <v>1677</v>
      </c>
      <c r="H84" s="72">
        <f>E84</f>
        <v>20000</v>
      </c>
      <c r="I84" s="72"/>
      <c r="J84" s="72"/>
      <c r="K84" s="72"/>
      <c r="L84" s="72"/>
      <c r="M84" s="72"/>
      <c r="N84" s="72"/>
      <c r="O84" s="72"/>
      <c r="P84" s="72"/>
      <c r="Q84" s="72"/>
      <c r="R84" s="72"/>
      <c r="S84" s="72"/>
      <c r="T84" s="72"/>
      <c r="U84" s="72"/>
      <c r="V84" s="72"/>
      <c r="W84" s="72"/>
      <c r="X84" s="72"/>
      <c r="Y84" s="87"/>
      <c r="Z84" s="87"/>
      <c r="AA84" s="72"/>
      <c r="AB84" s="72"/>
    </row>
    <row r="85" spans="1:28">
      <c r="A85" s="76">
        <v>45939</v>
      </c>
      <c r="B85" s="88" t="s">
        <v>1812</v>
      </c>
      <c r="C85" s="77">
        <v>77685</v>
      </c>
      <c r="D85" s="77" t="s">
        <v>1701</v>
      </c>
      <c r="E85" s="77">
        <v>20000</v>
      </c>
      <c r="F85" s="77" t="s">
        <v>1771</v>
      </c>
      <c r="G85" s="77" t="s">
        <v>1677</v>
      </c>
      <c r="H85" s="72"/>
      <c r="I85" s="72"/>
      <c r="J85" s="72"/>
      <c r="K85" s="72">
        <f>E85</f>
        <v>20000</v>
      </c>
      <c r="L85" s="72"/>
      <c r="M85" s="72"/>
      <c r="N85" s="72"/>
      <c r="O85" s="72"/>
      <c r="P85" s="72"/>
      <c r="Q85" s="72"/>
      <c r="R85" s="72"/>
      <c r="S85" s="72"/>
      <c r="T85" s="72"/>
      <c r="U85" s="72"/>
      <c r="V85" s="72"/>
      <c r="W85" s="72"/>
      <c r="X85" s="72"/>
      <c r="Y85" s="87"/>
      <c r="Z85" s="87"/>
      <c r="AA85" s="72"/>
      <c r="AB85" s="72"/>
    </row>
    <row r="86" spans="1:28">
      <c r="A86" s="76">
        <v>45939</v>
      </c>
      <c r="B86" s="88" t="s">
        <v>1813</v>
      </c>
      <c r="C86" s="77" t="s">
        <v>1704</v>
      </c>
      <c r="D86" s="77" t="s">
        <v>1705</v>
      </c>
      <c r="E86" s="77">
        <v>800</v>
      </c>
      <c r="F86" s="77" t="s">
        <v>1767</v>
      </c>
      <c r="G86" s="77" t="s">
        <v>1677</v>
      </c>
      <c r="H86" s="72"/>
      <c r="I86" s="72"/>
      <c r="J86" s="72"/>
      <c r="K86" s="72"/>
      <c r="L86" s="72"/>
      <c r="M86" s="72"/>
      <c r="N86" s="72"/>
      <c r="O86" s="72"/>
      <c r="P86" s="72"/>
      <c r="Q86" s="72"/>
      <c r="R86" s="72"/>
      <c r="S86" s="72"/>
      <c r="T86" s="72"/>
      <c r="U86" s="72">
        <f>E86</f>
        <v>800</v>
      </c>
      <c r="V86" s="72"/>
      <c r="W86" s="72"/>
      <c r="X86" s="72"/>
      <c r="Y86" s="87"/>
      <c r="Z86" s="87"/>
      <c r="AA86" s="72"/>
      <c r="AB86" s="72"/>
    </row>
    <row r="87" spans="1:28">
      <c r="A87" s="76">
        <v>45940</v>
      </c>
      <c r="B87" s="88" t="s">
        <v>1814</v>
      </c>
      <c r="C87" s="77" t="s">
        <v>1728</v>
      </c>
      <c r="D87" s="77" t="s">
        <v>1705</v>
      </c>
      <c r="E87" s="77">
        <v>500</v>
      </c>
      <c r="F87" s="77" t="s">
        <v>1767</v>
      </c>
      <c r="G87" s="77" t="s">
        <v>1758</v>
      </c>
      <c r="H87" s="72"/>
      <c r="I87" s="72"/>
      <c r="J87" s="72"/>
      <c r="K87" s="72"/>
      <c r="L87" s="72"/>
      <c r="M87" s="72"/>
      <c r="N87" s="72"/>
      <c r="O87" s="72"/>
      <c r="P87" s="72"/>
      <c r="Q87" s="72"/>
      <c r="R87" s="72"/>
      <c r="S87" s="72"/>
      <c r="T87" s="72"/>
      <c r="U87" s="72"/>
      <c r="V87" s="72"/>
      <c r="W87" s="72"/>
      <c r="X87" s="72"/>
      <c r="Y87" s="53">
        <f>E87</f>
        <v>500</v>
      </c>
      <c r="Z87" s="87"/>
      <c r="AA87" s="72"/>
      <c r="AB87" s="72" t="s">
        <v>1815</v>
      </c>
    </row>
    <row r="88" spans="1:28">
      <c r="A88" s="76">
        <v>45944</v>
      </c>
      <c r="B88" s="88" t="s">
        <v>1816</v>
      </c>
      <c r="C88" s="77" t="s">
        <v>1704</v>
      </c>
      <c r="D88" s="77" t="s">
        <v>1705</v>
      </c>
      <c r="E88" s="77">
        <v>500</v>
      </c>
      <c r="F88" s="77" t="s">
        <v>1767</v>
      </c>
      <c r="G88" s="77" t="s">
        <v>1677</v>
      </c>
      <c r="H88" s="72"/>
      <c r="I88" s="72"/>
      <c r="J88" s="72"/>
      <c r="K88" s="72"/>
      <c r="L88" s="72"/>
      <c r="M88" s="72"/>
      <c r="N88" s="72"/>
      <c r="O88" s="72"/>
      <c r="P88" s="72"/>
      <c r="Q88" s="72"/>
      <c r="R88" s="72"/>
      <c r="S88" s="72"/>
      <c r="T88" s="72"/>
      <c r="U88" s="72">
        <f>E88</f>
        <v>500</v>
      </c>
      <c r="V88" s="72"/>
      <c r="W88" s="72"/>
      <c r="X88" s="72"/>
      <c r="Y88" s="87"/>
      <c r="Z88" s="87"/>
      <c r="AA88" s="72"/>
      <c r="AB88" s="72"/>
    </row>
    <row r="89" spans="1:28">
      <c r="A89" s="76">
        <v>45951</v>
      </c>
      <c r="B89" s="88" t="s">
        <v>1817</v>
      </c>
      <c r="C89" s="77">
        <v>77685</v>
      </c>
      <c r="D89" s="77" t="s">
        <v>1697</v>
      </c>
      <c r="E89" s="77">
        <v>20000</v>
      </c>
      <c r="F89" s="77" t="s">
        <v>1769</v>
      </c>
      <c r="G89" s="77" t="s">
        <v>1677</v>
      </c>
      <c r="H89" s="72"/>
      <c r="I89" s="72">
        <f>E89</f>
        <v>20000</v>
      </c>
      <c r="J89" s="72"/>
      <c r="K89" s="72"/>
      <c r="L89" s="72"/>
      <c r="M89" s="72"/>
      <c r="N89" s="72"/>
      <c r="O89" s="72"/>
      <c r="P89" s="72"/>
      <c r="Q89" s="72"/>
      <c r="R89" s="72"/>
      <c r="S89" s="72"/>
      <c r="T89" s="72"/>
      <c r="U89" s="72"/>
      <c r="V89" s="72"/>
      <c r="W89" s="72"/>
      <c r="X89" s="72"/>
      <c r="Y89" s="87"/>
      <c r="Z89" s="87"/>
      <c r="AA89" s="72"/>
      <c r="AB89" s="72"/>
    </row>
    <row r="90" spans="1:28">
      <c r="A90" s="76">
        <v>45951</v>
      </c>
      <c r="B90" s="88" t="s">
        <v>1818</v>
      </c>
      <c r="C90" s="77">
        <v>77685</v>
      </c>
      <c r="D90" s="77" t="s">
        <v>1701</v>
      </c>
      <c r="E90" s="77">
        <v>50000</v>
      </c>
      <c r="F90" s="77" t="s">
        <v>1771</v>
      </c>
      <c r="G90" s="77" t="s">
        <v>1677</v>
      </c>
      <c r="H90" s="72"/>
      <c r="I90" s="72"/>
      <c r="J90" s="72"/>
      <c r="K90" s="72">
        <f>E90</f>
        <v>50000</v>
      </c>
      <c r="L90" s="72"/>
      <c r="M90" s="72"/>
      <c r="N90" s="72"/>
      <c r="O90" s="72"/>
      <c r="P90" s="72"/>
      <c r="Q90" s="72"/>
      <c r="R90" s="72"/>
      <c r="S90" s="72"/>
      <c r="T90" s="72"/>
      <c r="U90" s="72"/>
      <c r="V90" s="72"/>
      <c r="W90" s="72"/>
      <c r="X90" s="72"/>
      <c r="Y90" s="87"/>
      <c r="Z90" s="87"/>
      <c r="AA90" s="72"/>
      <c r="AB90" s="72"/>
    </row>
    <row r="91" spans="1:28">
      <c r="A91" s="76">
        <v>45953</v>
      </c>
      <c r="B91" s="88" t="s">
        <v>1819</v>
      </c>
      <c r="C91" s="77" t="s">
        <v>1704</v>
      </c>
      <c r="D91" s="77" t="s">
        <v>1705</v>
      </c>
      <c r="E91" s="77">
        <v>500</v>
      </c>
      <c r="F91" s="77" t="s">
        <v>1769</v>
      </c>
      <c r="G91" s="77" t="s">
        <v>1677</v>
      </c>
      <c r="H91" s="72"/>
      <c r="I91" s="72"/>
      <c r="J91" s="72"/>
      <c r="K91" s="72"/>
      <c r="L91" s="72"/>
      <c r="M91" s="72"/>
      <c r="N91" s="72"/>
      <c r="O91" s="72"/>
      <c r="P91" s="72"/>
      <c r="Q91" s="72"/>
      <c r="R91" s="72"/>
      <c r="S91" s="72"/>
      <c r="T91" s="72"/>
      <c r="U91" s="72"/>
      <c r="V91" s="72">
        <f>E91</f>
        <v>500</v>
      </c>
      <c r="W91" s="72"/>
      <c r="X91" s="72"/>
      <c r="Y91" s="87"/>
      <c r="Z91" s="87"/>
      <c r="AA91" s="72"/>
      <c r="AB91" s="72"/>
    </row>
    <row r="92" spans="1:28">
      <c r="A92" s="76">
        <v>45968</v>
      </c>
      <c r="B92" s="88" t="s">
        <v>1820</v>
      </c>
      <c r="C92" s="77">
        <v>77685</v>
      </c>
      <c r="D92" s="77" t="s">
        <v>1697</v>
      </c>
      <c r="E92" s="77">
        <v>20000</v>
      </c>
      <c r="F92" s="77" t="s">
        <v>1767</v>
      </c>
      <c r="G92" s="77" t="s">
        <v>1677</v>
      </c>
      <c r="H92" s="72">
        <f>E92</f>
        <v>20000</v>
      </c>
      <c r="I92" s="72"/>
      <c r="J92" s="72"/>
      <c r="K92" s="72"/>
      <c r="L92" s="72"/>
      <c r="M92" s="72"/>
      <c r="N92" s="72"/>
      <c r="O92" s="72"/>
      <c r="P92" s="72"/>
      <c r="Q92" s="72"/>
      <c r="R92" s="72"/>
      <c r="S92" s="72"/>
      <c r="T92" s="72"/>
      <c r="U92" s="72"/>
      <c r="V92" s="72"/>
      <c r="W92" s="72"/>
      <c r="X92" s="72"/>
      <c r="Y92" s="87"/>
      <c r="Z92" s="87"/>
      <c r="AA92" s="72"/>
      <c r="AB92" s="72"/>
    </row>
    <row r="93" spans="1:28">
      <c r="A93" s="76">
        <v>45971</v>
      </c>
      <c r="B93" s="88" t="s">
        <v>1821</v>
      </c>
      <c r="C93" s="77" t="s">
        <v>1704</v>
      </c>
      <c r="D93" s="77" t="s">
        <v>1705</v>
      </c>
      <c r="E93" s="77">
        <v>500</v>
      </c>
      <c r="F93" s="77" t="s">
        <v>1767</v>
      </c>
      <c r="G93" s="77" t="s">
        <v>1677</v>
      </c>
      <c r="H93" s="72"/>
      <c r="I93" s="72"/>
      <c r="J93" s="72"/>
      <c r="K93" s="72"/>
      <c r="L93" s="72"/>
      <c r="M93" s="72"/>
      <c r="N93" s="72"/>
      <c r="O93" s="72"/>
      <c r="P93" s="72"/>
      <c r="Q93" s="72"/>
      <c r="R93" s="72"/>
      <c r="S93" s="72"/>
      <c r="T93" s="72"/>
      <c r="U93" s="72">
        <f>E93</f>
        <v>500</v>
      </c>
      <c r="V93" s="72"/>
      <c r="W93" s="72"/>
      <c r="X93" s="72"/>
      <c r="Y93" s="87"/>
      <c r="Z93" s="87"/>
      <c r="AA93" s="72"/>
      <c r="AB93" s="72"/>
    </row>
    <row r="94" spans="1:28">
      <c r="A94" s="76">
        <v>45995</v>
      </c>
      <c r="B94" s="88" t="s">
        <v>1822</v>
      </c>
      <c r="C94" s="77" t="s">
        <v>1728</v>
      </c>
      <c r="D94" s="77" t="s">
        <v>1705</v>
      </c>
      <c r="E94" s="77">
        <v>500</v>
      </c>
      <c r="F94" s="77" t="s">
        <v>1767</v>
      </c>
      <c r="G94" s="77" t="s">
        <v>1758</v>
      </c>
      <c r="H94" s="72"/>
      <c r="I94" s="72"/>
      <c r="J94" s="72"/>
      <c r="K94" s="72"/>
      <c r="L94" s="72"/>
      <c r="M94" s="72"/>
      <c r="N94" s="72"/>
      <c r="O94" s="72"/>
      <c r="P94" s="72"/>
      <c r="Q94" s="72"/>
      <c r="R94" s="72"/>
      <c r="S94" s="72"/>
      <c r="T94" s="72"/>
      <c r="U94" s="72"/>
      <c r="V94" s="72"/>
      <c r="W94" s="72"/>
      <c r="X94" s="72"/>
      <c r="Y94" s="53">
        <f>E94</f>
        <v>500</v>
      </c>
      <c r="Z94" s="87"/>
      <c r="AA94" s="72"/>
      <c r="AB94" s="72" t="s">
        <v>1823</v>
      </c>
    </row>
    <row r="95" spans="1:28">
      <c r="A95" s="91">
        <v>46007</v>
      </c>
      <c r="B95" s="92" t="s">
        <v>1824</v>
      </c>
      <c r="C95" s="89">
        <v>77685</v>
      </c>
      <c r="D95" s="89" t="s">
        <v>1697</v>
      </c>
      <c r="E95" s="89">
        <v>25000</v>
      </c>
      <c r="F95" s="89" t="s">
        <v>1767</v>
      </c>
      <c r="G95" s="89" t="s">
        <v>1677</v>
      </c>
      <c r="H95" s="72">
        <f>E95</f>
        <v>25000</v>
      </c>
      <c r="I95" s="72"/>
      <c r="J95" s="72"/>
      <c r="K95" s="72"/>
      <c r="L95" s="72"/>
      <c r="M95" s="72"/>
      <c r="N95" s="72"/>
      <c r="O95" s="72"/>
      <c r="P95" s="72"/>
      <c r="Q95" s="72"/>
      <c r="R95" s="72"/>
      <c r="S95" s="72"/>
      <c r="T95" s="72"/>
      <c r="U95" s="72"/>
      <c r="V95" s="72"/>
      <c r="W95" s="72"/>
      <c r="X95" s="72"/>
      <c r="Y95" s="53"/>
      <c r="Z95" s="87"/>
      <c r="AA95" s="72"/>
      <c r="AB95" s="72"/>
    </row>
    <row r="96" spans="1:28">
      <c r="A96" s="91">
        <v>46007</v>
      </c>
      <c r="B96" s="92" t="s">
        <v>1825</v>
      </c>
      <c r="C96" s="89">
        <v>77685</v>
      </c>
      <c r="D96" s="89" t="s">
        <v>1701</v>
      </c>
      <c r="E96" s="89">
        <v>25000</v>
      </c>
      <c r="F96" s="89" t="s">
        <v>1771</v>
      </c>
      <c r="G96" s="89" t="s">
        <v>1677</v>
      </c>
      <c r="H96" s="72"/>
      <c r="I96" s="72"/>
      <c r="J96" s="72"/>
      <c r="K96" s="72">
        <f>E96</f>
        <v>25000</v>
      </c>
      <c r="L96" s="72"/>
      <c r="M96" s="72"/>
      <c r="N96" s="72"/>
      <c r="O96" s="72"/>
      <c r="P96" s="72"/>
      <c r="Q96" s="72"/>
      <c r="R96" s="72"/>
      <c r="S96" s="72"/>
      <c r="T96" s="72"/>
      <c r="U96" s="72"/>
      <c r="V96" s="72"/>
      <c r="W96" s="72"/>
      <c r="X96" s="72"/>
      <c r="Y96" s="53"/>
      <c r="Z96" s="87"/>
      <c r="AA96" s="72"/>
      <c r="AB96" s="72"/>
    </row>
    <row r="97" spans="1:28">
      <c r="A97" s="91">
        <v>46007</v>
      </c>
      <c r="B97" s="92" t="s">
        <v>1826</v>
      </c>
      <c r="C97" s="89" t="s">
        <v>1707</v>
      </c>
      <c r="D97" s="89" t="s">
        <v>1705</v>
      </c>
      <c r="E97" s="89">
        <v>750</v>
      </c>
      <c r="F97" s="89" t="s">
        <v>1767</v>
      </c>
      <c r="G97" s="89" t="s">
        <v>1677</v>
      </c>
      <c r="H97" s="72"/>
      <c r="I97" s="72"/>
      <c r="J97" s="72"/>
      <c r="K97" s="72"/>
      <c r="L97" s="72"/>
      <c r="M97" s="72"/>
      <c r="N97" s="72"/>
      <c r="O97" s="72"/>
      <c r="P97" s="72"/>
      <c r="Q97" s="72"/>
      <c r="R97" s="72">
        <f>E97</f>
        <v>750</v>
      </c>
      <c r="S97" s="72"/>
      <c r="T97" s="72"/>
      <c r="U97" s="72"/>
      <c r="V97" s="72"/>
      <c r="W97" s="72"/>
      <c r="X97" s="72"/>
      <c r="Y97" s="53"/>
      <c r="Z97" s="87"/>
      <c r="AA97" s="72"/>
      <c r="AB97" s="72"/>
    </row>
    <row r="98" spans="1:28">
      <c r="A98" s="91">
        <v>45994</v>
      </c>
      <c r="B98" s="92" t="s">
        <v>1827</v>
      </c>
      <c r="C98" s="89">
        <v>77685</v>
      </c>
      <c r="D98" s="89" t="s">
        <v>1697</v>
      </c>
      <c r="E98" s="89">
        <v>20000</v>
      </c>
      <c r="F98" s="89" t="s">
        <v>1769</v>
      </c>
      <c r="G98" s="89" t="s">
        <v>1677</v>
      </c>
      <c r="H98" s="72"/>
      <c r="I98" s="72">
        <f>E98</f>
        <v>20000</v>
      </c>
      <c r="J98" s="72"/>
      <c r="K98" s="72"/>
      <c r="L98" s="72"/>
      <c r="M98" s="72"/>
      <c r="N98" s="72"/>
      <c r="O98" s="72"/>
      <c r="P98" s="72"/>
      <c r="Q98" s="72"/>
      <c r="R98" s="72"/>
      <c r="S98" s="72"/>
      <c r="T98" s="72"/>
      <c r="U98" s="72"/>
      <c r="V98" s="72"/>
      <c r="W98" s="72"/>
      <c r="X98" s="72"/>
      <c r="Y98" s="53"/>
      <c r="Z98" s="87"/>
      <c r="AA98" s="72"/>
      <c r="AB98" s="72"/>
    </row>
    <row r="99" spans="1:28">
      <c r="A99" s="91">
        <v>46056</v>
      </c>
      <c r="B99" s="92" t="s">
        <v>1828</v>
      </c>
      <c r="C99" s="89">
        <v>77685</v>
      </c>
      <c r="D99" s="89" t="s">
        <v>1701</v>
      </c>
      <c r="E99" s="89">
        <v>30000</v>
      </c>
      <c r="F99" s="89" t="s">
        <v>1702</v>
      </c>
      <c r="G99" s="89" t="s">
        <v>1751</v>
      </c>
      <c r="H99" s="72"/>
      <c r="I99" s="72"/>
      <c r="J99" s="72"/>
      <c r="K99" s="72">
        <f>E99</f>
        <v>30000</v>
      </c>
      <c r="L99" s="72"/>
      <c r="M99" s="72"/>
      <c r="N99" s="72"/>
      <c r="O99" s="72"/>
      <c r="P99" s="72"/>
      <c r="Q99" s="72"/>
      <c r="R99" s="72"/>
      <c r="S99" s="72"/>
      <c r="T99" s="72"/>
      <c r="U99" s="72"/>
      <c r="V99" s="72"/>
      <c r="W99" s="72"/>
      <c r="X99" s="72"/>
      <c r="Y99" s="53"/>
      <c r="Z99" s="87"/>
      <c r="AA99" s="72"/>
      <c r="AB99" s="72"/>
    </row>
    <row r="100" spans="1:28">
      <c r="A100" s="91">
        <v>46056</v>
      </c>
      <c r="B100" s="92" t="s">
        <v>1829</v>
      </c>
      <c r="C100" s="89" t="s">
        <v>1707</v>
      </c>
      <c r="D100" s="89" t="s">
        <v>1705</v>
      </c>
      <c r="E100" s="89">
        <v>500</v>
      </c>
      <c r="F100" s="89" t="s">
        <v>1709</v>
      </c>
      <c r="G100" s="89" t="s">
        <v>1751</v>
      </c>
      <c r="H100" s="72"/>
      <c r="I100" s="72"/>
      <c r="J100" s="72"/>
      <c r="K100" s="72"/>
      <c r="L100" s="72"/>
      <c r="M100" s="72"/>
      <c r="N100" s="72"/>
      <c r="O100" s="72"/>
      <c r="P100" s="72"/>
      <c r="Q100" s="72"/>
      <c r="R100" s="72"/>
      <c r="S100" s="72"/>
      <c r="T100" s="72">
        <f>E100</f>
        <v>500</v>
      </c>
      <c r="U100" s="72"/>
      <c r="V100" s="72"/>
      <c r="W100" s="72"/>
      <c r="X100" s="72"/>
      <c r="Y100" s="53"/>
      <c r="Z100" s="87"/>
      <c r="AA100" s="72"/>
      <c r="AB100" s="72"/>
    </row>
    <row r="101" spans="1:28">
      <c r="A101" s="93"/>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row>
    <row r="102" spans="1:28">
      <c r="A102" s="94" t="s">
        <v>1830</v>
      </c>
      <c r="B102" s="95"/>
      <c r="C102" s="95"/>
      <c r="D102" s="95"/>
      <c r="E102" s="95"/>
      <c r="F102" s="96"/>
      <c r="G102" s="97" t="s">
        <v>1831</v>
      </c>
      <c r="H102" s="98">
        <f t="shared" ref="H102:S102" si="0">SUM(H3:H101)</f>
        <v>590000</v>
      </c>
      <c r="I102" s="98">
        <f t="shared" si="0"/>
        <v>190000</v>
      </c>
      <c r="J102" s="98">
        <f t="shared" si="0"/>
        <v>100000</v>
      </c>
      <c r="K102" s="98">
        <f t="shared" si="0"/>
        <v>700000</v>
      </c>
      <c r="L102" s="98">
        <f t="shared" si="0"/>
        <v>0</v>
      </c>
      <c r="M102" s="98">
        <f t="shared" si="0"/>
        <v>300</v>
      </c>
      <c r="N102" s="98">
        <f t="shared" si="0"/>
        <v>300</v>
      </c>
      <c r="O102" s="98">
        <f t="shared" si="0"/>
        <v>0</v>
      </c>
      <c r="P102" s="98">
        <f t="shared" si="0"/>
        <v>300</v>
      </c>
      <c r="Q102" s="98">
        <f t="shared" si="0"/>
        <v>300</v>
      </c>
      <c r="R102" s="98">
        <f t="shared" si="0"/>
        <v>3050</v>
      </c>
      <c r="S102" s="98">
        <f t="shared" si="0"/>
        <v>1300</v>
      </c>
      <c r="T102" s="98">
        <f t="shared" ref="T102:Z102" si="1">SUM(T3:T101)</f>
        <v>3300</v>
      </c>
      <c r="U102" s="98">
        <f t="shared" si="1"/>
        <v>18950</v>
      </c>
      <c r="V102" s="98">
        <f t="shared" si="1"/>
        <v>3000</v>
      </c>
      <c r="W102" s="98">
        <f t="shared" si="1"/>
        <v>31208</v>
      </c>
      <c r="X102" s="98">
        <f t="shared" si="1"/>
        <v>26208</v>
      </c>
      <c r="Y102" s="98">
        <f t="shared" si="1"/>
        <v>15789</v>
      </c>
      <c r="Z102" s="98">
        <f t="shared" si="1"/>
        <v>27000</v>
      </c>
      <c r="AA102" s="98"/>
      <c r="AB102" s="98"/>
    </row>
    <row r="103" spans="1:28">
      <c r="A103" s="99"/>
      <c r="B103" s="100"/>
      <c r="C103" s="100"/>
      <c r="D103" s="100"/>
      <c r="E103" s="100"/>
      <c r="F103" s="101"/>
      <c r="G103" s="98" t="s">
        <v>1832</v>
      </c>
      <c r="H103" s="98">
        <f>'77685排期'!AK34</f>
        <v>586044</v>
      </c>
      <c r="I103" s="98">
        <f>'77685排期'!AL34</f>
        <v>182095</v>
      </c>
      <c r="J103" s="98">
        <f>'77685排期'!AN34</f>
        <v>98941</v>
      </c>
      <c r="K103" s="98">
        <f>'77685排期'!AO34</f>
        <v>678347</v>
      </c>
      <c r="L103" s="98">
        <f>'77685排期'!AZ34</f>
        <v>0</v>
      </c>
      <c r="M103" s="98">
        <f>'77685排期'!BA34</f>
        <v>50</v>
      </c>
      <c r="N103" s="98">
        <f>'77685排期'!BB34</f>
        <v>50</v>
      </c>
      <c r="O103" s="98">
        <f>'77685排期'!BC34</f>
        <v>150</v>
      </c>
      <c r="P103" s="98">
        <f>'77685排期'!BD34</f>
        <v>47</v>
      </c>
      <c r="Q103" s="98">
        <f>'77685排期'!BE34</f>
        <v>197</v>
      </c>
      <c r="R103" s="98">
        <f>'77685排期'!AQ34</f>
        <v>3030</v>
      </c>
      <c r="S103" s="98">
        <f>'77685排期'!AR34</f>
        <v>1980</v>
      </c>
      <c r="T103" s="98">
        <f>'77685排期'!AS34</f>
        <v>3059</v>
      </c>
      <c r="U103" s="98">
        <f>'77685排期'!AT34</f>
        <v>18168</v>
      </c>
      <c r="V103" s="98">
        <f>'77685排期'!AU34</f>
        <v>2535</v>
      </c>
      <c r="W103" s="98">
        <f>'77685排期'!BF34</f>
        <v>23688</v>
      </c>
      <c r="X103" s="98">
        <f>'77685排期'!BG34</f>
        <v>23688</v>
      </c>
      <c r="Y103" s="98">
        <f>'77685排期'!AV34</f>
        <v>15713</v>
      </c>
      <c r="Z103" s="98">
        <f>'77685排期'!AP34</f>
        <v>14989</v>
      </c>
      <c r="AA103" s="98"/>
      <c r="AB103" s="98"/>
    </row>
    <row r="104" spans="1:28">
      <c r="A104" s="102"/>
      <c r="B104" s="103"/>
      <c r="C104" s="103"/>
      <c r="D104" s="103"/>
      <c r="E104" s="103"/>
      <c r="F104" s="104"/>
      <c r="G104" s="98" t="s">
        <v>1833</v>
      </c>
      <c r="H104" s="105">
        <f t="shared" ref="H104:R104" si="2">H102-H103</f>
        <v>3956</v>
      </c>
      <c r="I104" s="105">
        <f t="shared" si="2"/>
        <v>7905</v>
      </c>
      <c r="J104" s="105">
        <f t="shared" si="2"/>
        <v>1059</v>
      </c>
      <c r="K104" s="105">
        <f t="shared" si="2"/>
        <v>21653</v>
      </c>
      <c r="L104" s="105">
        <f t="shared" si="2"/>
        <v>0</v>
      </c>
      <c r="M104" s="105">
        <f t="shared" si="2"/>
        <v>250</v>
      </c>
      <c r="N104" s="105">
        <f t="shared" si="2"/>
        <v>250</v>
      </c>
      <c r="O104" s="105">
        <f t="shared" si="2"/>
        <v>-150</v>
      </c>
      <c r="P104" s="105">
        <f t="shared" si="2"/>
        <v>253</v>
      </c>
      <c r="Q104" s="105">
        <f t="shared" si="2"/>
        <v>103</v>
      </c>
      <c r="R104" s="105">
        <f t="shared" si="2"/>
        <v>20</v>
      </c>
      <c r="S104" s="105">
        <f>S102-S103+700</f>
        <v>20</v>
      </c>
      <c r="T104" s="105">
        <f t="shared" ref="T104:Z104" si="3">T102-T103</f>
        <v>241</v>
      </c>
      <c r="U104" s="105">
        <f t="shared" si="3"/>
        <v>782</v>
      </c>
      <c r="V104" s="105">
        <f t="shared" si="3"/>
        <v>465</v>
      </c>
      <c r="W104" s="105">
        <f t="shared" si="3"/>
        <v>7520</v>
      </c>
      <c r="X104" s="105">
        <f t="shared" si="3"/>
        <v>2520</v>
      </c>
      <c r="Y104" s="105">
        <f t="shared" si="3"/>
        <v>76</v>
      </c>
      <c r="Z104" s="105">
        <f t="shared" si="3"/>
        <v>12011</v>
      </c>
      <c r="AA104" s="105"/>
      <c r="AB104" s="105"/>
    </row>
    <row r="106" spans="20:24">
      <c r="T106" s="72">
        <f>2000</f>
        <v>2000</v>
      </c>
      <c r="U106" s="72">
        <f>10000</f>
        <v>10000</v>
      </c>
      <c r="V106" s="72">
        <f>2000</f>
        <v>2000</v>
      </c>
      <c r="W106" s="72">
        <f>15000</f>
        <v>15000</v>
      </c>
      <c r="X106" s="72">
        <f>15000</f>
        <v>15000</v>
      </c>
    </row>
  </sheetData>
  <autoFilter xmlns:etc="http://www.wps.cn/officeDocument/2017/etCustomData" ref="A2:AB100" etc:filterBottomFollowUsedRange="0">
    <extLst/>
  </autoFilter>
  <mergeCells count="15">
    <mergeCell ref="H1:I1"/>
    <mergeCell ref="J1:K1"/>
    <mergeCell ref="L1:N1"/>
    <mergeCell ref="O1:Q1"/>
    <mergeCell ref="R1:T1"/>
    <mergeCell ref="U1:V1"/>
    <mergeCell ref="W1:X1"/>
    <mergeCell ref="A1:A2"/>
    <mergeCell ref="B1:B2"/>
    <mergeCell ref="C1:C2"/>
    <mergeCell ref="D1:D2"/>
    <mergeCell ref="E1:E2"/>
    <mergeCell ref="F1:F2"/>
    <mergeCell ref="G1:G2"/>
    <mergeCell ref="A102:F104"/>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2"/>
  <sheetViews>
    <sheetView topLeftCell="B1" workbookViewId="0">
      <selection activeCell="K14" sqref="K14"/>
    </sheetView>
  </sheetViews>
  <sheetFormatPr defaultColWidth="9.025" defaultRowHeight="13.5"/>
  <cols>
    <col min="4" max="4" width="10.825"/>
  </cols>
  <sheetData>
    <row r="1" s="1" customFormat="1" ht="30" customHeight="1" spans="1:77">
      <c r="A1" s="5" t="s">
        <v>23</v>
      </c>
      <c r="B1" s="6" t="s">
        <v>24</v>
      </c>
      <c r="C1" s="6" t="s">
        <v>25</v>
      </c>
      <c r="D1" s="7" t="s">
        <v>1834</v>
      </c>
      <c r="E1" s="6" t="s">
        <v>27</v>
      </c>
      <c r="F1" s="7" t="s">
        <v>28</v>
      </c>
      <c r="G1" s="7" t="s">
        <v>29</v>
      </c>
      <c r="H1" s="6" t="s">
        <v>30</v>
      </c>
      <c r="I1" s="23" t="s">
        <v>31</v>
      </c>
      <c r="J1" s="6" t="s">
        <v>32</v>
      </c>
      <c r="K1" s="6" t="s">
        <v>33</v>
      </c>
      <c r="L1" s="6" t="s">
        <v>34</v>
      </c>
      <c r="M1" s="24" t="s">
        <v>35</v>
      </c>
      <c r="N1" s="24" t="s">
        <v>36</v>
      </c>
      <c r="O1" s="25" t="s">
        <v>37</v>
      </c>
      <c r="P1" s="6" t="s">
        <v>38</v>
      </c>
      <c r="Q1" s="6" t="s">
        <v>39</v>
      </c>
      <c r="R1" s="6" t="s">
        <v>40</v>
      </c>
      <c r="S1" s="6" t="s">
        <v>41</v>
      </c>
      <c r="T1" s="25" t="s">
        <v>42</v>
      </c>
      <c r="U1" s="38" t="s">
        <v>44</v>
      </c>
      <c r="V1" s="24" t="s">
        <v>45</v>
      </c>
      <c r="W1" s="24" t="s">
        <v>46</v>
      </c>
      <c r="X1" s="24" t="s">
        <v>47</v>
      </c>
      <c r="Y1" s="24" t="s">
        <v>48</v>
      </c>
      <c r="Z1" s="48" t="s">
        <v>49</v>
      </c>
      <c r="AA1" s="48" t="s">
        <v>50</v>
      </c>
      <c r="AB1" s="48" t="s">
        <v>51</v>
      </c>
      <c r="AC1" s="48" t="s">
        <v>52</v>
      </c>
      <c r="AD1" s="24" t="s">
        <v>53</v>
      </c>
      <c r="AE1" s="24" t="s">
        <v>54</v>
      </c>
      <c r="AF1" s="24" t="s">
        <v>55</v>
      </c>
      <c r="AG1" s="24" t="s">
        <v>56</v>
      </c>
      <c r="AH1" s="50" t="s">
        <v>57</v>
      </c>
      <c r="AI1" s="24" t="s">
        <v>58</v>
      </c>
      <c r="AJ1" s="24" t="s">
        <v>59</v>
      </c>
      <c r="AK1" s="24" t="s">
        <v>60</v>
      </c>
      <c r="AL1" s="24" t="s">
        <v>61</v>
      </c>
      <c r="AM1" s="24" t="s">
        <v>62</v>
      </c>
      <c r="AN1" s="50" t="s">
        <v>63</v>
      </c>
      <c r="AO1" s="24" t="s">
        <v>59</v>
      </c>
      <c r="AP1" s="24" t="s">
        <v>60</v>
      </c>
      <c r="AQ1" s="24" t="s">
        <v>1835</v>
      </c>
      <c r="AR1" s="24" t="s">
        <v>64</v>
      </c>
      <c r="AS1" s="24" t="s">
        <v>59</v>
      </c>
      <c r="AT1" s="24" t="s">
        <v>60</v>
      </c>
      <c r="AU1" s="24" t="s">
        <v>65</v>
      </c>
      <c r="AV1" s="24" t="s">
        <v>66</v>
      </c>
      <c r="AW1" s="24" t="s">
        <v>59</v>
      </c>
      <c r="AX1" s="24" t="s">
        <v>60</v>
      </c>
      <c r="AY1" s="24" t="s">
        <v>69</v>
      </c>
      <c r="AZ1" s="24" t="s">
        <v>59</v>
      </c>
      <c r="BA1" s="24" t="s">
        <v>60</v>
      </c>
      <c r="BB1" s="24" t="s">
        <v>70</v>
      </c>
      <c r="BC1" s="24" t="s">
        <v>71</v>
      </c>
      <c r="BD1" s="24" t="s">
        <v>72</v>
      </c>
      <c r="BE1" s="24"/>
      <c r="BF1" s="53"/>
      <c r="BG1" s="54">
        <v>0.122395833333333</v>
      </c>
      <c r="BH1" s="54">
        <v>0.122395833333333</v>
      </c>
      <c r="BI1" s="54">
        <v>0.122395833333333</v>
      </c>
      <c r="BJ1" s="54">
        <v>0.122395833333333</v>
      </c>
      <c r="BK1" s="54">
        <v>0.122395833333333</v>
      </c>
      <c r="BL1" s="54">
        <v>0.122395833333333</v>
      </c>
      <c r="BM1" s="54">
        <v>0.122395833333333</v>
      </c>
      <c r="BN1" s="54">
        <v>0.122395833333333</v>
      </c>
      <c r="BO1" s="54">
        <v>0.0208333333333333</v>
      </c>
      <c r="BP1" s="1" t="s">
        <v>73</v>
      </c>
      <c r="BQ1" s="53">
        <f>生产MA!G10</f>
        <v>0</v>
      </c>
      <c r="BR1" s="53">
        <f>生产MA!H10</f>
        <v>0</v>
      </c>
      <c r="BS1" s="53">
        <f>生产MA!I10</f>
        <v>0</v>
      </c>
      <c r="BT1" s="53">
        <f>生产MA!J10</f>
        <v>0</v>
      </c>
      <c r="BU1" s="53">
        <f>生产MA!K10</f>
        <v>0</v>
      </c>
      <c r="BV1" s="53">
        <f>生产MA!L10</f>
        <v>0</v>
      </c>
      <c r="BW1" s="53">
        <f>生产MA!M10</f>
        <v>0</v>
      </c>
      <c r="BX1" s="53">
        <f>生产MA!N10</f>
        <v>0</v>
      </c>
      <c r="BY1" s="53">
        <f>生产MA!O10</f>
        <v>0</v>
      </c>
    </row>
    <row r="2" s="2" customFormat="1" ht="27" customHeight="1" spans="1:77">
      <c r="A2" s="8">
        <v>45642</v>
      </c>
      <c r="B2" s="9" t="s">
        <v>1836</v>
      </c>
      <c r="C2" s="10" t="s">
        <v>1837</v>
      </c>
      <c r="D2" s="11">
        <v>4500153901</v>
      </c>
      <c r="E2" s="10"/>
      <c r="F2" s="9" t="s">
        <v>1838</v>
      </c>
      <c r="G2" s="12" t="s">
        <v>94</v>
      </c>
      <c r="H2" s="9" t="s">
        <v>211</v>
      </c>
      <c r="I2" s="26">
        <v>2028</v>
      </c>
      <c r="J2" s="26">
        <v>0</v>
      </c>
      <c r="K2" s="26">
        <v>52</v>
      </c>
      <c r="L2" s="26">
        <f t="shared" ref="L2:L12" si="0">I2/K2</f>
        <v>39</v>
      </c>
      <c r="M2" s="27">
        <v>45793</v>
      </c>
      <c r="N2" s="28" t="s">
        <v>1839</v>
      </c>
      <c r="O2" s="29"/>
      <c r="P2" s="29" t="s">
        <v>1840</v>
      </c>
      <c r="Q2" s="29"/>
      <c r="R2" s="29">
        <v>45660</v>
      </c>
      <c r="S2" s="29" t="s">
        <v>80</v>
      </c>
      <c r="T2" s="29" t="s">
        <v>1841</v>
      </c>
      <c r="U2" s="39" t="s">
        <v>1842</v>
      </c>
      <c r="V2" s="27" t="s">
        <v>245</v>
      </c>
      <c r="W2" s="27"/>
      <c r="X2" s="27"/>
      <c r="Y2" s="27"/>
      <c r="Z2" s="29"/>
      <c r="AA2" s="29"/>
      <c r="AB2" s="29" t="s">
        <v>113</v>
      </c>
      <c r="AC2" s="29" t="s">
        <v>114</v>
      </c>
      <c r="AD2" s="27" t="s">
        <v>94</v>
      </c>
      <c r="AE2" s="27" t="s">
        <v>115</v>
      </c>
      <c r="AF2" s="49">
        <f>I2</f>
        <v>2028</v>
      </c>
      <c r="AG2" s="49">
        <f t="shared" ref="AG2:AG12" si="1">I2</f>
        <v>2028</v>
      </c>
      <c r="AH2" s="49"/>
      <c r="AI2" s="49"/>
      <c r="AJ2" s="49">
        <f>I2</f>
        <v>2028</v>
      </c>
      <c r="AK2" s="49"/>
      <c r="AL2" s="49"/>
      <c r="AM2" s="49">
        <f>I2</f>
        <v>2028</v>
      </c>
      <c r="AN2" s="49"/>
      <c r="AO2" s="49"/>
      <c r="AP2" s="49"/>
      <c r="AQ2" s="49"/>
      <c r="AR2" s="49"/>
      <c r="AS2" s="49">
        <f>I2/13</f>
        <v>156</v>
      </c>
      <c r="AT2" s="49"/>
      <c r="AU2" s="49"/>
      <c r="AV2" s="49"/>
      <c r="AW2" s="49"/>
      <c r="AX2" s="49"/>
      <c r="AY2" s="49"/>
      <c r="AZ2" s="49"/>
      <c r="BA2" s="49"/>
      <c r="BB2" s="49"/>
      <c r="BC2" s="49"/>
      <c r="BD2" s="49"/>
      <c r="BE2" s="49"/>
      <c r="BF2" s="49"/>
      <c r="BG2" s="55">
        <f>$I2*'77685排期'!BJ$2</f>
        <v>248.218749999999</v>
      </c>
      <c r="BH2" s="55">
        <f>$I2*'77685排期'!BK$2</f>
        <v>248.218749999999</v>
      </c>
      <c r="BI2" s="55">
        <f>$I2*'77685排期'!BL$2</f>
        <v>248.218749999999</v>
      </c>
      <c r="BJ2" s="55">
        <f>$I2*'77685排期'!BM$2</f>
        <v>248.218749999999</v>
      </c>
      <c r="BK2" s="55">
        <f>$I2*'77685排期'!BN$2</f>
        <v>248.218749999999</v>
      </c>
      <c r="BL2" s="55">
        <f>$I2*'77685排期'!BO$2</f>
        <v>248.218749999999</v>
      </c>
      <c r="BM2" s="55">
        <f>$I2*'77685排期'!BP$2</f>
        <v>248.218749999999</v>
      </c>
      <c r="BN2" s="55">
        <f>$I2*'77685排期'!BQ$2</f>
        <v>248.218749999999</v>
      </c>
      <c r="BO2" s="55">
        <f>$I2*'77685排期'!BR$2</f>
        <v>42.2499999999999</v>
      </c>
      <c r="BQ2" s="59" t="e">
        <f>'77685排期'!#REF!-BG2</f>
        <v>#REF!</v>
      </c>
      <c r="BR2" s="59" t="e">
        <f>'77685排期'!#REF!-BH2</f>
        <v>#REF!</v>
      </c>
      <c r="BS2" s="59" t="e">
        <f>'77685排期'!#REF!-BI2</f>
        <v>#REF!</v>
      </c>
      <c r="BT2" s="59" t="e">
        <f>'77685排期'!#REF!-BJ2</f>
        <v>#REF!</v>
      </c>
      <c r="BU2" s="59" t="e">
        <f>'77685排期'!#REF!-BK2</f>
        <v>#REF!</v>
      </c>
      <c r="BV2" s="59" t="e">
        <f>'77685排期'!#REF!-BL2</f>
        <v>#REF!</v>
      </c>
      <c r="BW2" s="59" t="e">
        <f>'77685排期'!#REF!-BM2</f>
        <v>#REF!</v>
      </c>
      <c r="BX2" s="59" t="e">
        <f>'77685排期'!#REF!-BN2</f>
        <v>#REF!</v>
      </c>
      <c r="BY2" s="59" t="e">
        <f>'77685排期'!#REF!-BO2</f>
        <v>#REF!</v>
      </c>
    </row>
    <row r="3" s="2" customFormat="1" ht="27" customHeight="1" spans="1:77">
      <c r="A3" s="8">
        <v>45674</v>
      </c>
      <c r="B3" s="9" t="s">
        <v>1836</v>
      </c>
      <c r="C3" s="10" t="s">
        <v>1837</v>
      </c>
      <c r="D3" s="11">
        <v>4500156089</v>
      </c>
      <c r="E3" s="10"/>
      <c r="F3" s="9" t="s">
        <v>1843</v>
      </c>
      <c r="G3" s="12" t="s">
        <v>94</v>
      </c>
      <c r="H3" s="9" t="s">
        <v>211</v>
      </c>
      <c r="I3" s="26">
        <v>572</v>
      </c>
      <c r="J3" s="26">
        <v>0</v>
      </c>
      <c r="K3" s="26">
        <v>52</v>
      </c>
      <c r="L3" s="26">
        <f t="shared" si="0"/>
        <v>11</v>
      </c>
      <c r="M3" s="27">
        <v>45873</v>
      </c>
      <c r="N3" s="28" t="s">
        <v>1844</v>
      </c>
      <c r="O3" s="29"/>
      <c r="P3" s="29"/>
      <c r="Q3" s="29"/>
      <c r="R3" s="29" t="s">
        <v>1845</v>
      </c>
      <c r="S3" s="29" t="s">
        <v>80</v>
      </c>
      <c r="T3" s="29" t="s">
        <v>1846</v>
      </c>
      <c r="U3" s="39" t="s">
        <v>1847</v>
      </c>
      <c r="V3" s="40" t="s">
        <v>245</v>
      </c>
      <c r="W3" s="40">
        <v>0.945</v>
      </c>
      <c r="X3" s="26">
        <f>W3*I3</f>
        <v>540.54</v>
      </c>
      <c r="Y3" s="27"/>
      <c r="Z3" s="29"/>
      <c r="AA3" s="29"/>
      <c r="AB3" s="29"/>
      <c r="AC3" s="29"/>
      <c r="AD3" s="27" t="s">
        <v>94</v>
      </c>
      <c r="AE3" s="27" t="s">
        <v>115</v>
      </c>
      <c r="AF3" s="49">
        <f>I3</f>
        <v>572</v>
      </c>
      <c r="AG3" s="49">
        <f t="shared" si="1"/>
        <v>572</v>
      </c>
      <c r="AH3" s="49"/>
      <c r="AI3" s="49"/>
      <c r="AJ3" s="49">
        <f>I3</f>
        <v>572</v>
      </c>
      <c r="AK3" s="49"/>
      <c r="AL3" s="49"/>
      <c r="AM3" s="49">
        <f>I3</f>
        <v>572</v>
      </c>
      <c r="AN3" s="49"/>
      <c r="AO3" s="49"/>
      <c r="AP3" s="49"/>
      <c r="AQ3" s="49"/>
      <c r="AR3" s="49"/>
      <c r="AS3" s="49">
        <f>I3/13</f>
        <v>44</v>
      </c>
      <c r="AT3" s="49"/>
      <c r="AU3" s="49"/>
      <c r="AV3" s="49"/>
      <c r="AW3" s="49"/>
      <c r="AX3" s="49"/>
      <c r="AY3" s="49"/>
      <c r="AZ3" s="49"/>
      <c r="BA3" s="49"/>
      <c r="BB3" s="49"/>
      <c r="BC3" s="49"/>
      <c r="BD3" s="49"/>
      <c r="BE3" s="49"/>
      <c r="BF3" s="49"/>
      <c r="BG3" s="56">
        <f>$I3*'77685排期'!BJ$2</f>
        <v>70.0104166666665</v>
      </c>
      <c r="BH3" s="56">
        <f>$I3*'77685排期'!BK$2</f>
        <v>70.0104166666665</v>
      </c>
      <c r="BI3" s="56">
        <f>$I3*'77685排期'!BL$2</f>
        <v>70.0104166666665</v>
      </c>
      <c r="BJ3" s="56">
        <f>$I3*'77685排期'!BM$2</f>
        <v>70.0104166666665</v>
      </c>
      <c r="BK3" s="56">
        <f>$I3*'77685排期'!BN$2</f>
        <v>70.0104166666665</v>
      </c>
      <c r="BL3" s="56">
        <f>$I3*'77685排期'!BO$2</f>
        <v>70.0104166666665</v>
      </c>
      <c r="BM3" s="56">
        <f>$I3*'77685排期'!BP$2</f>
        <v>70.0104166666665</v>
      </c>
      <c r="BN3" s="56">
        <f>$I3*'77685排期'!BQ$2</f>
        <v>70.0104166666665</v>
      </c>
      <c r="BO3" s="56">
        <f>$I3*'77685排期'!BR$2</f>
        <v>11.9166666666666</v>
      </c>
      <c r="BQ3" s="59" t="e">
        <f>'77685排期'!#REF!-BG3</f>
        <v>#REF!</v>
      </c>
      <c r="BR3" s="59" t="e">
        <f>'77685排期'!#REF!-BH3</f>
        <v>#REF!</v>
      </c>
      <c r="BS3" s="59" t="e">
        <f>'77685排期'!#REF!-BI3</f>
        <v>#REF!</v>
      </c>
      <c r="BT3" s="59" t="e">
        <f>'77685排期'!#REF!-BJ3</f>
        <v>#REF!</v>
      </c>
      <c r="BU3" s="59" t="e">
        <f>'77685排期'!#REF!-BK3</f>
        <v>#REF!</v>
      </c>
      <c r="BV3" s="59" t="e">
        <f>'77685排期'!#REF!-BL3</f>
        <v>#REF!</v>
      </c>
      <c r="BW3" s="59" t="e">
        <f>'77685排期'!#REF!-BM3</f>
        <v>#REF!</v>
      </c>
      <c r="BX3" s="59" t="e">
        <f>'77685排期'!#REF!-BN3</f>
        <v>#REF!</v>
      </c>
      <c r="BY3" s="59" t="e">
        <f>'77685排期'!#REF!-BO3</f>
        <v>#REF!</v>
      </c>
    </row>
    <row r="4" s="2" customFormat="1" ht="27" customHeight="1" spans="1:79">
      <c r="A4" s="8">
        <v>45826</v>
      </c>
      <c r="B4" s="9" t="s">
        <v>326</v>
      </c>
      <c r="C4" s="10" t="s">
        <v>117</v>
      </c>
      <c r="D4" s="11">
        <v>4500170460</v>
      </c>
      <c r="E4" s="308" t="s">
        <v>1848</v>
      </c>
      <c r="F4" s="9" t="s">
        <v>1849</v>
      </c>
      <c r="G4" s="12" t="s">
        <v>855</v>
      </c>
      <c r="H4" s="9" t="s">
        <v>856</v>
      </c>
      <c r="I4" s="26">
        <v>204</v>
      </c>
      <c r="J4" s="26">
        <v>0</v>
      </c>
      <c r="K4" s="26">
        <v>12</v>
      </c>
      <c r="L4" s="26">
        <f t="shared" si="0"/>
        <v>17</v>
      </c>
      <c r="M4" s="27">
        <v>45861</v>
      </c>
      <c r="N4" s="27" t="s">
        <v>1850</v>
      </c>
      <c r="O4" s="30" t="s">
        <v>1851</v>
      </c>
      <c r="P4" s="29"/>
      <c r="Q4" s="29"/>
      <c r="R4" s="41" t="s">
        <v>1852</v>
      </c>
      <c r="S4" s="29" t="s">
        <v>191</v>
      </c>
      <c r="T4" s="29" t="s">
        <v>1853</v>
      </c>
      <c r="U4" s="29"/>
      <c r="V4" s="39" t="s">
        <v>1854</v>
      </c>
      <c r="W4" s="27" t="s">
        <v>265</v>
      </c>
      <c r="X4" s="42">
        <v>0.4538</v>
      </c>
      <c r="Y4" s="26">
        <f t="shared" ref="Y4:Y9" si="2">X4*I4</f>
        <v>92.5752</v>
      </c>
      <c r="Z4" s="27"/>
      <c r="AA4" s="29"/>
      <c r="AB4" s="29"/>
      <c r="AC4" s="29"/>
      <c r="AD4" s="29"/>
      <c r="AE4" s="27" t="s">
        <v>855</v>
      </c>
      <c r="AF4" s="27" t="s">
        <v>115</v>
      </c>
      <c r="AG4" s="49">
        <f t="shared" si="1"/>
        <v>204</v>
      </c>
      <c r="AH4" s="49">
        <f t="shared" ref="AH4:AH7" si="3">I4</f>
        <v>204</v>
      </c>
      <c r="AI4" s="49"/>
      <c r="AJ4" s="49"/>
      <c r="AK4" s="49">
        <f t="shared" ref="AK4:AK12" si="4">I4</f>
        <v>204</v>
      </c>
      <c r="AL4" s="49"/>
      <c r="AM4" s="49"/>
      <c r="AN4" s="49"/>
      <c r="AO4" s="49">
        <f t="shared" ref="AO4:AO12" si="5">I4</f>
        <v>204</v>
      </c>
      <c r="AP4" s="49"/>
      <c r="AQ4" s="49"/>
      <c r="AR4" s="49"/>
      <c r="AS4" s="49"/>
      <c r="AT4" s="49"/>
      <c r="AU4" s="49"/>
      <c r="AV4" s="49"/>
      <c r="AW4" s="49">
        <f t="shared" ref="AW4:AW7" si="6">I4/12</f>
        <v>17</v>
      </c>
      <c r="AX4" s="49"/>
      <c r="AY4" s="49"/>
      <c r="AZ4" s="49"/>
      <c r="BA4" s="49"/>
      <c r="BB4" s="49"/>
      <c r="BC4" s="49"/>
      <c r="BD4" s="49"/>
      <c r="BE4" s="49"/>
      <c r="BF4" s="49"/>
      <c r="BG4" s="49"/>
      <c r="BH4" s="49"/>
      <c r="BI4" s="56">
        <f>$I4*'77685排期'!BJ$2</f>
        <v>24.9687499999999</v>
      </c>
      <c r="BJ4" s="56">
        <f>$I4*'77685排期'!BK$2</f>
        <v>24.9687499999999</v>
      </c>
      <c r="BK4" s="56">
        <f>$I4*'77685排期'!BL$2</f>
        <v>24.9687499999999</v>
      </c>
      <c r="BL4" s="56">
        <f>$I4*'77685排期'!BM$2</f>
        <v>24.9687499999999</v>
      </c>
      <c r="BM4" s="56">
        <f>$I4*'77685排期'!BN$2</f>
        <v>24.9687499999999</v>
      </c>
      <c r="BN4" s="56">
        <f>$I4*'77685排期'!BO$2</f>
        <v>24.9687499999999</v>
      </c>
      <c r="BO4" s="56">
        <f>$I4*'77685排期'!BP$2</f>
        <v>24.9687499999999</v>
      </c>
      <c r="BP4" s="56">
        <f>$I4*'77685排期'!BQ$2</f>
        <v>24.9687499999999</v>
      </c>
      <c r="BQ4" s="56">
        <f>$I4*'77685排期'!BR$2</f>
        <v>4.24999999999999</v>
      </c>
      <c r="BS4" s="56" t="e">
        <f>'77685排期'!#REF!-BI4</f>
        <v>#REF!</v>
      </c>
      <c r="BT4" s="56" t="e">
        <f>'77685排期'!#REF!-BJ4</f>
        <v>#REF!</v>
      </c>
      <c r="BU4" s="56" t="e">
        <f>'77685排期'!#REF!-BK4</f>
        <v>#REF!</v>
      </c>
      <c r="BV4" s="56" t="e">
        <f>'77685排期'!#REF!-BL4</f>
        <v>#REF!</v>
      </c>
      <c r="BW4" s="56" t="e">
        <f>'77685排期'!#REF!-BM4</f>
        <v>#REF!</v>
      </c>
      <c r="BX4" s="56" t="e">
        <f>'77685排期'!#REF!-BN4</f>
        <v>#REF!</v>
      </c>
      <c r="BY4" s="56" t="e">
        <f>'77685排期'!#REF!-BO4</f>
        <v>#REF!</v>
      </c>
      <c r="BZ4" s="56" t="e">
        <f>'77685排期'!#REF!-BP4</f>
        <v>#REF!</v>
      </c>
      <c r="CA4" s="56" t="e">
        <f>'77685排期'!#REF!-BQ4</f>
        <v>#REF!</v>
      </c>
    </row>
    <row r="5" s="2" customFormat="1" ht="27" customHeight="1" spans="1:79">
      <c r="A5" s="8">
        <v>45826</v>
      </c>
      <c r="B5" s="9" t="s">
        <v>326</v>
      </c>
      <c r="C5" s="10" t="s">
        <v>117</v>
      </c>
      <c r="D5" s="11">
        <v>4500170460</v>
      </c>
      <c r="E5" s="308" t="s">
        <v>1855</v>
      </c>
      <c r="F5" s="9" t="s">
        <v>1856</v>
      </c>
      <c r="G5" s="12" t="s">
        <v>855</v>
      </c>
      <c r="H5" s="9" t="s">
        <v>856</v>
      </c>
      <c r="I5" s="26">
        <v>156</v>
      </c>
      <c r="J5" s="26">
        <v>0</v>
      </c>
      <c r="K5" s="26">
        <v>12</v>
      </c>
      <c r="L5" s="26">
        <f t="shared" si="0"/>
        <v>13</v>
      </c>
      <c r="M5" s="27">
        <v>45861</v>
      </c>
      <c r="N5" s="27" t="s">
        <v>1850</v>
      </c>
      <c r="O5" s="30" t="s">
        <v>1851</v>
      </c>
      <c r="P5" s="29"/>
      <c r="Q5" s="29"/>
      <c r="R5" s="41" t="s">
        <v>1852</v>
      </c>
      <c r="S5" s="29" t="s">
        <v>191</v>
      </c>
      <c r="T5" s="29" t="s">
        <v>1853</v>
      </c>
      <c r="U5" s="29"/>
      <c r="V5" s="39" t="s">
        <v>1854</v>
      </c>
      <c r="W5" s="27" t="s">
        <v>265</v>
      </c>
      <c r="X5" s="42">
        <v>0.4538</v>
      </c>
      <c r="Y5" s="26">
        <f t="shared" si="2"/>
        <v>70.7928</v>
      </c>
      <c r="Z5" s="27"/>
      <c r="AA5" s="29"/>
      <c r="AB5" s="29"/>
      <c r="AC5" s="29"/>
      <c r="AD5" s="29"/>
      <c r="AE5" s="27" t="s">
        <v>855</v>
      </c>
      <c r="AF5" s="27" t="s">
        <v>115</v>
      </c>
      <c r="AG5" s="49">
        <f t="shared" si="1"/>
        <v>156</v>
      </c>
      <c r="AH5" s="49">
        <f t="shared" si="3"/>
        <v>156</v>
      </c>
      <c r="AI5" s="49"/>
      <c r="AJ5" s="49"/>
      <c r="AK5" s="49">
        <f t="shared" si="4"/>
        <v>156</v>
      </c>
      <c r="AL5" s="49"/>
      <c r="AM5" s="49"/>
      <c r="AN5" s="49"/>
      <c r="AO5" s="49">
        <f t="shared" si="5"/>
        <v>156</v>
      </c>
      <c r="AP5" s="49"/>
      <c r="AQ5" s="49"/>
      <c r="AR5" s="49"/>
      <c r="AS5" s="49"/>
      <c r="AT5" s="49"/>
      <c r="AU5" s="49"/>
      <c r="AV5" s="49"/>
      <c r="AW5" s="49">
        <f t="shared" si="6"/>
        <v>13</v>
      </c>
      <c r="AX5" s="49"/>
      <c r="AY5" s="49"/>
      <c r="AZ5" s="49"/>
      <c r="BA5" s="49"/>
      <c r="BB5" s="49"/>
      <c r="BC5" s="49"/>
      <c r="BD5" s="49"/>
      <c r="BE5" s="49"/>
      <c r="BF5" s="49"/>
      <c r="BG5" s="49"/>
      <c r="BH5" s="49"/>
      <c r="BI5" s="56">
        <f>$I5*'77685排期'!BJ$2</f>
        <v>19.0937499999999</v>
      </c>
      <c r="BJ5" s="56">
        <f>$I5*'77685排期'!BK$2</f>
        <v>19.0937499999999</v>
      </c>
      <c r="BK5" s="56">
        <f>$I5*'77685排期'!BL$2</f>
        <v>19.0937499999999</v>
      </c>
      <c r="BL5" s="56">
        <f>$I5*'77685排期'!BM$2</f>
        <v>19.0937499999999</v>
      </c>
      <c r="BM5" s="56">
        <f>$I5*'77685排期'!BN$2</f>
        <v>19.0937499999999</v>
      </c>
      <c r="BN5" s="56">
        <f>$I5*'77685排期'!BO$2</f>
        <v>19.0937499999999</v>
      </c>
      <c r="BO5" s="56">
        <f>$I5*'77685排期'!BP$2</f>
        <v>19.0937499999999</v>
      </c>
      <c r="BP5" s="56">
        <f>$I5*'77685排期'!BQ$2</f>
        <v>19.0937499999999</v>
      </c>
      <c r="BQ5" s="56">
        <f>$I5*'77685排期'!BR$2</f>
        <v>3.24999999999999</v>
      </c>
      <c r="BS5" s="56" t="e">
        <f t="shared" ref="BS5:CA5" si="7">BS4-BI5</f>
        <v>#REF!</v>
      </c>
      <c r="BT5" s="56" t="e">
        <f t="shared" si="7"/>
        <v>#REF!</v>
      </c>
      <c r="BU5" s="56" t="e">
        <f t="shared" si="7"/>
        <v>#REF!</v>
      </c>
      <c r="BV5" s="56" t="e">
        <f t="shared" si="7"/>
        <v>#REF!</v>
      </c>
      <c r="BW5" s="56" t="e">
        <f t="shared" si="7"/>
        <v>#REF!</v>
      </c>
      <c r="BX5" s="56" t="e">
        <f t="shared" si="7"/>
        <v>#REF!</v>
      </c>
      <c r="BY5" s="56" t="e">
        <f t="shared" si="7"/>
        <v>#REF!</v>
      </c>
      <c r="BZ5" s="56" t="e">
        <f t="shared" si="7"/>
        <v>#REF!</v>
      </c>
      <c r="CA5" s="56" t="e">
        <f t="shared" si="7"/>
        <v>#REF!</v>
      </c>
    </row>
    <row r="6" s="2" customFormat="1" ht="27" customHeight="1" spans="1:79">
      <c r="A6" s="8">
        <v>45826</v>
      </c>
      <c r="B6" s="9" t="s">
        <v>326</v>
      </c>
      <c r="C6" s="10" t="s">
        <v>117</v>
      </c>
      <c r="D6" s="11">
        <v>4500170460</v>
      </c>
      <c r="E6" s="308" t="s">
        <v>1857</v>
      </c>
      <c r="F6" s="9" t="s">
        <v>1858</v>
      </c>
      <c r="G6" s="12" t="s">
        <v>855</v>
      </c>
      <c r="H6" s="9" t="s">
        <v>856</v>
      </c>
      <c r="I6" s="26">
        <v>180</v>
      </c>
      <c r="J6" s="26">
        <v>0</v>
      </c>
      <c r="K6" s="26">
        <v>12</v>
      </c>
      <c r="L6" s="26">
        <f t="shared" si="0"/>
        <v>15</v>
      </c>
      <c r="M6" s="27">
        <v>45861</v>
      </c>
      <c r="N6" s="27" t="s">
        <v>1850</v>
      </c>
      <c r="O6" s="30" t="s">
        <v>1851</v>
      </c>
      <c r="P6" s="29"/>
      <c r="Q6" s="29"/>
      <c r="R6" s="41" t="s">
        <v>1852</v>
      </c>
      <c r="S6" s="29" t="s">
        <v>191</v>
      </c>
      <c r="T6" s="29" t="s">
        <v>1853</v>
      </c>
      <c r="U6" s="29"/>
      <c r="V6" s="39" t="s">
        <v>1854</v>
      </c>
      <c r="W6" s="27" t="s">
        <v>265</v>
      </c>
      <c r="X6" s="42">
        <v>0.4538</v>
      </c>
      <c r="Y6" s="26">
        <f t="shared" si="2"/>
        <v>81.684</v>
      </c>
      <c r="Z6" s="27"/>
      <c r="AA6" s="29"/>
      <c r="AB6" s="29"/>
      <c r="AC6" s="29"/>
      <c r="AD6" s="29"/>
      <c r="AE6" s="27" t="s">
        <v>855</v>
      </c>
      <c r="AF6" s="27" t="s">
        <v>115</v>
      </c>
      <c r="AG6" s="49">
        <f t="shared" si="1"/>
        <v>180</v>
      </c>
      <c r="AH6" s="49">
        <f t="shared" si="3"/>
        <v>180</v>
      </c>
      <c r="AI6" s="49"/>
      <c r="AJ6" s="49"/>
      <c r="AK6" s="49">
        <f t="shared" si="4"/>
        <v>180</v>
      </c>
      <c r="AL6" s="49"/>
      <c r="AM6" s="49"/>
      <c r="AN6" s="49"/>
      <c r="AO6" s="49">
        <f t="shared" si="5"/>
        <v>180</v>
      </c>
      <c r="AP6" s="49"/>
      <c r="AQ6" s="49"/>
      <c r="AR6" s="49"/>
      <c r="AS6" s="49"/>
      <c r="AT6" s="49"/>
      <c r="AU6" s="49"/>
      <c r="AV6" s="49"/>
      <c r="AW6" s="49">
        <f t="shared" si="6"/>
        <v>15</v>
      </c>
      <c r="AX6" s="49"/>
      <c r="AY6" s="49"/>
      <c r="AZ6" s="49"/>
      <c r="BA6" s="49"/>
      <c r="BB6" s="49"/>
      <c r="BC6" s="49"/>
      <c r="BD6" s="49"/>
      <c r="BE6" s="49"/>
      <c r="BF6" s="49"/>
      <c r="BG6" s="49"/>
      <c r="BH6" s="49"/>
      <c r="BI6" s="56">
        <f>$I6*'77685排期'!BJ$2</f>
        <v>22.0312499999999</v>
      </c>
      <c r="BJ6" s="56">
        <f>$I6*'77685排期'!BK$2</f>
        <v>22.0312499999999</v>
      </c>
      <c r="BK6" s="56">
        <f>$I6*'77685排期'!BL$2</f>
        <v>22.0312499999999</v>
      </c>
      <c r="BL6" s="56">
        <f>$I6*'77685排期'!BM$2</f>
        <v>22.0312499999999</v>
      </c>
      <c r="BM6" s="56">
        <f>$I6*'77685排期'!BN$2</f>
        <v>22.0312499999999</v>
      </c>
      <c r="BN6" s="56">
        <f>$I6*'77685排期'!BO$2</f>
        <v>22.0312499999999</v>
      </c>
      <c r="BO6" s="56">
        <f>$I6*'77685排期'!BP$2</f>
        <v>22.0312499999999</v>
      </c>
      <c r="BP6" s="56">
        <f>$I6*'77685排期'!BQ$2</f>
        <v>22.0312499999999</v>
      </c>
      <c r="BQ6" s="56">
        <f>$I6*'77685排期'!BR$2</f>
        <v>3.74999999999999</v>
      </c>
      <c r="BS6" s="56" t="e">
        <f t="shared" ref="BS6:CA6" si="8">BS5-BI6</f>
        <v>#REF!</v>
      </c>
      <c r="BT6" s="56" t="e">
        <f t="shared" si="8"/>
        <v>#REF!</v>
      </c>
      <c r="BU6" s="56" t="e">
        <f t="shared" si="8"/>
        <v>#REF!</v>
      </c>
      <c r="BV6" s="56" t="e">
        <f t="shared" si="8"/>
        <v>#REF!</v>
      </c>
      <c r="BW6" s="56" t="e">
        <f t="shared" si="8"/>
        <v>#REF!</v>
      </c>
      <c r="BX6" s="56" t="e">
        <f t="shared" si="8"/>
        <v>#REF!</v>
      </c>
      <c r="BY6" s="56" t="e">
        <f t="shared" si="8"/>
        <v>#REF!</v>
      </c>
      <c r="BZ6" s="56" t="e">
        <f t="shared" si="8"/>
        <v>#REF!</v>
      </c>
      <c r="CA6" s="56" t="e">
        <f t="shared" si="8"/>
        <v>#REF!</v>
      </c>
    </row>
    <row r="7" s="2" customFormat="1" ht="27" customHeight="1" spans="1:79">
      <c r="A7" s="8">
        <v>45826</v>
      </c>
      <c r="B7" s="9" t="s">
        <v>326</v>
      </c>
      <c r="C7" s="10" t="s">
        <v>117</v>
      </c>
      <c r="D7" s="11">
        <v>4500170460</v>
      </c>
      <c r="E7" s="308" t="s">
        <v>1859</v>
      </c>
      <c r="F7" s="9" t="s">
        <v>1860</v>
      </c>
      <c r="G7" s="12" t="s">
        <v>855</v>
      </c>
      <c r="H7" s="9" t="s">
        <v>856</v>
      </c>
      <c r="I7" s="26">
        <v>84</v>
      </c>
      <c r="J7" s="26">
        <v>0</v>
      </c>
      <c r="K7" s="26">
        <v>12</v>
      </c>
      <c r="L7" s="26">
        <f t="shared" si="0"/>
        <v>7</v>
      </c>
      <c r="M7" s="27">
        <v>45861</v>
      </c>
      <c r="N7" s="27" t="s">
        <v>1850</v>
      </c>
      <c r="O7" s="30" t="s">
        <v>1851</v>
      </c>
      <c r="P7" s="29"/>
      <c r="Q7" s="29"/>
      <c r="R7" s="41" t="s">
        <v>1852</v>
      </c>
      <c r="S7" s="29" t="s">
        <v>191</v>
      </c>
      <c r="T7" s="29" t="s">
        <v>1853</v>
      </c>
      <c r="U7" s="29"/>
      <c r="V7" s="39" t="s">
        <v>1854</v>
      </c>
      <c r="W7" s="27" t="s">
        <v>265</v>
      </c>
      <c r="X7" s="42">
        <v>0.4538</v>
      </c>
      <c r="Y7" s="26">
        <f t="shared" si="2"/>
        <v>38.1192</v>
      </c>
      <c r="Z7" s="27"/>
      <c r="AA7" s="29"/>
      <c r="AB7" s="29"/>
      <c r="AC7" s="29"/>
      <c r="AD7" s="29"/>
      <c r="AE7" s="27" t="s">
        <v>855</v>
      </c>
      <c r="AF7" s="27" t="s">
        <v>115</v>
      </c>
      <c r="AG7" s="49">
        <f t="shared" si="1"/>
        <v>84</v>
      </c>
      <c r="AH7" s="49">
        <f t="shared" si="3"/>
        <v>84</v>
      </c>
      <c r="AI7" s="49"/>
      <c r="AJ7" s="49"/>
      <c r="AK7" s="49">
        <f t="shared" si="4"/>
        <v>84</v>
      </c>
      <c r="AL7" s="49"/>
      <c r="AM7" s="49"/>
      <c r="AN7" s="49"/>
      <c r="AO7" s="49">
        <f t="shared" si="5"/>
        <v>84</v>
      </c>
      <c r="AP7" s="49"/>
      <c r="AQ7" s="49"/>
      <c r="AR7" s="49"/>
      <c r="AS7" s="49"/>
      <c r="AT7" s="49"/>
      <c r="AU7" s="49"/>
      <c r="AV7" s="49"/>
      <c r="AW7" s="49">
        <f t="shared" si="6"/>
        <v>7</v>
      </c>
      <c r="AX7" s="49"/>
      <c r="AY7" s="49"/>
      <c r="AZ7" s="49"/>
      <c r="BA7" s="49"/>
      <c r="BB7" s="49"/>
      <c r="BC7" s="49"/>
      <c r="BD7" s="49"/>
      <c r="BE7" s="49"/>
      <c r="BF7" s="49"/>
      <c r="BG7" s="49"/>
      <c r="BH7" s="49"/>
      <c r="BI7" s="56">
        <f>$I7*'77685排期'!BJ$2</f>
        <v>10.28125</v>
      </c>
      <c r="BJ7" s="56">
        <f>$I7*'77685排期'!BK$2</f>
        <v>10.28125</v>
      </c>
      <c r="BK7" s="56">
        <f>$I7*'77685排期'!BL$2</f>
        <v>10.28125</v>
      </c>
      <c r="BL7" s="56">
        <f>$I7*'77685排期'!BM$2</f>
        <v>10.28125</v>
      </c>
      <c r="BM7" s="56">
        <f>$I7*'77685排期'!BN$2</f>
        <v>10.28125</v>
      </c>
      <c r="BN7" s="56">
        <f>$I7*'77685排期'!BO$2</f>
        <v>10.28125</v>
      </c>
      <c r="BO7" s="56">
        <f>$I7*'77685排期'!BP$2</f>
        <v>10.28125</v>
      </c>
      <c r="BP7" s="56">
        <f>$I7*'77685排期'!BQ$2</f>
        <v>10.28125</v>
      </c>
      <c r="BQ7" s="56">
        <f>$I7*'77685排期'!BR$2</f>
        <v>1.75</v>
      </c>
      <c r="BS7" s="56" t="e">
        <f t="shared" ref="BS7:CA7" si="9">BS6-BI7</f>
        <v>#REF!</v>
      </c>
      <c r="BT7" s="56" t="e">
        <f t="shared" si="9"/>
        <v>#REF!</v>
      </c>
      <c r="BU7" s="56" t="e">
        <f t="shared" si="9"/>
        <v>#REF!</v>
      </c>
      <c r="BV7" s="56" t="e">
        <f t="shared" si="9"/>
        <v>#REF!</v>
      </c>
      <c r="BW7" s="56" t="e">
        <f t="shared" si="9"/>
        <v>#REF!</v>
      </c>
      <c r="BX7" s="56" t="e">
        <f t="shared" si="9"/>
        <v>#REF!</v>
      </c>
      <c r="BY7" s="56" t="e">
        <f t="shared" si="9"/>
        <v>#REF!</v>
      </c>
      <c r="BZ7" s="56" t="e">
        <f t="shared" si="9"/>
        <v>#REF!</v>
      </c>
      <c r="CA7" s="56" t="e">
        <f t="shared" si="9"/>
        <v>#REF!</v>
      </c>
    </row>
    <row r="8" s="3" customFormat="1" ht="27" customHeight="1" spans="1:79">
      <c r="A8" s="13">
        <v>45875</v>
      </c>
      <c r="B8" s="14" t="s">
        <v>149</v>
      </c>
      <c r="C8" s="14" t="s">
        <v>117</v>
      </c>
      <c r="D8" s="15">
        <v>4500176125</v>
      </c>
      <c r="E8" s="14" t="s">
        <v>1861</v>
      </c>
      <c r="F8" s="16" t="s">
        <v>1862</v>
      </c>
      <c r="G8" s="17" t="s">
        <v>152</v>
      </c>
      <c r="H8" s="16" t="s">
        <v>153</v>
      </c>
      <c r="I8" s="31">
        <v>6994</v>
      </c>
      <c r="J8" s="31">
        <v>0</v>
      </c>
      <c r="K8" s="31">
        <v>13</v>
      </c>
      <c r="L8" s="31">
        <f t="shared" si="0"/>
        <v>538</v>
      </c>
      <c r="M8" s="32">
        <v>45923</v>
      </c>
      <c r="N8" s="32" t="s">
        <v>1863</v>
      </c>
      <c r="O8" s="33"/>
      <c r="P8" s="33"/>
      <c r="Q8" s="33"/>
      <c r="R8" s="33" t="s">
        <v>1845</v>
      </c>
      <c r="S8" s="33" t="s">
        <v>191</v>
      </c>
      <c r="T8" s="33" t="s">
        <v>1864</v>
      </c>
      <c r="U8" s="33"/>
      <c r="V8" s="43" t="s">
        <v>1141</v>
      </c>
      <c r="W8" s="36" t="s">
        <v>158</v>
      </c>
      <c r="X8" s="44">
        <v>0.4622</v>
      </c>
      <c r="Y8" s="31">
        <f t="shared" si="2"/>
        <v>3232.6268</v>
      </c>
      <c r="Z8" s="36"/>
      <c r="AA8" s="33"/>
      <c r="AB8" s="33"/>
      <c r="AC8" s="33"/>
      <c r="AD8" s="33"/>
      <c r="AE8" s="36" t="s">
        <v>152</v>
      </c>
      <c r="AF8" s="36" t="s">
        <v>115</v>
      </c>
      <c r="AG8" s="51">
        <f t="shared" si="1"/>
        <v>6994</v>
      </c>
      <c r="AI8" s="51">
        <f t="shared" ref="AI8:AI12" si="10">I8</f>
        <v>6994</v>
      </c>
      <c r="AJ8" s="51"/>
      <c r="AK8" s="51">
        <f t="shared" si="4"/>
        <v>6994</v>
      </c>
      <c r="AL8" s="51"/>
      <c r="AM8" s="51"/>
      <c r="AN8" s="51"/>
      <c r="AO8" s="51">
        <f t="shared" si="5"/>
        <v>6994</v>
      </c>
      <c r="AP8" s="51"/>
      <c r="AQ8" s="51"/>
      <c r="AR8" s="51"/>
      <c r="AS8" s="51"/>
      <c r="AT8" s="51"/>
      <c r="AU8" s="51">
        <f t="shared" ref="AU8:AU12" si="11">I8/13</f>
        <v>538</v>
      </c>
      <c r="AV8" s="51"/>
      <c r="AW8" s="51"/>
      <c r="AX8" s="51"/>
      <c r="AY8" s="51"/>
      <c r="AZ8" s="51"/>
      <c r="BA8" s="51"/>
      <c r="BB8" s="51"/>
      <c r="BC8" s="51"/>
      <c r="BD8" s="51"/>
      <c r="BE8" s="51"/>
      <c r="BF8" s="51"/>
      <c r="BG8" s="51"/>
      <c r="BH8" s="51"/>
      <c r="BI8" s="57">
        <f>$I8*'77685排期'!BJ$2</f>
        <v>856.036458333331</v>
      </c>
      <c r="BJ8" s="57">
        <f>$I8*'77685排期'!BK$2</f>
        <v>856.036458333331</v>
      </c>
      <c r="BK8" s="57">
        <f>$I8*'77685排期'!BL$2</f>
        <v>856.036458333331</v>
      </c>
      <c r="BL8" s="57">
        <f>$I8*'77685排期'!BM$2</f>
        <v>856.036458333331</v>
      </c>
      <c r="BM8" s="57">
        <f>$I8*'77685排期'!BN$2</f>
        <v>856.036458333331</v>
      </c>
      <c r="BN8" s="57">
        <f>$I8*'77685排期'!BO$2</f>
        <v>856.036458333331</v>
      </c>
      <c r="BO8" s="57">
        <f>$I8*'77685排期'!BP$2</f>
        <v>856.036458333331</v>
      </c>
      <c r="BP8" s="57">
        <f>$I8*'77685排期'!BQ$2</f>
        <v>856.036458333331</v>
      </c>
      <c r="BQ8" s="57">
        <f>$I8*'77685排期'!BR$2</f>
        <v>145.708333333333</v>
      </c>
      <c r="BS8" s="57" t="e">
        <f>'77685排期'!#REF!-BI8</f>
        <v>#REF!</v>
      </c>
      <c r="BT8" s="57" t="e">
        <f>'77685排期'!#REF!-BJ8</f>
        <v>#REF!</v>
      </c>
      <c r="BU8" s="57" t="e">
        <f>'77685排期'!#REF!-BK8</f>
        <v>#REF!</v>
      </c>
      <c r="BV8" s="57" t="e">
        <f>'77685排期'!#REF!-BL8</f>
        <v>#REF!</v>
      </c>
      <c r="BW8" s="57" t="e">
        <f>'77685排期'!#REF!-BM8</f>
        <v>#REF!</v>
      </c>
      <c r="BX8" s="57" t="e">
        <f>'77685排期'!#REF!-BN8</f>
        <v>#REF!</v>
      </c>
      <c r="BY8" s="57" t="e">
        <f>'77685排期'!#REF!-BO8</f>
        <v>#REF!</v>
      </c>
      <c r="BZ8" s="57" t="e">
        <f>'77685排期'!#REF!-BP8</f>
        <v>#REF!</v>
      </c>
      <c r="CA8" s="57" t="e">
        <f>'77685排期'!#REF!-BQ8</f>
        <v>#REF!</v>
      </c>
    </row>
    <row r="9" s="3" customFormat="1" ht="27" customHeight="1" spans="1:79">
      <c r="A9" s="13">
        <v>45875</v>
      </c>
      <c r="B9" s="14" t="s">
        <v>149</v>
      </c>
      <c r="C9" s="14" t="s">
        <v>117</v>
      </c>
      <c r="D9" s="15">
        <v>4500176127</v>
      </c>
      <c r="E9" s="14" t="s">
        <v>1865</v>
      </c>
      <c r="F9" s="16" t="s">
        <v>1866</v>
      </c>
      <c r="G9" s="17" t="s">
        <v>152</v>
      </c>
      <c r="H9" s="16" t="s">
        <v>153</v>
      </c>
      <c r="I9" s="31">
        <v>7579</v>
      </c>
      <c r="J9" s="31">
        <v>0</v>
      </c>
      <c r="K9" s="31">
        <v>13</v>
      </c>
      <c r="L9" s="31">
        <f t="shared" si="0"/>
        <v>583</v>
      </c>
      <c r="M9" s="32">
        <v>45923</v>
      </c>
      <c r="N9" s="32" t="s">
        <v>1863</v>
      </c>
      <c r="O9" s="33"/>
      <c r="P9" s="33"/>
      <c r="Q9" s="33"/>
      <c r="R9" s="33" t="s">
        <v>1845</v>
      </c>
      <c r="S9" s="33" t="s">
        <v>191</v>
      </c>
      <c r="T9" s="33" t="s">
        <v>1864</v>
      </c>
      <c r="U9" s="33"/>
      <c r="V9" s="43" t="s">
        <v>1141</v>
      </c>
      <c r="W9" s="36" t="s">
        <v>158</v>
      </c>
      <c r="X9" s="44">
        <v>0.4622</v>
      </c>
      <c r="Y9" s="31">
        <f t="shared" si="2"/>
        <v>3503.0138</v>
      </c>
      <c r="Z9" s="36"/>
      <c r="AA9" s="33"/>
      <c r="AB9" s="33"/>
      <c r="AC9" s="33"/>
      <c r="AD9" s="33"/>
      <c r="AE9" s="36" t="s">
        <v>152</v>
      </c>
      <c r="AF9" s="36" t="s">
        <v>115</v>
      </c>
      <c r="AG9" s="51">
        <f t="shared" si="1"/>
        <v>7579</v>
      </c>
      <c r="AI9" s="51">
        <f t="shared" si="10"/>
        <v>7579</v>
      </c>
      <c r="AJ9" s="51"/>
      <c r="AK9" s="51">
        <f t="shared" si="4"/>
        <v>7579</v>
      </c>
      <c r="AL9" s="51"/>
      <c r="AM9" s="51"/>
      <c r="AN9" s="51"/>
      <c r="AO9" s="51">
        <f t="shared" si="5"/>
        <v>7579</v>
      </c>
      <c r="AP9" s="51"/>
      <c r="AQ9" s="51"/>
      <c r="AR9" s="51"/>
      <c r="AS9" s="51"/>
      <c r="AT9" s="51"/>
      <c r="AU9" s="51">
        <f t="shared" si="11"/>
        <v>583</v>
      </c>
      <c r="AV9" s="51"/>
      <c r="AW9" s="51"/>
      <c r="AX9" s="51"/>
      <c r="AY9" s="51"/>
      <c r="AZ9" s="51"/>
      <c r="BA9" s="51"/>
      <c r="BB9" s="51"/>
      <c r="BC9" s="51"/>
      <c r="BD9" s="51"/>
      <c r="BE9" s="51"/>
      <c r="BF9" s="51"/>
      <c r="BG9" s="51"/>
      <c r="BH9" s="51"/>
      <c r="BI9" s="57">
        <f>$I9*'77685排期'!BJ$2</f>
        <v>927.638020833331</v>
      </c>
      <c r="BJ9" s="57">
        <f>$I9*'77685排期'!BK$2</f>
        <v>927.638020833331</v>
      </c>
      <c r="BK9" s="57">
        <f>$I9*'77685排期'!BL$2</f>
        <v>927.638020833331</v>
      </c>
      <c r="BL9" s="57">
        <f>$I9*'77685排期'!BM$2</f>
        <v>927.638020833331</v>
      </c>
      <c r="BM9" s="57">
        <f>$I9*'77685排期'!BN$2</f>
        <v>927.638020833331</v>
      </c>
      <c r="BN9" s="57">
        <f>$I9*'77685排期'!BO$2</f>
        <v>927.638020833331</v>
      </c>
      <c r="BO9" s="57">
        <f>$I9*'77685排期'!BP$2</f>
        <v>927.638020833331</v>
      </c>
      <c r="BP9" s="57">
        <f>$I9*'77685排期'!BQ$2</f>
        <v>927.638020833331</v>
      </c>
      <c r="BQ9" s="57">
        <f>$I9*'77685排期'!BR$2</f>
        <v>157.895833333333</v>
      </c>
      <c r="BS9" s="57" t="e">
        <f>取消单!BS8-BI9</f>
        <v>#REF!</v>
      </c>
      <c r="BT9" s="57" t="e">
        <f>取消单!BT8-BJ9</f>
        <v>#REF!</v>
      </c>
      <c r="BU9" s="57" t="e">
        <f>取消单!BU8-BK9</f>
        <v>#REF!</v>
      </c>
      <c r="BV9" s="57" t="e">
        <f>取消单!BV8-BL9</f>
        <v>#REF!</v>
      </c>
      <c r="BW9" s="57" t="e">
        <f>取消单!BW8-BM9</f>
        <v>#REF!</v>
      </c>
      <c r="BX9" s="57" t="e">
        <f>取消单!BX8-BN9</f>
        <v>#REF!</v>
      </c>
      <c r="BY9" s="57" t="e">
        <f>取消单!BY8-BO9</f>
        <v>#REF!</v>
      </c>
      <c r="BZ9" s="57" t="e">
        <f>取消单!BZ8-BP9</f>
        <v>#REF!</v>
      </c>
      <c r="CA9" s="57" t="e">
        <f>取消单!CA8-BQ9</f>
        <v>#REF!</v>
      </c>
    </row>
    <row r="10" s="4" customFormat="1" ht="27" customHeight="1" spans="1:79">
      <c r="A10" s="18">
        <v>45848</v>
      </c>
      <c r="B10" s="19" t="s">
        <v>1867</v>
      </c>
      <c r="C10" s="20"/>
      <c r="D10" s="21" t="s">
        <v>1868</v>
      </c>
      <c r="E10" s="20" t="s">
        <v>1869</v>
      </c>
      <c r="F10" s="19"/>
      <c r="G10" s="22" t="s">
        <v>258</v>
      </c>
      <c r="H10" s="19" t="s">
        <v>259</v>
      </c>
      <c r="I10" s="34">
        <v>17856</v>
      </c>
      <c r="J10" s="34">
        <v>0</v>
      </c>
      <c r="K10" s="34">
        <v>1152</v>
      </c>
      <c r="L10" s="34">
        <f t="shared" si="0"/>
        <v>15.5</v>
      </c>
      <c r="M10" s="35">
        <v>45877</v>
      </c>
      <c r="N10" s="36" t="s">
        <v>1870</v>
      </c>
      <c r="O10" s="37"/>
      <c r="P10" s="37"/>
      <c r="Q10" s="37"/>
      <c r="R10" s="37" t="s">
        <v>80</v>
      </c>
      <c r="S10" s="37" t="s">
        <v>80</v>
      </c>
      <c r="T10" s="37" t="s">
        <v>80</v>
      </c>
      <c r="U10" s="37"/>
      <c r="V10" s="45" t="s">
        <v>1871</v>
      </c>
      <c r="W10" s="35" t="s">
        <v>1869</v>
      </c>
      <c r="X10" s="46"/>
      <c r="Y10" s="34"/>
      <c r="Z10" s="35"/>
      <c r="AA10" s="37"/>
      <c r="AB10" s="37"/>
      <c r="AC10" s="37"/>
      <c r="AD10" s="37"/>
      <c r="AE10" s="35"/>
      <c r="AF10" s="35"/>
      <c r="AG10" s="52">
        <f t="shared" si="1"/>
        <v>17856</v>
      </c>
      <c r="AH10" s="52"/>
      <c r="AI10" s="52">
        <f t="shared" si="10"/>
        <v>17856</v>
      </c>
      <c r="AJ10" s="52"/>
      <c r="AK10" s="52">
        <f t="shared" si="4"/>
        <v>17856</v>
      </c>
      <c r="AL10" s="52"/>
      <c r="AM10" s="52"/>
      <c r="AN10" s="52"/>
      <c r="AO10" s="52">
        <f t="shared" si="5"/>
        <v>17856</v>
      </c>
      <c r="AP10" s="52"/>
      <c r="AR10" s="52"/>
      <c r="AS10" s="52"/>
      <c r="AT10" s="52"/>
      <c r="AU10" s="52"/>
      <c r="AV10" s="52"/>
      <c r="AW10" s="52">
        <f>I10/12</f>
        <v>1488</v>
      </c>
      <c r="AX10" s="52"/>
      <c r="AY10" s="52"/>
      <c r="AZ10" s="52"/>
      <c r="BA10" s="52"/>
      <c r="BB10" s="52"/>
      <c r="BC10" s="52"/>
      <c r="BD10" s="52"/>
      <c r="BE10" s="52"/>
      <c r="BF10" s="52"/>
      <c r="BG10" s="52"/>
      <c r="BH10" s="52"/>
      <c r="BI10" s="58">
        <f>$I10*'77685排期'!BJ$2</f>
        <v>2185.49999999999</v>
      </c>
      <c r="BJ10" s="58">
        <f>$I10*'77685排期'!BK$2</f>
        <v>2185.49999999999</v>
      </c>
      <c r="BK10" s="58">
        <f>$I10*'77685排期'!BL$2</f>
        <v>2185.49999999999</v>
      </c>
      <c r="BL10" s="58">
        <f>$I10*'77685排期'!BM$2</f>
        <v>2185.49999999999</v>
      </c>
      <c r="BM10" s="58">
        <f>$I10*'77685排期'!BN$2</f>
        <v>2185.49999999999</v>
      </c>
      <c r="BN10" s="58">
        <f>$I10*'77685排期'!BO$2</f>
        <v>2185.49999999999</v>
      </c>
      <c r="BO10" s="58">
        <f>$I10*'77685排期'!BP$2</f>
        <v>2185.49999999999</v>
      </c>
      <c r="BP10" s="58">
        <f>$I10*'77685排期'!BQ$2</f>
        <v>2185.49999999999</v>
      </c>
      <c r="BQ10" s="58">
        <f>$I10*'77685排期'!BR$2</f>
        <v>371.999999999999</v>
      </c>
      <c r="BS10" s="60" t="e">
        <f>'77685排期'!#REF!-BI10</f>
        <v>#REF!</v>
      </c>
      <c r="BT10" s="60" t="e">
        <f>'77685排期'!#REF!-BJ10</f>
        <v>#REF!</v>
      </c>
      <c r="BU10" s="60" t="e">
        <f>'77685排期'!#REF!-BK10</f>
        <v>#REF!</v>
      </c>
      <c r="BV10" s="60" t="e">
        <f>'77685排期'!#REF!-BL10</f>
        <v>#REF!</v>
      </c>
      <c r="BW10" s="60" t="e">
        <f>'77685排期'!#REF!-BM10</f>
        <v>#REF!</v>
      </c>
      <c r="BX10" s="60" t="e">
        <f>'77685排期'!#REF!-BN10</f>
        <v>#REF!</v>
      </c>
      <c r="BY10" s="60" t="e">
        <f>'77685排期'!#REF!-BO10</f>
        <v>#REF!</v>
      </c>
      <c r="BZ10" s="60" t="e">
        <f>'77685排期'!#REF!-BP10</f>
        <v>#REF!</v>
      </c>
      <c r="CA10" s="60" t="e">
        <f>'77685排期'!#REF!-BQ10</f>
        <v>#REF!</v>
      </c>
    </row>
    <row r="11" s="3" customFormat="1" ht="27" customHeight="1" spans="1:79">
      <c r="A11" s="13">
        <v>45929</v>
      </c>
      <c r="B11" s="16" t="s">
        <v>729</v>
      </c>
      <c r="C11" s="14" t="s">
        <v>117</v>
      </c>
      <c r="D11" s="15">
        <v>4500180967</v>
      </c>
      <c r="E11" s="14" t="s">
        <v>1872</v>
      </c>
      <c r="F11" s="16" t="s">
        <v>1873</v>
      </c>
      <c r="G11" s="17" t="s">
        <v>152</v>
      </c>
      <c r="H11" s="16" t="s">
        <v>153</v>
      </c>
      <c r="I11" s="31">
        <v>13377</v>
      </c>
      <c r="J11" s="31">
        <v>0</v>
      </c>
      <c r="K11" s="31">
        <v>13</v>
      </c>
      <c r="L11" s="31">
        <f t="shared" si="0"/>
        <v>1029</v>
      </c>
      <c r="M11" s="36">
        <v>45973</v>
      </c>
      <c r="N11" s="36" t="s">
        <v>1874</v>
      </c>
      <c r="O11" s="33"/>
      <c r="P11" s="33"/>
      <c r="Q11" s="33"/>
      <c r="R11" s="47">
        <v>45941</v>
      </c>
      <c r="S11" s="33" t="s">
        <v>80</v>
      </c>
      <c r="T11" s="33" t="s">
        <v>80</v>
      </c>
      <c r="U11" s="33"/>
      <c r="V11" s="43" t="s">
        <v>1875</v>
      </c>
      <c r="W11" s="36" t="s">
        <v>735</v>
      </c>
      <c r="X11" s="44">
        <v>0.4694</v>
      </c>
      <c r="Y11" s="31">
        <f>X11*I11</f>
        <v>6279.1638</v>
      </c>
      <c r="Z11" s="36"/>
      <c r="AA11" s="33"/>
      <c r="AB11" s="33"/>
      <c r="AC11" s="33"/>
      <c r="AD11" s="33" t="s">
        <v>114</v>
      </c>
      <c r="AE11" s="17" t="s">
        <v>152</v>
      </c>
      <c r="AF11" s="36" t="s">
        <v>115</v>
      </c>
      <c r="AG11" s="51">
        <f t="shared" si="1"/>
        <v>13377</v>
      </c>
      <c r="AH11" s="51"/>
      <c r="AI11" s="51">
        <f t="shared" si="10"/>
        <v>13377</v>
      </c>
      <c r="AJ11" s="51"/>
      <c r="AK11" s="51">
        <f t="shared" si="4"/>
        <v>13377</v>
      </c>
      <c r="AL11" s="51"/>
      <c r="AM11" s="51"/>
      <c r="AN11" s="51"/>
      <c r="AO11" s="51">
        <f t="shared" si="5"/>
        <v>13377</v>
      </c>
      <c r="AP11" s="51"/>
      <c r="AQ11" s="51"/>
      <c r="AR11" s="51"/>
      <c r="AS11" s="51"/>
      <c r="AT11" s="51"/>
      <c r="AU11" s="51">
        <f t="shared" si="11"/>
        <v>1029</v>
      </c>
      <c r="AV11" s="51"/>
      <c r="AW11" s="51"/>
      <c r="AX11" s="51"/>
      <c r="AY11" s="51"/>
      <c r="AZ11" s="51"/>
      <c r="BA11" s="51"/>
      <c r="BB11" s="51"/>
      <c r="BC11" s="51"/>
      <c r="BD11" s="51"/>
      <c r="BE11" s="51"/>
      <c r="BF11" s="51"/>
      <c r="BG11" s="51"/>
      <c r="BH11" s="51"/>
      <c r="BI11" s="57">
        <f>$I11*'77685排期'!BJ$2</f>
        <v>1637.2890625</v>
      </c>
      <c r="BJ11" s="57">
        <f>$I11*'77685排期'!BK$2</f>
        <v>1637.2890625</v>
      </c>
      <c r="BK11" s="57">
        <f>$I11*'77685排期'!BL$2</f>
        <v>1637.2890625</v>
      </c>
      <c r="BL11" s="57">
        <f>$I11*'77685排期'!BM$2</f>
        <v>1637.2890625</v>
      </c>
      <c r="BM11" s="57">
        <f>$I11*'77685排期'!BN$2</f>
        <v>1637.2890625</v>
      </c>
      <c r="BN11" s="57">
        <f>$I11*'77685排期'!BO$2</f>
        <v>1637.2890625</v>
      </c>
      <c r="BO11" s="57">
        <f>$I11*'77685排期'!BP$2</f>
        <v>1637.2890625</v>
      </c>
      <c r="BP11" s="57">
        <f>$I11*'77685排期'!BQ$2</f>
        <v>1637.2890625</v>
      </c>
      <c r="BQ11" s="57">
        <f>$I11*'77685排期'!BR$2</f>
        <v>278.6875</v>
      </c>
      <c r="BS11" s="57" t="e">
        <f>'77685排期'!#REF!-BI11</f>
        <v>#REF!</v>
      </c>
      <c r="BT11" s="57" t="e">
        <f>'77685排期'!#REF!-BJ11</f>
        <v>#REF!</v>
      </c>
      <c r="BU11" s="57" t="e">
        <f>'77685排期'!#REF!-BK11</f>
        <v>#REF!</v>
      </c>
      <c r="BV11" s="57" t="e">
        <f>'77685排期'!#REF!-BL11</f>
        <v>#REF!</v>
      </c>
      <c r="BW11" s="57" t="e">
        <f>'77685排期'!#REF!-BM11</f>
        <v>#REF!</v>
      </c>
      <c r="BX11" s="57" t="e">
        <f>'77685排期'!#REF!-BN11</f>
        <v>#REF!</v>
      </c>
      <c r="BY11" s="57" t="e">
        <f>'77685排期'!#REF!-BO11</f>
        <v>#REF!</v>
      </c>
      <c r="BZ11" s="57" t="e">
        <f>'77685排期'!#REF!-BP11</f>
        <v>#REF!</v>
      </c>
      <c r="CA11" s="57" t="e">
        <f>'77685排期'!#REF!-BQ11</f>
        <v>#REF!</v>
      </c>
    </row>
    <row r="12" s="3" customFormat="1" ht="27" customHeight="1" spans="1:80">
      <c r="A12" s="13">
        <v>45916</v>
      </c>
      <c r="B12" s="16" t="s">
        <v>582</v>
      </c>
      <c r="C12" s="14"/>
      <c r="D12" s="15" t="s">
        <v>1876</v>
      </c>
      <c r="E12" s="14" t="s">
        <v>1877</v>
      </c>
      <c r="F12" s="16"/>
      <c r="G12" s="17" t="s">
        <v>152</v>
      </c>
      <c r="H12" s="16" t="s">
        <v>153</v>
      </c>
      <c r="I12" s="31">
        <v>0</v>
      </c>
      <c r="J12" s="31">
        <v>0</v>
      </c>
      <c r="K12" s="31">
        <v>13</v>
      </c>
      <c r="L12" s="31">
        <f t="shared" si="0"/>
        <v>0</v>
      </c>
      <c r="M12" s="36">
        <v>45957</v>
      </c>
      <c r="N12" s="32">
        <v>45999</v>
      </c>
      <c r="O12" s="33" t="s">
        <v>1878</v>
      </c>
      <c r="P12" s="33"/>
      <c r="Q12" s="33"/>
      <c r="R12" s="47" t="s">
        <v>1845</v>
      </c>
      <c r="S12" s="33" t="s">
        <v>80</v>
      </c>
      <c r="T12" s="33" t="s">
        <v>80</v>
      </c>
      <c r="U12" s="33"/>
      <c r="V12" s="43" t="s">
        <v>1879</v>
      </c>
      <c r="W12" s="36" t="s">
        <v>587</v>
      </c>
      <c r="X12" s="44"/>
      <c r="Y12" s="31"/>
      <c r="Z12" s="36"/>
      <c r="AA12" s="33"/>
      <c r="AB12" s="33"/>
      <c r="AC12" s="33" t="s">
        <v>80</v>
      </c>
      <c r="AD12" s="33" t="s">
        <v>114</v>
      </c>
      <c r="AE12" s="36" t="s">
        <v>152</v>
      </c>
      <c r="AF12" s="36" t="s">
        <v>115</v>
      </c>
      <c r="AG12" s="51">
        <f t="shared" si="1"/>
        <v>0</v>
      </c>
      <c r="AH12" s="51"/>
      <c r="AI12" s="51">
        <f t="shared" si="10"/>
        <v>0</v>
      </c>
      <c r="AJ12" s="51"/>
      <c r="AK12" s="51">
        <f t="shared" si="4"/>
        <v>0</v>
      </c>
      <c r="AL12" s="51"/>
      <c r="AM12" s="51"/>
      <c r="AN12" s="51"/>
      <c r="AO12" s="51">
        <f t="shared" si="5"/>
        <v>0</v>
      </c>
      <c r="AP12" s="51"/>
      <c r="AQ12" s="51"/>
      <c r="AR12" s="51"/>
      <c r="AS12" s="51"/>
      <c r="AT12" s="51"/>
      <c r="AU12" s="51">
        <f t="shared" si="11"/>
        <v>0</v>
      </c>
      <c r="AV12" s="51"/>
      <c r="AW12" s="51"/>
      <c r="AX12" s="51"/>
      <c r="AY12" s="51"/>
      <c r="AZ12" s="51"/>
      <c r="BA12" s="51"/>
      <c r="BB12" s="51"/>
      <c r="BC12" s="51"/>
      <c r="BD12" s="51"/>
      <c r="BE12" s="51"/>
      <c r="BF12" s="51"/>
      <c r="BG12" s="51"/>
      <c r="BH12" s="51"/>
      <c r="BI12" s="51"/>
      <c r="BJ12" s="57">
        <f>$I12*'77685排期'!BJ$2</f>
        <v>0</v>
      </c>
      <c r="BK12" s="57">
        <f>$I12*'77685排期'!BK$2</f>
        <v>0</v>
      </c>
      <c r="BL12" s="57">
        <f>$I12*'77685排期'!BL$2</f>
        <v>0</v>
      </c>
      <c r="BM12" s="57">
        <f>$I12*'77685排期'!BM$2</f>
        <v>0</v>
      </c>
      <c r="BN12" s="57">
        <f>$I12*'77685排期'!BN$2</f>
        <v>0</v>
      </c>
      <c r="BO12" s="57">
        <f>$I12*'77685排期'!BO$2</f>
        <v>0</v>
      </c>
      <c r="BP12" s="57">
        <f>$I12*'77685排期'!BP$2</f>
        <v>0</v>
      </c>
      <c r="BQ12" s="57">
        <f>$I12*'77685排期'!BQ$2</f>
        <v>0</v>
      </c>
      <c r="BR12" s="57">
        <f>$I12*'77685排期'!BR$2</f>
        <v>0</v>
      </c>
      <c r="BT12" s="57" t="e">
        <f>'77685排期'!#REF!-BJ12</f>
        <v>#REF!</v>
      </c>
      <c r="BU12" s="57" t="e">
        <f>'77685排期'!#REF!-BK12</f>
        <v>#REF!</v>
      </c>
      <c r="BV12" s="57" t="e">
        <f>'77685排期'!#REF!-BL12</f>
        <v>#REF!</v>
      </c>
      <c r="BW12" s="57" t="e">
        <f>'77685排期'!#REF!-BM12</f>
        <v>#REF!</v>
      </c>
      <c r="BX12" s="57" t="e">
        <f>'77685排期'!#REF!-BN12</f>
        <v>#REF!</v>
      </c>
      <c r="BY12" s="57" t="e">
        <f>'77685排期'!#REF!-BO12</f>
        <v>#REF!</v>
      </c>
      <c r="BZ12" s="57" t="e">
        <f>'77685排期'!#REF!-BP12</f>
        <v>#REF!</v>
      </c>
      <c r="CA12" s="57" t="e">
        <f>'77685排期'!#REF!-BQ12</f>
        <v>#REF!</v>
      </c>
      <c r="CB12" s="57" t="e">
        <f>'77685排期'!#REF!-BR12</f>
        <v>#REF!</v>
      </c>
    </row>
  </sheetData>
  <autoFilter xmlns:etc="http://www.wps.cn/officeDocument/2017/etCustomData" ref="A1:CA12" etc:filterBottomFollowUsedRange="0">
    <extLst/>
  </autoFilter>
  <conditionalFormatting sqref="R1:T1">
    <cfRule type="cellIs" dxfId="0" priority="44" operator="equal">
      <formula>"欠"</formula>
    </cfRule>
  </conditionalFormatting>
  <conditionalFormatting sqref="R2:T2">
    <cfRule type="containsText" dxfId="1" priority="45" operator="between" text="欠">
      <formula>NOT(ISERROR(SEARCH("欠",R2)))</formula>
    </cfRule>
  </conditionalFormatting>
  <conditionalFormatting sqref="S2">
    <cfRule type="cellIs" dxfId="0" priority="47" operator="equal">
      <formula>"欠"</formula>
    </cfRule>
  </conditionalFormatting>
  <conditionalFormatting sqref="S3">
    <cfRule type="cellIs" dxfId="0" priority="43" operator="equal">
      <formula>"欠"</formula>
    </cfRule>
    <cfRule type="containsText" dxfId="1" priority="42" operator="between" text="欠">
      <formula>NOT(ISERROR(SEARCH("欠",S3)))</formula>
    </cfRule>
  </conditionalFormatting>
  <conditionalFormatting sqref="R8">
    <cfRule type="cellIs" dxfId="0" priority="30" operator="equal">
      <formula>"欠"</formula>
    </cfRule>
    <cfRule type="containsText" dxfId="1" priority="29" operator="between" text="欠">
      <formula>NOT(ISERROR(SEARCH("欠",R8)))</formula>
    </cfRule>
  </conditionalFormatting>
  <conditionalFormatting sqref="S8">
    <cfRule type="cellIs" dxfId="0" priority="26" operator="equal">
      <formula>"欠"</formula>
    </cfRule>
    <cfRule type="containsText" dxfId="1" priority="25" operator="between" text="欠">
      <formula>NOT(ISERROR(SEARCH("欠",S8)))</formula>
    </cfRule>
  </conditionalFormatting>
  <conditionalFormatting sqref="T8">
    <cfRule type="cellIs" dxfId="0" priority="24" operator="equal">
      <formula>"欠"</formula>
    </cfRule>
    <cfRule type="containsText" dxfId="1" priority="23" operator="between" text="欠">
      <formula>NOT(ISERROR(SEARCH("欠",T8)))</formula>
    </cfRule>
  </conditionalFormatting>
  <conditionalFormatting sqref="U8">
    <cfRule type="cellIs" dxfId="0" priority="28" operator="equal">
      <formula>"欠"</formula>
    </cfRule>
    <cfRule type="containsText" dxfId="1" priority="27" operator="between" text="欠">
      <formula>NOT(ISERROR(SEARCH("欠",U8)))</formula>
    </cfRule>
  </conditionalFormatting>
  <conditionalFormatting sqref="R9">
    <cfRule type="cellIs" dxfId="0" priority="22" operator="equal">
      <formula>"欠"</formula>
    </cfRule>
    <cfRule type="containsText" dxfId="1" priority="21" operator="between" text="欠">
      <formula>NOT(ISERROR(SEARCH("欠",R9)))</formula>
    </cfRule>
  </conditionalFormatting>
  <conditionalFormatting sqref="S9">
    <cfRule type="cellIs" dxfId="0" priority="18" operator="equal">
      <formula>"欠"</formula>
    </cfRule>
    <cfRule type="containsText" dxfId="1" priority="17" operator="between" text="欠">
      <formula>NOT(ISERROR(SEARCH("欠",S9)))</formula>
    </cfRule>
  </conditionalFormatting>
  <conditionalFormatting sqref="T9">
    <cfRule type="cellIs" dxfId="0" priority="16" operator="equal">
      <formula>"欠"</formula>
    </cfRule>
    <cfRule type="containsText" dxfId="1" priority="15" operator="between" text="欠">
      <formula>NOT(ISERROR(SEARCH("欠",T9)))</formula>
    </cfRule>
  </conditionalFormatting>
  <conditionalFormatting sqref="U9">
    <cfRule type="cellIs" dxfId="0" priority="20" operator="equal">
      <formula>"欠"</formula>
    </cfRule>
    <cfRule type="containsText" dxfId="1" priority="19" operator="between" text="欠">
      <formula>NOT(ISERROR(SEARCH("欠",U9)))</formula>
    </cfRule>
  </conditionalFormatting>
  <conditionalFormatting sqref="R10:T10">
    <cfRule type="cellIs" dxfId="0" priority="12" operator="equal">
      <formula>"欠"</formula>
    </cfRule>
    <cfRule type="containsText" dxfId="1" priority="11" operator="between" text="欠">
      <formula>NOT(ISERROR(SEARCH("欠",R10)))</formula>
    </cfRule>
  </conditionalFormatting>
  <conditionalFormatting sqref="U10">
    <cfRule type="cellIs" dxfId="0" priority="14" operator="equal">
      <formula>"欠"</formula>
    </cfRule>
    <cfRule type="containsText" dxfId="1" priority="13" operator="between" text="欠">
      <formula>NOT(ISERROR(SEARCH("欠",U10)))</formula>
    </cfRule>
  </conditionalFormatting>
  <conditionalFormatting sqref="R11">
    <cfRule type="cellIs" dxfId="0" priority="8" operator="equal">
      <formula>"欠"</formula>
    </cfRule>
  </conditionalFormatting>
  <conditionalFormatting sqref="S11">
    <cfRule type="cellIs" dxfId="0" priority="10" operator="equal">
      <formula>"欠"</formula>
    </cfRule>
    <cfRule type="containsText" dxfId="1" priority="9" operator="between" text="欠">
      <formula>NOT(ISERROR(SEARCH("欠",S11)))</formula>
    </cfRule>
  </conditionalFormatting>
  <conditionalFormatting sqref="T11">
    <cfRule type="cellIs" dxfId="0" priority="7" operator="equal">
      <formula>"欠"</formula>
    </cfRule>
    <cfRule type="containsText" dxfId="1" priority="6" operator="between" text="欠">
      <formula>NOT(ISERROR(SEARCH("欠",T11)))</formula>
    </cfRule>
  </conditionalFormatting>
  <conditionalFormatting sqref="R12">
    <cfRule type="cellIs" dxfId="0" priority="3" operator="equal">
      <formula>"欠"</formula>
    </cfRule>
  </conditionalFormatting>
  <conditionalFormatting sqref="S12">
    <cfRule type="cellIs" dxfId="0" priority="5" operator="equal">
      <formula>"欠"</formula>
    </cfRule>
    <cfRule type="containsText" dxfId="1" priority="4" operator="between" text="欠">
      <formula>NOT(ISERROR(SEARCH("欠",S12)))</formula>
    </cfRule>
  </conditionalFormatting>
  <conditionalFormatting sqref="T12">
    <cfRule type="cellIs" dxfId="0" priority="2" operator="equal">
      <formula>"欠"</formula>
    </cfRule>
    <cfRule type="containsText" dxfId="1" priority="1" operator="between" text="欠">
      <formula>NOT(ISERROR(SEARCH("欠",T12)))</formula>
    </cfRule>
  </conditionalFormatting>
  <conditionalFormatting sqref="R4:R7">
    <cfRule type="cellIs" dxfId="0" priority="33" operator="equal">
      <formula>"欠"</formula>
    </cfRule>
    <cfRule type="containsText" dxfId="1" priority="32" operator="between" text="欠">
      <formula>NOT(ISERROR(SEARCH("欠",R4)))</formula>
    </cfRule>
  </conditionalFormatting>
  <conditionalFormatting sqref="S4:S7">
    <cfRule type="cellIs" dxfId="0" priority="39" operator="equal">
      <formula>"欠"</formula>
    </cfRule>
    <cfRule type="containsText" dxfId="1" priority="38" operator="between" text="欠">
      <formula>NOT(ISERROR(SEARCH("欠",S4)))</formula>
    </cfRule>
  </conditionalFormatting>
  <conditionalFormatting sqref="T4:T7">
    <cfRule type="cellIs" dxfId="0" priority="37" operator="equal">
      <formula>"欠"</formula>
    </cfRule>
    <cfRule type="containsText" dxfId="1" priority="36" operator="between" text="欠">
      <formula>NOT(ISERROR(SEARCH("欠",T4)))</formula>
    </cfRule>
  </conditionalFormatting>
  <conditionalFormatting sqref="U4:U7">
    <cfRule type="cellIs" dxfId="0" priority="35" operator="equal">
      <formula>"欠"</formula>
    </cfRule>
    <cfRule type="containsText" dxfId="1" priority="34" operator="between" text="欠">
      <formula>NOT(ISERROR(SEARCH("欠",U4)))</formula>
    </cfRule>
  </conditionalFormatting>
  <conditionalFormatting sqref="R2 T2">
    <cfRule type="cellIs" dxfId="0" priority="46" operator="equal">
      <formula>"欠"</formula>
    </cfRule>
  </conditionalFormatting>
  <conditionalFormatting sqref="R3 T3">
    <cfRule type="cellIs" dxfId="0" priority="41" operator="equal">
      <formula>"欠"</formula>
    </cfRule>
    <cfRule type="containsText" dxfId="1" priority="40" operator="between" text="欠">
      <formula>NOT(ISERROR(SEARCH("欠",R3)))</formula>
    </cfRule>
  </conditionalFormatting>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77685旧排期 </vt:lpstr>
      <vt:lpstr>77685排期</vt:lpstr>
      <vt:lpstr>生产MA</vt:lpstr>
      <vt:lpstr>包材MA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2024-11-21T09:46:00Z</dcterms:created>
  <dcterms:modified xsi:type="dcterms:W3CDTF">2026-02-26T04:03:55Z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BCEA6947E7AE428A9176B7AAD05AE252_13</vt:lpwstr>
  </property>
  <property fmtid="{D5CDD505-2E9C-101B-9397-08002B2CF9AE}" pid="4" name="KSOReadingLayout">
    <vt:bool>false</vt:bool>
  </property>
</Properties>
</file>