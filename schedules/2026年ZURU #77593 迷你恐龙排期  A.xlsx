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11280" tabRatio="562" firstSheet="1" activeTab="1"/>
  </bookViews>
  <sheets>
    <sheet name="77593旧排期" sheetId="12" state="hidden" r:id="rId1"/>
    <sheet name="77593 " sheetId="17" r:id="rId2"/>
    <sheet name="77489 77593生产MA" sheetId="14" r:id="rId3"/>
    <sheet name="77489 77593包装MA" sheetId="13" r:id="rId4"/>
    <sheet name="取消单" sheetId="8" r:id="rId5"/>
  </sheets>
  <definedNames>
    <definedName name="_xlnm._FilterDatabase" localSheetId="0" hidden="1">'77593旧排期'!$A$3:$BU$43</definedName>
    <definedName name="_xlnm._FilterDatabase" localSheetId="1" hidden="1">'77593 '!$A$3:$BU$7</definedName>
    <definedName name="_xlnm._FilterDatabase" localSheetId="4" hidden="1">取消单!$A$1:$CH$110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Z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0000737 2/22 480pcs
草海军
0001836 12/7 480pcsA一楼</t>
        </r>
      </text>
    </comment>
    <comment ref="Z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0000737 2/22 240pcs
莫海军
0001836 12/7 240pcsA一楼</t>
        </r>
      </text>
    </comment>
    <comment ref="Z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0000531 7/30 312pcs3B9</t>
        </r>
      </text>
    </comment>
    <comment ref="AB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7/15 上进口商贴纸312pcs
EAN条码贴纸312pcs</t>
        </r>
      </text>
    </comment>
    <comment ref="Z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0001590 11/13 676pcs华3A15</t>
        </r>
      </text>
    </comment>
    <comment ref="AB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10/21 上进口商贴纸676pcs
EAN条码贴纸676pcs</t>
        </r>
      </text>
    </comment>
    <comment ref="Z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0000552 12/28 9432pcs华2A6
0000532 12/30 24pcs华2A6</t>
        </r>
      </text>
    </comment>
    <comment ref="Z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0000557 12/28 2028pcs华3B14</t>
        </r>
      </text>
    </comment>
    <comment ref="AB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12/16 上进口商贴纸2028pcs
上PDQEAN条码贴纸2028pcs</t>
        </r>
      </text>
    </comment>
    <comment ref="Z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0000590 12/27 6056pcs华3A16</t>
        </r>
      </text>
    </comment>
    <comment ref="AB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12/6 上客供白色防盗贴纸6056pcs
12/12 上彩色贴纸1514pcs</t>
        </r>
      </text>
    </comment>
    <comment ref="Z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0000965 1/6 1313pcs华3B15</t>
        </r>
      </text>
    </comment>
    <comment ref="AB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12/3 上进口商贴纸1313pcs
EAN条码贴纸1313pcs
PDQ背景贴纸1313pcs
外箱贴纸202pcs
12/25 上进口商贴纸950pcs
EAN条码贴纸800pcs
PDQ背景贴纸20pcs
12/27上空白 贴纸1313pcs</t>
        </r>
      </text>
    </comment>
    <comment ref="Z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0000532 12/30 6000pcs华3B8</t>
        </r>
      </text>
    </comment>
    <comment ref="AB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12/20 上进口商贴纸6000pcs</t>
        </r>
      </text>
    </comment>
    <comment ref="Z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0000532 12/30 1008pcs华3A18</t>
        </r>
      </text>
    </comment>
    <comment ref="AB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12/19 上客供价格贴纸1069cs
</t>
        </r>
      </text>
    </comment>
    <comment ref="Z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0001357 2/28 4800pcs华3A16</t>
        </r>
      </text>
    </comment>
    <comment ref="AB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2/19 上日语贴纸4800pcs</t>
        </r>
      </text>
    </comment>
    <comment ref="Z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0001479 3/17 4792pcs
莫4B5
0001481 3/17 4800pcs
莫4B5
0001481 3/17 8pcs莫4B5</t>
        </r>
      </text>
    </comment>
    <comment ref="AB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3/6 上UPC贴纸9600pcs
进口商贴纸9600pcs</t>
        </r>
      </text>
    </comment>
    <comment ref="Z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0001569 3/25 6570pcs华3A24</t>
        </r>
      </text>
    </comment>
    <comment ref="AB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2/24 上收缩膜警语贴纸6570pcs
POLY BAG警语贴纸6570pcs</t>
        </r>
      </text>
    </comment>
    <comment ref="Z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0001428 3/25 156pcs华3B14</t>
        </r>
      </text>
    </comment>
    <comment ref="Z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0001899 3/31 11个空球王付建1-B6</t>
        </r>
      </text>
    </comment>
    <comment ref="Z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0001899 3/31 18套散件 王付建1-B6</t>
        </r>
      </text>
    </comment>
    <comment ref="Z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0001934 4/11 576pcs华3B14</t>
        </r>
      </text>
    </comment>
    <comment ref="AB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3/27 上UPC贴纸576pcs
  进口商贴纸576pcs
</t>
        </r>
      </text>
    </comment>
    <comment ref="Z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0001934 4/11 192pcs华3B14
</t>
        </r>
      </text>
    </comment>
    <comment ref="AB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3/27 上UPC贴纸192pcs
  进口商贴纸192pcs
</t>
        </r>
      </text>
    </comment>
    <comment ref="Z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0001934 4/11 384pcs华3B14
</t>
        </r>
      </text>
    </comment>
    <comment ref="AB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3/27 上UPC贴纸384pcs
  进口商贴纸384pcs
</t>
        </r>
      </text>
    </comment>
    <comment ref="Z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0001934 4/11 1440pcs华3B14
</t>
        </r>
      </text>
    </comment>
    <comment ref="AB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3/27 上UPC贴纸1440pcs
  进口商贴纸1440pcs
</t>
        </r>
      </text>
    </comment>
    <comment ref="Z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0001934 4/11 1008pcs华3B14
0001824 4/14 48pcs华3B14</t>
        </r>
      </text>
    </comment>
    <comment ref="AB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3/27 上UPC贴纸1056pcs
  进口商贴纸1056pcs
</t>
        </r>
      </text>
    </comment>
    <comment ref="Z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2001126 5/10 3168pcs华3B14</t>
        </r>
      </text>
    </comment>
    <comment ref="AB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4/21 上UPC贴纸3168pcs</t>
        </r>
      </text>
    </comment>
    <comment ref="Z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2002280 6/9 480pcs罗3B8</t>
        </r>
      </text>
    </comment>
    <comment ref="AB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5/14 上进口商贴纸480pcs
5/24 上价标贴纸480pcs
5/26 上客供HU贴纸10pcs
5/26 上客供AS贴纸10pcs</t>
        </r>
      </text>
    </comment>
    <comment ref="Z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3001816 6/26 2352pcs
3001744 6/28 48pcs华3B13</t>
        </r>
      </text>
    </comment>
    <comment ref="Z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3001907 7/4 7440pcs华3A25</t>
        </r>
      </text>
    </comment>
    <comment ref="Z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3002036 7/30 888pcs
华3A6
3002009 7/31 24pcs</t>
        </r>
      </text>
    </comment>
    <comment ref="AB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7/8 上UPC贴纸3072pcs一个同PO共用</t>
        </r>
      </text>
    </comment>
    <comment ref="Z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3002036 7/30 240pcs
华3A6
3002009 7/31 48pcs</t>
        </r>
      </text>
    </comment>
    <comment ref="Z3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3002036 7/30 1080pcs华3A6</t>
        </r>
      </text>
    </comment>
    <comment ref="Z3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3002036 7/30 384pcs
华3A6</t>
        </r>
      </text>
    </comment>
    <comment ref="Z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3002036 7/30 408pcs
华3A6</t>
        </r>
      </text>
    </comment>
    <comment ref="Z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3002036 7/30 144pcs
华3A6</t>
        </r>
      </text>
    </comment>
    <comment ref="AB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7/8 上UPC贴纸144pcs
</t>
        </r>
      </text>
    </comment>
    <comment ref="Z3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4000321 8/11 528pcs莫4C7</t>
        </r>
      </text>
    </comment>
    <comment ref="Z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4000594 8/18 1820pcs华3B14</t>
        </r>
      </text>
    </comment>
    <comment ref="AB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7/24 上价格贴纸1820pcs
外箱条码贴纸70pcs</t>
        </r>
      </text>
    </comment>
    <comment ref="Z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4000363 8/14 1968pcs莫4A5
4000566 8/16 48pcs莫4B8</t>
        </r>
      </text>
    </comment>
    <comment ref="AB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8/3 上进口商贴纸2016pcsUPC 贴纸2016pcs</t>
        </r>
      </text>
    </comment>
    <comment ref="Z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5000454 10/8 2808pcs
5000495 10/9 52pcs莫4C4</t>
        </r>
      </text>
    </comment>
    <comment ref="AB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9/1 价格贴纸 2860pcs
9/1 外箱条码贴纸 110pcs
9/1 </t>
        </r>
      </text>
    </comment>
    <comment ref="Z3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5000207 10/28 5096pcs
华3B14
5000243 10/29 104pcs3B</t>
        </r>
      </text>
    </comment>
    <comment ref="AB39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10/13 上价格贴纸5200pcs
外箱条码贴纸200pcs</t>
        </r>
      </text>
    </comment>
    <comment ref="Z4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1200262 10/31 5760pcs华3B16</t>
        </r>
      </text>
    </comment>
    <comment ref="AB4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10/17 客供价格贴纸5760pcs</t>
        </r>
      </text>
    </comment>
    <comment ref="AB4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12/29 价格贴纸 1820pcs
外箱条码贴纸 70pcs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Z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1601156 1/16 1820pcs庞1f4</t>
        </r>
      </text>
    </comment>
    <comment ref="AB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12/29 价格贴纸 1820pcs
外箱条码贴纸 70pcs</t>
        </r>
      </text>
    </comment>
    <comment ref="Z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1601261 1/23 672pcs庞3b14</t>
        </r>
      </text>
    </comment>
    <comment ref="AB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1/9 UPC贴纸 672pcs</t>
        </r>
      </text>
    </comment>
    <comment ref="Z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  <r>
          <rPr>
            <sz val="12"/>
            <rFont val="宋体"/>
            <charset val="134"/>
          </rPr>
          <t>1405661 2/2 240pcs庞3b13
1405601 2/5 48pcs 直走</t>
        </r>
      </text>
    </comment>
  </commentList>
</comments>
</file>

<file path=xl/comments3.xml><?xml version="1.0" encoding="utf-8"?>
<comments xmlns="http://schemas.openxmlformats.org/spreadsheetml/2006/main">
  <authors>
    <author>RR</author>
  </authors>
  <commentList>
    <comment ref="Q5" authorId="0">
      <text>
        <r>
          <rPr>
            <b/>
            <sz val="9"/>
            <rFont val="宋体"/>
            <charset val="134"/>
          </rPr>
          <t>RR:</t>
        </r>
        <r>
          <rPr>
            <sz val="9"/>
            <rFont val="宋体"/>
            <charset val="134"/>
          </rPr>
          <t xml:space="preserve">
预放15K，下批MA会显示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X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8/9 客供BD贴纸</t>
        </r>
      </text>
    </comment>
    <comment ref="X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8/9 客供BD贴纸
9/10 黄色大防盗贴纸
9/17 EAN+ITF 贴纸</t>
        </r>
      </text>
    </comment>
    <comment ref="V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8/9 0008087:3000</t>
        </r>
      </text>
    </comment>
    <comment ref="V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0001723:3000</t>
        </r>
      </text>
    </comment>
    <comment ref="Z4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0000737 6/21 7200pcs罗江明B3</t>
        </r>
      </text>
    </comment>
    <comment ref="Z4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0000737 6/21 11112pcs罗江明B4</t>
        </r>
      </text>
    </comment>
    <comment ref="Z4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000737 6/21 11712pcs罗江明B4</t>
        </r>
      </text>
    </comment>
    <comment ref="Z4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0007571 8/3 1200pcs铁D1</t>
        </r>
      </text>
    </comment>
    <comment ref="AB4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7/2 警告语贴纸2400pcs
EAN贴纸2400pcs
环保标贴纸2400pcs</t>
        </r>
      </text>
    </comment>
    <comment ref="T4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客供白色艾利贴纸</t>
        </r>
      </text>
    </comment>
    <comment ref="AA4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0000428 6/23 1440pcs罗江明b4</t>
        </r>
      </text>
    </comment>
    <comment ref="AC4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6/18 上RFID贴纸1440pcs</t>
        </r>
      </text>
    </comment>
    <comment ref="T4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客供白色艾利贴纸</t>
        </r>
      </text>
    </comment>
    <comment ref="AA4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0000436 6/27 1464pcs铁A2</t>
        </r>
      </text>
    </comment>
    <comment ref="AC4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5/27 上客供白色艾利贴纸63pcs
6/18 上RFID贴纸1464pcs</t>
        </r>
      </text>
    </comment>
    <comment ref="T4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客供白色艾利贴纸</t>
        </r>
      </text>
    </comment>
    <comment ref="AA4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0000436 6/27 1560pcs铁B1</t>
        </r>
      </text>
    </comment>
    <comment ref="AC4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5/27 上客供白色艾利贴纸67pcs
6/18 上RFID贴纸1560pcs</t>
        </r>
      </text>
    </comment>
    <comment ref="T4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客供白色艾利贴纸</t>
        </r>
      </text>
    </comment>
    <comment ref="AA4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0000436 6/27 1608cps铁a2</t>
        </r>
      </text>
    </comment>
    <comment ref="AC4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5/27 上客供白色艾利贴纸69pcs
6/18 上RFID贴纸1608pcs</t>
        </r>
      </text>
    </comment>
    <comment ref="T5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客供白色艾利贴纸</t>
        </r>
      </text>
    </comment>
    <comment ref="AA5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0000436 6/27 1272pcs铁a2</t>
        </r>
      </text>
    </comment>
    <comment ref="AC5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5/27 上客供白色艾利贴纸55pcs
6/18 上RFID 贴纸1272pcs</t>
        </r>
      </text>
    </comment>
    <comment ref="T5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客供白色艾利贴纸</t>
        </r>
      </text>
    </comment>
    <comment ref="AA5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0000436 6/27 936pcs铁a2</t>
        </r>
      </text>
    </comment>
    <comment ref="AC5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5/27 上客供白色艾利贴纸41pcs
6/18 上RFID贴纸936pcs</t>
        </r>
      </text>
    </comment>
    <comment ref="T5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客供白色艾利贴纸</t>
        </r>
      </text>
    </comment>
    <comment ref="AA5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00000436 6/27 1272pcs铁B1</t>
        </r>
      </text>
    </comment>
    <comment ref="AC5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5/27 上客供白色艾利贴纸55pcs
6/18 上RFID贴纸1272pcs</t>
        </r>
      </text>
    </comment>
    <comment ref="T5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客供白色艾利贴纸</t>
        </r>
      </text>
    </comment>
    <comment ref="AA5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0000437 6/27 1440pcs罗江明铁B1</t>
        </r>
      </text>
    </comment>
    <comment ref="AC5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6/18 上RFID贴纸1440pcs</t>
        </r>
      </text>
    </comment>
    <comment ref="T5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客供白色艾利贴纸</t>
        </r>
      </text>
    </comment>
    <comment ref="AA5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0000439 6/27 1440cps罗江明铁B2 </t>
        </r>
      </text>
    </comment>
    <comment ref="AC5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6/18 上RFID贴纸1440pcs</t>
        </r>
      </text>
    </comment>
    <comment ref="AA5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0000437 6/27 1440pcs罗江明铁C2</t>
        </r>
      </text>
    </comment>
    <comment ref="AC5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6/18 上RFID贴纸1440pcs</t>
        </r>
      </text>
    </comment>
    <comment ref="AA5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0000437 6/27 1440pcs罗江明铁C2</t>
        </r>
      </text>
    </comment>
    <comment ref="AC5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6/18 上RFID贴纸1440pcs</t>
        </r>
      </text>
    </comment>
    <comment ref="AA5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0000439 6/27 1440pcs罗江明铁B1</t>
        </r>
      </text>
    </comment>
    <comment ref="AC5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6/18 上RFID贴纸1440pcs</t>
        </r>
      </text>
    </comment>
    <comment ref="AA5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0000439 6/27 936pcs罗江明铁C2</t>
        </r>
      </text>
    </comment>
    <comment ref="AC5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5/27 上客供白色艾利贴纸41pcs
6/18 上RFID贴纸936pcs</t>
        </r>
      </text>
    </comment>
    <comment ref="AA5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0000667 7/4 1440pcsB栋三楼c8</t>
        </r>
      </text>
    </comment>
    <comment ref="AC5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6/18 上RFID贴纸1440pcs</t>
        </r>
      </text>
    </comment>
    <comment ref="T6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9/13 客供艾利贴纸</t>
        </r>
      </text>
    </comment>
    <comment ref="AC6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9/29 上客供RFID贴纸1440pcs</t>
        </r>
      </text>
    </comment>
    <comment ref="T6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9/13 客供艾利贴纸</t>
        </r>
      </text>
    </comment>
    <comment ref="AC6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9/29 上客供RFID贴纸2880pcs</t>
        </r>
      </text>
    </comment>
    <comment ref="AC6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9/29 上客供RFID贴纸1440pcs</t>
        </r>
      </text>
    </comment>
    <comment ref="AC6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9/29 上客供RFID贴纸1440pcs</t>
        </r>
      </text>
    </comment>
    <comment ref="AC6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9/29 上客供RFID贴纸1440pcs</t>
        </r>
      </text>
    </comment>
    <comment ref="AC6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9/29 上客供RFID贴纸1440pcs</t>
        </r>
      </text>
    </comment>
    <comment ref="AB7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0007674 8/20 4800pcs罗江明铁C2</t>
        </r>
      </text>
    </comment>
    <comment ref="AD7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8/10 上进口商贴纸4800pcs</t>
        </r>
      </text>
    </comment>
    <comment ref="AE7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11/24 上收到警告语贴纸2640pcs 
 EAN 条码贴纸2640pcs</t>
        </r>
      </text>
    </comment>
    <comment ref="AD8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8/17 上客供外箱贴纸3139pcs</t>
        </r>
      </text>
    </comment>
    <comment ref="AB9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1/15 上客版贴纸5016pcs</t>
        </r>
      </text>
    </comment>
    <comment ref="AB9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3/6 上客供RFID贴纸1848pcs
</t>
        </r>
      </text>
    </comment>
    <comment ref="AB9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3/6 上客供RFID贴纸1848pcs
</t>
        </r>
      </text>
    </comment>
    <comment ref="AB10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3/6 上客供RFID贴纸1848pcs</t>
        </r>
      </text>
    </comment>
    <comment ref="AB10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3/6 上客供RFID贴纸1848pcs
</t>
        </r>
      </text>
    </comment>
    <comment ref="Z10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0000269 5/21 504pcs</t>
        </r>
      </text>
    </comment>
    <comment ref="AB10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4/19 上外箱贴纸42pcs
5/6 上环保标贴纸504pcs</t>
        </r>
      </text>
    </comment>
    <comment ref="AB1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11/19 上客供白色防盗贴纸2328pcs
12/12 收到彩色贴纸582pcs 自留</t>
        </r>
      </text>
    </comment>
  </commentList>
</comments>
</file>

<file path=xl/sharedStrings.xml><?xml version="1.0" encoding="utf-8"?>
<sst xmlns="http://schemas.openxmlformats.org/spreadsheetml/2006/main" count="2766" uniqueCount="908">
  <si>
    <r>
      <rPr>
        <b/>
        <sz val="16"/>
        <rFont val="Arial"/>
        <charset val="0"/>
      </rPr>
      <t>ZURU  5 surprise Dino S6</t>
    </r>
    <r>
      <rPr>
        <b/>
        <sz val="16"/>
        <rFont val="宋体"/>
        <charset val="0"/>
      </rPr>
      <t>（恐龙系列）生产排期表</t>
    </r>
    <r>
      <rPr>
        <b/>
        <sz val="16"/>
        <rFont val="Arial"/>
        <charset val="0"/>
      </rPr>
      <t xml:space="preserve"> #77489</t>
    </r>
  </si>
  <si>
    <r>
      <rPr>
        <b/>
        <sz val="10"/>
        <color rgb="FFFF0000"/>
        <rFont val="Arial"/>
        <charset val="0"/>
      </rPr>
      <t>1.</t>
    </r>
    <r>
      <rPr>
        <b/>
        <sz val="10"/>
        <color rgb="FFFF0000"/>
        <rFont val="宋体"/>
        <charset val="0"/>
      </rPr>
      <t>球壳</t>
    </r>
    <r>
      <rPr>
        <b/>
        <sz val="10"/>
        <color rgb="FFFF0000"/>
        <rFont val="Arial"/>
        <charset val="0"/>
      </rPr>
      <t xml:space="preserve"> </t>
    </r>
    <r>
      <rPr>
        <b/>
        <sz val="10"/>
        <color rgb="FFFF0000"/>
        <rFont val="宋体"/>
        <charset val="0"/>
      </rPr>
      <t>转为</t>
    </r>
    <r>
      <rPr>
        <b/>
        <sz val="10"/>
        <color rgb="FFFF0000"/>
        <rFont val="Arial"/>
        <charset val="0"/>
      </rPr>
      <t>95mm 2</t>
    </r>
    <r>
      <rPr>
        <b/>
        <sz val="10"/>
        <color rgb="FFFF0000"/>
        <rFont val="宋体"/>
        <charset val="0"/>
      </rPr>
      <t>半球壳</t>
    </r>
    <r>
      <rPr>
        <b/>
        <sz val="10"/>
        <color rgb="FFFF0000"/>
        <rFont val="Arial"/>
        <charset val="0"/>
      </rPr>
      <t xml:space="preserve"> ,</t>
    </r>
    <r>
      <rPr>
        <b/>
        <sz val="10"/>
        <color rgb="FFFF0000"/>
        <rFont val="宋体"/>
        <charset val="0"/>
      </rPr>
      <t>材料：</t>
    </r>
    <r>
      <rPr>
        <b/>
        <sz val="10"/>
        <color rgb="FFFF0000"/>
        <rFont val="Arial"/>
        <charset val="0"/>
      </rPr>
      <t>20%PCR PP +80%PP</t>
    </r>
    <r>
      <rPr>
        <b/>
        <sz val="10"/>
        <color rgb="FFFF0000"/>
        <rFont val="宋体"/>
        <charset val="0"/>
      </rPr>
      <t>原料</t>
    </r>
    <r>
      <rPr>
        <b/>
        <sz val="10"/>
        <color rgb="FFFF0000"/>
        <rFont val="Arial"/>
        <charset val="0"/>
      </rPr>
      <t xml:space="preserve">
2.</t>
    </r>
    <r>
      <rPr>
        <b/>
        <sz val="10"/>
        <color rgb="FFFF0000"/>
        <rFont val="宋体"/>
        <charset val="0"/>
      </rPr>
      <t>因考虑到某些地区对微塑胶（闪粉，闪粉喷油等）的限制，内部产品会同步做以下变更：</t>
    </r>
    <r>
      <rPr>
        <b/>
        <sz val="10"/>
        <color rgb="FFFF0000"/>
        <rFont val="Arial"/>
        <charset val="0"/>
      </rPr>
      <t xml:space="preserve">---Slime </t>
    </r>
    <r>
      <rPr>
        <b/>
        <sz val="10"/>
        <color rgb="FFFF0000"/>
        <rFont val="宋体"/>
        <charset val="0"/>
      </rPr>
      <t>取消闪粉</t>
    </r>
    <r>
      <rPr>
        <b/>
        <sz val="10"/>
        <color rgb="FFFF0000"/>
        <rFont val="Arial"/>
        <charset val="0"/>
      </rPr>
      <t xml:space="preserve">
3.</t>
    </r>
    <r>
      <rPr>
        <b/>
        <sz val="10"/>
        <color rgb="FFFF0000"/>
        <rFont val="宋体"/>
        <charset val="0"/>
      </rPr>
      <t>更改为</t>
    </r>
    <r>
      <rPr>
        <b/>
        <sz val="10"/>
        <color rgb="FFFF0000"/>
        <rFont val="Arial"/>
        <charset val="0"/>
      </rPr>
      <t xml:space="preserve">95mm </t>
    </r>
    <r>
      <rPr>
        <b/>
        <sz val="10"/>
        <color rgb="FFFF0000"/>
        <rFont val="宋体"/>
        <charset val="0"/>
      </rPr>
      <t>球壳后款号更新，请参考以下款号</t>
    </r>
    <r>
      <rPr>
        <b/>
        <sz val="10"/>
        <color rgb="FFFF0000"/>
        <rFont val="Arial"/>
        <charset val="0"/>
      </rPr>
      <t xml:space="preserve">
4.PDQ</t>
    </r>
    <r>
      <rPr>
        <b/>
        <sz val="10"/>
        <color rgb="FFFF0000"/>
        <rFont val="宋体"/>
        <charset val="0"/>
      </rPr>
      <t>，</t>
    </r>
    <r>
      <rPr>
        <b/>
        <sz val="10"/>
        <color rgb="FFFF0000"/>
        <rFont val="Arial"/>
        <charset val="0"/>
      </rPr>
      <t xml:space="preserve">SK </t>
    </r>
    <r>
      <rPr>
        <b/>
        <sz val="10"/>
        <color rgb="FFFF0000"/>
        <rFont val="宋体"/>
        <charset val="0"/>
      </rPr>
      <t>刀线均有变化（请留意部分会带有</t>
    </r>
    <r>
      <rPr>
        <b/>
        <sz val="10"/>
        <color rgb="FFFF0000"/>
        <rFont val="Arial"/>
        <charset val="0"/>
      </rPr>
      <t>demo</t>
    </r>
    <r>
      <rPr>
        <b/>
        <sz val="10"/>
        <color rgb="FFFF0000"/>
        <rFont val="宋体"/>
        <charset val="0"/>
      </rPr>
      <t>）</t>
    </r>
    <r>
      <rPr>
        <b/>
        <sz val="10"/>
        <color rgb="FFFF0000"/>
        <rFont val="Arial"/>
        <charset val="0"/>
      </rPr>
      <t>GQ2/SK/SK1</t>
    </r>
    <r>
      <rPr>
        <b/>
        <sz val="10"/>
        <color rgb="FFFF0000"/>
        <rFont val="宋体"/>
        <charset val="0"/>
      </rPr>
      <t>有</t>
    </r>
    <r>
      <rPr>
        <b/>
        <sz val="10"/>
        <color rgb="FFFF0000"/>
        <rFont val="Arial"/>
        <charset val="0"/>
      </rPr>
      <t>demo</t>
    </r>
  </si>
  <si>
    <r>
      <rPr>
        <b/>
        <sz val="10"/>
        <rFont val="宋体"/>
        <charset val="0"/>
      </rPr>
      <t>普通款暴龙</t>
    </r>
    <r>
      <rPr>
        <b/>
        <sz val="10"/>
        <rFont val="Arial"/>
        <charset val="0"/>
      </rPr>
      <t>+</t>
    </r>
    <r>
      <rPr>
        <b/>
        <sz val="10"/>
        <rFont val="宋体"/>
        <charset val="0"/>
      </rPr>
      <t>卡车</t>
    </r>
  </si>
  <si>
    <t>双刺龙</t>
  </si>
  <si>
    <t>普通款暴龙</t>
  </si>
  <si>
    <t>欧洲国家有: (共有43个国家组成) 。芬兰、瑞典、挪威、冰岛、丹麦 法罗群岛(丹)、爱沙尼亚、拉脱维亚、立陶宛、白俄罗斯、俄罗斯、乌克兰、摩尔多瓦、波兰、捷克、斯洛伐克、匈牙利、德国、奥地利、瑞士、列支敦士登、英国、爱尔兰、荷兰、比利时、卢森堡、法国、摩纳哥、罗马尼亚、保加利亚、塞尔维亚、马其顿、阿尔巴尼亚、希腊、斯洛文尼亚、克罗地亚、波斯尼亚和墨塞哥维那、意大利、梵蒂冈、圣马力诺、马耳他、西班牙、葡萄牙、安道尔。</t>
  </si>
  <si>
    <t>95MM收縮膜</t>
  </si>
  <si>
    <t>95MM收藏指南</t>
  </si>
  <si>
    <t>SK展示架</t>
  </si>
  <si>
    <t>带底座</t>
  </si>
  <si>
    <t>77593GQ2</t>
  </si>
  <si>
    <t>77593GQ1</t>
  </si>
  <si>
    <t>77593GQ5</t>
  </si>
  <si>
    <t>SK1展示架</t>
  </si>
  <si>
    <t>77614 2PK圆筒</t>
  </si>
  <si>
    <t>WM GQ4</t>
  </si>
  <si>
    <t>口水胶</t>
  </si>
  <si>
    <t>MA比例</t>
  </si>
  <si>
    <t>MA</t>
  </si>
  <si>
    <t>香港接单日期</t>
  </si>
  <si>
    <t>第三方客户名称</t>
  </si>
  <si>
    <t>走货国家</t>
  </si>
  <si>
    <t>ZURU PO NO#</t>
  </si>
  <si>
    <t>第三方客户
 PO NO#</t>
  </si>
  <si>
    <t>SKU</t>
  </si>
  <si>
    <t>ITEM#</t>
  </si>
  <si>
    <t>中文名</t>
  </si>
  <si>
    <t>PO数量
(pcs)</t>
  </si>
  <si>
    <t>内箱装箱数量(pcs)</t>
  </si>
  <si>
    <t>外箱装箱数量(pcs)</t>
  </si>
  <si>
    <t>总箱数</t>
  </si>
  <si>
    <t>客PO期</t>
  </si>
  <si>
    <t>验货期</t>
  </si>
  <si>
    <t>第三方验货期</t>
  </si>
  <si>
    <t>验货结果</t>
  </si>
  <si>
    <t>船期</t>
  </si>
  <si>
    <t>箱唛资料(收到日期)</t>
  </si>
  <si>
    <t>外箱贴纸</t>
  </si>
  <si>
    <t>客供贴纸AI(收到日期)</t>
  </si>
  <si>
    <t>备注</t>
  </si>
  <si>
    <t>ZURU 跟单</t>
  </si>
  <si>
    <t>单价USD</t>
  </si>
  <si>
    <t>金额USD</t>
  </si>
  <si>
    <t>发票号</t>
  </si>
  <si>
    <t>已送情况</t>
  </si>
  <si>
    <t>欠数</t>
  </si>
  <si>
    <t>贴纸
情况</t>
  </si>
  <si>
    <t>是否入系统</t>
  </si>
  <si>
    <t>系统货号</t>
  </si>
  <si>
    <t>77593-95mm球壳</t>
  </si>
  <si>
    <t>MA 1L</t>
  </si>
  <si>
    <t>MA 3L</t>
  </si>
  <si>
    <t>MA 5L</t>
  </si>
  <si>
    <t>FD客版</t>
  </si>
  <si>
    <t>圆筒</t>
  </si>
  <si>
    <t>彩纸 3L</t>
  </si>
  <si>
    <t>彩纸 1L</t>
  </si>
  <si>
    <t>客版</t>
  </si>
  <si>
    <t>有硼无闪粉</t>
  </si>
  <si>
    <t>无硼无闪粉</t>
  </si>
  <si>
    <t>Pterosaur
翼龙</t>
  </si>
  <si>
    <t>T-Rex
暴龙</t>
  </si>
  <si>
    <t>T-Rex (Rare)
暴龙（特别款）</t>
  </si>
  <si>
    <t>Stegosaurus
剑龙</t>
  </si>
  <si>
    <t>Dilophosaurus
双棘龙</t>
  </si>
  <si>
    <t>Brontosaurus
雷龙</t>
  </si>
  <si>
    <t>Amargasaurus
阿玛加龙</t>
  </si>
  <si>
    <t>Truck
卡车</t>
  </si>
  <si>
    <t>Armed Helicoper
武装飞机</t>
  </si>
  <si>
    <t>ZURU</t>
  </si>
  <si>
    <t>库有</t>
  </si>
  <si>
    <t>ZMPO24101</t>
  </si>
  <si>
    <t>77593SK-S002</t>
  </si>
  <si>
    <t>S4迷你恐龙展示架带球</t>
  </si>
  <si>
    <t>自检</t>
  </si>
  <si>
    <t>无</t>
  </si>
  <si>
    <t>大货最新版本/产品请按大货比例入展架/箱唛参照邮件附件</t>
  </si>
  <si>
    <t>97435-1.8</t>
  </si>
  <si>
    <t>已入</t>
  </si>
  <si>
    <t>77593SK1-S002</t>
  </si>
  <si>
    <t>DM LLC</t>
  </si>
  <si>
    <t>俄罗斯</t>
  </si>
  <si>
    <t>Ural</t>
  </si>
  <si>
    <t>4500137881-110</t>
  </si>
  <si>
    <t>77593GQ1-S001</t>
  </si>
  <si>
    <t>S4迷你恐龙13PCS/GQ1*4</t>
  </si>
  <si>
    <t>彩卡/收缩膜/PDQ/外箱不要打ZURU标准日期码！</t>
  </si>
  <si>
    <t>已有计划船期等SO出货</t>
  </si>
  <si>
    <t>7/8进口商贴纸+EAN条码贴纸</t>
  </si>
  <si>
    <t>日期码格式：彩卡/收缩膜/PDQ/外箱不要打ZURU标准日期码！ 日期：
Packaging Info:
77593GQ1: 优先1L MA 收缩膜+进口商贴纸+EAN条码贴纸; MA PDQ/指南/说明书(如有);
注意 ：彩卡/收缩膜/PDQ/外箱不要打ZURU标准日期码！！
Remark: 1. 出 Bekasovo 2和Ural;</t>
  </si>
  <si>
    <t>Ann Zhang</t>
  </si>
  <si>
    <t>88869-1.4</t>
  </si>
  <si>
    <t>包装要求参考4
500146630，出
Bekasovo 2</t>
  </si>
  <si>
    <t>4500146630-10</t>
  </si>
  <si>
    <t>pass</t>
  </si>
  <si>
    <t>4/28 截SI</t>
  </si>
  <si>
    <t>进口商贴纸+EAN条码贴纸翻单146595</t>
  </si>
  <si>
    <t>日期码格式：外包装/外箱不要打ZURU标准日期码 日期：
Packaging Info: 取代4500150271/4500157991/4500146630/4500159461/4500158543中 对应的款 ;
包装要求参考4500150271/4500157991/4500146630/4500159461/4500158543
Remark:</t>
  </si>
  <si>
    <t>94862-4.28</t>
  </si>
  <si>
    <t>T.J.MORRIS LTD</t>
  </si>
  <si>
    <t>英国</t>
  </si>
  <si>
    <t>4500144734-20</t>
  </si>
  <si>
    <t>77593GQ2-S002</t>
  </si>
  <si>
    <t>S4迷你恐龙24PCS入GQ2*2/箱</t>
  </si>
  <si>
    <t>1/4 截单</t>
  </si>
  <si>
    <t>日期码格式：ZURU INC(BVI) 标准格式 日期：按实际生产日期
Packaging Info: 
2.77593GQ2: MA 1L UPC包装，UPC#193052066206请先检查条码是否正确再安排做货，如有问题请告知
5.配比都跟MA配比
Remark: 1.产品及包装需要印UKCA图标，包装需要有ZURU UK LTD/ZURU France地址信息，QC同事请核查，如有问题与跟单确认。
2. 需要符合欧洲标准不能含有闪粉和微塑料，否则不和法规会有客诉产生</t>
  </si>
  <si>
    <t>Sheba Ye</t>
  </si>
  <si>
    <t>88923-1.7</t>
  </si>
  <si>
    <t>Inventive Toys</t>
  </si>
  <si>
    <t>俄罗斯联邦</t>
  </si>
  <si>
    <t>4500150836-10</t>
  </si>
  <si>
    <r>
      <rPr>
        <sz val="10"/>
        <color rgb="FF0000FF"/>
        <rFont val="宋体"/>
        <charset val="134"/>
      </rPr>
      <t>外包装</t>
    </r>
    <r>
      <rPr>
        <sz val="10"/>
        <color rgb="FF0000FF"/>
        <rFont val="Arial"/>
        <charset val="134"/>
      </rPr>
      <t xml:space="preserve"> (</t>
    </r>
    <r>
      <rPr>
        <sz val="10"/>
        <color rgb="FF0000FF"/>
        <rFont val="宋体"/>
        <charset val="134"/>
      </rPr>
      <t>指</t>
    </r>
    <r>
      <rPr>
        <sz val="10"/>
        <color rgb="FF0000FF"/>
        <rFont val="Arial"/>
        <charset val="134"/>
      </rPr>
      <t xml:space="preserve">: </t>
    </r>
    <r>
      <rPr>
        <sz val="10"/>
        <color rgb="FF0000FF"/>
        <rFont val="宋体"/>
        <charset val="134"/>
      </rPr>
      <t>收缩膜</t>
    </r>
    <r>
      <rPr>
        <sz val="10"/>
        <color rgb="FF0000FF"/>
        <rFont val="Arial"/>
        <charset val="134"/>
      </rPr>
      <t>/</t>
    </r>
    <r>
      <rPr>
        <sz val="10"/>
        <color rgb="FF0000FF"/>
        <rFont val="宋体"/>
        <charset val="134"/>
      </rPr>
      <t>彩卡</t>
    </r>
    <r>
      <rPr>
        <sz val="10"/>
        <color rgb="FF0000FF"/>
        <rFont val="Arial"/>
        <charset val="134"/>
      </rPr>
      <t>/</t>
    </r>
    <r>
      <rPr>
        <sz val="10"/>
        <color rgb="FF0000FF"/>
        <rFont val="宋体"/>
        <charset val="134"/>
      </rPr>
      <t>铝箔袋</t>
    </r>
    <r>
      <rPr>
        <sz val="10"/>
        <color rgb="FF0000FF"/>
        <rFont val="Arial"/>
        <charset val="134"/>
      </rPr>
      <t>/</t>
    </r>
    <r>
      <rPr>
        <sz val="10"/>
        <color rgb="FF0000FF"/>
        <rFont val="宋体"/>
        <charset val="134"/>
      </rPr>
      <t>挂卡</t>
    </r>
    <r>
      <rPr>
        <sz val="10"/>
        <color rgb="FF0000FF"/>
        <rFont val="Arial"/>
        <charset val="134"/>
      </rPr>
      <t>/PDQ) /</t>
    </r>
    <r>
      <rPr>
        <sz val="10"/>
        <color rgb="FF0000FF"/>
        <rFont val="宋体"/>
        <charset val="134"/>
      </rPr>
      <t>外箱不要打</t>
    </r>
    <r>
      <rPr>
        <sz val="10"/>
        <color rgb="FF0000FF"/>
        <rFont val="Arial"/>
        <charset val="134"/>
      </rPr>
      <t>ZURU</t>
    </r>
    <r>
      <rPr>
        <sz val="10"/>
        <color rgb="FF0000FF"/>
        <rFont val="宋体"/>
        <charset val="134"/>
      </rPr>
      <t>标准日期码</t>
    </r>
  </si>
  <si>
    <t>1/9 装柜</t>
  </si>
  <si>
    <t>11、26</t>
  </si>
  <si>
    <t>12/9 进口商贴纸+ EAN条码贴纸</t>
  </si>
  <si>
    <t>日期码格式：外包装/外箱不要打ZURU标准日期码 日期：
Packaging Info: 注意 ：外包装 (指: 收缩膜/彩卡/铝箔袋/挂卡/PDQ) /外箱不要打ZURU标准日期码！胶件可以打日期码。
外包装（包括收缩膜/彩卡/PDQ）都不能含Instagram and facebook logo等社交logo;
1L MA 收缩膜 或者彩卡+ 进口商贴纸； MA PDQ + EAN条码贴纸 ， MA指南/说明书（如有）;
Remark: 标准配比 ；整单货期2025年1月3</t>
  </si>
  <si>
    <t>94071-1.16</t>
  </si>
  <si>
    <t>FAMILY DOLLAR SERVICES, INC,</t>
  </si>
  <si>
    <t>美国</t>
  </si>
  <si>
    <t>30583154</t>
  </si>
  <si>
    <t>4500151082-10</t>
  </si>
  <si>
    <t>77593GQ5-S001</t>
  </si>
  <si>
    <t>S4迷你恐龙8PCS/GQ5</t>
  </si>
  <si>
    <t>指定日期码:DG20241220</t>
  </si>
  <si>
    <r>
      <rPr>
        <sz val="10"/>
        <color rgb="FF0000FF"/>
        <rFont val="Arial"/>
        <charset val="134"/>
      </rPr>
      <t xml:space="preserve">1/14 </t>
    </r>
    <r>
      <rPr>
        <sz val="10"/>
        <color rgb="FF0000FF"/>
        <rFont val="宋体"/>
        <charset val="134"/>
      </rPr>
      <t>截</t>
    </r>
    <r>
      <rPr>
        <sz val="10"/>
        <color rgb="FF0000FF"/>
        <rFont val="Arial"/>
        <charset val="134"/>
      </rPr>
      <t>SI</t>
    </r>
  </si>
  <si>
    <t>有</t>
  </si>
  <si>
    <t>外箱彩贴翻单PO#4500135943</t>
  </si>
  <si>
    <t>日期码格式：ZURU INC(BVI) 标准格式 日期：2024-12-20
Packaging Info: 1）客版PDQ(翻单PO#4500135943), 最新版ZURU MA UPC包装(去掉社交媒体标志，优先1L)，出口美国。如有说明书请使用ZURU MA说明书，优先放1L英语。8pcs/PDQ
/CTN。
2）ZURU标准日期码格式：工厂城市缩写+生产年月日，此单指定日期码:DG20241220
3）外箱正侧唛两面都需粘贴产品彩色贴纸，外箱彩贴每箱两张，客版外箱彩贴翻单PO#4500135943。如侧唛位置放不下彩贴和唛头信息，可改为放两个正唛。无论
是正唛+侧唛或者是两个正唛，唛头信息和彩贴需放在同一个面。箱唛需排版给跟单确认。
4) 每个球贴一张客供防盗贴，贴在收缩膜上，防盗贴由跟单采购，供应商直接发货到工厂。防盗贴贴纸位置与PO#4500144246一致。
Remark: 客户PO#30583154
客户SKU#1003737
1）Item#77593GQ5- S001
2）此单无第三方验货+抽样测试，ZURU QC验货PASS后，跟单得到客户的approval之后方可安排出货
3）大货外箱材积绝对不可大于下述数据，材积只接受3%的变小；重量正负不得超过以下列出数据的5%，接受外箱以印章方式印上实际毛重。
大货外箱尺寸请保持：21.0 x 20.6 x 21.2 cm (即8.27 x8.11 x 8.35 inch)，材积必须不能大于0.3249CubeFeet（即0.0092SSCBM); 外箱毛重 2.6LBS（即1.20 KG
S）
4）大货配比：
#77593GQ5-S001
S001-5 SURPRISE-DINO STRIKE-SERIES 6-CAPSULE,2Facing8pcs/Gravity PDQ,8pcs/1PDQ/CTN。
UPC:193052066206
8pcs/PDQ/CTN,2W*2D*2H=8PCS/PDQ, Contain Slime,with borax; Capsule size: 3.74 inch x 3.74 inch x 3.74 inch
5）客户Family Dollar不允许少数出货，必须按照PO上的数量出货，也不允许延期，否则会有罚款。
6）客户要求:"产品和包装不能含有PFAS 物质以及1,4 dioxane" ，请确保产品可以过美国标准测试。</t>
  </si>
  <si>
    <t>Jenny Liu/Andro</t>
  </si>
  <si>
    <t>94042-1.15</t>
  </si>
  <si>
    <t>JSC 􀂫Grand-Trade􀂻</t>
  </si>
  <si>
    <t>PGT-658704</t>
  </si>
  <si>
    <t>4500151353-20</t>
  </si>
  <si>
    <t>77593GQ1-S002</t>
  </si>
  <si>
    <r>
      <rPr>
        <sz val="10"/>
        <color rgb="FF0000FF"/>
        <rFont val="Arial"/>
        <charset val="134"/>
      </rPr>
      <t xml:space="preserve">1/6 </t>
    </r>
    <r>
      <rPr>
        <sz val="10"/>
        <color rgb="FF0000FF"/>
        <rFont val="宋体"/>
        <charset val="134"/>
      </rPr>
      <t>截</t>
    </r>
    <r>
      <rPr>
        <sz val="10"/>
        <color rgb="FF0000FF"/>
        <rFont val="Arial"/>
        <charset val="134"/>
      </rPr>
      <t>SI</t>
    </r>
  </si>
  <si>
    <t>12/2进口商贴纸+ EAN条码贴纸+背景贴纸+外箱贴纸+空白贴纸</t>
  </si>
  <si>
    <t>日期码格式：ZURU INC(BVI) 标准格式 日期：按实际生产日期 
Packaging Info: 注意： 此客户不允许包装/产品/PDQ 上显示recycled material / plastic 字眼， 如有请告知跟单需要加贴纸覆盖；
 1.77593GQ1 ： 1L MA 收缩膜+ 进口商贴纸(覆盖内膜上的recycled plastic)+ EAN 条码贴纸， 1L MA PDQ+ 背景贴纸覆盖recycled Plastic ， MA 指南
 + 空白贴纸（覆盖指南上的recycled plastic信息）
 2. 需要安排loading inspection (装柜现场监柜)；
 3. 外箱侧唛右上角各一张贴纸（一共2张） ；
Remark: 标准配比，整单货期2025年1月3 .</t>
  </si>
  <si>
    <t>88957-1.9</t>
  </si>
  <si>
    <t>Importadora Sudamericana &amp; Generac</t>
  </si>
  <si>
    <t>阿根廷</t>
  </si>
  <si>
    <t>LEGAJO 4117</t>
  </si>
  <si>
    <t>4500151881-20</t>
  </si>
  <si>
    <t>1/7 截SI</t>
  </si>
  <si>
    <t>12/12 进口商贴纸</t>
  </si>
  <si>
    <t>日期码格式：ZURU INC(BVI) 标准格式 日期：按实际生产日期
Packaging Info: MA 1L包装+进口商贴纸+箱唛</t>
  </si>
  <si>
    <t>Ava Liang</t>
  </si>
  <si>
    <t>88870-1.4</t>
  </si>
  <si>
    <t>ROSS PROCUREMENT.INC</t>
  </si>
  <si>
    <t>60190494</t>
  </si>
  <si>
    <t>4500150464-10</t>
  </si>
  <si>
    <t>77614-S001</t>
  </si>
  <si>
    <t>S4迷你恐龙2PK圆筒*12/箱</t>
  </si>
  <si>
    <t>3/7 截SI</t>
  </si>
  <si>
    <t>12/19 客供价格贴纸</t>
  </si>
  <si>
    <t>日期码格式：ZURU INC(BVI) 标准格式 日期：按实际生产日期
Packaging Info: 1.ZURU MA UPC 收缩膜+客版铜版纸+PVC桶 + 客供价格贴纸，出口美国 , 优先使用MA 1L 最新版本 。
Remark: 1.ZURU MA UPC 收缩膜+客版铜版纸+PVC桶 + 客供价格贴纸，出口美国 , 优先使用MA 1L 最新版本 。
2.价格贴纸位于包装正面右下角，不挡住重要信息即可，可适当调整
，价格贴纸由跟单提供。
3.标准日期码格式，产品和包装必须有日期码 。
4.同个产品同个货期不可出现不同的包装。
5. PVC 桶中球不能出现完全相同的ASSORTMENT ， 即同一个PVC 中球里的ASSORTMENT 需要不同。 以免消费者失望。
6.PVC 桶上加上 MINI BRANDS 的LOGO 贴纸 （ ZURU 统一要求的）
7.收缩膜可使用标版带UPC条码MA，无需白色贴纸覆盖。</t>
  </si>
  <si>
    <t>Sophia Zhou</t>
  </si>
  <si>
    <t>94486-3.7</t>
  </si>
  <si>
    <t>77614-S001-1</t>
  </si>
  <si>
    <t>TOYS "R" US – JAPAN, LTD</t>
  </si>
  <si>
    <t>日本</t>
  </si>
  <si>
    <t>47:0003113610</t>
  </si>
  <si>
    <t>4500154748-10</t>
  </si>
  <si>
    <t>77593GQ2-S001</t>
  </si>
  <si>
    <t>S4迷你恐龙24PCS入GQ2*2/箱-干燥剂</t>
  </si>
  <si>
    <r>
      <rPr>
        <sz val="10"/>
        <color rgb="FF0000FF"/>
        <rFont val="Arial"/>
        <charset val="134"/>
      </rPr>
      <t xml:space="preserve">3/7 </t>
    </r>
    <r>
      <rPr>
        <sz val="10"/>
        <color rgb="FF0000FF"/>
        <rFont val="宋体"/>
        <charset val="134"/>
      </rPr>
      <t>截</t>
    </r>
    <r>
      <rPr>
        <sz val="10"/>
        <color rgb="FF0000FF"/>
        <rFont val="Arial"/>
        <charset val="134"/>
      </rPr>
      <t>SI</t>
    </r>
  </si>
  <si>
    <t>1/21日语贴纸</t>
  </si>
  <si>
    <t>日期码格式：ZURU INC(BVI) 标准格式 日期：按实际生产日期 
Packaging Info: MA 1L PKG+1张日语贴纸（新稿）， MA 1L PDQ， MA 5L收藏指南
Remark: 出日本首单需安排样板测试， 请按邮件要求先寄出MA包装的样板做测试。
 大货的产品内容和MA包装版本以及产品品质需严格跟到寄出的测试版。</t>
  </si>
  <si>
    <t>Doris Shou</t>
  </si>
  <si>
    <t xml:space="preserve">94461-3.6  </t>
  </si>
  <si>
    <t>4500156986-20</t>
  </si>
  <si>
    <t>PASS</t>
  </si>
  <si>
    <r>
      <rPr>
        <sz val="10"/>
        <color rgb="FF0000FF"/>
        <rFont val="Arial"/>
        <charset val="134"/>
      </rPr>
      <t xml:space="preserve">3/24 </t>
    </r>
    <r>
      <rPr>
        <sz val="10"/>
        <color rgb="FF0000FF"/>
        <rFont val="宋体"/>
        <charset val="134"/>
      </rPr>
      <t>截</t>
    </r>
    <r>
      <rPr>
        <sz val="10"/>
        <color rgb="FF0000FF"/>
        <rFont val="Arial"/>
        <charset val="134"/>
      </rPr>
      <t>SI</t>
    </r>
  </si>
  <si>
    <t>3/3 进口商贴纸</t>
  </si>
  <si>
    <t>日期码格式：ZURU INC(BVI) 标准格式 日期：按实际生产日期 
Packaging Info: MA 3LEAN包装+进口商贴纸+UPC贴纸+箱唛，进口商贴纸翻单PO4500151881
 77593GQ5 PDQ 翻单PO 4500151082,77595GQ3 PDQ 翻单 PO 4500144251
Remark:</t>
  </si>
  <si>
    <t>94631-3.25</t>
  </si>
  <si>
    <t>77593GQ5-S001-3L</t>
  </si>
  <si>
    <t>Hermanex Europe BV</t>
  </si>
  <si>
    <t>新西兰</t>
  </si>
  <si>
    <t>4500157700-10</t>
  </si>
  <si>
    <r>
      <rPr>
        <sz val="10"/>
        <color rgb="FF0000FF"/>
        <rFont val="Arial"/>
        <charset val="134"/>
      </rPr>
      <t xml:space="preserve">3/27 </t>
    </r>
    <r>
      <rPr>
        <sz val="10"/>
        <color rgb="FF0000FF"/>
        <rFont val="宋体"/>
        <charset val="134"/>
      </rPr>
      <t>截</t>
    </r>
    <r>
      <rPr>
        <sz val="10"/>
        <color rgb="FF0000FF"/>
        <rFont val="Arial"/>
        <charset val="134"/>
      </rPr>
      <t>SI</t>
    </r>
  </si>
  <si>
    <t>2/18 NL警语贴纸</t>
  </si>
  <si>
    <t>日期码格式：ZURU INC(BVI) 标准格式 日期：按实际生产日期 
Packaging Info: 77593SK1: MA 3L A版本 EAN 收缩膜+NL警语贴纸(含FR, ES环保LOGO)，MA 5L Slime Poly Bag+NL警语贴纸，MA 5L收藏指南，MA说明书，MA 袋子，MA 3L A版展架(
 消耗Slow Moving库存，With Base)
Remark:</t>
  </si>
  <si>
    <t>Eddie Huang</t>
  </si>
  <si>
    <t>94652-3.27</t>
  </si>
  <si>
    <t>77593SK1-S002-3L</t>
  </si>
  <si>
    <t>Royal Foods LLC</t>
  </si>
  <si>
    <t>阿塞拜疆</t>
  </si>
  <si>
    <t>4500157780-10</t>
  </si>
  <si>
    <r>
      <rPr>
        <sz val="10"/>
        <color rgb="FF0000FF"/>
        <rFont val="Arial"/>
        <charset val="134"/>
      </rPr>
      <t xml:space="preserve">4/7 </t>
    </r>
    <r>
      <rPr>
        <sz val="10"/>
        <color rgb="FF0000FF"/>
        <rFont val="宋体"/>
        <charset val="134"/>
      </rPr>
      <t>截</t>
    </r>
    <r>
      <rPr>
        <sz val="10"/>
        <color rgb="FF0000FF"/>
        <rFont val="Arial"/>
        <charset val="134"/>
      </rPr>
      <t>SI</t>
    </r>
  </si>
  <si>
    <t>日期码格式：ZURU INC(BVI) 标准格式 日期：按实际生产日期
Packaging Info: 1. 无进口商贴纸；
 2. 77593GQ1 ： 1L MA UPC 包装， MA PDQ/说明书/指南（如有）；
Remark: 标准配比</t>
  </si>
  <si>
    <t>94710-4.7</t>
  </si>
  <si>
    <t>ZMPO250257</t>
  </si>
  <si>
    <t>77593-S001</t>
  </si>
  <si>
    <r>
      <rPr>
        <sz val="11"/>
        <rFont val="Arial"/>
        <charset val="0"/>
      </rPr>
      <t>11</t>
    </r>
    <r>
      <rPr>
        <sz val="11"/>
        <rFont val="宋体"/>
        <charset val="0"/>
      </rPr>
      <t>空球</t>
    </r>
  </si>
  <si>
    <t>空白箱</t>
  </si>
  <si>
    <t>Remark：大货最新版本/11PCS空球要用大货收缩膜收缩好；备注： 收到样品订单后尽快安排 ，注意样板品质质量要求要高于大货品质质量 ，送货时必须要附带送货单(没有送货单和QC检验合格报告的仓库一律拒绝收货)，请知悉，谢谢！</t>
  </si>
  <si>
    <t xml:space="preserve">Angus </t>
  </si>
  <si>
    <t>94918-4.30</t>
  </si>
  <si>
    <t>#</t>
  </si>
  <si>
    <r>
      <rPr>
        <sz val="11"/>
        <rFont val="Arial"/>
        <charset val="0"/>
      </rPr>
      <t>18</t>
    </r>
    <r>
      <rPr>
        <sz val="11"/>
        <rFont val="宋体"/>
        <charset val="0"/>
      </rPr>
      <t>套散件</t>
    </r>
  </si>
  <si>
    <t>Remark：大货最新版本/只需要齐全套散件，每款散件不要用纸袋子装，用透明塑胶袋装即可/麻烦用胶袋分装好一套为一袋；备注： 收到样品订单后尽快安排 ，注意样板品质质量要求要高于大货品质质量 ，送货时必须要附带送货单(没有送货单和QC检验合格报告的仓库一律拒绝收货)，请知悉，谢谢！</t>
  </si>
  <si>
    <t>Walmart Central America</t>
  </si>
  <si>
    <t>萨尔瓦多</t>
  </si>
  <si>
    <t>4500158302-10</t>
  </si>
  <si>
    <t>3/24 双坑纸箱</t>
  </si>
  <si>
    <t>3/21进口商贴纸+UPC贴纸</t>
  </si>
  <si>
    <t>日期码格式：ZURU INC(BVI) 标准格式 日期：按实际生产日期
Packaging Info: 1. 77593GQ2：MA 3L EAN包装+UPC贴纸+MA 3L PDQ包装+MA多语收藏指南+进口商贴纸+箱唛
Remark: 1.使用双坑外箱
 2.请注意产品包装条形码必须是UPC
 3.无第三方验货</t>
  </si>
  <si>
    <t>Ever Li</t>
  </si>
  <si>
    <t>94865-4.28</t>
  </si>
  <si>
    <t>77593GQ2-S001-3L</t>
  </si>
  <si>
    <t>Walmart Central America-NI</t>
  </si>
  <si>
    <t>尼加拉瓜</t>
  </si>
  <si>
    <t>4500158358-10</t>
  </si>
  <si>
    <t>进口商贴纸+UPC贴纸翻单158302</t>
  </si>
  <si>
    <t>日期码格式：ZURU INC(BVI) 标准格式 日期：按实际生产日期 
Packaging Info: 1. 77593GQ2：MA 3L EAN包装+UPC贴纸+MA 3L PDQ包装+MA多语收藏指南+进口商贴纸+箱唛
 所有贴纸翻单PO 4500158302
Remark: 1.使用双坑外箱
 2.请注意产品包装条形码必须是UPC
 3.无第三方验货</t>
  </si>
  <si>
    <t>94934-5.6</t>
  </si>
  <si>
    <t>Walmart Central America-HN</t>
  </si>
  <si>
    <t>洪都拉斯</t>
  </si>
  <si>
    <t>4500158415-10</t>
  </si>
  <si>
    <t>4/29 截SI</t>
  </si>
  <si>
    <t>日期码格式：ZURU INC(BVI) 标准格式 日期：按实际生产日期 
Packaging Info: 1. 77593GQ2：MA 3L EAN包装+UPC贴纸+MA 3L PDQ包装+MA多语收藏指南+进口商贴纸+箱唛
 以上所有贴纸翻单PO4500158302
Remark: 1.使用双坑外箱
 2.请注意产品包装条形码必须是UPC
 3.无第三方验货</t>
  </si>
  <si>
    <t>94891-4.30</t>
  </si>
  <si>
    <t>Walmart Central America-CR</t>
  </si>
  <si>
    <t>哥斯达黎加</t>
  </si>
  <si>
    <t>4500158535-10</t>
  </si>
  <si>
    <r>
      <rPr>
        <sz val="10"/>
        <color rgb="FF0000FF"/>
        <rFont val="Arial"/>
        <charset val="134"/>
      </rPr>
      <t xml:space="preserve">4/29 </t>
    </r>
    <r>
      <rPr>
        <sz val="10"/>
        <color rgb="FF0000FF"/>
        <rFont val="宋体"/>
        <charset val="134"/>
      </rPr>
      <t>截</t>
    </r>
    <r>
      <rPr>
        <sz val="10"/>
        <color rgb="FF0000FF"/>
        <rFont val="Arial"/>
        <charset val="134"/>
      </rPr>
      <t>SI</t>
    </r>
  </si>
  <si>
    <t>日期码格式：ZURU INC(BVI) 标准格式 日期：按实际生产日期 
Packaging Info: 1. 77593GQ2：MA 3L EAN包装+UPC贴纸+MA 3L PDQ包装+MA多语收藏指南+进口商贴纸+箱唛
 以上贴纸翻单PO 4500158302
Remark: 1.使用双坑外箱
 2.请注意产品包装条形码必须是UPC
 3.无第三方验货</t>
  </si>
  <si>
    <t>94882-4.29</t>
  </si>
  <si>
    <t>Walmart Central America-GT</t>
  </si>
  <si>
    <t>危地马拉</t>
  </si>
  <si>
    <t>4500158447-10</t>
  </si>
  <si>
    <r>
      <rPr>
        <sz val="10"/>
        <color rgb="FF0000FF"/>
        <rFont val="Arial"/>
        <charset val="134"/>
      </rPr>
      <t xml:space="preserve">4/28 </t>
    </r>
    <r>
      <rPr>
        <sz val="10"/>
        <color rgb="FF0000FF"/>
        <rFont val="宋体"/>
        <charset val="134"/>
      </rPr>
      <t>截</t>
    </r>
    <r>
      <rPr>
        <sz val="10"/>
        <color rgb="FF0000FF"/>
        <rFont val="Arial"/>
        <charset val="134"/>
      </rPr>
      <t>SI</t>
    </r>
  </si>
  <si>
    <t>94923-5.5</t>
  </si>
  <si>
    <t>NUEVOS ALMACENES, S.A.</t>
  </si>
  <si>
    <t>4504192366</t>
  </si>
  <si>
    <t>4500162922-80</t>
  </si>
  <si>
    <r>
      <rPr>
        <sz val="10"/>
        <color rgb="FF0000FF"/>
        <rFont val="Arial"/>
        <charset val="134"/>
      </rPr>
      <t xml:space="preserve">5/16 </t>
    </r>
    <r>
      <rPr>
        <sz val="10"/>
        <color rgb="FF0000FF"/>
        <rFont val="宋体"/>
        <charset val="134"/>
      </rPr>
      <t>第三方</t>
    </r>
  </si>
  <si>
    <r>
      <rPr>
        <sz val="11"/>
        <color rgb="FF0000FF"/>
        <rFont val="Arial"/>
        <charset val="0"/>
      </rPr>
      <t xml:space="preserve">5/17 </t>
    </r>
    <r>
      <rPr>
        <sz val="11"/>
        <color rgb="FF0000FF"/>
        <rFont val="宋体"/>
        <charset val="0"/>
      </rPr>
      <t>出货</t>
    </r>
  </si>
  <si>
    <t>4/8 UPC贴纸</t>
  </si>
  <si>
    <t>日期码格式：ZURU INC(BVI) 标准格式 日期：按实际生产日期
Packaging Info:77593GQ2:MA 3L EAN包装+UPC贴纸+箱唛，无进口商贴纸
Remark: 订单需第三方（QIMA)验货，无需签板，请多备料。
外箱上的箱唛资料会显示日期30-MAY-2025,产品/包装/外箱可以按ZURU 标准日期码打，也可以跟回外箱日期码，工厂自行选择,两者均可接受</t>
  </si>
  <si>
    <t>95154-5.30</t>
  </si>
  <si>
    <t>SUBURBIA S DE R. L. DE C. V.</t>
  </si>
  <si>
    <t>墨西哥</t>
  </si>
  <si>
    <t>6000056637</t>
  </si>
  <si>
    <t>4500162850-50</t>
  </si>
  <si>
    <t>有监柜要求，需要每款多准备一套完整物料，用于监柜</t>
  </si>
  <si>
    <r>
      <rPr>
        <sz val="10"/>
        <color rgb="FF0000FF"/>
        <rFont val="Arial"/>
        <charset val="134"/>
      </rPr>
      <t xml:space="preserve">6/13 </t>
    </r>
    <r>
      <rPr>
        <sz val="10"/>
        <color rgb="FF0000FF"/>
        <rFont val="宋体"/>
        <charset val="134"/>
      </rPr>
      <t>截</t>
    </r>
    <r>
      <rPr>
        <sz val="10"/>
        <color rgb="FF0000FF"/>
        <rFont val="Arial"/>
        <charset val="134"/>
      </rPr>
      <t>SI</t>
    </r>
  </si>
  <si>
    <t>外箱只需四面印Zuru logo</t>
  </si>
  <si>
    <t>5/9进口商贴纸+价标贴纸+说明书贴纸+5/26HU贴纸和ASN贴纸客供</t>
  </si>
  <si>
    <t>日期码格式：ZURU INC(BVI) 标准格式 日期：按实际生产日期
Packaging Info: 
77593GQ2：MA 多语 EAN 包装+MA 多语PDQ+MA多语说明书+进口商贴纸+价标贴纸+说明书贴纸
1. 外箱只需四面印Zuru logo，再加2张贴纸，1张Hu贴纸（条码贴），1张ASN贴纸（尺寸6.5cm*6.3cm,潘通色号2597C），都贴于侧唛，只需贴1面(HU贴纸和ASN贴
纸客供）
2. 一个外箱对应一个HU’S(条形码),不可以混条码包装
3.含有说明书需要增加说明书贴纸
4.价格贴纸覆盖原有包装的条形码
Remark:
此单有监柜要求，需要每款多准备一套完整物料，用于监柜，不可以随大货走</t>
  </si>
  <si>
    <t>95265-6.11</t>
  </si>
  <si>
    <t xml:space="preserve"> Sirius Sales (PTY) Ltd</t>
  </si>
  <si>
    <t>南非</t>
  </si>
  <si>
    <t>4500166516-20</t>
  </si>
  <si>
    <t>7/1 入仓</t>
  </si>
  <si>
    <t xml:space="preserve">日期码格式：ZURU INC(BVI) 标准格式 日期：按实际生产日期
Packaging Info: 1. MA UPC PKG(优先1L)
Remark: </t>
  </si>
  <si>
    <t xml:space="preserve"> Doris Shou</t>
  </si>
  <si>
    <t>95520-7.1</t>
  </si>
  <si>
    <t>荷兰</t>
  </si>
  <si>
    <t>91-21747</t>
  </si>
  <si>
    <t>4500167892-10</t>
  </si>
  <si>
    <t>7/5 送外厂</t>
  </si>
  <si>
    <t>6/4 NL警语贴纸</t>
  </si>
  <si>
    <t>日期码格式：ZURU INC(BVI) 标准格式 日期：按实际生产日期
Packaging Info:
77593SK-S002: MA A版3L EAN收缩膜+NL警语贴纸，MA A版 5L slime polybag+NL警语贴纸，MA A版 5L收藏指南，MA A版1L带Base展架（消耗slow moving库存）
Remark: 1.出欧洲荷兰，须符合欧洲微塑料法规（如item本身不含微塑料，则忽略此要求）
2.条码
4894680034709</t>
  </si>
  <si>
    <t>Nicole Ye</t>
  </si>
  <si>
    <t>95578-7.7</t>
  </si>
  <si>
    <t>77593SK-S002-3L</t>
  </si>
  <si>
    <t>TJX CANADA</t>
  </si>
  <si>
    <t>加拿大</t>
  </si>
  <si>
    <t>40276731 40276790</t>
  </si>
  <si>
    <t>4500171335-140</t>
  </si>
  <si>
    <t>77593GQ2-S002-NB</t>
  </si>
  <si>
    <t>8/4 截SI</t>
  </si>
  <si>
    <t>6/26 UPC 贴纸+7/16客供价格贴</t>
  </si>
  <si>
    <t>日期码格式：ZURU INC(BVI) 标准格式 日期：按实际生产日期
Packaging Info:
77593GQ2 无硼版本， 标版多语包装/说明书+多语PDQ , 加UPC 贴纸， UPC 193052066206
Remark: 出加拿大
有客供价格贴
每行对应不同的客户PO，唛头要一一对应， 放唛头时跟单会提供清单
Zuru验货.日期跟踪码：产品外包装及产品本身都必须有日期跟踪码，ZURU标准格式
日期码</t>
  </si>
  <si>
    <t>Summer Mo</t>
  </si>
  <si>
    <t>95906-8.4</t>
  </si>
  <si>
    <t>4500171335-240</t>
  </si>
  <si>
    <t>4500171335-330</t>
  </si>
  <si>
    <t>4500171335-420</t>
  </si>
  <si>
    <t>4500171335-510</t>
  </si>
  <si>
    <t>40279125 45276449</t>
  </si>
  <si>
    <t>4500171342-70</t>
  </si>
  <si>
    <t>96596-8.4</t>
  </si>
  <si>
    <t>NASA PANAMA</t>
  </si>
  <si>
    <t>巴拿马</t>
  </si>
  <si>
    <t>4500172103-160</t>
  </si>
  <si>
    <t>8/14 截SI</t>
  </si>
  <si>
    <t>7/25 UPC</t>
  </si>
  <si>
    <t>日期码格式：ZURU INC(BVI) 标准格式 日期：按实际生产日期
Packaging Info: 请确保包装上的条形码是UPC，如果是babyUPC，需要用mother UPC覆盖，如有不一致，请及时提出。谢谢!
77593GQ2: MA多语EAN 包装+MA 多语PDQ+UPC贴纸+ MA多语说明书+箱唛
Remark:</t>
  </si>
  <si>
    <t>Aimee Huang</t>
  </si>
  <si>
    <t>96595-4-9.30</t>
  </si>
  <si>
    <t>HOBBY LOBBY STORES, INC.</t>
  </si>
  <si>
    <t>W0726956</t>
  </si>
  <si>
    <t>4500171299-20</t>
  </si>
  <si>
    <t>8/20 截SI</t>
  </si>
  <si>
    <t>7/3价格贴纸+外箱条码贴纸</t>
  </si>
  <si>
    <t>日期码格式：ZURU INC(BVI) 标准格式 日期：按实际生产日期
Packaging Info: 1. MA UPC版包装，优先1L，需要加贴价格贴纸, 贴在产品包装正面右上角(价格贴纸文档跟单提供)，出美国。
2. 外箱正唛(2面)右下角贴条码贴纸各贴1张(即1面1张共2张),贴纸大小：2.75 x 1.5 inch。(跟单提供文档，工厂采购)
Remark: 1. 产品外包装及产品本身都必须有日期跟踪码，格式为：ZURU 标准日期码。
2. ZURU QC验货，无测试。
3. 产品配比按照MA标准配比执行。</t>
  </si>
  <si>
    <t>Yvonne Feng</t>
  </si>
  <si>
    <t>ZB01390-8.21</t>
  </si>
  <si>
    <t>DISTRIBUIDORA COMERCIAL DEL NORTE</t>
  </si>
  <si>
    <t>厄瓜多尔</t>
  </si>
  <si>
    <t>2025-0893</t>
  </si>
  <si>
    <t>4500170167-90</t>
  </si>
  <si>
    <t>8/24 截SI</t>
  </si>
  <si>
    <t>7/23进口商贴纸+Mother UPC贴纸</t>
  </si>
  <si>
    <t>日期码格式：ZURU INC(BVI) 标准格式 日期：按实际生产日期
Packaging Info:
77593GQ2:MA 多语 EAN 包装+Mother UPC贴纸+MA 多语PDQ+MA多语说明书+进口商贴纸+箱唛 Mother UPC：193052074867
Remark: ;</t>
  </si>
  <si>
    <t>96147-2-8.25</t>
  </si>
  <si>
    <t>W0734381</t>
  </si>
  <si>
    <t>4500176896-20</t>
  </si>
  <si>
    <t>8/20价格贴纸+外箱条码贴纸</t>
  </si>
  <si>
    <t>ZB02550-10.22</t>
  </si>
  <si>
    <t>W0738938</t>
  </si>
  <si>
    <t>4500179747-20</t>
  </si>
  <si>
    <t>11/6 截SI</t>
  </si>
  <si>
    <t>9/28价格贴纸+外箱条码贴纸</t>
  </si>
  <si>
    <t>ZB03096-11.25</t>
  </si>
  <si>
    <t>ROFU KINDERLAND SPIELWARENHANDELSGE</t>
  </si>
  <si>
    <t>德国</t>
  </si>
  <si>
    <t>4500180040-10</t>
  </si>
  <si>
    <t>77593-S001-NB</t>
  </si>
  <si>
    <t>S4迷你恐龙24PCS入GQ2/箱</t>
  </si>
  <si>
    <t>11/11 截SI</t>
  </si>
  <si>
    <t>11/17客供价格贴纸</t>
  </si>
  <si>
    <t>日期码格式：ZURU INC(BVI) 标准格式 日期：按实际生产日期
Packaging Info: 77593-S001(需更改无硼版本): 最新MA 3L+5LEAN包装+客供价格贴纸+5L警语收藏指南+5L Slime 袋
Remark: "1. 出口欧洲，微塑料需符合法规；
2. 所有电子产品身上需要加字唛，为ZURU FRANCE 地址 (如无电子产品/产品布标有此地址/产品太小无法增加，可忽略此信息)
ZURU FRANCE 33 rue Paul Meurice 75020 Paris, France.
3. 所有出往德国订单的电子产品需增加一张客版WEEE声明说明书，区分带电池(WEEE 带电池走货 通用30L 说明书)和不带电池版本(WEEE 不带电池走货 通用30L 说
明书)
4. 此单需要在CRD前一天预约ZURU QC验货提供验货图片给客户确认才能出货
5. 需准时完成生产，推期出货会有罚款。
6. 此客户要求含布标的毛绒公仔，需要额外贴一张布标贴纸，区分电子产品（带电布标贴纸)和非电子产品(不带电布标贴纸)"</t>
  </si>
  <si>
    <t>Winnie zhong</t>
  </si>
  <si>
    <t>96946-11.15</t>
  </si>
  <si>
    <t>W0750693</t>
  </si>
  <si>
    <t>4500188454-70</t>
  </si>
  <si>
    <t>12/17价格贴纸+外箱贴纸</t>
  </si>
  <si>
    <t>Eleven Zhang</t>
  </si>
  <si>
    <t>4500189203-40</t>
  </si>
  <si>
    <t>欠</t>
  </si>
  <si>
    <t>欠UPC贴纸</t>
  </si>
  <si>
    <t>日期码格式：ZURU INC(BVI) 标准格式 日期：按实际生产日期
Packaging Info: 请确保包装上的条形码是UPC，如果是babyUPC，需要用mother UPC覆盖，如有不一致，请及时提出。谢谢!
77593GQ2,,MA 多语EAN包装+UPC贴纸+MA多语收藏指南+MA PDQ+箱唛,,
Remark: 
Common: Equal ratio</t>
  </si>
  <si>
    <t>TOYZOONA LIMITED</t>
  </si>
  <si>
    <t>肯尼亚</t>
  </si>
  <si>
    <t>4500190681-30</t>
  </si>
  <si>
    <t>日期码格式：ZURU INC(BVI) 标准格式 日期：按实际生产日期
Packaging Info: MA PKG , 优先1L
(需留意此单外箱上无客户名称）
Remark: 此单按EXW +送货运费实报实销，需赶年前出货，请留意船务出货通知。</t>
  </si>
  <si>
    <t>Chelsea Luo</t>
  </si>
  <si>
    <t>24年年存+25年实际</t>
  </si>
  <si>
    <t>23年已删</t>
  </si>
  <si>
    <t>24年已删</t>
  </si>
  <si>
    <t>生产报数</t>
  </si>
  <si>
    <t>2/5 截SI</t>
  </si>
  <si>
    <t>ok</t>
  </si>
  <si>
    <t>2/2 截SI</t>
  </si>
  <si>
    <t>1/6UPC贴纸</t>
  </si>
  <si>
    <t>2/9 自提</t>
  </si>
  <si>
    <t>W0758454</t>
  </si>
  <si>
    <t>4500192693-60</t>
  </si>
  <si>
    <t>2/6价格贴纸+外箱条码贴纸</t>
  </si>
  <si>
    <t>日期码格式：ZURU INC(BVI) 标准格式 日期：按实际生产日期
Packaging Info: 1. MA 优先1L UPC版包装,需要加贴价格贴纸, 贴在产品包装正面右上角(价格贴纸文档跟单提供)，出美国。
2. 外箱正唛(2面)右下角贴条码贴纸各贴1张(即1面1张共2张),贴纸大小：2.75 x 1.5 inch。(跟单提供文档，工厂采购)
Remark: 1. 产品外包装及产品本身都必须有日期跟踪码，格式为：ZURU 标准日期码。
2. ZURU QC验货，无测试。
3. 产品配比按照MA标准配比执行。</t>
  </si>
  <si>
    <t>25年年存+26年实际</t>
  </si>
  <si>
    <t>25年已删</t>
  </si>
  <si>
    <t>ZURU  77489 Dino Strike S6 生产MA扣数</t>
  </si>
  <si>
    <t>MA訂單號</t>
  </si>
  <si>
    <t>日期</t>
  </si>
  <si>
    <t>85MM 球</t>
  </si>
  <si>
    <t>95MM 球</t>
  </si>
  <si>
    <r>
      <rPr>
        <sz val="11"/>
        <rFont val="Arial"/>
        <charset val="0"/>
      </rPr>
      <t>9</t>
    </r>
    <r>
      <rPr>
        <sz val="11"/>
        <rFont val="宋体"/>
        <charset val="0"/>
      </rPr>
      <t>款合計</t>
    </r>
  </si>
  <si>
    <r>
      <rPr>
        <sz val="11"/>
        <rFont val="Arial"/>
        <charset val="0"/>
      </rPr>
      <t>Slime</t>
    </r>
    <r>
      <rPr>
        <sz val="11"/>
        <rFont val="宋体"/>
        <charset val="0"/>
      </rPr>
      <t>有硼</t>
    </r>
  </si>
  <si>
    <r>
      <rPr>
        <sz val="11"/>
        <rFont val="Arial"/>
        <charset val="0"/>
      </rPr>
      <t>Slime</t>
    </r>
    <r>
      <rPr>
        <sz val="11"/>
        <rFont val="宋体"/>
        <charset val="0"/>
      </rPr>
      <t>无硼</t>
    </r>
  </si>
  <si>
    <r>
      <rPr>
        <sz val="11"/>
        <rFont val="Arial"/>
        <charset val="0"/>
      </rPr>
      <t>Slime</t>
    </r>
    <r>
      <rPr>
        <sz val="11"/>
        <rFont val="宋体"/>
        <charset val="0"/>
      </rPr>
      <t>无硼</t>
    </r>
    <r>
      <rPr>
        <sz val="11"/>
        <rFont val="Arial"/>
        <charset val="0"/>
      </rPr>
      <t>-</t>
    </r>
    <r>
      <rPr>
        <sz val="11"/>
        <rFont val="宋体"/>
        <charset val="0"/>
      </rPr>
      <t>无闪粉</t>
    </r>
  </si>
  <si>
    <r>
      <rPr>
        <sz val="11"/>
        <rFont val="Arial"/>
        <charset val="0"/>
      </rPr>
      <t>Slime</t>
    </r>
    <r>
      <rPr>
        <sz val="11"/>
        <rFont val="宋体"/>
        <charset val="0"/>
      </rPr>
      <t>有硼</t>
    </r>
    <r>
      <rPr>
        <sz val="11"/>
        <rFont val="Arial"/>
        <charset val="0"/>
      </rPr>
      <t>-</t>
    </r>
    <r>
      <rPr>
        <sz val="11"/>
        <rFont val="宋体"/>
        <charset val="0"/>
      </rPr>
      <t>无闪粉</t>
    </r>
  </si>
  <si>
    <t>要求完成时间</t>
  </si>
  <si>
    <t>口水胶原MOQ 5W，客人沟通确认最终可按2W接单</t>
  </si>
  <si>
    <t>MA-RR-907</t>
  </si>
  <si>
    <t>85MMM球壳</t>
  </si>
  <si>
    <t>新增口水胶</t>
  </si>
  <si>
    <t>MA-RR-980</t>
  </si>
  <si>
    <t>MA-RR-1025</t>
  </si>
  <si>
    <t>增加95MM球壳50K，增加对应DEMO公仔数量</t>
  </si>
  <si>
    <t>MA-RR-1085</t>
  </si>
  <si>
    <t>MA-RR-1184</t>
  </si>
  <si>
    <t>MA-RR-1298</t>
  </si>
  <si>
    <t>MA-RR-1363</t>
  </si>
  <si>
    <r>
      <rPr>
        <sz val="11"/>
        <rFont val="Arial"/>
        <charset val="0"/>
      </rPr>
      <t>MA</t>
    </r>
    <r>
      <rPr>
        <sz val="11"/>
        <rFont val="宋体"/>
        <charset val="134"/>
      </rPr>
      <t>合計</t>
    </r>
  </si>
  <si>
    <t>接单数量</t>
  </si>
  <si>
    <r>
      <rPr>
        <sz val="11"/>
        <rFont val="Arial"/>
        <charset val="0"/>
      </rPr>
      <t>MA</t>
    </r>
    <r>
      <rPr>
        <sz val="11"/>
        <rFont val="宋体"/>
        <charset val="134"/>
      </rPr>
      <t>半成品剩余数</t>
    </r>
  </si>
  <si>
    <t>清零</t>
  </si>
  <si>
    <t>实际库存</t>
  </si>
  <si>
    <t>合计放订口水胶</t>
  </si>
  <si>
    <t>库存合计数</t>
  </si>
  <si>
    <t>剩余未订购口水胶数</t>
  </si>
  <si>
    <t>能接单合计</t>
  </si>
  <si>
    <t>展示公仔</t>
  </si>
  <si>
    <t>ITEM</t>
  </si>
  <si>
    <t>名称</t>
  </si>
  <si>
    <t>23年已删掉</t>
  </si>
  <si>
    <t>25年</t>
  </si>
  <si>
    <t>77489SK</t>
  </si>
  <si>
    <t>翼龙</t>
  </si>
  <si>
    <t>普通暴龙</t>
  </si>
  <si>
    <t>77489SK1</t>
  </si>
  <si>
    <t>77593SK</t>
  </si>
  <si>
    <t>卡车</t>
  </si>
  <si>
    <t>77593SK1</t>
  </si>
  <si>
    <t>合计</t>
  </si>
  <si>
    <r>
      <rPr>
        <b/>
        <sz val="14"/>
        <rFont val="Arial"/>
        <charset val="0"/>
      </rPr>
      <t>5 surprise Dino S6</t>
    </r>
    <r>
      <rPr>
        <b/>
        <sz val="14"/>
        <rFont val="宋体"/>
        <charset val="0"/>
      </rPr>
      <t>（恐龙系列）</t>
    </r>
    <r>
      <rPr>
        <b/>
        <sz val="14"/>
        <rFont val="Arial"/>
        <charset val="0"/>
      </rPr>
      <t>MA</t>
    </r>
    <r>
      <rPr>
        <b/>
        <sz val="14"/>
        <rFont val="宋体"/>
        <charset val="0"/>
      </rPr>
      <t>包裝扣数表</t>
    </r>
  </si>
  <si>
    <r>
      <rPr>
        <b/>
        <sz val="14"/>
        <rFont val="Arial"/>
        <charset val="0"/>
      </rPr>
      <t>5 surprise Dino S6 77593</t>
    </r>
    <r>
      <rPr>
        <b/>
        <sz val="14"/>
        <rFont val="宋体"/>
        <charset val="0"/>
      </rPr>
      <t>（恐龙系列）</t>
    </r>
    <r>
      <rPr>
        <b/>
        <sz val="14"/>
        <rFont val="Arial"/>
        <charset val="0"/>
      </rPr>
      <t>MA</t>
    </r>
    <r>
      <rPr>
        <b/>
        <sz val="14"/>
        <rFont val="宋体"/>
        <charset val="0"/>
      </rPr>
      <t>包裝扣数表</t>
    </r>
  </si>
  <si>
    <r>
      <rPr>
        <sz val="10"/>
        <rFont val="宋体"/>
        <charset val="134"/>
      </rPr>
      <t>日期</t>
    </r>
  </si>
  <si>
    <r>
      <rPr>
        <sz val="10"/>
        <rFont val="宋体"/>
        <charset val="134"/>
      </rPr>
      <t>MA PO</t>
    </r>
  </si>
  <si>
    <t>货号</t>
  </si>
  <si>
    <t>包材</t>
  </si>
  <si>
    <t>数量</t>
  </si>
  <si>
    <t>版本</t>
  </si>
  <si>
    <t>ZURU跟进负责人员</t>
  </si>
  <si>
    <t>收縮膜</t>
  </si>
  <si>
    <t>收藏指南</t>
  </si>
  <si>
    <r>
      <rPr>
        <b/>
        <sz val="11"/>
        <rFont val="Arial"/>
        <charset val="0"/>
      </rPr>
      <t>GQ2 PDQ</t>
    </r>
    <r>
      <rPr>
        <b/>
        <sz val="11"/>
        <rFont val="宋体"/>
        <charset val="0"/>
      </rPr>
      <t>盒</t>
    </r>
  </si>
  <si>
    <r>
      <rPr>
        <b/>
        <sz val="11"/>
        <rFont val="Arial"/>
        <charset val="0"/>
      </rPr>
      <t>GQ1 PDQ</t>
    </r>
    <r>
      <rPr>
        <b/>
        <sz val="11"/>
        <rFont val="宋体"/>
        <charset val="0"/>
      </rPr>
      <t>盒</t>
    </r>
  </si>
  <si>
    <t>77523  2 PK</t>
  </si>
  <si>
    <r>
      <rPr>
        <b/>
        <sz val="11"/>
        <rFont val="Arial"/>
        <charset val="0"/>
      </rPr>
      <t>SK</t>
    </r>
    <r>
      <rPr>
        <b/>
        <sz val="11"/>
        <rFont val="宋体"/>
        <charset val="0"/>
      </rPr>
      <t>展示架</t>
    </r>
  </si>
  <si>
    <t>GQ2</t>
  </si>
  <si>
    <t>GQ1</t>
  </si>
  <si>
    <t>GQ4</t>
  </si>
  <si>
    <t>77614 2PK</t>
  </si>
  <si>
    <r>
      <rPr>
        <b/>
        <sz val="11"/>
        <rFont val="Arial"/>
        <charset val="0"/>
      </rPr>
      <t>MA 1L
A</t>
    </r>
    <r>
      <rPr>
        <b/>
        <sz val="11"/>
        <rFont val="宋体"/>
        <charset val="0"/>
      </rPr>
      <t>版本</t>
    </r>
  </si>
  <si>
    <r>
      <rPr>
        <b/>
        <sz val="11"/>
        <rFont val="Arial"/>
        <charset val="0"/>
      </rPr>
      <t>MA 3L
A</t>
    </r>
    <r>
      <rPr>
        <b/>
        <sz val="11"/>
        <rFont val="宋体"/>
        <charset val="0"/>
      </rPr>
      <t>版本</t>
    </r>
  </si>
  <si>
    <r>
      <rPr>
        <b/>
        <sz val="11"/>
        <rFont val="Arial"/>
        <charset val="0"/>
      </rPr>
      <t>MA 5L
A</t>
    </r>
    <r>
      <rPr>
        <b/>
        <sz val="11"/>
        <rFont val="宋体"/>
        <charset val="0"/>
      </rPr>
      <t>版本</t>
    </r>
  </si>
  <si>
    <t>无UPC条码收缩膜</t>
  </si>
  <si>
    <t>PVC圆筒</t>
  </si>
  <si>
    <t>彩纸</t>
  </si>
  <si>
    <t>SK1</t>
  </si>
  <si>
    <t>底座</t>
  </si>
  <si>
    <r>
      <rPr>
        <b/>
        <sz val="11"/>
        <rFont val="Arial"/>
        <charset val="0"/>
      </rPr>
      <t>WM</t>
    </r>
    <r>
      <rPr>
        <b/>
        <sz val="11"/>
        <rFont val="宋体"/>
        <charset val="0"/>
      </rPr>
      <t>客版</t>
    </r>
  </si>
  <si>
    <r>
      <rPr>
        <b/>
        <sz val="11"/>
        <rFont val="宋体"/>
        <charset val="0"/>
      </rPr>
      <t>彩纸</t>
    </r>
    <r>
      <rPr>
        <b/>
        <sz val="11"/>
        <rFont val="Arial"/>
        <charset val="0"/>
      </rPr>
      <t>1L</t>
    </r>
  </si>
  <si>
    <r>
      <rPr>
        <b/>
        <sz val="11"/>
        <rFont val="宋体"/>
        <charset val="0"/>
      </rPr>
      <t>彩纸3</t>
    </r>
    <r>
      <rPr>
        <b/>
        <sz val="11"/>
        <rFont val="Arial"/>
        <charset val="0"/>
      </rPr>
      <t>L</t>
    </r>
  </si>
  <si>
    <t>1000015853</t>
  </si>
  <si>
    <t>shrink wrap</t>
  </si>
  <si>
    <t>A 1L</t>
  </si>
  <si>
    <t>Philo Yuan</t>
  </si>
  <si>
    <t>collector guide</t>
  </si>
  <si>
    <t>5L</t>
  </si>
  <si>
    <t>说明书请对应每款公仔的Ratio配套订，不单独建MA number</t>
  </si>
  <si>
    <t>1000015854</t>
  </si>
  <si>
    <t>A 5L</t>
  </si>
  <si>
    <t>1L</t>
  </si>
  <si>
    <t>1000015855</t>
  </si>
  <si>
    <t>77489GQ1</t>
  </si>
  <si>
    <t>PDQ 12pcs</t>
  </si>
  <si>
    <t>PDQ 24 pcs</t>
  </si>
  <si>
    <t>1000015926</t>
  </si>
  <si>
    <t>77489GQ2</t>
  </si>
  <si>
    <t>PVC  Tube(2PK)</t>
  </si>
  <si>
    <t>Crystal用于#4500125765-504pcs；#4500125759-504pcs；#4500125756-504pcs；#4500124874-768pcs</t>
  </si>
  <si>
    <t>1000016130</t>
  </si>
  <si>
    <t>Art Paper</t>
  </si>
  <si>
    <t>1000016131</t>
  </si>
  <si>
    <t>77489SK-S001</t>
  </si>
  <si>
    <t>Sidekick</t>
  </si>
  <si>
    <t>Sticker</t>
  </si>
  <si>
    <t>77489SK-S002</t>
  </si>
  <si>
    <t>Base</t>
  </si>
  <si>
    <t>PDQ 13 pcs</t>
  </si>
  <si>
    <t>77593GQ4</t>
  </si>
  <si>
    <t>PDQ 13</t>
  </si>
  <si>
    <t>Daisy.Li</t>
  </si>
  <si>
    <t>Maggie 用于订单 4500128532 4500128533 4500128867 4500128863 4500128865 4500128864 4500128866</t>
  </si>
  <si>
    <t>A 3L</t>
  </si>
  <si>
    <t>Peggy Wu</t>
  </si>
  <si>
    <t>Agnes用于#4500127793，剩余数量可用于其他订单4500128123</t>
  </si>
  <si>
    <t>Agnes用于#4500127793，剩余数量可用于其他订单</t>
  </si>
  <si>
    <t>3L</t>
  </si>
  <si>
    <t>PVC  Tube</t>
  </si>
  <si>
    <t>Crystal</t>
  </si>
  <si>
    <t>Crystal用于#4500114791-512pcs;#4500114794 -512pcs;#4500114776-512pcs;#4500114788-560pcs;#4500114790-512pcs</t>
  </si>
  <si>
    <t>PDQ</t>
  </si>
  <si>
    <t>N/A</t>
  </si>
  <si>
    <t>Maggie 用于订单 4500131238</t>
  </si>
  <si>
    <t>Lid sticker</t>
  </si>
  <si>
    <t>1000017102</t>
  </si>
  <si>
    <t>Shrink Wrap</t>
  </si>
  <si>
    <t>Jenny Shen</t>
  </si>
  <si>
    <t>此单按单订购不另建MA PO</t>
  </si>
  <si>
    <t>Crystal用于订单4500134977</t>
  </si>
  <si>
    <t>Art Paper（2PK)</t>
  </si>
  <si>
    <t>Lid sticker(2PK)</t>
  </si>
  <si>
    <t>Violet Chen</t>
  </si>
  <si>
    <t>Cora用于订单Bealls outlet 4500131027</t>
  </si>
  <si>
    <t>用于Yvonne 4500116752/4500118409/4500116774</t>
  </si>
  <si>
    <t>1/3L共用</t>
  </si>
  <si>
    <t>Shrink Wrap(without UPC)</t>
  </si>
  <si>
    <t>1L without UPC</t>
  </si>
  <si>
    <t>本次放订为12/13号MA数量补数</t>
  </si>
  <si>
    <t>用于Yvonne 4500121474/4500121471/4500121472/4500121474/4500121476</t>
  </si>
  <si>
    <t>Mia用于4500139220 CA/4500139232 CA/4500139401/4500139475</t>
  </si>
  <si>
    <t>77489（for 77523）</t>
  </si>
  <si>
    <t>用于Yvonne 4500122523</t>
  </si>
  <si>
    <t>77593SK-S001</t>
  </si>
  <si>
    <t>仅采购底座</t>
  </si>
  <si>
    <t>消耗多的15072pcs</t>
  </si>
  <si>
    <t>77593SK1-S001</t>
  </si>
  <si>
    <t>Linda Li</t>
  </si>
  <si>
    <t>最后一次放订，请根据实际库存补齐MA欠数订购</t>
  </si>
  <si>
    <r>
      <rPr>
        <sz val="10"/>
        <rFont val="宋体"/>
        <charset val="134"/>
      </rPr>
      <t>合计MA数量</t>
    </r>
  </si>
  <si>
    <r>
      <rPr>
        <sz val="10"/>
        <rFont val="Arial"/>
        <charset val="0"/>
      </rPr>
      <t>MA</t>
    </r>
    <r>
      <rPr>
        <sz val="10"/>
        <rFont val="宋体"/>
        <charset val="0"/>
      </rPr>
      <t>库存数</t>
    </r>
  </si>
  <si>
    <t>GQ5客版</t>
  </si>
  <si>
    <t>截止7/15 实际库存</t>
  </si>
  <si>
    <t>GQ2吸塑盒</t>
  </si>
  <si>
    <t>GQ2吸塑托</t>
  </si>
  <si>
    <t>卡纸</t>
  </si>
  <si>
    <t>ZURU订单走货日期</t>
  </si>
  <si>
    <t>ZURU验货
日期</t>
  </si>
  <si>
    <t>第三方客户公证行验货</t>
  </si>
  <si>
    <t>驗貨結果</t>
  </si>
  <si>
    <t>ZURU确认走货日期</t>
  </si>
  <si>
    <t>發票號</t>
  </si>
  <si>
    <t>完货情况</t>
  </si>
  <si>
    <r>
      <rPr>
        <b/>
        <sz val="11"/>
        <rFont val="Arial"/>
        <charset val="0"/>
      </rPr>
      <t>MA  1</t>
    </r>
    <r>
      <rPr>
        <b/>
        <sz val="11"/>
        <rFont val="宋体"/>
        <charset val="134"/>
      </rPr>
      <t>语收缩膜</t>
    </r>
    <r>
      <rPr>
        <b/>
        <sz val="11"/>
        <rFont val="Arial"/>
        <charset val="0"/>
      </rPr>
      <t xml:space="preserve">
A</t>
    </r>
    <r>
      <rPr>
        <b/>
        <sz val="11"/>
        <rFont val="宋体"/>
        <charset val="134"/>
      </rPr>
      <t>版本</t>
    </r>
  </si>
  <si>
    <r>
      <rPr>
        <b/>
        <sz val="11"/>
        <rFont val="Arial"/>
        <charset val="0"/>
      </rPr>
      <t>MA  1</t>
    </r>
    <r>
      <rPr>
        <b/>
        <sz val="11"/>
        <rFont val="宋体"/>
        <charset val="0"/>
      </rPr>
      <t>语收缩膜</t>
    </r>
    <r>
      <rPr>
        <b/>
        <sz val="11"/>
        <rFont val="Arial"/>
        <charset val="0"/>
      </rPr>
      <t xml:space="preserve">
B</t>
    </r>
    <r>
      <rPr>
        <b/>
        <sz val="11"/>
        <rFont val="宋体"/>
        <charset val="0"/>
      </rPr>
      <t>版本</t>
    </r>
  </si>
  <si>
    <r>
      <rPr>
        <b/>
        <sz val="11"/>
        <color rgb="FFFF0000"/>
        <rFont val="Arial"/>
        <charset val="0"/>
      </rPr>
      <t>MA  3</t>
    </r>
    <r>
      <rPr>
        <b/>
        <sz val="11"/>
        <color indexed="10"/>
        <rFont val="宋体"/>
        <charset val="134"/>
      </rPr>
      <t>语收缩膜</t>
    </r>
    <r>
      <rPr>
        <b/>
        <sz val="11"/>
        <color rgb="FFFF0000"/>
        <rFont val="Arial"/>
        <charset val="0"/>
      </rPr>
      <t xml:space="preserve">
A</t>
    </r>
    <r>
      <rPr>
        <b/>
        <sz val="11"/>
        <color indexed="10"/>
        <rFont val="宋体"/>
        <charset val="134"/>
      </rPr>
      <t>版本</t>
    </r>
  </si>
  <si>
    <t>客版
收缩膜</t>
  </si>
  <si>
    <r>
      <rPr>
        <b/>
        <sz val="11"/>
        <rFont val="Arial"/>
        <charset val="0"/>
      </rPr>
      <t>MA  1</t>
    </r>
    <r>
      <rPr>
        <b/>
        <sz val="11"/>
        <rFont val="宋体"/>
        <charset val="134"/>
      </rPr>
      <t>语收藏指南</t>
    </r>
    <r>
      <rPr>
        <b/>
        <sz val="11"/>
        <rFont val="Arial"/>
        <charset val="0"/>
      </rPr>
      <t xml:space="preserve">
A</t>
    </r>
    <r>
      <rPr>
        <b/>
        <sz val="11"/>
        <rFont val="宋体"/>
        <charset val="134"/>
      </rPr>
      <t>版本</t>
    </r>
  </si>
  <si>
    <r>
      <rPr>
        <b/>
        <sz val="11"/>
        <color rgb="FFFF0000"/>
        <rFont val="Arial"/>
        <charset val="0"/>
      </rPr>
      <t>MA  3</t>
    </r>
    <r>
      <rPr>
        <b/>
        <sz val="11"/>
        <color indexed="10"/>
        <rFont val="宋体"/>
        <charset val="134"/>
      </rPr>
      <t>语收藏指南</t>
    </r>
    <r>
      <rPr>
        <b/>
        <sz val="11"/>
        <color rgb="FFFF0000"/>
        <rFont val="Arial"/>
        <charset val="0"/>
      </rPr>
      <t xml:space="preserve">
A</t>
    </r>
    <r>
      <rPr>
        <b/>
        <sz val="11"/>
        <color indexed="10"/>
        <rFont val="宋体"/>
        <charset val="134"/>
      </rPr>
      <t>版本</t>
    </r>
  </si>
  <si>
    <t>客版
收藏指南</t>
  </si>
  <si>
    <r>
      <rPr>
        <b/>
        <sz val="11"/>
        <rFont val="Arial"/>
        <charset val="0"/>
      </rPr>
      <t>MA 1</t>
    </r>
    <r>
      <rPr>
        <b/>
        <sz val="11"/>
        <rFont val="宋体"/>
        <charset val="134"/>
      </rPr>
      <t>語说明书</t>
    </r>
    <r>
      <rPr>
        <b/>
        <sz val="11"/>
        <rFont val="Arial"/>
        <charset val="0"/>
      </rPr>
      <t xml:space="preserve">
A</t>
    </r>
    <r>
      <rPr>
        <b/>
        <sz val="11"/>
        <rFont val="宋体"/>
        <charset val="134"/>
      </rPr>
      <t>版本</t>
    </r>
  </si>
  <si>
    <r>
      <rPr>
        <b/>
        <sz val="11"/>
        <color rgb="FFFF0000"/>
        <rFont val="Arial"/>
        <charset val="0"/>
      </rPr>
      <t>MA 3</t>
    </r>
    <r>
      <rPr>
        <b/>
        <sz val="11"/>
        <color indexed="10"/>
        <rFont val="宋体"/>
        <charset val="134"/>
      </rPr>
      <t>語说明书</t>
    </r>
    <r>
      <rPr>
        <b/>
        <sz val="11"/>
        <color rgb="FFFF0000"/>
        <rFont val="Arial"/>
        <charset val="0"/>
      </rPr>
      <t xml:space="preserve">
A</t>
    </r>
    <r>
      <rPr>
        <b/>
        <sz val="11"/>
        <color indexed="10"/>
        <rFont val="宋体"/>
        <charset val="134"/>
      </rPr>
      <t>版本</t>
    </r>
  </si>
  <si>
    <t>客版
說明書</t>
  </si>
  <si>
    <t>GQ2
24pcs装
MA PDQ</t>
  </si>
  <si>
    <t>GQ2
24pcs装
英法文版本</t>
  </si>
  <si>
    <t>GQ2
50pcs装
MA PDQ</t>
  </si>
  <si>
    <t>GQ1
1语
A版本</t>
  </si>
  <si>
    <t>GQ1
1语
B版本</t>
  </si>
  <si>
    <t>GQ1
英法文版本</t>
  </si>
  <si>
    <t>GQ1
1语
客版中文</t>
  </si>
  <si>
    <t>SQ1-S001
MA 1L版本</t>
  </si>
  <si>
    <t>SQ2
1语版本</t>
  </si>
  <si>
    <t>SQ3
1语版本</t>
  </si>
  <si>
    <t>SK1-S001
Target专用</t>
  </si>
  <si>
    <t>SK-S001
无底座展示架</t>
  </si>
  <si>
    <t>SK-S002
有底座展示架
1语</t>
  </si>
  <si>
    <t>SK-S002
有底座展示架
3语</t>
  </si>
  <si>
    <r>
      <rPr>
        <b/>
        <sz val="11"/>
        <rFont val="Arial"/>
        <charset val="0"/>
      </rPr>
      <t xml:space="preserve">Dilophosaurus
</t>
    </r>
    <r>
      <rPr>
        <b/>
        <sz val="11"/>
        <rFont val="宋体"/>
        <charset val="134"/>
      </rPr>
      <t>双棘龙</t>
    </r>
  </si>
  <si>
    <t>Truck (Rare)
卡车特别款</t>
  </si>
  <si>
    <t>生產狀態</t>
  </si>
  <si>
    <t>毛絨狀態</t>
  </si>
  <si>
    <t>TESCO  UK</t>
  </si>
  <si>
    <t>Sheba</t>
  </si>
  <si>
    <t>惊喜球PDQ</t>
  </si>
  <si>
    <t>7794SQ2-S002</t>
  </si>
  <si>
    <t>2021/11/1 2021/9/10取消订单</t>
  </si>
  <si>
    <t>2021/11/4 2021/9/10取消订单</t>
  </si>
  <si>
    <t>未生产</t>
  </si>
  <si>
    <t>暂停生产</t>
  </si>
  <si>
    <t>日期码格式：ZURU 标准格式 日期：按实际生产日期
Remark: 
2.7794SQ2:MA收缩膜A1L版 + EAN条码（EAN#4894680011694)+一张UKCA Mark贴纸贴在收缩膜上+一张防盗标贴纸贴在球的顶部+一张UKCA Mark贴纸贴在产品上(位置
图靠近CE Mark不遮住任何信息，若产品上已经有了UKCA Mark标志则不需要额外加此贴纸在产品上，需要发图片给跟单参考)+MA说明书/收藏指南1L版+客版PDQ 1L版
(3Facing12pcs/PDQ)+一张ITF贴纸（内箱正唛一面贴一张ITF贴纸，此贴纸工厂自行采购) +两张BD贴纸(外箱正唛/侧唛右上角各贴一张,该贴纸由ZURU跟单提供）IT
F/BD贴纸大小为11*5.8CM，箱嘪排版时请保留足够的位置;
-EAN贴纸和位置图，ITF贴纸，客版PDQ翻PO#4500048108，UKCA Mark贴纸位置图待提供;
4.裝櫃必須按TPND順序 (條形碼貼紙或正嘜必須要朝外向車門外)</t>
  </si>
  <si>
    <t>2021/10/4 2021/9/10取消订单</t>
  </si>
  <si>
    <t>2021/10/8 2021/9/10取消订单</t>
  </si>
  <si>
    <t>8/9 客供BD贴纸</t>
  </si>
  <si>
    <t>日期码格式：ZURU 标准格式 日期：按实际生产日期
Remark: 
5.7794SQ2:MA收缩膜A1L版 + EAN条码（EAN#4894680011694)+一张防盗标贴纸+MA说明书/收藏指南1L版+客版PDQ 1L版(3Facing12pcs/PDQ)+一张ITF贴纸（内箱正唛
一面贴一张ITF贴纸，此贴纸工厂自行采购) +两张BD贴纸(外箱正唛/侧唛右上角各贴一张,该贴纸由ZURU跟单提供）ITF/BD贴纸大小为11*5.8CM，箱嘪排版时请保留
足够的位置;-翻PO#4500048108;
6.裝櫃必須按TPND順序 (條形碼貼紙或正嘜必須要朝外向車門外)</t>
  </si>
  <si>
    <t>WAL-MART CANADA CORP.</t>
  </si>
  <si>
    <t>4501009936</t>
  </si>
  <si>
    <t>WM TEAM</t>
  </si>
  <si>
    <t>惊喜球</t>
  </si>
  <si>
    <t>7794GQ1-S001</t>
  </si>
  <si>
    <t>2021/8/9 2021/9/10取消订单</t>
  </si>
  <si>
    <t>8/12 自检</t>
  </si>
  <si>
    <t>2021/6/27 2021/9/10取消订单</t>
  </si>
  <si>
    <t>已完货</t>
  </si>
  <si>
    <t>日期码格式： ZURU DGYYYYMMDD CHINA(日期避开周末和法定节假日即可） 日期：按实际生产日期
Remark: 1.包装方式：MA 3L A版本收缩膜+MA 3L A版本收藏指南+MA 3L A版本说明书+客版3L 12pcs装PDQ,翻单：4500047320
2.此单需要第三方验货，烦请多备包装物料
3.此单有箱唛待提供
4.T-rex/ Stegosaurus/ Brontosaurus/ Dilophosaurus/ Pterosaur/ Amargasaurus/ Helicopter/ Truck, 1 rare T-rex or truck per 48pcs.2 rares in 96 PCS</t>
  </si>
  <si>
    <t>2021/7/26  2021.5.25取消订单</t>
  </si>
  <si>
    <t>2021/7/28 2021.5.25取消订单</t>
  </si>
  <si>
    <r>
      <rPr>
        <sz val="9"/>
        <color rgb="FFFF0000"/>
        <rFont val="Arial"/>
        <charset val="0"/>
      </rPr>
      <t>5.24</t>
    </r>
    <r>
      <rPr>
        <sz val="9"/>
        <color rgb="FFFF0000"/>
        <rFont val="宋体"/>
        <charset val="0"/>
      </rPr>
      <t>取消</t>
    </r>
  </si>
  <si>
    <t>Wal-mart Dotcom</t>
  </si>
  <si>
    <t>TBA</t>
  </si>
  <si>
    <t>MO8888881</t>
  </si>
  <si>
    <t>Estate</t>
  </si>
  <si>
    <t>惊喜球3PK
PVC圆筒装</t>
  </si>
  <si>
    <t>77110-S001</t>
  </si>
  <si>
    <t>取消单，转实单</t>
  </si>
  <si>
    <t>空白箱+ZURU logo</t>
  </si>
  <si>
    <t>欠外箱贴纸</t>
  </si>
  <si>
    <t>1.77110：MA1L 包装+MA1L收藏指南+MA说明书+PVC圆筒，翻单4500039604 2.空白外箱（需四面右下角有ZURU的Logo)+白色艾利贴纸，白色贴纸照以往的包装操作贴在主唛左前下角。3.在产品上和包装上和外箱上要有日期码ZURU DGYYYYMMDD CHINA、MADE IN CHINA和ZURU字样。 5.产品信息：77110:T-rex/ Stegosaurus/ Brontosaurus/ Dilophosaurus/ Pterosaur/ Amargasaurus/ Helicopter/ Truck, 1 rare T-rex or truck per 16pcs.2 rares in 32 PCS</t>
  </si>
  <si>
    <t>2021/5/14 2021/9/10取消订单</t>
  </si>
  <si>
    <t>5/14抽办
6/2 BV验货 HOLD</t>
  </si>
  <si>
    <t>2021/5/17 2021/9/10取消订单</t>
  </si>
  <si>
    <t>6/5-6/8 截仓</t>
  </si>
  <si>
    <t>日期码格式： ZURU DGYYYYMMDD CHINA(日期避开周末和法定节假日即可） 日期：按实际生产日期
Remark: 1.包装方式：MA 3L A版本收缩膜+MA 3L A版本收藏指南+MA 3L A版本说明书+客版3L 12pcs装PDQ
2.此单需要第三方验货，烦请多备包装物料
3.此单有箱唛待提供
4.此单需要签板，烦请多备样板（4pcs球+2套完整的配件+1pcsPDQ)
5.此单需要产中抽板测试，完成大货的10%，会抽走4套给到实验室测试
6.T-rex/ Stegosaurus/ Brontosaurus/ Dilophosaurus/ Pterosaur/ Amargasaurus/ Helicopter/ Truck, 1 rare T-rex or truck per 48pcs.2 rares in 96 PCS</t>
  </si>
  <si>
    <t>UPD INC</t>
  </si>
  <si>
    <t>28553</t>
  </si>
  <si>
    <t>Cara</t>
  </si>
  <si>
    <t>7794GQ2-S002</t>
  </si>
  <si>
    <t>2021/11/27 2021/10/29日取消订单</t>
  </si>
  <si>
    <t>2021/12/1 2021/10/29日取消订单</t>
  </si>
  <si>
    <t>日期码格式：ZURU 标准格式 日期：按实际生产日期
Remark: 1. MA UPC 最新包装
2. 外箱箱唛红色和黑色双色印刷。
3. 产品和包装上印刷tracking code信息，格式为ZURU常规。
4 我司QC 验货合格后方可出货
5. 整柜出货</t>
  </si>
  <si>
    <t>Wal-mart US</t>
  </si>
  <si>
    <t>MO20210930</t>
  </si>
  <si>
    <t>迷你恐龙卡板装</t>
  </si>
  <si>
    <t>77200GQ2-S001
77200SLB-S001</t>
  </si>
  <si>
    <t>2021/11/15 2021/10/12日转实单</t>
  </si>
  <si>
    <t>2021/11/18 2021/10/12日转实单</t>
  </si>
  <si>
    <t>1.包装要求：
77200：MA 1L收缩膜+MA收藏指南+MA说明书+MA PDQ
2. 在原来的空白外箱基础上增加了UPC内容，在加印的时候确保条形码能扫描出来（需四面右下角有ZURU的Logo）,UPC内容待提供，外箱侧面任一角落加印：“MADE IN CHINA” 字样；
3.每个slip sheet上面贴一张艾利贴纸和一张普通贴纸（可A4纸打印），slip sheet打印的普通贴纸的尺寸不能比艾利贴纸小，普通贴纸内容见附件。
4. 在产品上和包装上要有日期码、以及要有MADE IN CHINA和ZURU字样；
5. 产品如有扎带口要剪平，不能刮手。
6. 此单需要验货，请自行多备包装物料。
7.77200：24pcs/PDQ/CTN.60箱/slip sheet，此单以slip sheet出货</t>
  </si>
  <si>
    <t>7100618883</t>
  </si>
  <si>
    <t>迷你恐龙</t>
  </si>
  <si>
    <t>77200GQ1-S001</t>
  </si>
  <si>
    <t>2021/12/4 2021/10/28日取消订单</t>
  </si>
  <si>
    <t>2021/12/8 2021/10/28日取消订单</t>
  </si>
  <si>
    <t>日期码格式：ZURU 标准格式 日期：按实际生产日期
Remark: 1.包装方式：MA3L 说明书+MA3L 收藏指南+客版2L PDQ+MA3L 收缩膜（翻单：4500059991
2.有箱唛待提供
3.有第三方验货，烦请多包备包装物料</t>
  </si>
  <si>
    <t>TARGET US</t>
  </si>
  <si>
    <t>0087-3652533-0581</t>
  </si>
  <si>
    <t>Holly Zheng/ Cherish Yao</t>
  </si>
  <si>
    <t>2022/3/11 2021/12/16日取消订单</t>
  </si>
  <si>
    <t>2022/3/15 2021/12/16日取消订单</t>
  </si>
  <si>
    <t>日期码格式：ZURU 标准格式 日期：按实际生产日期
Remark: 1. 77200GQ1-S001: 12pcs/Gravity PDQ , 12pcs/CTN, MA 1L 收缩膜+说明书，客版PDQ, 产品UPC 显示193052033024
2. 产品和包装上均要印刷tracking code信息，格式为ZURU常规格式。
3. 外箱正唛右上角位置粘贴条码箱贴纸，每箱只贴一张由ZURU订购。来料显示DPCI 087-16-9780,UPC 显示10193052033021.外箱贴人工费用$11.1 已经加在订单中.
4. 出货方式：货代自提</t>
  </si>
  <si>
    <t>0087-1739920-0581</t>
  </si>
  <si>
    <t>2022/3/25 2021/12/16日取消订单</t>
  </si>
  <si>
    <t>2022/3/29 2021/12/16日取消订单</t>
  </si>
  <si>
    <t>日期码格式：ZURU 标准格式 日期：按实际生产日期
Remark: 1. 77200GQ1-S001: 12pcs/Gravity PDQ , 12pcs/CTN, MA 1L 收缩膜+说明书，客版PDQ, 产品UPC 显示193052033024
2. 产品和包装上均要印刷tracking code信息，格式为ZURU常规格式。
3. 外箱正唛右上角位置粘贴条码箱贴纸，每箱只贴一张由ZURU订购。来料显示DPCI 087-16-9780,UPC 显示10193052033021.外箱贴人工费用$5.55已经加在订单中.
4. 出货方式：货代自提</t>
  </si>
  <si>
    <t>0087-9687827-0581</t>
  </si>
  <si>
    <t>2022/4/8 2021/12/16日取消订单</t>
  </si>
  <si>
    <t>2022/4/12 2021/12/16日取消订单</t>
  </si>
  <si>
    <t>日期码格式：ZURU 标准格式 日期：按实际生产日期
Remark: 1. 77200GQ1-S001: 12pcs/Gravity PDQ , 12pcs/CTN, MA 1L 收缩膜+说明书，客版PDQ, 产品UPC 显示193052033024
2. 产品和包装上均要印刷tracking code信息，格式为ZURU常规格式。
3. 外箱正唛右上角位置粘贴条码箱贴纸，每箱只贴一张由ZURU订购。来料显示DPCI 087-16-9780,UPC 显示10193052033021.外箱贴人工费用$14.15 已经加在订单中
.
4. 出货方式：货代自提</t>
  </si>
  <si>
    <t>0087-4527037-0581</t>
  </si>
  <si>
    <t>2022/2/26 2021/12/16日取消订单</t>
  </si>
  <si>
    <t>2022/3/1 2021/12/16日取消订单</t>
  </si>
  <si>
    <t>日期码格式：ZURU 标准格式 日期：按实际生产日期
Remark: 1. 77200GQ1-S001: 12pcs/Gravity PDQ , 12pcs/CTN, MA 1L 收缩膜+说明书，客版PDQ, 产品UPC 显示193052033024
2. 产品和包装上均要印刷tracking code信息，格式为ZURU常规格式。
3. 外箱正唛右上角位置粘贴条码箱贴纸，每箱只贴一张由ZURU订购。来料显示DPCI 087-16-9780,UPC 显示10193052033021.外箱贴人工费用$44.4 已经加在订单中.
4. 出货方式：货代自提</t>
  </si>
  <si>
    <t>70010222</t>
  </si>
  <si>
    <t>77118-S001</t>
  </si>
  <si>
    <t>2PK PVC筒装</t>
  </si>
  <si>
    <t>2022/7/8 2022/4/9日取消订单</t>
  </si>
  <si>
    <t>2022/7/4 2022/4/9日取消订单</t>
  </si>
  <si>
    <t>日期码格式：ZURU 标准格式 日期：按实际生产日期
Remark: 1.ZURU MA + UPC 现有版本包装 + 客供价格贴纸，出口美国。
2.价格贴纸位于包装正面右下角，不挡住重要信息即可，可适当调整
，价格贴纸由跟单提供。
3.标准日期码格式，产品和包装必须有日期码，所有日期码必须一致(但日期不可为周末)。
4.同个产品同个货期不可出现不同的包装。
5.包装版本： ZURU现有 MA + UPC 版本。</t>
  </si>
  <si>
    <t>Maggie</t>
  </si>
  <si>
    <t>KROGER (KRG LLC)</t>
  </si>
  <si>
    <t>500-38488-</t>
  </si>
  <si>
    <t>77200GQ2-S002</t>
  </si>
  <si>
    <t>2022/5/16 2022/4/18日取消订单</t>
  </si>
  <si>
    <t>换单到4500075251</t>
  </si>
  <si>
    <t>日期码格式：ZURU 标准格式 日期：按实际生产日期
Remark: 1、ZURU标准 MA UPC 版本，出口美国。
2、无测试无验货要求。
3、纸箱4面印ZURU LOGO + 箱唛。
4、日期码请按ZURU标准版执行即可。
5、ZURU QC验货。</t>
  </si>
  <si>
    <t>Angela Xu</t>
  </si>
  <si>
    <t>600-78123-</t>
  </si>
  <si>
    <t>换单到4500075264</t>
  </si>
  <si>
    <t>600-10782-</t>
  </si>
  <si>
    <t>换单到4500075267</t>
  </si>
  <si>
    <t>LUDERIX INTERNATIONAL SAS</t>
  </si>
  <si>
    <t>法国</t>
  </si>
  <si>
    <t>4500845200</t>
  </si>
  <si>
    <t>77200GQ2-S001</t>
  </si>
  <si>
    <t>2022/7/8 2022/5/6日取消订单</t>
  </si>
  <si>
    <t>2022/7/4 2022/5/6日取消订单</t>
  </si>
  <si>
    <t>日期码格式：ZURU 标准格式 日期：按实际生产日期
Remark: 1.请多备料，每款2-4套左右
4.77200GQ2：MA3L B版收缩膜+MA3LPDQ+MA3L B版收藏指南+MA 3L A版说明书+1张警语贴纸+1张条码贴纸</t>
  </si>
  <si>
    <t>Mary Zhong</t>
  </si>
  <si>
    <t>BARNES &amp; NOBLE PURCHASING, INC.</t>
  </si>
  <si>
    <t>PO#2255414</t>
  </si>
  <si>
    <t>77239-S001</t>
  </si>
  <si>
    <t>两个球圆筒装</t>
  </si>
  <si>
    <t>取消单</t>
  </si>
  <si>
    <t>日期码格式：ZURU 标准格式 日期：按实际生产日期
Remark: 1. 包装：ZURU MA包装 + 价格贴纸（价格贴纸及位置图资料跟单提供，工厂自行采购） ；出口美国；
#77239 价贴金额都是$15.99(跟单提供资料，工厂采购）
2.日期跟踪码：产品外包装及产品本身都必须有日期跟踪码，并且确保两者的日期跟踪码要一致；ZURU标准格式日期码(请自行调整具体年月日生产期，但不能为周
末）。
3. 订单外箱
*只需在外箱四个面的左上角印ZURU LOGO； MADE IN CHINA 字样印刷3面，一面留空贴外箱贴纸；
*外箱正面需要额外加贴2张外箱贴（外箱贴资料有跟单提供，工厂采购）；
*外箱贴位置：shipping label贴于外箱正面左下角；product label 贴于外箱正面右下角，2张贴纸都需距离外箱边缘至少3CM。
5.此单共包含2个客户PO: PO#2255414 和 PO#2255415</t>
  </si>
  <si>
    <t>Elsa Zheng</t>
  </si>
  <si>
    <t>PO#2255415</t>
  </si>
  <si>
    <t>HEB GROCERY COMPANY, LP</t>
  </si>
  <si>
    <t>60X439424</t>
  </si>
  <si>
    <t>2022/6/17 2022/6/6日取消订单</t>
  </si>
  <si>
    <t>2022/6/13 2022/6/6日取消订单</t>
  </si>
  <si>
    <t>日期码格式：ZURU 标准格式 日期：按实际生产日期
Remark: 1.#77200GQ1 客版PDQ，其他都是ZURU标准MA包装 UPC版本-1L.出口美国.
2.#77200GQ1如果产品同旧单4500061704一样，没有变化，则此单不需要再提供大货签样,如有变化需重新提供大货签样：8个球+3个PDQ.
3.要求大货完成时间2022年6月17日，预定2022年6月20日-利丰100%大货验货加抽板，需准备6套测试样品。除抽板之外，如果产品有油漆的需要额外准备5G的油漆
涂在同 材质的胶件上，面积类似A4纸大小。
4.产品和包装上需要印刷tracking code信息,格式为ZURU常规。
5.#77200GQ1: 12pcs/Gravity PDQ,12pcs/CTN,参考旧单#4500061704.</t>
  </si>
  <si>
    <t>Kelly / Emily Wu</t>
  </si>
  <si>
    <t>MO20220706</t>
  </si>
  <si>
    <t>77361GQ2-S002</t>
  </si>
  <si>
    <t>迷你恐龙球</t>
  </si>
  <si>
    <t>取消订单</t>
  </si>
  <si>
    <t>1. 包装要求：
77361：MA 1L收缩膜+MA 1L收藏指南+MA 说明书+MA PDQ
每pcs产品要贴一张RFID贴纸，RFID贴纸由ZURU提供，贴纸位置要严格按照客人签板
2.空白外箱（四面右下角需印Zuru Logo)+白色艾利贴纸+粉红色艾利贴纸；请注意外箱上有2张贴纸（1张常规贴纸+1张粉红色贴纸），白色艾利贴纸还是按照以往的包装操作贴在主唛左前下角；1张粉红色贴纸贴在对角线，外箱任一侧面角落备注："MADE IN CHINA" 字样。
3. 在产品上和包装上要有日期码、以及要有MADE IN CHINA和ZURU字样；
4. 产品如有扎带口要剪平，不能刮手。
5. 此单需要抽板验货，抽板期初定8/1，请自行多备包装物料。</t>
  </si>
  <si>
    <t>Gamestop Texas Ltd</t>
  </si>
  <si>
    <t>363358</t>
  </si>
  <si>
    <t>2022/6/20 2022/7/1日取消订单</t>
  </si>
  <si>
    <t>2022/6/23 2022/7/1日取消订单</t>
  </si>
  <si>
    <t>6/24 HOLD 外箱电脑纹格式与客人资料不符</t>
  </si>
  <si>
    <t>日期码格式：ZURU 标准格式 日期：按实际生产日期
Remark: 1.#77200GQ1除PDQ是客版外，其他都是ZURU标准MA包装, UPC版本，出口美国.
#77200GQ1客版PDQ,12PCS/PDQ, 12PCS/CTN.PDQ资料可参考HEB-PO#4500071096.
2.100%完成大货后安排第三方ITS验货，要求验货地址为验厂报告上的地址，不能随意更换验货地址。
3.产品和包装上需要印刷tracking code信息且两者印刷的内容必须一致,格式为ZURU常规.</t>
  </si>
  <si>
    <t>363356</t>
  </si>
  <si>
    <t>363357</t>
  </si>
  <si>
    <t>BASILE GIOCATTOLI SRL</t>
  </si>
  <si>
    <t>意大利</t>
  </si>
  <si>
    <t>2022/7/26 
8/3取消1200PCS</t>
  </si>
  <si>
    <t>Pass</t>
  </si>
  <si>
    <t>日期码格式：ZURU 标准格式 日期：按实际生产日期
Remark: 
#77200GQ2：MA 1L收缩膜/收藏指南/说明书/PDQ+警告语贴纸+EAN贴纸+环保标贴纸</t>
  </si>
  <si>
    <t>Andy.Xi</t>
  </si>
  <si>
    <t>SAINSBURY'S SUPERMARKET LTD</t>
  </si>
  <si>
    <t>2022/7/8
2022/7/27日 取消</t>
  </si>
  <si>
    <t>暂停备料和生产
2022/7/27日 取消</t>
  </si>
  <si>
    <t>日期码格式：ZURU 标准格式 日期：按实际生产日期
Remark: 1）77200GQ1：MA-1L最新包装，ZURU标准客版PDQ-1L,按ZURU标准比例即可
3）胶带最少宽度要保证6.0CM,厚度最少0.05毫米,外箱不可以打钉/扎带；以工字型封箱
4）如果重量超过5KGS，箱唛需加黄色警示图标志 ，有疑问请与Sherry联系。
5）订单必须经过ZURU QC验货并且通过后方可出货
6）订单出英国，请注意检查产品及包装应带UKCA图标，包装显示ZURU UK LTD信息，QC同事请查核，如有问题与跟单确认。</t>
  </si>
  <si>
    <t>SD07</t>
  </si>
  <si>
    <t>WAL-MART STORES INC. USA</t>
  </si>
  <si>
    <t>1227470442</t>
  </si>
  <si>
    <t>2022/6/15
2022/7/7日取消订单</t>
  </si>
  <si>
    <t>2022/6/28
2022/7/7日取消订单</t>
  </si>
  <si>
    <t>6/29 BV验货</t>
  </si>
  <si>
    <t>在原来的空白外箱基础上增加了UPC和箱唛内容</t>
  </si>
  <si>
    <t>日期码格式：ZURU DGYYYYMMDD CHINA(日期避开周末和法定节假日即可） 日期：按实际生产日期
Remark: 77200SLB：
1. 包装要求：
77200： MA 1L B版本收缩膜+MA收藏指南+MA说明书+MA PDQ
每pcs产品上要贴1张RFID贴纸，贴纸由ZURU提供，贴纸位置请严格按照我们签回的签板；
2. 在原来的空白外箱基础上增加了UPC和箱唛内容，在加印的时候确保条形码能扫描出来（需四面右下角有ZURU的Logo），UPC和箱唛内容待提供，外箱侧面任一角
落加印："MADE IN CHINA" 字样；
3. 每个slip sheet上面贴一张艾利贴纸和一张普通贴纸（可A4纸打印），slip sheet打印的普通贴纸的尺寸不能比艾利贴纸小，普通贴纸内容见附件；
4. 在产品上和包装上要有日期码、以及要有MADE IN CHINA和ZURU字样；
5. 此单以slip sheet出货， 24pcs/PDQ/CTN. 60箱/slip sheet；
6. 此单需要验货，请多备料。</t>
  </si>
  <si>
    <t>1227470027</t>
  </si>
  <si>
    <t>2022/7/1
2022/7/7日取消订单</t>
  </si>
  <si>
    <t>7/4 BV验货</t>
  </si>
  <si>
    <t>日期码格式：ZURU DGYYYYMMDD CHINA(日期避开周末和法定节假日即可） 日期：按实际生产日期
Remark: 77200GQ2：
1. 包装要求：
77200： MA 1L B版本收缩膜+MA收藏指南+MA说明书+MA PDQ
每pcs产品上要贴1张RFID贴纸，贴纸由ZURU提供，贴纸位置请严格按照我们签回的签板；
2. 外箱箱唛+白色艾利贴纸；外箱四面右下角需印ZURU Logo；箱唛资料待提供；常规贴纸还是按照以往的包装操作贴在主唛左前下角；外箱侧面任一角落备注："M
ADE IN CHINA" 字样；
3. 在产品上和包装上要有日期码、以及要有MADE IN CHINA和ZURU字样；
4. 此单以bulk carton出货，不以slip sheet出货；
5. 77200：24pcs/PDQ/CTN.
6. 此单需要验货，请多备料。</t>
  </si>
  <si>
    <t xml:space="preserve"> 1227470032</t>
  </si>
  <si>
    <t>1227470033</t>
  </si>
  <si>
    <t>1227470083</t>
  </si>
  <si>
    <t xml:space="preserve"> 1227470439</t>
  </si>
  <si>
    <t>1227470443</t>
  </si>
  <si>
    <t>4231913381</t>
  </si>
  <si>
    <t>2022/6/22
2022/7/7日取消订单</t>
  </si>
  <si>
    <t>2022/7/2
2022/7/7日取消订单</t>
  </si>
  <si>
    <t>SD08</t>
  </si>
  <si>
    <t>4231913382</t>
  </si>
  <si>
    <t xml:space="preserve"> 4231913384</t>
  </si>
  <si>
    <t>1227470084</t>
  </si>
  <si>
    <t>2022/6/25
2022/7/7日取消订单</t>
  </si>
  <si>
    <t>2022/6/30
2022/7/7日取消订单</t>
  </si>
  <si>
    <t>8727369870</t>
  </si>
  <si>
    <t>2022/7/6
2022/7/7日取消订单</t>
  </si>
  <si>
    <t>7/8 BV验货</t>
  </si>
  <si>
    <t>SD35</t>
  </si>
  <si>
    <t>9028493605</t>
  </si>
  <si>
    <t>50-77361-STD
PRODUCT</t>
  </si>
  <si>
    <t>77361SLB-S001</t>
  </si>
  <si>
    <t>迷你恐龙球
卡板装</t>
  </si>
  <si>
    <t>9/30取消</t>
  </si>
  <si>
    <t>日期码格式：ZURU DGYYYYMMDD CHINA(日期避开周末和法定节假日即可） 日期：按实际生产日期
Packaging Info: 
77361: MA 1L收缩膜+MA 1LPDQ+MA 说明书+MA 收藏指南, 翻单：4500084631
Remark: 1. 包装要求
77361: MA 1L收缩膜+MA 1LPDQ+MA 说明书+MA 收藏指南, 翻单：4500084631
每pcs产品上要贴1张RFID贴纸，贴纸由ZURU提供，贴纸位置请严格按照我们签回的签板；
2. 在原来的空白外箱基础上增加了UPC内容+RFID箱唛，在加印的时候确保条形码能扫描出来（需四面右下角有ZURU的Logo），UPC内容待和RFID箱唛提供，外箱侧
面任一角落加印："MADE IN CHINA" 字样；
3. 每个slip sheet上面贴一张艾利贴纸和一张普通贴纸（可A4纸打印），slip sheet打印的普通贴纸的尺寸不能比艾利贴纸小，普通贴纸内容见附件；
4. 在产品上和包装上要有日期码、以及要有MADE IN CHINA和ZURU字样；
5. 产品如有扎带口要剪平，不能刮手。
6. 此单需要验货，请多备料
7. 此单以slip sheet出货，
77361：24pcs/PDQ/CTN；1440pcs/60CTN/Slip Sheet</t>
  </si>
  <si>
    <t xml:space="preserve">WM TEAM </t>
  </si>
  <si>
    <t>9028493607</t>
  </si>
  <si>
    <t>20-77361SLB-S001</t>
  </si>
  <si>
    <t>9028493599</t>
  </si>
  <si>
    <t>9028493603</t>
  </si>
  <si>
    <t>10-77361SLB-S001</t>
  </si>
  <si>
    <t>9028493596</t>
  </si>
  <si>
    <t>9028493601</t>
  </si>
  <si>
    <t>VM INTERNATIONAL</t>
  </si>
  <si>
    <t>25036</t>
  </si>
  <si>
    <t>20-77361GQ2-S001</t>
  </si>
  <si>
    <t>77361GQ2-S001</t>
  </si>
  <si>
    <t>2022/10/15
2022/9/28取消订单</t>
  </si>
  <si>
    <t>换单到4500087853</t>
  </si>
  <si>
    <t>码格式：ZURU 标准格式 日期：按实际生产日期
Remark: 1、ZURU MA UPC 现有包装，ZURU 标准日期码，出口美国；
2、无第三方测试和验货；
3、纸箱印ZURU LOGO</t>
  </si>
  <si>
    <t>G.T. WHOLESALE LIMITED</t>
  </si>
  <si>
    <t>2667098</t>
  </si>
  <si>
    <t>10-77361GQ2-S002</t>
  </si>
  <si>
    <t>2022/12/16
10/21 取消</t>
  </si>
  <si>
    <t>进口商贴纸和位置图翻单4500085009</t>
  </si>
  <si>
    <t>日期码格式：ZURU 标准格式 日期：按实际生产日期
Packaging Info: MA 3L包装 + 进口商贴纸（进口商贴纸和位置图翻单4500085009）
Remark: 出加拿大
Zuru验货，验货时需要单个产品称重的图片和整箱产品称重的图片，还需要产品上makeinChina，彩盒上的警告语的清晰图片，以及公仔尺寸的测量图片
日期跟踪码：产品外包装及产品本身都必须有日期跟踪码，ZURU标准格式日期码</t>
  </si>
  <si>
    <t>2667136</t>
  </si>
  <si>
    <t>2022/11/14
10/21 取消</t>
  </si>
  <si>
    <t>日期码格式：ZURU 标准格式 日期：按实际生产日期
Packaging Info: MA 3L包装，标板PDQ
Remark: 出加拿大+进口商贴纸
Zuru验货，验货时需要单个产品称重的图片和整箱产品称重的图片，还需要产品上makeinChina，彩盒上的警告语的清晰图片，以及公仔尺寸的测量图片
日期跟踪码：产品外包装及产品本身都必须有日期跟踪码，ZURU标准格式日期码</t>
  </si>
  <si>
    <t>ZURU France</t>
  </si>
  <si>
    <t>60-77361GQ2-S001</t>
  </si>
  <si>
    <t>2022/12/16
2022/11/11 取消</t>
  </si>
  <si>
    <t>日期码格式：DG 20221212 日期：
Packaging Info:
6.77361GQ2: MA 3L包装（所有包装都要用MA3L）+1张条码贴纸+1张回收logo贴纸，贴纸都翻4500088856
Remark: 法国内销单,ZURU验货后即可出货。</t>
  </si>
  <si>
    <t>DOLLAR GENERAL CORPORATION</t>
  </si>
  <si>
    <t>1PXSW7</t>
  </si>
  <si>
    <t>10-77200GQ3-S002</t>
  </si>
  <si>
    <t>77200GQ3-S002</t>
  </si>
  <si>
    <t>2022/11/26
2022/11/10 取消</t>
  </si>
  <si>
    <t>12/1 TUV验货，11月30日前完成ZURU QC验货，并当天13点前提供验货报告+大货图片给跟单。</t>
  </si>
  <si>
    <t>日期码格式：DOLLAR GENERAL 客版格式 日期：
Packaging Info:
Remark: 1.包装：
客版1L收缩膜（aws跟单稍后提供）+客版1L PDQ ，如有指南请尽力使用ZURU MA 1L版本。
2.日期码：产品和包装上必须有客版格式日期码。
（1）产品上需打客版日期码（打在球瓣上）
内容： DOLGEN32559903L22
L代表ETD 12月。
（2）包装日期码32559903L22（已印在客版收缩膜上了，无需额外做日期码在包装上）。
（3）客版UPC# 430001813345
3. 样板需求：请10月30日左右寄出 6full PDQ + 3套光身样作为产前确认样给深圳跟单转寄客人签样。
4. 抽样+验货事宜： 12月1日早上进行客人指定TUV的100% CT抽测试样（每款每色各12pcs带包装产品 + 5套光身样 +各色足量干漆）+ 100%大货验货。请在11月
30日前完成ZURU QC验货，并当天13点前提供验货报告+大货图片给跟单。
5. 箱唛：此客人要求严格，外箱不接受水贴纸，材积以及重量必须按照以下要求，否则不符会导致验货fail从而影响货期而产生罚款。
大货外箱材积绝对不可大于下述数据，材积只接受3%的变小；重量正负不得超过以下列出数据的5%，接受外箱以印章方式印上实际毛重。
大货外箱尺寸请保持（数据和唛头翻单首单4500074968 #77197GQ3-S001）：
#77200GQ3-S002，外箱，54.5*37.1*20.5cm ，材积必须不能大于1.4638CubeFeet（0.0414C BM);外箱毛重13.4LBS（6.1KGS）。
6.此客人不接受任何理由的延期，会有高额罚金产生.
7.如散货入仓需在货车上加防护网.
8.出货配比：
#77200GQ3-S002-5 SURPRISE-DINO STRIKE-SERIES 4,8pcs/Gravity PDQ,48pcs/CTN,No Inner,Polybag,STD Color Assortment
each PDQ in one polybag
8PCS入一个GQ再入一个内袋，6个内袋48pcs入一个外箱。
9. 内袋需要印警示语，内容如下（内袋aws跟单稍后提供），内袋必须 用胶带封口，客人是以内袋为运输包装分配到每家店里面的：
WARNING: To avoid danger of suffocation, keep this bag away from babies and children. Do not use in cribs, beds, strollers or playpens. This
ba
g is not a toy.</t>
  </si>
  <si>
    <t>Hailey</t>
  </si>
  <si>
    <t>20-77200GQ2-S001</t>
  </si>
  <si>
    <t>2022/12/16
11/14 取消</t>
  </si>
  <si>
    <t>湖南生产</t>
  </si>
  <si>
    <t>条码贴纸（翻4500074893）回收logo贴（翻4500074893</t>
  </si>
  <si>
    <t>日期码格式：DG 20221212 日期：
Packaging Info: 
2.77200GQ2:用MA 3L包装+1张条码贴（翻4500074893）+1张回收logo贴纸（翻4500074893）+MA 3L PDQ+MA3L说明书+MA 3L收藏指导书
Remark: 法国内销单,ZURU验货后即可出货。</t>
  </si>
  <si>
    <t>10-77200-STD
PRODUCT</t>
  </si>
  <si>
    <t>77200SK-S002</t>
  </si>
  <si>
    <t>迷你恐龙展示架</t>
  </si>
  <si>
    <t>日期码格式：DG 20221212 日期：
Packaging Info:
3.77200SK:用MA 3L包装+1张条码贴纸（翻4500074893）+1张回收logo贴（翻4500074893）+MA 3L 展示架+MA3L说明书+MA 3L收藏指导书
4W*2D*11H=88pcs;
Remark: 法国内销单,ZURU验货后即可出货。</t>
  </si>
  <si>
    <t>SHINE S.A.</t>
  </si>
  <si>
    <t>10-7794GQ2-S002</t>
  </si>
  <si>
    <t>日期码格式：ZURU 标准格式 日期：按实际生产日期
Remark: 1.MA 3L包装+进口商贴纸,箱唛;注明 因为结库存数，此单可以用1L 和3L PDQ，但是装箱的时候要确保，1一箱里面 只能是同一种PDQ，</t>
  </si>
  <si>
    <t>Ever.Li</t>
  </si>
  <si>
    <t>0087-9976516-0581</t>
  </si>
  <si>
    <t>10-77361GQ1-S001</t>
  </si>
  <si>
    <t>77361GQ1-S001</t>
  </si>
  <si>
    <t>日期码格式：ZURU 标准格式 日期：按实际生产日期
Packaging Info: MA包装+客版PDQ
Remark: 1.77361GQ1-S001, 12pcs/Gravity PDQ,12pcs/CTN。MA 1L 包装，客版PDQ(翻单4500083482），产品UPC 193052044976.
2. 外箱正唛右上角位置粘贴条码箱贴纸，每箱只贴一张由ZURU订购,来料显示DPCI 087-16-4771, UPC 10193052044973.
3. 产品和包装上均要印刷tracking code信息，格式为ZURU常规格式。
4. 出货方式：货代自提。</t>
  </si>
  <si>
    <t xml:space="preserve">Holly Zheng/ Cherish </t>
  </si>
  <si>
    <t>0087-9233613-0581</t>
  </si>
  <si>
    <t>MO20220923</t>
  </si>
  <si>
    <t xml:space="preserve">1. 包装要求：
77361: MA 1L收缩膜+MA 1LPDQ+MA 说明书+MA 收藏指南, 翻单：4500084631
每pcs产品上要贴1张RFID贴纸，贴纸由ZURU提供，贴纸位置请严格按照我们签回的签板；
2. 在原来的空白外箱基础上增加了UPC内容+RFID箱唛，在加印的时候确保条形码能扫描出来（需四面右下角有ZURU的Logo），UPC内容待和RFID箱唛提供，外箱侧面任一角落加印："MADE IN CHINA" 字样；
3. 每个slip sheet上面贴一张艾利贴纸和一张普通贴纸（可A4纸打印），slip sheet打印的普通贴纸的尺寸不能比艾利贴纸小，普通贴纸内容见附件；
3. 在产品上和包装上要有日期码、以及要有MADE IN CHINA和ZURU字样；
4. 产品如有扎带口要剪平，不能刮手。
5. 此单需要验货，请多备料
6. 此单以slip sheet出货，
77361：24pcs/PDQ/CTN；1440pcs/60CTN/Slip Sheet
</t>
  </si>
  <si>
    <t xml:space="preserve"> 1200703570</t>
  </si>
  <si>
    <t>2022/12/31
2022/12/28取消</t>
  </si>
  <si>
    <t>日期码格式：ZURU 标准格式 日期：按实际生产日期
Packaging Info: #77361: 客版3L,PDQ (12装) +MA3L收缩膜+MA3L收藏指南+MA3L说明书 (翻单：4500086274)
Remark: 1.有箱唛待提供
2.有第三方验货，烦请多备包装物料</t>
  </si>
  <si>
    <t xml:space="preserve"> 1200703571</t>
  </si>
  <si>
    <t>20-77361GQ1-S001</t>
  </si>
  <si>
    <t>2022/1/5
2022/12/28取消</t>
  </si>
  <si>
    <t>ZURU Denmark ApS</t>
  </si>
  <si>
    <t>丹麦</t>
  </si>
  <si>
    <t>5200001151</t>
  </si>
  <si>
    <t>70-77361GQ2-S002</t>
  </si>
  <si>
    <t>2022/12/11
12/6 取消</t>
  </si>
  <si>
    <t>日期码格式：ZURU 标准格式 日期：按实际生产日期
Packaging Info:
77361GQ2：MA 3L包装+MA明书+EAN条码贴纸+警告语贴纸
Remark: 1. 包装如含PVC,请改为PET，工厂请提出；
贴球面的客版贴纸工厂需要订购合成纸贴纸
2. 产品要求无硼无香
3. 款号- 产品EAN条码-外箱GTIN
77361GQ2-4894680024328-10193052044973
4. 产品信息：</t>
  </si>
  <si>
    <t>Rose</t>
  </si>
  <si>
    <t>TOKMANNI - DOM</t>
  </si>
  <si>
    <t>芬兰</t>
  </si>
  <si>
    <t>10-77361GQ2-S001</t>
  </si>
  <si>
    <t>77361GQ2-S001-1</t>
  </si>
  <si>
    <t>取消</t>
  </si>
  <si>
    <t>日期码格式：ZURU 标准格式 日期：按实际生产日期
Packaging Info: （用于曲面的贴纸请使用合成纸）
77361GQ2:MA 3L 包装/PDQ+1张警告语贴纸+1张EAN条码贴纸
Remark: 1.产品要求无硼无香（如果没有此类问题，请忽略此点）
2.此订单客户每个ITEM都需各3套大货样用于签板，并且有第三方验货，请提前多备料
3.包装不可用PVC材质,要用PET替代
4.此单每款每个外箱都要放一包或者两包干燥剂，请按照供应商建议和干燥剂指引安排，船务通知要做柜时，做柜工厂需准备货柜内的干燥剂，干燥剂需要做柜工厂
自行找指定供应商订购。（参考订单4500079961）</t>
  </si>
  <si>
    <t>ADIR INTERNATIOAL/ CURACAO</t>
  </si>
  <si>
    <t>AKMRH-A</t>
  </si>
  <si>
    <t>4500094129-10</t>
  </si>
  <si>
    <t>77361GQ1-S001-1L</t>
  </si>
  <si>
    <t>日期码格式：ZURU 标准格式 日期：按实际生产日期
Packaging Info: 1.#77361GQ2: MA UPC 包装
Remark: 1. MA UPC包装，出美国
2. ZURU 标准日期码格式
3. 整柜出货</t>
  </si>
  <si>
    <t>Cynthia Li</t>
  </si>
  <si>
    <t>THE WAREHOUSE LIMITED</t>
  </si>
  <si>
    <t>4500091987-10</t>
  </si>
  <si>
    <t>日期码格式：ZURU 标准格式 日期：按实际生产日期
Packaging Info: 1.ZURU MA包装， 优先1L
Remark: 2.此单去新西兰，请按相应标准生产；
3.请在外箱正反面和侧面（共四面）中间印上ZURU外箱LOGO,箱唛印刷前，请提供箱唛排版供确认；
4.此单分两个港口出货; 10行出AKL,20行出LYT</t>
  </si>
  <si>
    <t>Coral.wuws</t>
  </si>
  <si>
    <t>4500091987-20</t>
  </si>
  <si>
    <t>70007760</t>
  </si>
  <si>
    <t>取消订单 换单到4500073741</t>
  </si>
  <si>
    <t>70007761</t>
  </si>
  <si>
    <t>取消订单 换单到4500073738</t>
  </si>
  <si>
    <t>MO05250024</t>
  </si>
  <si>
    <t>MO05250024-80</t>
  </si>
  <si>
    <t xml:space="preserve">1.包装方式: MA UPC 优先1L最新版包装，出口美国
2、无测试无验货要求。
3、纸箱4面印ZURU LOGO + 箱唛。
4、日期码请按ZURU标准版执行即可。
5、ZURU QC验货。
6、REMARK:
#9279TQ1: Ratio: 7 assortment (6 common + 1 rare); RAGDOLL CA (RARE): AMERICAN SHORTHAIR: CALICO CAT: BLACK CAT: BENGAL CAT: EXOTIC CAT: CHINCHI
LLA CAT= 1:9:10:10:10: 10:10
#77354: 5pcs mini inside#7149: 2 assortment average; 2pcs AA battery are not included; Lizard with LED，外箱的GTIN#为：20193052033493
#7149: 2 assortment average; 2pcs AA battery are not included; Lizard with LED，外箱的GTIN#为：20193052033493
#7150: 2 assortment average; 2pcs AAA battery are not included;Snake with LED,外箱的GTIN#为：20193052033400
</t>
  </si>
  <si>
    <t>Vicky Wu</t>
  </si>
  <si>
    <t>不入</t>
  </si>
  <si>
    <t>0087-0005023-0581</t>
  </si>
  <si>
    <t>4500109173-10</t>
  </si>
  <si>
    <t>77361GQ1-S001-1L-1</t>
  </si>
  <si>
    <t>8/24取消，无客制物料，纸箱未订购</t>
  </si>
  <si>
    <t>8/16 客供</t>
  </si>
  <si>
    <t>日期码格式：ZURU INC(BVI) 标准格式 日期：按实际生产日期
Packaging Info: MA 1L包装+MA PDQ
Remark: 1.77361GQ1-S001, 12pcs/Gravity PDQ,12pcs/CTN。MA 1L 包装+MA PDQ，产品UPC 193052044976.
2. 外箱正唛左上角位置粘贴条码箱贴纸，每箱只贴一张由ZURU订购,来料显示DPCI 087-16-4771, UPC 10193052044973.
3. 产品和包装上均要印刷tracking code信息，格式为ZURU常规格式。
4. 出货方式：货代自提。</t>
  </si>
  <si>
    <t>OdooBot</t>
  </si>
  <si>
    <t>DAS Companies, Inc.</t>
  </si>
  <si>
    <t>PO#AD1316E-00
0</t>
  </si>
  <si>
    <t>4500113518-10</t>
  </si>
  <si>
    <t>日期码格式：ZURU INC(BVI) 标准格式 日期：按实际生产日期
Packaging Info: ZURU MA UPC包装，(如MA有1L请优先1L) , 出口美国
Remark: 1.ZURU MA UPC 包装收缩膜,PDQ&lt;(&gt;,&lt;)&gt;收藏指南，优选MA 1L ，出口美国.
2.产品和包装需有日期码，除产品不适用外，ZURU标准日期码格式&lt;(&gt;,&lt;)&gt;所有产品日期码必须一致(但日期不可为周末)。
3. 同个产品同个货期不可出现不同的包装
4. 出货配比, ZURU MA 配比。
此单包含2张客户PO#，出货时请留意。
每单箱唛信息也不同。
5. 务必按期完货，同其他厂拼着出货，延迟会有罚款。</t>
  </si>
  <si>
    <t>Hailey Yu</t>
  </si>
  <si>
    <t>PO#AD1316K-00
0</t>
  </si>
  <si>
    <t>4500113518-50</t>
  </si>
  <si>
    <t>TOYS "R" US (CANADA) LTD.</t>
  </si>
  <si>
    <t>4500114373-60</t>
  </si>
  <si>
    <t>77489GQ1-S002-NB</t>
  </si>
  <si>
    <t>S4迷你恐龙GQ1 无硼</t>
  </si>
  <si>
    <t>暂定11/30 SGS</t>
  </si>
  <si>
    <t>日期码格式：ZURU INC(BVI) 标准格式 日期：按实际生产日期
Packaging Info: 1.出口加拿大市场。MA UPC 3L 包装。 产品，包装日期吗按Zuru 标准格式。箱唛date code YYYYMMDD格式，产品，包装和箱唛上面的时间要一样。
77489GQ1 UPC#193052057594, 无硼口水胶。
Remark: 2. 需要第三方SGS验货，验货时间暂定2023/11/30，每款每色请备1PC完整带包装样品供验货人员参考。用完后若无损坏可以放回大货里。</t>
  </si>
  <si>
    <t>Abby Mai</t>
  </si>
  <si>
    <t>4500114373-120</t>
  </si>
  <si>
    <t>4500114374-40</t>
  </si>
  <si>
    <t>暂定12/27 SGS</t>
  </si>
  <si>
    <t>日期码格式：ZURU INC(BVI) 标准格式 日期：按实际生产日期
Packaging Info: 1.出口加拿大市场。MA UPC 3L 包装。 产品，包装日期吗按Zuru 标准格式。箱唛date code YYYYMMDD格式，产品，包装和箱唛上面的时间要一样。
77489GQ1 UPC#193052057594, 无硼口水胶。
Remark: 2. 需要第三方SGS验货，验货时间暂定2023/12/27，每款每色请备1PC完整带包装样品供验货人员参考。用完后若无损坏可以放回大货里。</t>
  </si>
  <si>
    <t>4500114374-80</t>
  </si>
  <si>
    <t>CRACKER BARREL</t>
  </si>
  <si>
    <t>4500122527-10</t>
  </si>
  <si>
    <t>77593-S002</t>
  </si>
  <si>
    <t>S4迷你恐龙6pcs入1内袋*4/箱</t>
  </si>
  <si>
    <r>
      <rPr>
        <sz val="10"/>
        <color rgb="FFFF0000"/>
        <rFont val="宋体"/>
        <charset val="134"/>
      </rPr>
      <t>3</t>
    </r>
    <r>
      <rPr>
        <sz val="9"/>
        <color rgb="FFFF0000"/>
        <rFont val="宋体"/>
        <charset val="0"/>
      </rPr>
      <t>/</t>
    </r>
    <r>
      <rPr>
        <sz val="9"/>
        <color rgb="FFFF0000"/>
        <rFont val="Arial"/>
        <charset val="0"/>
      </rPr>
      <t>21 ITS</t>
    </r>
    <r>
      <rPr>
        <sz val="9"/>
        <color rgb="FFFF0000"/>
        <rFont val="宋体"/>
        <charset val="0"/>
      </rPr>
      <t>的</t>
    </r>
    <r>
      <rPr>
        <sz val="9"/>
        <color rgb="FFFF0000"/>
        <rFont val="Arial"/>
        <charset val="0"/>
      </rPr>
      <t>25%</t>
    </r>
    <r>
      <rPr>
        <sz val="9"/>
        <color rgb="FFFF0000"/>
        <rFont val="宋体"/>
        <charset val="0"/>
      </rPr>
      <t>大货抽样</t>
    </r>
  </si>
  <si>
    <t>未出样板</t>
  </si>
  <si>
    <t>贴纸和位置图请参考4500091201</t>
  </si>
  <si>
    <t>日期码格式：ZURU INC(BVI) 标准格式 日期：按实际生产日期
Packaging Info: 1.ZURU标准MA包装( UPC 1L） +客版贴纸和内袋跟单提供文档，工厂自行订购。 出口美国
Remark: 1.ZURU标准MA包装( UPC 1L） +客版贴纸和内袋跟单提供文档，工厂自行订购。 出口美国
2.配比：
#77593-S002-5 SURPRISE-DINO STRIKE-SERIES 6-CAPSULE, 6pcs/polybag, 24PCS/4Polybag/CTN; 6pcs into one polybag;
95mm 大球 Dino S6
INNER POLYBAG的美国标准警示语内容为：
WARNING: TO AVOID DANGER OF SUFFOCATION, KEEP THIS BAG AWAY FROM BABIES AND CHILDREN. DO NOT USE IN CRIBS, BEDS, CARRIAGES OR PLAY PENS. THIS B
AG IS NOT A TOY. KNOT UP BAG BEFORE THROWING AWAY.
3.产品及包装上都要有日期码，日期码是一致的（但不能为周末)，格式为ZURU标准格式。
4.#77593 需在2024年3月20日前完成25%大货，3月21日早上进行ITS的25%大货抽样验货。100%大货可以在2024年4月1日前完成。收到PASS的测试报告后，才可安排入
仓出货。
5.#77593为客户那边的新品，需提供1箱满箱样给客人确认后才能出货。满箱样所有需同大货（产品带贴纸+大货外箱） 。满箱样请在3月20日前寄给ZURU跟单。
25%抽样由客人指定的第三方ITS进行，现场在大货中抽样，具体要求如下面A,B,C
,D所列：
A.样板抽取12pcs/色（带包装，大货中抽取）。
B.产品上有涂层的，每种涂层需要提供两张A4大小喷满同种油漆的底材（油漆喷厚一些避免用料不够，否则需客批才能另外补料给实验室）。
C.如有液体材料，每种需提供50ml。
D.抽样前一天会将测式申请表发出，需打印出来随抽样一起寄给ITS</t>
  </si>
  <si>
    <t>无BOM</t>
  </si>
  <si>
    <t>Amazon CA (Vendor Center)</t>
  </si>
  <si>
    <t>2CMFGAKT</t>
  </si>
  <si>
    <t>4500128507-40</t>
  </si>
  <si>
    <t>77523-S001</t>
  </si>
  <si>
    <t>S4迷你恐龙2PK圆筒</t>
  </si>
  <si>
    <t>版本需要追客人放</t>
  </si>
  <si>
    <t>日期码格式：ZURU INC(BVI) 标准格式 日期：按实际生产日期
Packaging Info: 出口加拿大，包装需要至少2/3L，无硼版本
77523：2PK#77489入PVC圆筒。收藏指南用MA 5L。3L不带UPC版收缩膜，2PK铜版纸图稿跟翻单4500116864。 （两个球的配比不能重复）。
Remark: 1.Amazon FOB订单，出口CA。外箱最长边不能超过25" （超过了，case pack只能为1），不符合要求的大货，一律不接受。
2. 外箱正面印ZURU Logo+SSCC LABEL（客供贴纸), 侧面印item#（订单上显示的SKU#)+carton size(以工厂实际尺寸为准,单位: inch) +MADE IN CHINA,日期使用Z
URU 标准版本 SSCC Label 显示的是客人自己的item#, SSCC Label 贴在外箱正面的正中间，贴一面即可，跟单订购，贴纸离外箱距必须至少3cm, 每一张SSCC labe
l 都是唯一且有不同流水及条码的，没有损耗，绝对不可贴错 ，否则贴错或损坏一张会导致全部都错，千万要注意.
SSCC 贴纸务必要在正中间(可以覆盖Logo &lt;(&gt;&amp;&lt;)&gt; 箱唛), 否则会影响到仓库扫描识别
3.日期码使用ZURU标准版本
LCL散货，直接送货到CDS保税仓</t>
  </si>
  <si>
    <t>Agnes Zheng</t>
  </si>
  <si>
    <t>4500125041-30</t>
  </si>
  <si>
    <t>77489SLB-S001</t>
  </si>
  <si>
    <t>S4迷你恐龙球(GQ1*154卡板装）</t>
  </si>
  <si>
    <t>4/12取消</t>
  </si>
  <si>
    <t>4/26 BV</t>
  </si>
  <si>
    <t>箱唛资料可翻单4500119416</t>
  </si>
  <si>
    <t>3/6客供</t>
  </si>
  <si>
    <t>日期码格式：ZURU DGYYYYMMDD CHINA(日期避开周末和法定节假日即可） 日期：按实际生产日期
Packaging Info: 1.包装要求：
77489SLB-S001：MA 1L收缩膜+MA 1L PDQ+MA 说明书+MA 收藏指南+MA 纸袋+MA polybag
每pcs产品上要贴1张RFID贴纸，贴纸由ZURU提供，贴纸位置请严格按照我们签回的签板；
Remark: 1.包装要求：
77489SLB-S001：MA 1L收缩膜+MA 1L PDQ+MA 说明书+MA 收藏指南+MA 纸袋+MA polybag
每pcs产品上要贴1张RFID贴纸，贴纸由ZURU提供，贴纸位置请严格按照我们签回的签板；
2. 外箱印刷带条码的RFID箱唛：RFID紫色色带+WM Dept.图标+RFID图标+ITF-14条码，四面右下角印刷ZURU logo, ITFF条码只印刷在正唛一面，在加印的时候确保
条形码能扫描出来，外箱侧面任一角落加印："MADE IN CHINA" 字样；
3. 每个slip sheet上面贴一张艾利贴纸（不干胶贴纸）和一张普通贴纸（A4纸），slip sheet打印的普通贴纸的尺寸不能比艾利贴纸小，普通贴纸内容见附件；
4. 在产品上和包装上要有日期码、以及要有MADE IN CHINA和ZURU字样；
5. 产品如有扎带口要剪平，不能刮手。
6. 此单需要验货，请多备料
7. 此单以slip sheet出货，
77489：1848pcs/154CTN/Slip Sheet</t>
  </si>
  <si>
    <t>Iris Huang</t>
  </si>
  <si>
    <t>4500125036-50</t>
  </si>
  <si>
    <t>4/16 BV</t>
  </si>
  <si>
    <t>客人接受3L的收缩膜 消耗120135的15072PCSMA版本球</t>
  </si>
  <si>
    <t>4500125037-30</t>
  </si>
  <si>
    <t>4500125037-40</t>
  </si>
  <si>
    <t>Amazon Italy</t>
  </si>
  <si>
    <t>2Y5AG46T</t>
  </si>
  <si>
    <t>4500128123-110</t>
  </si>
  <si>
    <t>5/24取消</t>
  </si>
  <si>
    <t>127793已放MA，剩余MA用于此单</t>
  </si>
  <si>
    <t>空白外箱（加印带Zuru字样的最新logo，除了邮包盒直接做外箱的产品）</t>
  </si>
  <si>
    <t>日期码格式：ZURU INC(BVI) 标准格式 日期：按实际生产日期
Packaging Info: Amazon IT(71126,77612,77614,92104ABDEGH,92105ADEGH,92107ABDE,92108DE,9548,9549AB)
3. 77614：77593 2pcs/pvc tube, 12tubes/ctn; MA 1L A(UPC#版本)收缩膜包装+MA 5L(23L warning) A收藏指南+MA 最新说明书+客版PVC tube彩卡1L A(UPC#版本
)+1张贴纸(含法德意西警告语+IT/FR sorting label）；参考翻单PO#4500124874;
10. 验货时间不迟于2024/5/20.
Remark: 1.空白外箱（加印带Zuru字样的最新logo，除了邮包盒直接做外箱的产品） + SSCC LABEL一张, 无箱唛.
(SSCC LABEL贴在外箱正面的正中间，贴一面即可,贴纸离外箱边距必须至少3CM),SSCC贴纸由工厂直接跟勤得采购或者工厂自行采购，每一张SSCC Label都是唯一且
有不同流水及条码，且需要检查条码是否能正常扫描，另外，此贴纸印刷不可出现模糊，溢出及粘胶不牢易脱落等现象，如工厂不按此要求导致贴纸有任何问题产生
的罚款将由工厂承担一切责任 。’MADE IN CHINA 外箱只印一正一侧。
2. 出往UK的产品+包装务必打上UKCA logo ，否则客人会退货且当地会有罚款。
3.订单必须经过ZURU QC验货并且通过后方可出货。
4.法国订单要求包装不使用矿物油，请按要求提供以下其中一份文件再出货 ，产品出到法国被相关部门抽检出现包装不符合此要求的，供应商需要为此承担责任，
故此请严格把关 。
-油墨物质"由1 ~ 7个芳香环组成的MOAH"的包装检测报告，要求限值≤1.0%;
-包装材料清单，包括包装油墨或物质的信息
-油墨制造商的证书。 5
. 每一批次出货只能有一个生产日期，不可多个生产日期混在同一批次出货；
6. 涉及到相关款式会有闪粉的或者微塑料的，请统一默认出无闪粉或者不含微塑料版本;</t>
  </si>
  <si>
    <t>Melody Zhan</t>
  </si>
  <si>
    <t>AMAZON.COM.DEDC,LLC</t>
  </si>
  <si>
    <t>8J9AIVAX</t>
  </si>
  <si>
    <t>4500135267-80</t>
  </si>
  <si>
    <t>6/4取消</t>
  </si>
  <si>
    <t>6/1 追客人放文档+放包材</t>
  </si>
  <si>
    <t>欠SSCC LABEL</t>
  </si>
  <si>
    <t>日期码格式：ZURU INC(BVI) 标准格式 日期：按实际生产日期
Packaging Info:
#77614: STD 2PK 77593 in PVC tube,77593 MA 1L+空白贴纸覆盖UPC，铜版纸图稿跟Amazon UK/EU PO4500124874;
Remark: 1.Amazon FOB订单，出口US。外箱最长边不能超过25" （超过了，case pack只能为1），不符合要求的大货，一律不接受。
2. 外箱正面印ZURU Logo+SSCC LABEL（客供贴纸), 侧面印item#（订单上显示的SKU#)+carton size(以工厂实际尺寸为准,单位: inch) +MADE IN CHINA,日期使用Z
URU 标准版本 SSCC Label 显示的是客人自己的item#, SSCC Label 贴在外箱正面的正中间，贴一面即可，跟单订购，贴纸离外箱距必须至少3cm, 每一张SSCC labe
l 都是唯一且有不同流水及条码的，没有损耗，绝对不可贴错 ，否则贴错或损坏一张会导致全部都错，千万要注意.
SSCC 贴纸务必要在正中间(可以覆盖Logo &lt;(&gt;&amp;&lt;)&gt; 箱唛), 否则会影响到仓库扫描识别
3.日期码使用ZURU标准版本
邮包盒上要打上日期码
4.按照客户PO# 装柜/箱号顺序装柜，跟单会提前给到装柜计划。请大货生产/仓库存放时留意，以便装柜时不混乱（装错/装漏/找不到货号）</t>
  </si>
  <si>
    <t>1UI2CGBN</t>
  </si>
  <si>
    <t>4500135282-140</t>
  </si>
  <si>
    <t>日期码格式：ZURU INC(BVI) 标准格式 日期：按实际生产日期
Packaging Info: 
#77614：STD 2PK 77593 in PVC tube，77593 MA 1L+空白贴纸覆盖UPC，铜版纸图稿跟Amazon UK/EU PO4500124874；
Remark: 1.Amazon FOB订单，出口US。外箱最长边不能超过25" （超过了，case pack只能为1），不符合要求的大货，一律不接受。
2. 外箱正面印ZURU Logo+SSCC LABEL（客供贴纸), 侧面印item#（订单上显示的SKU#)+carton size(以工厂实际尺寸为准,单位: inch) +MADE IN CHINA,日期使用Z
URU 标准版本 SSCC Label 显示的是客人自己的item#, SSCC Label 贴在外箱正面的正中间，贴一面即可，跟单订购，贴纸离外箱距必须至少3cm, 每一张SSCC labe
l 都是唯一且有不同流水及条码的，没有损耗，绝对不可贴错 ，否则贴错或损坏一张会导致全部都错，千万要注意.
SSCC 贴纸务必要在正中间(可以覆盖Logo &lt;(&gt;&amp;&lt;)&gt; 箱唛), 否则会影响到仓库扫描识别
3.日期码使用ZURU标准版本
邮包盒上要打上日期码
4.按照客户PO# 装柜/箱号顺序装柜，跟单会提前给到装柜计划。请大货生产/仓库存放时留意，以便装柜时不混乱（装错/装漏/找不到货号）</t>
  </si>
  <si>
    <t>4500135282-150</t>
  </si>
  <si>
    <t>4500135282-160</t>
  </si>
  <si>
    <t>NASA Panama</t>
  </si>
  <si>
    <t>S001 - EL SALVADOR</t>
  </si>
  <si>
    <t>4500134591-70</t>
  </si>
  <si>
    <t>S4迷你恐龙24pcs/箱</t>
  </si>
  <si>
    <t>日期码格式：ZURU INC(BVI) 标准格式 日期：按实际生产日期
Packaging Info: 77353: MA 1L包装+箱唛，无进口商贴纸
Remark:</t>
  </si>
  <si>
    <t>4500143709</t>
  </si>
  <si>
    <t>6LKJZMDF</t>
  </si>
  <si>
    <t>4500143709-80</t>
  </si>
  <si>
    <t>8/28取消</t>
  </si>
  <si>
    <t>日期码格式：ZURU INC(BVI) 标准格式 日期：按实际生产日期
Packaging Info: 
Remark: 1.Amazon FOB订单，出口US。外箱最长边不能超过25" （超过了，case pack只能为1），不符合要求的大货，一律不接受。
2. 外箱正面印ZURU Logo+SSCC LABEL（客供贴纸), 侧面印item#（订单上显示的SKU#)+carton size(以工厂实际尺寸为准,单位: inch) +MADE IN CHINA,日期使用Z
URU 标准版本 SSCC Label 显示的是客人自己的item#, SSCC Label 贴在外箱正面的正中间，贴一面即可，跟单订购，贴纸离外箱距必须至少3cm, 每一张SSCC labe
l 都是唯一且有不同流水及条码的，没有损耗，绝对不可贴错 ，否则贴错或损坏一张会导致全部都错，千万要注意.
SSCC 贴纸务必要在正中间(可以覆盖Logo &lt;(&gt;&amp;&lt;)&gt; 箱唛), 否则会影响到仓库扫描识别
3.日期码使用ZURU标准版本
邮包盒上要打日期码
4.按照客户PO# 装柜/箱号顺序装柜，跟单会提前给到装柜计划。请大货生产/仓库存放时留意，以便装柜时不混乱（装错/装漏/找不到货号）</t>
  </si>
  <si>
    <t>76EB25JX</t>
  </si>
  <si>
    <t>4500143730-90</t>
  </si>
  <si>
    <t>日期码格式：ZURU INC(BVI) 标准格式 日期：按实际生产日期
Packaging Info: 
#77523：2PK#77489入PVC圆筒。收藏指南用MA 5L。不带UPC版收缩膜，2PK铜版纸图稿跟翻单4500116864。 （两个球的配比不能重复）。
Remark: 1.Amazon FOB订单，出口US。
2.日期码使用ZURU标准版本。
3.如果大货有要求入邮包盒，则对应的邮包盒上面要打上日期码。
4.箱尺寸要求：外箱最长边不能超过25" （超过了，case pack只能为1），不符合要求的大货，一律不接受。
5.外箱箱唛要求：
①外箱正面印ZURU Logo+SSCC Label（客供贴纸，由跟单订购)。关于 SSCC Label 请注意：
SSCC Label 显示的是客人自己的item#。每一张SSCC label 都是唯一且有不同流水及条码的，没有损耗，绝对不可贴错 。如果贴错或损坏任何一张，都会导致全
部都错，千万要注意！
SSCC Label 必须贴在外箱正面的正中间位置（贴一面即可），并且贴纸离外箱边距必须至少3cm(可以覆盖Logo&lt;(&gt;&amp;&lt;)&gt;箱唛)，否则会影响到客户那边仓库的扫描识
别。
②外箱侧面印item#（订单上显示的SKU#)+carton size(以工厂实际尺寸为准,单位: inch) +MADE IN CHINA,日期使用ZURU 标准版本。
6.装柜要求：按照客户PO# 装柜/箱号顺序装柜，跟单会提前给到装柜计划。
在大货生产/仓库存放时，请留意该装柜要求，以便装柜时不混乱（避免装错/装漏/找不到货号等）。</t>
  </si>
  <si>
    <t>29853910</t>
  </si>
  <si>
    <t>4500149426-10</t>
  </si>
  <si>
    <t>12/11客人取消</t>
  </si>
  <si>
    <r>
      <rPr>
        <sz val="10"/>
        <color rgb="FFFF0000"/>
        <rFont val="宋体"/>
        <charset val="134"/>
      </rPr>
      <t>指定日期码</t>
    </r>
    <r>
      <rPr>
        <sz val="10"/>
        <color rgb="FFFF0000"/>
        <rFont val="Arial"/>
        <charset val="134"/>
      </rPr>
      <t>:DG20241220</t>
    </r>
  </si>
  <si>
    <r>
      <rPr>
        <sz val="10"/>
        <color rgb="FFFF0000"/>
        <rFont val="宋体"/>
        <charset val="134"/>
      </rPr>
      <t>滞留</t>
    </r>
    <r>
      <rPr>
        <sz val="10"/>
        <color rgb="FFFF0000"/>
        <rFont val="Arial"/>
        <charset val="134"/>
      </rPr>
      <t>PDQ</t>
    </r>
    <r>
      <rPr>
        <sz val="10"/>
        <color rgb="FFFF0000"/>
        <rFont val="宋体"/>
        <charset val="134"/>
      </rPr>
      <t>和纸箱</t>
    </r>
    <r>
      <rPr>
        <sz val="10"/>
        <color rgb="FFFF0000"/>
        <rFont val="Arial"/>
        <charset val="134"/>
      </rPr>
      <t xml:space="preserve"> 291PCS</t>
    </r>
  </si>
  <si>
    <t>日期码格式：ZURU INC(BVI) 标准格式 日期：2024-12-20
Packaging Info: 1）客版PDQ(翻单PO#4500135943), 最新版ZURU MA UPC包装(去掉社交媒体标志，优先1L)，出口美国。如有说明书请使用ZURU MA说明书，优先放1L英语。8pcs/PDQ
/CTN。
2）ZURU标准日期码格式：工厂城市缩写+生产年月日，此单指定日期码:DG20241220
3）外箱正侧唛两面都需粘贴产品彩色贴纸，外箱彩贴每箱两张，客版外箱彩贴翻单PO#4500135943。如侧唛位置放不下彩贴和唛头信息，可改为放两个正唛。无论
是正唛+侧唛或者是两个正唛，唛头信息和彩贴需放在同一个面。箱唛需排版给跟单确认。
4) 每个球贴一张客供防盗贴，贴在收缩膜上，防盗贴由跟单采购，供应商直接发货到工厂。防盗贴贴纸位置与PO#4500144246一致。
Remark: 客户PO#29853910
客户SKU#1003737
1）Item#77593GQ5- S001
2）此单无第三方验货+抽样测试，ZURU QC验货PASS后，跟单得到客户的approval之后方可安排出货
3）大货外箱材积绝对不可大于下述数据，材积只接受3%的变小；重量正负不得超过以下列出数据的5%，接受外箱以印章方式印上实际毛重。
大货外箱尺寸请保持：21.0 x 20.6 x 21.2 cm (即8.27 x8.11 x 8.35 inch)，材积必须不能大于0.3249CubeFeet（即0.0092CBM); 外箱毛重 2.6LBS（即1.20 KGS
）
4）大货配比：
#77593GQ5-S001
S001-5 SURPRISE-DINO STRIKE-SERIES 6-CAPSULE,2Facing8pcs/Gravity PDQ,8pcs/1PDQ/CTN。
UPC:193052066206
8pcs/PDQ/CTN,2W*2D*2H=8PCS/PDQ, Contain Slime,with borax; Capsule size: 3.74 inch x 3.74 inch x 3.74 inch
5）客户Family Dollar不允许少数出货，必须按照PO上的数量出货，也不允许延期，否则会有罚款。
6）客户要求:"产品和包装不能含有PFAS 物质以及1,4 dioxane" ，请确保产品可以过美国标准测试。</t>
  </si>
</sst>
</file>

<file path=xl/styles.xml><?xml version="1.0" encoding="utf-8"?>
<styleSheet xmlns="http://schemas.openxmlformats.org/spreadsheetml/2006/main">
  <numFmts count="1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%"/>
    <numFmt numFmtId="178" formatCode="[$-409]d/mmm/yy;@"/>
    <numFmt numFmtId="179" formatCode="m/d;@"/>
    <numFmt numFmtId="180" formatCode="&quot;US$&quot;#,##0.00;\-&quot;US$&quot;#,##0.00"/>
    <numFmt numFmtId="181" formatCode="&quot;US$&quot;#,##0_);[Red]\(&quot;US$&quot;#,##0\)"/>
    <numFmt numFmtId="182" formatCode="yyyy/m/d&quot;周&quot;aaa"/>
    <numFmt numFmtId="183" formatCode="&quot;US$&quot;#,##0.00_);[Red]\(&quot;US$&quot;#,##0.00\)"/>
    <numFmt numFmtId="184" formatCode="0_);[Red]\(0\)"/>
    <numFmt numFmtId="185" formatCode="0_ "/>
    <numFmt numFmtId="186" formatCode="0_ ;[Red]\-0\ "/>
    <numFmt numFmtId="187" formatCode="yyyy/mm/dd\ aaaa\ "/>
    <numFmt numFmtId="188" formatCode="0.00_ "/>
  </numFmts>
  <fonts count="130">
    <font>
      <sz val="12"/>
      <name val="宋体"/>
      <charset val="134"/>
    </font>
    <font>
      <sz val="11"/>
      <name val="Arial"/>
      <charset val="0"/>
    </font>
    <font>
      <sz val="9"/>
      <color rgb="FFFF0000"/>
      <name val="Arial"/>
      <charset val="0"/>
    </font>
    <font>
      <sz val="11"/>
      <color rgb="FFFF0000"/>
      <name val="Arial"/>
      <charset val="0"/>
    </font>
    <font>
      <sz val="12"/>
      <color rgb="FFFF0000"/>
      <name val="宋体"/>
      <charset val="134"/>
    </font>
    <font>
      <b/>
      <sz val="11"/>
      <name val="Arial"/>
      <charset val="0"/>
    </font>
    <font>
      <b/>
      <sz val="10"/>
      <name val="Arial"/>
      <charset val="0"/>
    </font>
    <font>
      <sz val="9"/>
      <color rgb="FFFF0000"/>
      <name val="宋体"/>
      <charset val="134"/>
    </font>
    <font>
      <sz val="9"/>
      <color rgb="FFFF0000"/>
      <name val="Calibri"/>
      <charset val="0"/>
    </font>
    <font>
      <sz val="9"/>
      <color rgb="FFFF0000"/>
      <name val="等线"/>
      <charset val="134"/>
    </font>
    <font>
      <sz val="9"/>
      <color rgb="FFFF0000"/>
      <name val="宋体"/>
      <charset val="134"/>
      <scheme val="minor"/>
    </font>
    <font>
      <sz val="11"/>
      <color rgb="FFFF0000"/>
      <name val="宋体"/>
      <charset val="134"/>
    </font>
    <font>
      <sz val="10"/>
      <color rgb="FFFF0000"/>
      <name val="等线"/>
      <charset val="134"/>
    </font>
    <font>
      <sz val="10"/>
      <color rgb="FFFF0000"/>
      <name val="宋体"/>
      <charset val="134"/>
    </font>
    <font>
      <b/>
      <sz val="11"/>
      <name val="宋体"/>
      <charset val="0"/>
    </font>
    <font>
      <b/>
      <sz val="11"/>
      <name val="宋体"/>
      <charset val="134"/>
    </font>
    <font>
      <sz val="10"/>
      <color rgb="FFFF0000"/>
      <name val="Arial"/>
      <charset val="0"/>
    </font>
    <font>
      <sz val="9"/>
      <color rgb="FFFF0000"/>
      <name val="宋体"/>
      <charset val="0"/>
    </font>
    <font>
      <b/>
      <sz val="11"/>
      <color rgb="FF7030A0"/>
      <name val="宋体"/>
      <charset val="0"/>
    </font>
    <font>
      <b/>
      <sz val="11"/>
      <color rgb="FFFF0000"/>
      <name val="Arial"/>
      <charset val="0"/>
    </font>
    <font>
      <b/>
      <sz val="9"/>
      <color rgb="FFFF0000"/>
      <name val="Arial"/>
      <charset val="0"/>
    </font>
    <font>
      <b/>
      <sz val="11"/>
      <color indexed="39"/>
      <name val="宋体"/>
      <charset val="134"/>
    </font>
    <font>
      <b/>
      <sz val="11"/>
      <color rgb="FFFF0000"/>
      <name val="宋体"/>
      <charset val="134"/>
    </font>
    <font>
      <b/>
      <sz val="11"/>
      <color rgb="FF000000"/>
      <name val="宋体"/>
      <charset val="134"/>
    </font>
    <font>
      <b/>
      <sz val="11"/>
      <color rgb="FF0000FF"/>
      <name val="宋体"/>
      <charset val="134"/>
    </font>
    <font>
      <sz val="9"/>
      <color rgb="FF0000FF"/>
      <name val="Arial"/>
      <charset val="0"/>
    </font>
    <font>
      <b/>
      <sz val="9"/>
      <color rgb="FF0000FF"/>
      <name val="Arial"/>
      <charset val="0"/>
    </font>
    <font>
      <sz val="11"/>
      <name val="宋体"/>
      <charset val="134"/>
    </font>
    <font>
      <sz val="9"/>
      <name val="Arial"/>
      <charset val="0"/>
    </font>
    <font>
      <sz val="9"/>
      <color rgb="FF000000"/>
      <name val="Arial"/>
      <charset val="0"/>
    </font>
    <font>
      <sz val="10"/>
      <color rgb="FFFF0000"/>
      <name val="宋体"/>
      <charset val="134"/>
      <scheme val="minor"/>
    </font>
    <font>
      <sz val="10"/>
      <color rgb="FFFF0000"/>
      <name val="宋体"/>
      <charset val="0"/>
      <scheme val="minor"/>
    </font>
    <font>
      <sz val="10"/>
      <color rgb="FFFF0000"/>
      <name val="宋体"/>
      <charset val="0"/>
    </font>
    <font>
      <sz val="10"/>
      <color theme="1"/>
      <name val="宋体"/>
      <charset val="0"/>
    </font>
    <font>
      <sz val="11"/>
      <color rgb="FFFF0000"/>
      <name val="宋体"/>
      <charset val="134"/>
      <scheme val="minor"/>
    </font>
    <font>
      <sz val="11"/>
      <color rgb="FFFF0000"/>
      <name val="等线"/>
      <charset val="134"/>
    </font>
    <font>
      <sz val="10"/>
      <color rgb="FFFF0000"/>
      <name val="Arial"/>
      <charset val="134"/>
    </font>
    <font>
      <sz val="9"/>
      <color rgb="FF000000"/>
      <name val="宋体"/>
      <charset val="134"/>
    </font>
    <font>
      <sz val="12"/>
      <color rgb="FFFF0000"/>
      <name val="宋体"/>
      <charset val="134"/>
      <scheme val="minor"/>
    </font>
    <font>
      <sz val="12"/>
      <color rgb="FFFF0000"/>
      <name val="宋体"/>
      <charset val="0"/>
      <scheme val="major"/>
    </font>
    <font>
      <b/>
      <sz val="10"/>
      <color rgb="FFFF0000"/>
      <name val="宋体"/>
      <charset val="0"/>
      <scheme val="minor"/>
    </font>
    <font>
      <b/>
      <sz val="10"/>
      <color rgb="FFFF0000"/>
      <name val="宋体"/>
      <charset val="0"/>
    </font>
    <font>
      <b/>
      <sz val="10"/>
      <color rgb="FFFF0000"/>
      <name val="Arial"/>
      <charset val="0"/>
    </font>
    <font>
      <b/>
      <sz val="14"/>
      <name val="Arial"/>
      <charset val="0"/>
    </font>
    <font>
      <sz val="10"/>
      <name val="Arial"/>
      <charset val="0"/>
    </font>
    <font>
      <sz val="10"/>
      <name val="宋体"/>
      <charset val="134"/>
    </font>
    <font>
      <sz val="10"/>
      <name val="宋体"/>
      <charset val="0"/>
    </font>
    <font>
      <b/>
      <sz val="14"/>
      <color rgb="FFFF0000"/>
      <name val="Arial"/>
      <charset val="0"/>
    </font>
    <font>
      <b/>
      <sz val="16"/>
      <name val="宋体"/>
      <charset val="134"/>
    </font>
    <font>
      <sz val="11"/>
      <name val="宋体"/>
      <charset val="0"/>
    </font>
    <font>
      <sz val="9"/>
      <color rgb="FF1C05ED"/>
      <name val="Arial"/>
      <charset val="0"/>
    </font>
    <font>
      <sz val="9"/>
      <color rgb="FF2029DE"/>
      <name val="Arial"/>
      <charset val="0"/>
    </font>
    <font>
      <sz val="9"/>
      <color theme="1"/>
      <name val="Arial"/>
      <charset val="0"/>
    </font>
    <font>
      <sz val="12"/>
      <color rgb="FF7030A0"/>
      <name val="宋体"/>
      <charset val="134"/>
    </font>
    <font>
      <b/>
      <sz val="16"/>
      <name val="Arial"/>
      <charset val="0"/>
    </font>
    <font>
      <b/>
      <sz val="12"/>
      <color indexed="10"/>
      <name val="宋体"/>
      <charset val="134"/>
    </font>
    <font>
      <b/>
      <sz val="12"/>
      <name val="宋体"/>
      <charset val="134"/>
    </font>
    <font>
      <sz val="10"/>
      <color rgb="FF1C05ED"/>
      <name val="Arial"/>
      <charset val="0"/>
    </font>
    <font>
      <sz val="10"/>
      <color rgb="FF1C05ED"/>
      <name val="Arial"/>
      <charset val="134"/>
    </font>
    <font>
      <sz val="10"/>
      <color rgb="FF1C05ED"/>
      <name val="宋体"/>
      <charset val="134"/>
    </font>
    <font>
      <sz val="10"/>
      <color rgb="FF1C05ED"/>
      <name val="宋体"/>
      <charset val="0"/>
    </font>
    <font>
      <sz val="10"/>
      <color rgb="FF2029DE"/>
      <name val="Arial"/>
      <charset val="0"/>
    </font>
    <font>
      <sz val="10"/>
      <color rgb="FF2029DE"/>
      <name val="Arial"/>
      <charset val="134"/>
    </font>
    <font>
      <sz val="10"/>
      <color rgb="FF2029DE"/>
      <name val="宋体"/>
      <charset val="134"/>
    </font>
    <font>
      <sz val="10"/>
      <color rgb="FF2029DE"/>
      <name val="宋体"/>
      <charset val="0"/>
    </font>
    <font>
      <sz val="10"/>
      <name val="Arial"/>
      <charset val="134"/>
    </font>
    <font>
      <sz val="10"/>
      <color theme="1"/>
      <name val="Arial"/>
      <charset val="0"/>
    </font>
    <font>
      <sz val="10"/>
      <color theme="1"/>
      <name val="Arial"/>
      <charset val="134"/>
    </font>
    <font>
      <sz val="10"/>
      <color theme="1"/>
      <name val="宋体"/>
      <charset val="134"/>
    </font>
    <font>
      <b/>
      <sz val="9"/>
      <name val="宋体"/>
      <charset val="134"/>
      <scheme val="minor"/>
    </font>
    <font>
      <sz val="11"/>
      <color rgb="FF1C05ED"/>
      <name val="Arial"/>
      <charset val="0"/>
    </font>
    <font>
      <sz val="11"/>
      <color rgb="FF1C05ED"/>
      <name val="宋体"/>
      <charset val="134"/>
    </font>
    <font>
      <sz val="11"/>
      <color rgb="FF2029DE"/>
      <name val="Arial"/>
      <charset val="0"/>
    </font>
    <font>
      <sz val="10"/>
      <color rgb="FF0000FF"/>
      <name val="宋体"/>
      <charset val="134"/>
    </font>
    <font>
      <sz val="9"/>
      <color rgb="FF1C05ED"/>
      <name val="宋体"/>
      <charset val="0"/>
    </font>
    <font>
      <sz val="9"/>
      <color rgb="FF2029DE"/>
      <name val="宋体"/>
      <charset val="0"/>
    </font>
    <font>
      <sz val="9"/>
      <name val="宋体"/>
      <charset val="0"/>
    </font>
    <font>
      <sz val="9"/>
      <color theme="1"/>
      <name val="宋体"/>
      <charset val="0"/>
    </font>
    <font>
      <b/>
      <sz val="16"/>
      <color rgb="FF7030A0"/>
      <name val="Arial"/>
      <charset val="0"/>
    </font>
    <font>
      <b/>
      <sz val="11"/>
      <color rgb="FF7030A0"/>
      <name val="Arial"/>
      <charset val="0"/>
    </font>
    <font>
      <b/>
      <sz val="10"/>
      <name val="宋体"/>
      <charset val="0"/>
    </font>
    <font>
      <b/>
      <sz val="11"/>
      <color rgb="FFDF1FD4"/>
      <name val="宋体"/>
      <charset val="134"/>
    </font>
    <font>
      <b/>
      <sz val="11"/>
      <color rgb="FFDF1FD4"/>
      <name val="宋体"/>
      <charset val="0"/>
    </font>
    <font>
      <b/>
      <sz val="11"/>
      <color rgb="FF00B0F0"/>
      <name val="宋体"/>
      <charset val="134"/>
    </font>
    <font>
      <b/>
      <sz val="6"/>
      <color rgb="FF0000FF"/>
      <name val="宋体"/>
      <charset val="0"/>
    </font>
    <font>
      <b/>
      <sz val="12"/>
      <color rgb="FFFF0000"/>
      <name val="宋体"/>
      <charset val="134"/>
    </font>
    <font>
      <sz val="11"/>
      <color rgb="FF7030A0"/>
      <name val="Arial"/>
      <charset val="0"/>
    </font>
    <font>
      <sz val="11"/>
      <color rgb="FF0000FF"/>
      <name val="宋体"/>
      <charset val="134"/>
      <scheme val="minor"/>
    </font>
    <font>
      <sz val="10"/>
      <color rgb="FF0000FF"/>
      <name val="宋体"/>
      <charset val="0"/>
    </font>
    <font>
      <sz val="10"/>
      <color rgb="FF0000FF"/>
      <name val="宋体"/>
      <charset val="134"/>
      <scheme val="minor"/>
    </font>
    <font>
      <sz val="10"/>
      <color rgb="FF0000FF"/>
      <name val="宋体"/>
      <charset val="0"/>
      <scheme val="minor"/>
    </font>
    <font>
      <sz val="10"/>
      <color rgb="FF0000FF"/>
      <name val="Arial"/>
      <charset val="0"/>
    </font>
    <font>
      <sz val="10"/>
      <color rgb="FF0000FF"/>
      <name val="Arial"/>
      <charset val="134"/>
    </font>
    <font>
      <sz val="11"/>
      <color rgb="FF0000FF"/>
      <name val="Arial"/>
      <charset val="0"/>
    </font>
    <font>
      <sz val="12"/>
      <color rgb="FF0000FF"/>
      <name val="宋体"/>
      <charset val="134"/>
      <scheme val="minor"/>
    </font>
    <font>
      <sz val="10"/>
      <color rgb="FF0000FF"/>
      <name val="等线"/>
      <charset val="134"/>
    </font>
    <font>
      <sz val="8"/>
      <color rgb="FF0000FF"/>
      <name val="宋体"/>
      <charset val="134"/>
    </font>
    <font>
      <sz val="11"/>
      <color rgb="FF0000FF"/>
      <name val="宋体"/>
      <charset val="134"/>
    </font>
    <font>
      <sz val="9"/>
      <color rgb="FF0000FF"/>
      <name val="宋体"/>
      <charset val="0"/>
    </font>
    <font>
      <sz val="10"/>
      <color rgb="FF1C05ED"/>
      <name val="宋体"/>
      <charset val="134"/>
      <scheme val="minor"/>
    </font>
    <font>
      <sz val="12"/>
      <color rgb="FF010CDD"/>
      <name val="宋体"/>
      <charset val="134"/>
      <scheme val="minor"/>
    </font>
    <font>
      <sz val="11"/>
      <color rgb="FF2727F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2"/>
      <name val="新細明體"/>
      <charset val="134"/>
    </font>
    <font>
      <sz val="10"/>
      <name val="Helv"/>
      <charset val="0"/>
    </font>
    <font>
      <b/>
      <sz val="11"/>
      <color indexed="10"/>
      <name val="宋体"/>
      <charset val="134"/>
    </font>
    <font>
      <b/>
      <sz val="14"/>
      <name val="宋体"/>
      <charset val="0"/>
    </font>
    <font>
      <b/>
      <sz val="16"/>
      <name val="宋体"/>
      <charset val="0"/>
    </font>
    <font>
      <sz val="11"/>
      <color rgb="FF0000FF"/>
      <name val="宋体"/>
      <charset val="0"/>
    </font>
    <font>
      <b/>
      <sz val="9"/>
      <name val="宋体"/>
      <charset val="134"/>
    </font>
    <font>
      <sz val="9"/>
      <name val="宋体"/>
      <charset val="134"/>
    </font>
    <font>
      <sz val="12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0" fontId="102" fillId="10" borderId="0" applyNumberFormat="0" applyBorder="0" applyAlignment="0" applyProtection="0">
      <alignment vertical="center"/>
    </xf>
    <xf numFmtId="0" fontId="103" fillId="11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5" fillId="14" borderId="0" applyNumberFormat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15" borderId="16" applyNumberFormat="0" applyFont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0" borderId="17" applyNumberFormat="0" applyFill="0" applyAlignment="0" applyProtection="0">
      <alignment vertical="center"/>
    </xf>
    <xf numFmtId="0" fontId="113" fillId="0" borderId="17" applyNumberFormat="0" applyFill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9" fillId="0" borderId="18" applyNumberFormat="0" applyFill="0" applyAlignment="0" applyProtection="0">
      <alignment vertical="center"/>
    </xf>
    <xf numFmtId="0" fontId="105" fillId="18" borderId="0" applyNumberFormat="0" applyBorder="0" applyAlignment="0" applyProtection="0">
      <alignment vertical="center"/>
    </xf>
    <xf numFmtId="0" fontId="114" fillId="19" borderId="19" applyNumberFormat="0" applyAlignment="0" applyProtection="0">
      <alignment vertical="center"/>
    </xf>
    <xf numFmtId="0" fontId="115" fillId="19" borderId="15" applyNumberFormat="0" applyAlignment="0" applyProtection="0">
      <alignment vertical="center"/>
    </xf>
    <xf numFmtId="0" fontId="116" fillId="20" borderId="20" applyNumberFormat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17" fillId="0" borderId="21" applyNumberFormat="0" applyFill="0" applyAlignment="0" applyProtection="0">
      <alignment vertical="center"/>
    </xf>
    <xf numFmtId="0" fontId="118" fillId="0" borderId="22" applyNumberFormat="0" applyFill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5" fillId="34" borderId="0" applyNumberFormat="0" applyBorder="0" applyAlignment="0" applyProtection="0">
      <alignment vertical="center"/>
    </xf>
    <xf numFmtId="0" fontId="102" fillId="35" borderId="0" applyNumberFormat="0" applyBorder="0" applyAlignment="0" applyProtection="0">
      <alignment vertical="center"/>
    </xf>
    <xf numFmtId="0" fontId="105" fillId="36" borderId="0" applyNumberFormat="0" applyBorder="0" applyAlignment="0" applyProtection="0">
      <alignment vertical="center"/>
    </xf>
    <xf numFmtId="0" fontId="105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05" fillId="39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0" fillId="0" borderId="0"/>
    <xf numFmtId="0" fontId="65" fillId="0" borderId="0"/>
    <xf numFmtId="0" fontId="0" fillId="0" borderId="0">
      <alignment vertical="center"/>
    </xf>
    <xf numFmtId="0" fontId="65" fillId="0" borderId="0"/>
    <xf numFmtId="0" fontId="122" fillId="0" borderId="0"/>
  </cellStyleXfs>
  <cellXfs count="66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>
      <alignment vertical="center"/>
    </xf>
    <xf numFmtId="0" fontId="3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 shrinkToFit="1"/>
    </xf>
    <xf numFmtId="0" fontId="5" fillId="0" borderId="1" xfId="0" applyFont="1" applyFill="1" applyBorder="1" applyAlignment="1">
      <alignment horizontal="center" vertical="center" wrapText="1" shrinkToFit="1"/>
    </xf>
    <xf numFmtId="0" fontId="6" fillId="0" borderId="1" xfId="0" applyFont="1" applyFill="1" applyBorder="1" applyAlignment="1">
      <alignment horizontal="center" vertical="center" wrapText="1" shrinkToFit="1"/>
    </xf>
    <xf numFmtId="176" fontId="2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 shrinkToFit="1"/>
    </xf>
    <xf numFmtId="176" fontId="2" fillId="0" borderId="2" xfId="0" applyNumberFormat="1" applyFont="1" applyFill="1" applyBorder="1" applyAlignment="1">
      <alignment horizontal="center" vertical="center"/>
    </xf>
    <xf numFmtId="0" fontId="8" fillId="0" borderId="1" xfId="0" applyFont="1" applyFill="1" applyBorder="1">
      <alignment vertical="center"/>
    </xf>
    <xf numFmtId="0" fontId="2" fillId="0" borderId="3" xfId="0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 wrapText="1" shrinkToFit="1"/>
    </xf>
    <xf numFmtId="0" fontId="10" fillId="0" borderId="1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shrinkToFit="1"/>
    </xf>
    <xf numFmtId="0" fontId="2" fillId="0" borderId="4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 shrinkToFit="1"/>
    </xf>
    <xf numFmtId="0" fontId="3" fillId="0" borderId="1" xfId="0" applyNumberFormat="1" applyFont="1" applyFill="1" applyBorder="1" applyAlignment="1">
      <alignment horizontal="center" vertical="center" shrinkToFi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 shrinkToFit="1"/>
    </xf>
    <xf numFmtId="0" fontId="11" fillId="0" borderId="1" xfId="0" applyFont="1" applyFill="1" applyBorder="1" applyAlignment="1">
      <alignment horizontal="center" vertical="center" wrapText="1"/>
    </xf>
    <xf numFmtId="176" fontId="2" fillId="0" borderId="4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 shrinkToFit="1"/>
    </xf>
    <xf numFmtId="0" fontId="2" fillId="0" borderId="4" xfId="0" applyFont="1" applyFill="1" applyBorder="1" applyAlignment="1">
      <alignment horizontal="center" vertical="center" wrapText="1" shrinkToFit="1"/>
    </xf>
    <xf numFmtId="0" fontId="2" fillId="0" borderId="4" xfId="0" applyFont="1" applyFill="1" applyBorder="1" applyAlignment="1">
      <alignment horizontal="center" vertical="center"/>
    </xf>
    <xf numFmtId="0" fontId="9" fillId="0" borderId="4" xfId="0" applyNumberFormat="1" applyFont="1" applyFill="1" applyBorder="1" applyAlignment="1">
      <alignment horizontal="center" vertical="center" wrapText="1"/>
    </xf>
    <xf numFmtId="178" fontId="12" fillId="0" borderId="4" xfId="0" applyNumberFormat="1" applyFont="1" applyFill="1" applyBorder="1" applyAlignment="1">
      <alignment horizontal="center" vertical="center"/>
    </xf>
    <xf numFmtId="0" fontId="12" fillId="0" borderId="4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 shrinkToFit="1"/>
    </xf>
    <xf numFmtId="49" fontId="2" fillId="3" borderId="4" xfId="0" applyNumberFormat="1" applyFont="1" applyFill="1" applyBorder="1" applyAlignment="1">
      <alignment horizontal="center" vertical="center" wrapText="1"/>
    </xf>
    <xf numFmtId="179" fontId="5" fillId="0" borderId="1" xfId="0" applyNumberFormat="1" applyFont="1" applyFill="1" applyBorder="1" applyAlignment="1">
      <alignment horizontal="center" vertical="center" wrapText="1" shrinkToFit="1"/>
    </xf>
    <xf numFmtId="180" fontId="2" fillId="0" borderId="1" xfId="0" applyNumberFormat="1" applyFont="1" applyFill="1" applyBorder="1" applyAlignment="1">
      <alignment horizontal="center" vertical="center"/>
    </xf>
    <xf numFmtId="181" fontId="2" fillId="0" borderId="1" xfId="0" applyNumberFormat="1" applyFont="1" applyFill="1" applyBorder="1" applyAlignment="1">
      <alignment horizontal="center" vertical="center"/>
    </xf>
    <xf numFmtId="182" fontId="7" fillId="0" borderId="1" xfId="0" applyNumberFormat="1" applyFont="1" applyFill="1" applyBorder="1" applyAlignment="1">
      <alignment horizontal="center" vertical="center" wrapText="1" shrinkToFit="1"/>
    </xf>
    <xf numFmtId="179" fontId="7" fillId="0" borderId="1" xfId="0" applyNumberFormat="1" applyFont="1" applyFill="1" applyBorder="1" applyAlignment="1">
      <alignment horizontal="center" vertical="center" wrapText="1"/>
    </xf>
    <xf numFmtId="182" fontId="13" fillId="0" borderId="1" xfId="0" applyNumberFormat="1" applyFont="1" applyFill="1" applyBorder="1" applyAlignment="1">
      <alignment horizontal="center" vertical="center" wrapText="1" shrinkToFit="1"/>
    </xf>
    <xf numFmtId="179" fontId="11" fillId="0" borderId="1" xfId="0" applyNumberFormat="1" applyFont="1" applyFill="1" applyBorder="1" applyAlignment="1">
      <alignment horizontal="center" vertical="center" wrapText="1"/>
    </xf>
    <xf numFmtId="179" fontId="3" fillId="0" borderId="1" xfId="0" applyNumberFormat="1" applyFont="1" applyFill="1" applyBorder="1" applyAlignment="1">
      <alignment horizontal="center" vertical="center" wrapText="1"/>
    </xf>
    <xf numFmtId="182" fontId="7" fillId="3" borderId="4" xfId="0" applyNumberFormat="1" applyFont="1" applyFill="1" applyBorder="1" applyAlignment="1">
      <alignment horizontal="center" vertical="center" wrapText="1" shrinkToFit="1"/>
    </xf>
    <xf numFmtId="182" fontId="7" fillId="0" borderId="4" xfId="0" applyNumberFormat="1" applyFont="1" applyFill="1" applyBorder="1" applyAlignment="1">
      <alignment horizontal="center" vertical="center" wrapText="1" shrinkToFit="1"/>
    </xf>
    <xf numFmtId="179" fontId="7" fillId="0" borderId="4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 shrinkToFit="1"/>
    </xf>
    <xf numFmtId="0" fontId="15" fillId="0" borderId="1" xfId="0" applyNumberFormat="1" applyFont="1" applyFill="1" applyBorder="1" applyAlignment="1">
      <alignment horizontal="center" vertical="center" wrapText="1" shrinkToFit="1"/>
    </xf>
    <xf numFmtId="181" fontId="5" fillId="0" borderId="1" xfId="0" applyNumberFormat="1" applyFont="1" applyFill="1" applyBorder="1" applyAlignment="1">
      <alignment horizontal="center" vertical="center" wrapText="1" shrinkToFit="1"/>
    </xf>
    <xf numFmtId="0" fontId="5" fillId="0" borderId="1" xfId="0" applyNumberFormat="1" applyFont="1" applyFill="1" applyBorder="1" applyAlignment="1">
      <alignment horizontal="center" vertical="center" wrapText="1" shrinkToFit="1"/>
    </xf>
    <xf numFmtId="0" fontId="7" fillId="0" borderId="1" xfId="0" applyNumberFormat="1" applyFont="1" applyFill="1" applyBorder="1" applyAlignment="1">
      <alignment horizontal="center" vertical="center" wrapText="1" shrinkToFit="1"/>
    </xf>
    <xf numFmtId="0" fontId="7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180" fontId="3" fillId="0" borderId="1" xfId="0" applyNumberFormat="1" applyFont="1" applyFill="1" applyBorder="1" applyAlignment="1">
      <alignment horizontal="center" vertical="center"/>
    </xf>
    <xf numFmtId="181" fontId="3" fillId="0" borderId="1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180" fontId="2" fillId="0" borderId="4" xfId="0" applyNumberFormat="1" applyFont="1" applyFill="1" applyBorder="1" applyAlignment="1">
      <alignment horizontal="center" vertical="center"/>
    </xf>
    <xf numFmtId="183" fontId="2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181" fontId="2" fillId="0" borderId="4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vertical="center" wrapText="1"/>
    </xf>
    <xf numFmtId="179" fontId="7" fillId="4" borderId="1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179" fontId="7" fillId="5" borderId="1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center" vertical="center" wrapText="1" shrinkToFit="1"/>
    </xf>
    <xf numFmtId="0" fontId="18" fillId="0" borderId="1" xfId="0" applyFont="1" applyFill="1" applyBorder="1" applyAlignment="1">
      <alignment horizontal="center" vertical="center" wrapText="1" shrinkToFit="1"/>
    </xf>
    <xf numFmtId="0" fontId="19" fillId="0" borderId="1" xfId="0" applyFont="1" applyFill="1" applyBorder="1" applyAlignment="1">
      <alignment horizontal="center" vertical="center" wrapText="1" shrinkToFit="1"/>
    </xf>
    <xf numFmtId="0" fontId="2" fillId="0" borderId="1" xfId="0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 wrapText="1" shrinkToFit="1"/>
    </xf>
    <xf numFmtId="184" fontId="2" fillId="0" borderId="1" xfId="0" applyNumberFormat="1" applyFont="1" applyFill="1" applyBorder="1" applyAlignment="1">
      <alignment horizontal="center" vertical="center" wrapText="1" shrinkToFit="1"/>
    </xf>
    <xf numFmtId="0" fontId="11" fillId="0" borderId="1" xfId="0" applyNumberFormat="1" applyFont="1" applyFill="1" applyBorder="1" applyAlignment="1">
      <alignment horizontal="center" vertical="center" wrapText="1" shrinkToFit="1"/>
    </xf>
    <xf numFmtId="182" fontId="11" fillId="0" borderId="1" xfId="0" applyNumberFormat="1" applyFont="1" applyFill="1" applyBorder="1" applyAlignment="1">
      <alignment horizontal="center" vertical="center" wrapText="1" shrinkToFit="1"/>
    </xf>
    <xf numFmtId="0" fontId="3" fillId="0" borderId="1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 wrapText="1" shrinkToFit="1"/>
    </xf>
    <xf numFmtId="0" fontId="2" fillId="0" borderId="4" xfId="0" applyNumberFormat="1" applyFont="1" applyFill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0" fontId="21" fillId="0" borderId="1" xfId="0" applyFont="1" applyFill="1" applyBorder="1" applyAlignment="1">
      <alignment horizontal="center" vertical="center" wrapText="1" shrinkToFit="1"/>
    </xf>
    <xf numFmtId="184" fontId="5" fillId="0" borderId="1" xfId="0" applyNumberFormat="1" applyFont="1" applyFill="1" applyBorder="1" applyAlignment="1">
      <alignment horizontal="center" vertical="center" wrapText="1" shrinkToFit="1"/>
    </xf>
    <xf numFmtId="184" fontId="19" fillId="0" borderId="1" xfId="0" applyNumberFormat="1" applyFont="1" applyFill="1" applyBorder="1" applyAlignment="1">
      <alignment horizontal="center" vertical="center" wrapText="1" shrinkToFit="1"/>
    </xf>
    <xf numFmtId="184" fontId="21" fillId="0" borderId="1" xfId="0" applyNumberFormat="1" applyFont="1" applyFill="1" applyBorder="1" applyAlignment="1">
      <alignment horizontal="center" vertical="center" wrapText="1" shrinkToFit="1"/>
    </xf>
    <xf numFmtId="184" fontId="20" fillId="0" borderId="1" xfId="0" applyNumberFormat="1" applyFont="1" applyFill="1" applyBorder="1" applyAlignment="1">
      <alignment horizontal="center" vertical="center" wrapText="1" shrinkToFit="1"/>
    </xf>
    <xf numFmtId="184" fontId="3" fillId="0" borderId="1" xfId="0" applyNumberFormat="1" applyFont="1" applyFill="1" applyBorder="1" applyAlignment="1">
      <alignment horizontal="center" vertical="center" wrapText="1" shrinkToFit="1"/>
    </xf>
    <xf numFmtId="0" fontId="20" fillId="0" borderId="4" xfId="0" applyFont="1" applyFill="1" applyBorder="1" applyAlignment="1">
      <alignment horizontal="center" vertical="center" wrapText="1" shrinkToFit="1"/>
    </xf>
    <xf numFmtId="184" fontId="2" fillId="0" borderId="4" xfId="0" applyNumberFormat="1" applyFont="1" applyFill="1" applyBorder="1" applyAlignment="1">
      <alignment horizontal="center" vertical="center" wrapText="1" shrinkToFit="1"/>
    </xf>
    <xf numFmtId="184" fontId="22" fillId="0" borderId="1" xfId="0" applyNumberFormat="1" applyFont="1" applyFill="1" applyBorder="1" applyAlignment="1">
      <alignment horizontal="center" vertical="center" wrapText="1" shrinkToFit="1"/>
    </xf>
    <xf numFmtId="184" fontId="23" fillId="0" borderId="1" xfId="0" applyNumberFormat="1" applyFont="1" applyFill="1" applyBorder="1" applyAlignment="1">
      <alignment horizontal="center" vertical="center" wrapText="1" shrinkToFit="1"/>
    </xf>
    <xf numFmtId="184" fontId="24" fillId="0" borderId="1" xfId="0" applyNumberFormat="1" applyFont="1" applyFill="1" applyBorder="1" applyAlignment="1">
      <alignment horizontal="center" vertical="center" wrapText="1" shrinkToFit="1"/>
    </xf>
    <xf numFmtId="184" fontId="15" fillId="0" borderId="1" xfId="0" applyNumberFormat="1" applyFont="1" applyFill="1" applyBorder="1" applyAlignment="1">
      <alignment horizontal="center" vertical="center" wrapText="1" shrinkToFit="1"/>
    </xf>
    <xf numFmtId="184" fontId="25" fillId="0" borderId="1" xfId="0" applyNumberFormat="1" applyFont="1" applyFill="1" applyBorder="1" applyAlignment="1">
      <alignment horizontal="center" vertical="center" wrapText="1" shrinkToFit="1"/>
    </xf>
    <xf numFmtId="184" fontId="26" fillId="0" borderId="1" xfId="0" applyNumberFormat="1" applyFont="1" applyFill="1" applyBorder="1" applyAlignment="1">
      <alignment horizontal="center" vertical="center" wrapText="1" shrinkToFit="1"/>
    </xf>
    <xf numFmtId="184" fontId="20" fillId="0" borderId="4" xfId="0" applyNumberFormat="1" applyFont="1" applyFill="1" applyBorder="1" applyAlignment="1">
      <alignment horizontal="center" vertical="center" wrapText="1" shrinkToFit="1"/>
    </xf>
    <xf numFmtId="185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85" fontId="4" fillId="0" borderId="1" xfId="0" applyNumberFormat="1" applyFont="1" applyFill="1" applyBorder="1" applyAlignment="1">
      <alignment horizontal="center" vertical="center"/>
    </xf>
    <xf numFmtId="0" fontId="4" fillId="0" borderId="4" xfId="0" applyFont="1" applyFill="1" applyBorder="1">
      <alignment vertical="center"/>
    </xf>
    <xf numFmtId="184" fontId="4" fillId="0" borderId="1" xfId="0" applyNumberFormat="1" applyFont="1" applyFill="1" applyBorder="1" applyAlignment="1">
      <alignment horizontal="center" vertical="center"/>
    </xf>
    <xf numFmtId="0" fontId="27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7" fillId="0" borderId="5" xfId="0" applyNumberFormat="1" applyFont="1" applyFill="1" applyBorder="1" applyAlignment="1">
      <alignment horizontal="center" vertical="center" wrapText="1"/>
    </xf>
    <xf numFmtId="0" fontId="28" fillId="0" borderId="0" xfId="0" applyFont="1" applyFill="1" applyAlignment="1">
      <alignment horizontal="center" vertical="center"/>
    </xf>
    <xf numFmtId="0" fontId="7" fillId="0" borderId="6" xfId="0" applyNumberFormat="1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 shrinkToFit="1"/>
    </xf>
    <xf numFmtId="0" fontId="11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 shrinkToFit="1"/>
    </xf>
    <xf numFmtId="0" fontId="13" fillId="0" borderId="1" xfId="0" applyFont="1" applyFill="1" applyBorder="1" applyAlignment="1">
      <alignment horizontal="center" vertical="center" wrapText="1" shrinkToFit="1"/>
    </xf>
    <xf numFmtId="0" fontId="2" fillId="0" borderId="4" xfId="0" applyNumberFormat="1" applyFont="1" applyFill="1" applyBorder="1" applyAlignment="1">
      <alignment horizontal="center" vertical="center" wrapText="1" shrinkToFit="1"/>
    </xf>
    <xf numFmtId="0" fontId="13" fillId="0" borderId="4" xfId="0" applyFont="1" applyFill="1" applyBorder="1" applyAlignment="1">
      <alignment horizontal="center" vertical="center" wrapText="1" shrinkToFit="1"/>
    </xf>
    <xf numFmtId="0" fontId="2" fillId="5" borderId="1" xfId="0" applyNumberFormat="1" applyFont="1" applyFill="1" applyBorder="1" applyAlignment="1">
      <alignment horizontal="center" vertical="center" shrinkToFit="1"/>
    </xf>
    <xf numFmtId="49" fontId="29" fillId="0" borderId="1" xfId="0" applyNumberFormat="1" applyFont="1" applyFill="1" applyBorder="1" applyAlignment="1">
      <alignment horizontal="center" vertical="center" wrapText="1"/>
    </xf>
    <xf numFmtId="182" fontId="30" fillId="0" borderId="4" xfId="0" applyNumberFormat="1" applyFont="1" applyFill="1" applyBorder="1" applyAlignment="1">
      <alignment horizontal="center" vertical="center" shrinkToFit="1"/>
    </xf>
    <xf numFmtId="0" fontId="30" fillId="0" borderId="4" xfId="0" applyNumberFormat="1" applyFont="1" applyFill="1" applyBorder="1" applyAlignment="1">
      <alignment horizontal="center" vertical="center" wrapText="1"/>
    </xf>
    <xf numFmtId="178" fontId="30" fillId="0" borderId="4" xfId="0" applyNumberFormat="1" applyFont="1" applyFill="1" applyBorder="1" applyAlignment="1">
      <alignment horizontal="center" vertical="center" wrapText="1"/>
    </xf>
    <xf numFmtId="0" fontId="31" fillId="0" borderId="4" xfId="0" applyNumberFormat="1" applyFont="1" applyFill="1" applyBorder="1" applyAlignment="1">
      <alignment horizontal="center" vertical="center" shrinkToFit="1"/>
    </xf>
    <xf numFmtId="0" fontId="31" fillId="0" borderId="1" xfId="0" applyNumberFormat="1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horizontal="center" vertical="center" wrapText="1" shrinkToFit="1"/>
    </xf>
    <xf numFmtId="176" fontId="31" fillId="0" borderId="1" xfId="0" applyNumberFormat="1" applyFont="1" applyFill="1" applyBorder="1" applyAlignment="1">
      <alignment horizontal="center" vertical="center"/>
    </xf>
    <xf numFmtId="0" fontId="30" fillId="0" borderId="1" xfId="0" applyNumberFormat="1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30" fillId="0" borderId="1" xfId="0" applyNumberFormat="1" applyFont="1" applyFill="1" applyBorder="1" applyAlignment="1">
      <alignment horizontal="center" vertical="center"/>
    </xf>
    <xf numFmtId="0" fontId="31" fillId="0" borderId="1" xfId="0" applyNumberFormat="1" applyFont="1" applyFill="1" applyBorder="1" applyAlignment="1">
      <alignment horizontal="center" vertical="center" shrinkToFit="1"/>
    </xf>
    <xf numFmtId="176" fontId="31" fillId="2" borderId="1" xfId="0" applyNumberFormat="1" applyFont="1" applyFill="1" applyBorder="1" applyAlignment="1">
      <alignment horizontal="center" vertical="center"/>
    </xf>
    <xf numFmtId="0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2" borderId="1" xfId="0" applyNumberFormat="1" applyFont="1" applyFill="1" applyBorder="1" applyAlignment="1">
      <alignment horizontal="center" vertical="center"/>
    </xf>
    <xf numFmtId="0" fontId="31" fillId="2" borderId="1" xfId="0" applyNumberFormat="1" applyFont="1" applyFill="1" applyBorder="1" applyAlignment="1">
      <alignment horizontal="center" vertical="center" shrinkToFit="1"/>
    </xf>
    <xf numFmtId="0" fontId="31" fillId="2" borderId="1" xfId="0" applyFont="1" applyFill="1" applyBorder="1" applyAlignment="1">
      <alignment horizontal="center" vertical="center" wrapText="1" shrinkToFit="1"/>
    </xf>
    <xf numFmtId="176" fontId="13" fillId="0" borderId="4" xfId="0" applyNumberFormat="1" applyFont="1" applyFill="1" applyBorder="1" applyAlignment="1">
      <alignment horizontal="center" vertical="center" wrapText="1" shrinkToFit="1"/>
    </xf>
    <xf numFmtId="0" fontId="13" fillId="0" borderId="4" xfId="0" applyFont="1" applyFill="1" applyBorder="1" applyAlignment="1">
      <alignment horizontal="center" vertical="center" wrapText="1"/>
    </xf>
    <xf numFmtId="0" fontId="32" fillId="0" borderId="4" xfId="0" applyNumberFormat="1" applyFont="1" applyFill="1" applyBorder="1" applyAlignment="1">
      <alignment horizontal="center" vertical="center" shrinkToFit="1"/>
    </xf>
    <xf numFmtId="0" fontId="13" fillId="0" borderId="4" xfId="0" applyNumberFormat="1" applyFont="1" applyFill="1" applyBorder="1" applyAlignment="1">
      <alignment horizontal="center" vertical="center" wrapText="1"/>
    </xf>
    <xf numFmtId="0" fontId="32" fillId="0" borderId="4" xfId="0" applyNumberFormat="1" applyFont="1" applyFill="1" applyBorder="1" applyAlignment="1">
      <alignment horizontal="center" vertical="center" wrapText="1" shrinkToFit="1"/>
    </xf>
    <xf numFmtId="49" fontId="33" fillId="0" borderId="1" xfId="0" applyNumberFormat="1" applyFont="1" applyFill="1" applyBorder="1" applyAlignment="1">
      <alignment horizontal="center" vertical="center" wrapText="1"/>
    </xf>
    <xf numFmtId="49" fontId="32" fillId="0" borderId="1" xfId="0" applyNumberFormat="1" applyFont="1" applyFill="1" applyBorder="1" applyAlignment="1">
      <alignment horizontal="center" vertical="center" wrapText="1"/>
    </xf>
    <xf numFmtId="176" fontId="34" fillId="0" borderId="4" xfId="0" applyNumberFormat="1" applyFont="1" applyFill="1" applyBorder="1" applyAlignment="1">
      <alignment horizontal="center" vertical="center" wrapText="1" shrinkToFit="1"/>
    </xf>
    <xf numFmtId="0" fontId="34" fillId="0" borderId="4" xfId="0" applyFont="1" applyFill="1" applyBorder="1" applyAlignment="1">
      <alignment horizontal="center" vertical="center" wrapText="1"/>
    </xf>
    <xf numFmtId="0" fontId="34" fillId="0" borderId="4" xfId="0" applyFont="1" applyFill="1" applyBorder="1" applyAlignment="1">
      <alignment horizontal="center" vertical="center" wrapText="1" shrinkToFit="1"/>
    </xf>
    <xf numFmtId="0" fontId="3" fillId="0" borderId="4" xfId="0" applyNumberFormat="1" applyFont="1" applyFill="1" applyBorder="1" applyAlignment="1">
      <alignment horizontal="center" vertical="center" shrinkToFit="1"/>
    </xf>
    <xf numFmtId="0" fontId="32" fillId="0" borderId="1" xfId="0" applyFont="1" applyFill="1" applyBorder="1" applyAlignment="1">
      <alignment horizontal="center" vertical="center" wrapText="1" shrinkToFit="1"/>
    </xf>
    <xf numFmtId="0" fontId="13" fillId="0" borderId="1" xfId="0" applyFont="1" applyFill="1" applyBorder="1" applyAlignment="1">
      <alignment horizontal="center" vertical="center" wrapText="1"/>
    </xf>
    <xf numFmtId="0" fontId="3" fillId="0" borderId="4" xfId="0" applyNumberFormat="1" applyFont="1" applyFill="1" applyBorder="1" applyAlignment="1">
      <alignment horizontal="center" vertical="center" wrapText="1" shrinkToFit="1"/>
    </xf>
    <xf numFmtId="176" fontId="34" fillId="0" borderId="1" xfId="0" applyNumberFormat="1" applyFont="1" applyFill="1" applyBorder="1" applyAlignment="1">
      <alignment horizontal="center" vertical="center" wrapText="1" shrinkToFit="1"/>
    </xf>
    <xf numFmtId="0" fontId="34" fillId="0" borderId="1" xfId="0" applyFont="1" applyFill="1" applyBorder="1" applyAlignment="1">
      <alignment horizontal="center" vertical="center" wrapText="1"/>
    </xf>
    <xf numFmtId="0" fontId="34" fillId="0" borderId="1" xfId="0" applyFont="1" applyFill="1" applyBorder="1" applyAlignment="1">
      <alignment horizontal="center" vertical="center" wrapText="1" shrinkToFit="1"/>
    </xf>
    <xf numFmtId="0" fontId="3" fillId="0" borderId="1" xfId="0" applyNumberFormat="1" applyFont="1" applyFill="1" applyBorder="1" applyAlignment="1">
      <alignment horizontal="center" vertical="center" wrapText="1" shrinkToFit="1"/>
    </xf>
    <xf numFmtId="182" fontId="12" fillId="0" borderId="1" xfId="0" applyNumberFormat="1" applyFont="1" applyFill="1" applyBorder="1" applyAlignment="1">
      <alignment horizontal="center" vertical="center" shrinkToFit="1"/>
    </xf>
    <xf numFmtId="0" fontId="12" fillId="0" borderId="4" xfId="0" applyNumberFormat="1" applyFont="1" applyFill="1" applyBorder="1" applyAlignment="1">
      <alignment horizontal="center" vertical="center" wrapText="1"/>
    </xf>
    <xf numFmtId="178" fontId="12" fillId="0" borderId="4" xfId="0" applyNumberFormat="1" applyFont="1" applyFill="1" applyBorder="1" applyAlignment="1">
      <alignment horizontal="center" vertical="center" wrapText="1"/>
    </xf>
    <xf numFmtId="182" fontId="35" fillId="0" borderId="4" xfId="0" applyNumberFormat="1" applyFont="1" applyFill="1" applyBorder="1" applyAlignment="1">
      <alignment horizontal="center" vertical="center" shrinkToFit="1"/>
    </xf>
    <xf numFmtId="0" fontId="34" fillId="0" borderId="4" xfId="0" applyNumberFormat="1" applyFont="1" applyFill="1" applyBorder="1" applyAlignment="1">
      <alignment horizontal="center" vertical="center" wrapText="1"/>
    </xf>
    <xf numFmtId="0" fontId="34" fillId="0" borderId="4" xfId="0" applyNumberFormat="1" applyFont="1" applyFill="1" applyBorder="1" applyAlignment="1">
      <alignment horizontal="center" vertical="center" wrapText="1" shrinkToFit="1"/>
    </xf>
    <xf numFmtId="0" fontId="16" fillId="0" borderId="1" xfId="0" applyFont="1" applyFill="1" applyBorder="1" applyAlignment="1">
      <alignment horizontal="center" vertical="center" wrapText="1" shrinkToFit="1"/>
    </xf>
    <xf numFmtId="176" fontId="30" fillId="0" borderId="4" xfId="0" applyNumberFormat="1" applyFont="1" applyFill="1" applyBorder="1" applyAlignment="1">
      <alignment horizontal="center" vertical="center" shrinkToFit="1"/>
    </xf>
    <xf numFmtId="0" fontId="31" fillId="0" borderId="1" xfId="0" applyNumberFormat="1" applyFont="1" applyFill="1" applyBorder="1" applyAlignment="1">
      <alignment horizontal="center" vertical="center" wrapText="1" shrinkToFit="1"/>
    </xf>
    <xf numFmtId="176" fontId="16" fillId="3" borderId="1" xfId="0" applyNumberFormat="1" applyFont="1" applyFill="1" applyBorder="1" applyAlignment="1">
      <alignment horizontal="center" vertical="center"/>
    </xf>
    <xf numFmtId="0" fontId="36" fillId="3" borderId="1" xfId="0" applyFont="1" applyFill="1" applyBorder="1" applyAlignment="1">
      <alignment horizontal="center" vertical="center" wrapText="1"/>
    </xf>
    <xf numFmtId="178" fontId="30" fillId="3" borderId="4" xfId="0" applyNumberFormat="1" applyFont="1" applyFill="1" applyBorder="1" applyAlignment="1">
      <alignment horizontal="center" vertical="center" wrapText="1"/>
    </xf>
    <xf numFmtId="0" fontId="16" fillId="3" borderId="1" xfId="0" applyNumberFormat="1" applyFont="1" applyFill="1" applyBorder="1" applyAlignment="1">
      <alignment horizontal="center" vertical="center" shrinkToFit="1"/>
    </xf>
    <xf numFmtId="49" fontId="32" fillId="3" borderId="1" xfId="0" applyNumberFormat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 shrinkToFit="1"/>
    </xf>
    <xf numFmtId="0" fontId="13" fillId="3" borderId="1" xfId="0" applyFont="1" applyFill="1" applyBorder="1" applyAlignment="1">
      <alignment horizontal="center" vertical="center" wrapText="1"/>
    </xf>
    <xf numFmtId="176" fontId="16" fillId="0" borderId="1" xfId="0" applyNumberFormat="1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 wrapText="1"/>
    </xf>
    <xf numFmtId="0" fontId="16" fillId="0" borderId="1" xfId="0" applyNumberFormat="1" applyFont="1" applyFill="1" applyBorder="1" applyAlignment="1">
      <alignment horizontal="center" vertical="center" shrinkToFit="1"/>
    </xf>
    <xf numFmtId="182" fontId="7" fillId="5" borderId="1" xfId="0" applyNumberFormat="1" applyFont="1" applyFill="1" applyBorder="1" applyAlignment="1">
      <alignment horizontal="center" vertical="center" wrapText="1" shrinkToFit="1"/>
    </xf>
    <xf numFmtId="182" fontId="7" fillId="3" borderId="1" xfId="0" applyNumberFormat="1" applyFont="1" applyFill="1" applyBorder="1" applyAlignment="1">
      <alignment horizontal="center" vertical="center" wrapText="1" shrinkToFit="1"/>
    </xf>
    <xf numFmtId="179" fontId="37" fillId="0" borderId="1" xfId="0" applyNumberFormat="1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horizontal="center" vertical="center"/>
    </xf>
    <xf numFmtId="182" fontId="30" fillId="0" borderId="1" xfId="0" applyNumberFormat="1" applyFont="1" applyFill="1" applyBorder="1" applyAlignment="1">
      <alignment horizontal="center" vertical="center" wrapText="1" shrinkToFit="1"/>
    </xf>
    <xf numFmtId="179" fontId="30" fillId="0" borderId="1" xfId="0" applyNumberFormat="1" applyFont="1" applyFill="1" applyBorder="1" applyAlignment="1">
      <alignment horizontal="center" vertical="center" wrapText="1"/>
    </xf>
    <xf numFmtId="182" fontId="30" fillId="3" borderId="1" xfId="0" applyNumberFormat="1" applyFont="1" applyFill="1" applyBorder="1" applyAlignment="1">
      <alignment horizontal="center" vertical="center" wrapText="1" shrinkToFit="1"/>
    </xf>
    <xf numFmtId="0" fontId="31" fillId="2" borderId="1" xfId="0" applyFont="1" applyFill="1" applyBorder="1" applyAlignment="1">
      <alignment horizontal="center" vertical="center"/>
    </xf>
    <xf numFmtId="182" fontId="30" fillId="2" borderId="1" xfId="0" applyNumberFormat="1" applyFont="1" applyFill="1" applyBorder="1" applyAlignment="1">
      <alignment horizontal="center" vertical="center" wrapText="1" shrinkToFit="1"/>
    </xf>
    <xf numFmtId="179" fontId="30" fillId="2" borderId="1" xfId="0" applyNumberFormat="1" applyFont="1" applyFill="1" applyBorder="1" applyAlignment="1">
      <alignment horizontal="center" vertical="center" wrapText="1"/>
    </xf>
    <xf numFmtId="185" fontId="32" fillId="0" borderId="1" xfId="0" applyNumberFormat="1" applyFont="1" applyFill="1" applyBorder="1" applyAlignment="1">
      <alignment horizontal="center" vertical="center"/>
    </xf>
    <xf numFmtId="179" fontId="13" fillId="0" borderId="1" xfId="0" applyNumberFormat="1" applyFont="1" applyFill="1" applyBorder="1" applyAlignment="1">
      <alignment horizontal="center" vertical="center" wrapText="1"/>
    </xf>
    <xf numFmtId="182" fontId="13" fillId="3" borderId="1" xfId="0" applyNumberFormat="1" applyFont="1" applyFill="1" applyBorder="1" applyAlignment="1">
      <alignment horizontal="center" vertical="center" wrapText="1" shrinkToFit="1"/>
    </xf>
    <xf numFmtId="179" fontId="13" fillId="3" borderId="1" xfId="0" applyNumberFormat="1" applyFont="1" applyFill="1" applyBorder="1" applyAlignment="1">
      <alignment horizontal="center" vertical="center" wrapText="1"/>
    </xf>
    <xf numFmtId="185" fontId="32" fillId="0" borderId="4" xfId="0" applyNumberFormat="1" applyFont="1" applyFill="1" applyBorder="1" applyAlignment="1">
      <alignment horizontal="center" vertical="center"/>
    </xf>
    <xf numFmtId="185" fontId="32" fillId="3" borderId="1" xfId="0" applyNumberFormat="1" applyFont="1" applyFill="1" applyBorder="1" applyAlignment="1">
      <alignment horizontal="center" vertical="center"/>
    </xf>
    <xf numFmtId="179" fontId="7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9" fontId="31" fillId="0" borderId="1" xfId="0" applyNumberFormat="1" applyFont="1" applyFill="1" applyBorder="1" applyAlignment="1">
      <alignment horizontal="center" vertical="center" wrapText="1"/>
    </xf>
    <xf numFmtId="0" fontId="30" fillId="0" borderId="0" xfId="0" applyFont="1" applyFill="1">
      <alignment vertical="center"/>
    </xf>
    <xf numFmtId="180" fontId="31" fillId="0" borderId="1" xfId="0" applyNumberFormat="1" applyFont="1" applyFill="1" applyBorder="1" applyAlignment="1">
      <alignment horizontal="center" vertical="center"/>
    </xf>
    <xf numFmtId="179" fontId="31" fillId="2" borderId="1" xfId="0" applyNumberFormat="1" applyFont="1" applyFill="1" applyBorder="1" applyAlignment="1">
      <alignment horizontal="center" vertical="center" wrapText="1"/>
    </xf>
    <xf numFmtId="180" fontId="31" fillId="2" borderId="1" xfId="0" applyNumberFormat="1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center" wrapText="1"/>
    </xf>
    <xf numFmtId="180" fontId="32" fillId="0" borderId="1" xfId="0" applyNumberFormat="1" applyFont="1" applyFill="1" applyBorder="1" applyAlignment="1">
      <alignment horizontal="center" vertical="center"/>
    </xf>
    <xf numFmtId="182" fontId="38" fillId="0" borderId="8" xfId="0" applyNumberFormat="1" applyFont="1" applyFill="1" applyBorder="1" applyAlignment="1">
      <alignment horizontal="center" vertical="center" wrapText="1" shrinkToFit="1"/>
    </xf>
    <xf numFmtId="181" fontId="32" fillId="0" borderId="1" xfId="0" applyNumberFormat="1" applyFont="1" applyFill="1" applyBorder="1" applyAlignment="1">
      <alignment horizontal="center" vertical="center"/>
    </xf>
    <xf numFmtId="0" fontId="39" fillId="0" borderId="4" xfId="0" applyFont="1" applyFill="1" applyBorder="1" applyAlignment="1">
      <alignment horizontal="center" vertical="center"/>
    </xf>
    <xf numFmtId="0" fontId="12" fillId="0" borderId="8" xfId="0" applyNumberFormat="1" applyFont="1" applyFill="1" applyBorder="1" applyAlignment="1">
      <alignment horizontal="center" vertical="center" wrapText="1"/>
    </xf>
    <xf numFmtId="180" fontId="32" fillId="0" borderId="4" xfId="0" applyNumberFormat="1" applyFont="1" applyFill="1" applyBorder="1" applyAlignment="1">
      <alignment horizontal="center" vertical="center"/>
    </xf>
    <xf numFmtId="181" fontId="32" fillId="0" borderId="4" xfId="0" applyNumberFormat="1" applyFont="1" applyFill="1" applyBorder="1" applyAlignment="1">
      <alignment horizontal="center" vertical="center"/>
    </xf>
    <xf numFmtId="179" fontId="11" fillId="3" borderId="1" xfId="0" applyNumberFormat="1" applyFont="1" applyFill="1" applyBorder="1" applyAlignment="1">
      <alignment horizontal="center" vertical="center" wrapText="1"/>
    </xf>
    <xf numFmtId="179" fontId="30" fillId="3" borderId="1" xfId="0" applyNumberFormat="1" applyFont="1" applyFill="1" applyBorder="1" applyAlignment="1">
      <alignment horizontal="center" vertical="center" wrapText="1"/>
    </xf>
    <xf numFmtId="179" fontId="30" fillId="3" borderId="3" xfId="0" applyNumberFormat="1" applyFont="1" applyFill="1" applyBorder="1" applyAlignment="1">
      <alignment horizontal="center" vertical="center" wrapText="1"/>
    </xf>
    <xf numFmtId="0" fontId="13" fillId="3" borderId="0" xfId="0" applyNumberFormat="1" applyFont="1" applyFill="1" applyBorder="1" applyAlignment="1">
      <alignment horizontal="center" vertical="center" wrapText="1"/>
    </xf>
    <xf numFmtId="0" fontId="38" fillId="3" borderId="8" xfId="0" applyFont="1" applyFill="1" applyBorder="1" applyAlignment="1">
      <alignment horizontal="center" vertical="center" wrapText="1"/>
    </xf>
    <xf numFmtId="180" fontId="32" fillId="3" borderId="1" xfId="0" applyNumberFormat="1" applyFont="1" applyFill="1" applyBorder="1" applyAlignment="1">
      <alignment horizontal="center" vertical="center"/>
    </xf>
    <xf numFmtId="181" fontId="32" fillId="3" borderId="1" xfId="0" applyNumberFormat="1" applyFont="1" applyFill="1" applyBorder="1" applyAlignment="1">
      <alignment horizontal="center" vertical="center"/>
    </xf>
    <xf numFmtId="179" fontId="36" fillId="0" borderId="1" xfId="0" applyNumberFormat="1" applyFont="1" applyFill="1" applyBorder="1" applyAlignment="1">
      <alignment horizontal="center" vertical="center" wrapText="1"/>
    </xf>
    <xf numFmtId="179" fontId="30" fillId="0" borderId="3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181" fontId="31" fillId="0" borderId="1" xfId="0" applyNumberFormat="1" applyFont="1" applyFill="1" applyBorder="1" applyAlignment="1">
      <alignment horizontal="center" vertical="center"/>
    </xf>
    <xf numFmtId="0" fontId="30" fillId="0" borderId="1" xfId="0" applyNumberFormat="1" applyFont="1" applyFill="1" applyBorder="1" applyAlignment="1">
      <alignment horizontal="center" vertical="center" wrapText="1" shrinkToFit="1"/>
    </xf>
    <xf numFmtId="181" fontId="31" fillId="2" borderId="1" xfId="0" applyNumberFormat="1" applyFont="1" applyFill="1" applyBorder="1" applyAlignment="1">
      <alignment horizontal="center" vertical="center"/>
    </xf>
    <xf numFmtId="0" fontId="30" fillId="2" borderId="1" xfId="0" applyNumberFormat="1" applyFont="1" applyFill="1" applyBorder="1" applyAlignment="1">
      <alignment horizontal="center" vertical="center" wrapText="1" shrinkToFit="1"/>
    </xf>
    <xf numFmtId="0" fontId="31" fillId="2" borderId="1" xfId="0" applyNumberFormat="1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center" wrapText="1" shrinkToFit="1"/>
    </xf>
    <xf numFmtId="184" fontId="13" fillId="0" borderId="1" xfId="0" applyNumberFormat="1" applyFont="1" applyFill="1" applyBorder="1" applyAlignment="1">
      <alignment horizontal="center" vertical="center" wrapText="1" shrinkToFit="1"/>
    </xf>
    <xf numFmtId="0" fontId="16" fillId="0" borderId="1" xfId="0" applyFont="1" applyFill="1" applyBorder="1" applyAlignment="1">
      <alignment horizontal="center" vertical="center"/>
    </xf>
    <xf numFmtId="0" fontId="36" fillId="0" borderId="1" xfId="0" applyNumberFormat="1" applyFont="1" applyFill="1" applyBorder="1" applyAlignment="1">
      <alignment horizontal="center" vertical="center" wrapText="1" shrinkToFit="1"/>
    </xf>
    <xf numFmtId="182" fontId="36" fillId="0" borderId="1" xfId="0" applyNumberFormat="1" applyFont="1" applyFill="1" applyBorder="1" applyAlignment="1">
      <alignment horizontal="center" vertical="center" wrapText="1" shrinkToFit="1"/>
    </xf>
    <xf numFmtId="182" fontId="30" fillId="0" borderId="4" xfId="0" applyNumberFormat="1" applyFont="1" applyFill="1" applyBorder="1" applyAlignment="1">
      <alignment horizontal="center" vertical="center" wrapText="1" shrinkToFit="1"/>
    </xf>
    <xf numFmtId="184" fontId="13" fillId="0" borderId="4" xfId="0" applyNumberFormat="1" applyFont="1" applyFill="1" applyBorder="1" applyAlignment="1">
      <alignment horizontal="center" vertical="center" wrapText="1" shrinkToFit="1"/>
    </xf>
    <xf numFmtId="0" fontId="16" fillId="3" borderId="1" xfId="0" applyFont="1" applyFill="1" applyBorder="1" applyAlignment="1">
      <alignment horizontal="center" vertical="center"/>
    </xf>
    <xf numFmtId="0" fontId="36" fillId="3" borderId="1" xfId="0" applyNumberFormat="1" applyFont="1" applyFill="1" applyBorder="1" applyAlignment="1">
      <alignment horizontal="center" vertical="center" wrapText="1" shrinkToFit="1"/>
    </xf>
    <xf numFmtId="0" fontId="13" fillId="3" borderId="1" xfId="0" applyNumberFormat="1" applyFont="1" applyFill="1" applyBorder="1" applyAlignment="1">
      <alignment horizontal="center" vertical="center" wrapText="1" shrinkToFit="1"/>
    </xf>
    <xf numFmtId="182" fontId="36" fillId="3" borderId="1" xfId="0" applyNumberFormat="1" applyFont="1" applyFill="1" applyBorder="1" applyAlignment="1">
      <alignment horizontal="center" vertical="center" wrapText="1" shrinkToFit="1"/>
    </xf>
    <xf numFmtId="184" fontId="13" fillId="3" borderId="1" xfId="0" applyNumberFormat="1" applyFont="1" applyFill="1" applyBorder="1" applyAlignment="1">
      <alignment horizontal="center" vertical="center" wrapText="1" shrinkToFit="1"/>
    </xf>
    <xf numFmtId="184" fontId="31" fillId="0" borderId="1" xfId="0" applyNumberFormat="1" applyFont="1" applyFill="1" applyBorder="1" applyAlignment="1">
      <alignment horizontal="center" vertical="center" wrapText="1" shrinkToFit="1"/>
    </xf>
    <xf numFmtId="184" fontId="40" fillId="0" borderId="1" xfId="0" applyNumberFormat="1" applyFont="1" applyFill="1" applyBorder="1" applyAlignment="1">
      <alignment horizontal="center" vertical="center" wrapText="1" shrinkToFit="1"/>
    </xf>
    <xf numFmtId="184" fontId="31" fillId="2" borderId="1" xfId="0" applyNumberFormat="1" applyFont="1" applyFill="1" applyBorder="1" applyAlignment="1">
      <alignment horizontal="center" vertical="center" wrapText="1" shrinkToFit="1"/>
    </xf>
    <xf numFmtId="184" fontId="40" fillId="2" borderId="1" xfId="0" applyNumberFormat="1" applyFont="1" applyFill="1" applyBorder="1" applyAlignment="1">
      <alignment horizontal="center" vertical="center" wrapText="1" shrinkToFit="1"/>
    </xf>
    <xf numFmtId="0" fontId="32" fillId="0" borderId="1" xfId="0" applyNumberFormat="1" applyFont="1" applyFill="1" applyBorder="1" applyAlignment="1">
      <alignment horizontal="center" vertical="center"/>
    </xf>
    <xf numFmtId="184" fontId="32" fillId="0" borderId="1" xfId="0" applyNumberFormat="1" applyFont="1" applyFill="1" applyBorder="1" applyAlignment="1">
      <alignment horizontal="center" vertical="center" wrapText="1" shrinkToFit="1"/>
    </xf>
    <xf numFmtId="184" fontId="32" fillId="0" borderId="0" xfId="0" applyNumberFormat="1" applyFont="1" applyFill="1" applyBorder="1" applyAlignment="1">
      <alignment horizontal="center" vertical="center" wrapText="1" shrinkToFit="1"/>
    </xf>
    <xf numFmtId="0" fontId="16" fillId="0" borderId="1" xfId="0" applyNumberFormat="1" applyFont="1" applyFill="1" applyBorder="1" applyAlignment="1">
      <alignment horizontal="center" vertical="center"/>
    </xf>
    <xf numFmtId="184" fontId="16" fillId="0" borderId="1" xfId="0" applyNumberFormat="1" applyFont="1" applyFill="1" applyBorder="1" applyAlignment="1">
      <alignment horizontal="center" vertical="center" wrapText="1" shrinkToFit="1"/>
    </xf>
    <xf numFmtId="0" fontId="32" fillId="0" borderId="4" xfId="0" applyNumberFormat="1" applyFont="1" applyFill="1" applyBorder="1" applyAlignment="1">
      <alignment horizontal="center" vertical="center"/>
    </xf>
    <xf numFmtId="0" fontId="30" fillId="0" borderId="4" xfId="0" applyNumberFormat="1" applyFont="1" applyFill="1" applyBorder="1" applyAlignment="1">
      <alignment horizontal="center" vertical="center" wrapText="1" shrinkToFit="1"/>
    </xf>
    <xf numFmtId="0" fontId="32" fillId="3" borderId="1" xfId="0" applyNumberFormat="1" applyFont="1" applyFill="1" applyBorder="1" applyAlignment="1">
      <alignment horizontal="center" vertical="center"/>
    </xf>
    <xf numFmtId="184" fontId="16" fillId="3" borderId="1" xfId="0" applyNumberFormat="1" applyFont="1" applyFill="1" applyBorder="1" applyAlignment="1">
      <alignment horizontal="center" vertical="center" wrapText="1" shrinkToFit="1"/>
    </xf>
    <xf numFmtId="184" fontId="32" fillId="3" borderId="1" xfId="0" applyNumberFormat="1" applyFont="1" applyFill="1" applyBorder="1" applyAlignment="1">
      <alignment horizontal="center" vertical="center" wrapText="1" shrinkToFit="1"/>
    </xf>
    <xf numFmtId="184" fontId="41" fillId="0" borderId="1" xfId="0" applyNumberFormat="1" applyFont="1" applyFill="1" applyBorder="1" applyAlignment="1">
      <alignment horizontal="center" vertical="center" wrapText="1" shrinkToFit="1"/>
    </xf>
    <xf numFmtId="184" fontId="30" fillId="0" borderId="1" xfId="0" applyNumberFormat="1" applyFont="1" applyFill="1" applyBorder="1" applyAlignment="1">
      <alignment horizontal="center" vertical="center"/>
    </xf>
    <xf numFmtId="184" fontId="30" fillId="2" borderId="1" xfId="0" applyNumberFormat="1" applyFont="1" applyFill="1" applyBorder="1" applyAlignment="1">
      <alignment horizontal="center" vertical="center"/>
    </xf>
    <xf numFmtId="184" fontId="13" fillId="0" borderId="1" xfId="0" applyNumberFormat="1" applyFont="1" applyFill="1" applyBorder="1" applyAlignment="1">
      <alignment horizontal="center" vertical="center"/>
    </xf>
    <xf numFmtId="184" fontId="36" fillId="0" borderId="1" xfId="0" applyNumberFormat="1" applyFont="1" applyFill="1" applyBorder="1" applyAlignment="1">
      <alignment horizontal="center" vertical="center" wrapText="1" shrinkToFit="1"/>
    </xf>
    <xf numFmtId="184" fontId="36" fillId="3" borderId="1" xfId="0" applyNumberFormat="1" applyFont="1" applyFill="1" applyBorder="1" applyAlignment="1">
      <alignment horizontal="center" vertical="center" wrapText="1" shrinkToFit="1"/>
    </xf>
    <xf numFmtId="0" fontId="2" fillId="2" borderId="0" xfId="0" applyFont="1" applyFill="1" applyBorder="1" applyAlignment="1">
      <alignment horizontal="center" vertical="center"/>
    </xf>
    <xf numFmtId="0" fontId="32" fillId="0" borderId="7" xfId="0" applyNumberFormat="1" applyFont="1" applyFill="1" applyBorder="1" applyAlignment="1">
      <alignment horizontal="center" vertical="center"/>
    </xf>
    <xf numFmtId="184" fontId="30" fillId="0" borderId="4" xfId="0" applyNumberFormat="1" applyFont="1" applyFill="1" applyBorder="1" applyAlignment="1">
      <alignment horizontal="center" vertical="center" wrapText="1"/>
    </xf>
    <xf numFmtId="0" fontId="16" fillId="3" borderId="1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84" fontId="42" fillId="3" borderId="1" xfId="0" applyNumberFormat="1" applyFont="1" applyFill="1" applyBorder="1" applyAlignment="1">
      <alignment horizontal="center" vertical="center" wrapText="1" shrinkToFit="1"/>
    </xf>
    <xf numFmtId="0" fontId="2" fillId="3" borderId="1" xfId="0" applyFont="1" applyFill="1" applyBorder="1" applyAlignment="1">
      <alignment horizontal="center" vertical="center"/>
    </xf>
    <xf numFmtId="184" fontId="42" fillId="0" borderId="1" xfId="0" applyNumberFormat="1" applyFont="1" applyFill="1" applyBorder="1" applyAlignment="1">
      <alignment horizontal="center" vertical="center" wrapText="1" shrinkToFit="1"/>
    </xf>
    <xf numFmtId="184" fontId="13" fillId="3" borderId="1" xfId="0" applyNumberFormat="1" applyFont="1" applyFill="1" applyBorder="1" applyAlignment="1">
      <alignment horizontal="center" vertical="center"/>
    </xf>
    <xf numFmtId="184" fontId="2" fillId="0" borderId="1" xfId="0" applyNumberFormat="1" applyFont="1" applyFill="1" applyBorder="1" applyAlignment="1">
      <alignment horizontal="center" vertical="center"/>
    </xf>
    <xf numFmtId="184" fontId="30" fillId="0" borderId="0" xfId="0" applyNumberFormat="1" applyFont="1" applyFill="1" applyBorder="1" applyAlignment="1">
      <alignment horizontal="center" vertical="center"/>
    </xf>
    <xf numFmtId="184" fontId="2" fillId="3" borderId="1" xfId="0" applyNumberFormat="1" applyFont="1" applyFill="1" applyBorder="1" applyAlignment="1">
      <alignment horizontal="center" vertical="center"/>
    </xf>
    <xf numFmtId="184" fontId="2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3" fillId="6" borderId="1" xfId="50" applyNumberFormat="1" applyFont="1" applyFill="1" applyBorder="1" applyAlignment="1">
      <alignment horizontal="center" vertical="center" wrapText="1"/>
    </xf>
    <xf numFmtId="0" fontId="43" fillId="6" borderId="1" xfId="50" applyFont="1" applyFill="1" applyBorder="1" applyAlignment="1">
      <alignment horizontal="center" vertical="center" wrapText="1"/>
    </xf>
    <xf numFmtId="176" fontId="44" fillId="0" borderId="1" xfId="50" applyNumberFormat="1" applyFont="1" applyBorder="1" applyAlignment="1">
      <alignment horizontal="center" vertical="center"/>
    </xf>
    <xf numFmtId="184" fontId="45" fillId="0" borderId="1" xfId="50" applyNumberFormat="1" applyFont="1" applyBorder="1" applyAlignment="1">
      <alignment horizontal="center" vertical="center"/>
    </xf>
    <xf numFmtId="176" fontId="46" fillId="0" borderId="5" xfId="50" applyNumberFormat="1" applyFont="1" applyBorder="1" applyAlignment="1">
      <alignment horizontal="center" vertical="center"/>
    </xf>
    <xf numFmtId="176" fontId="46" fillId="0" borderId="5" xfId="50" applyNumberFormat="1" applyFont="1" applyBorder="1" applyAlignment="1">
      <alignment horizontal="center" vertical="center" wrapText="1"/>
    </xf>
    <xf numFmtId="184" fontId="45" fillId="0" borderId="5" xfId="50" applyNumberFormat="1" applyFont="1" applyBorder="1" applyAlignment="1">
      <alignment horizontal="center" vertical="center"/>
    </xf>
    <xf numFmtId="0" fontId="45" fillId="0" borderId="5" xfId="5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184" fontId="44" fillId="0" borderId="1" xfId="50" applyNumberFormat="1" applyFont="1" applyBorder="1" applyAlignment="1">
      <alignment horizontal="center" vertical="center"/>
    </xf>
    <xf numFmtId="176" fontId="44" fillId="0" borderId="4" xfId="50" applyNumberFormat="1" applyFont="1" applyBorder="1" applyAlignment="1">
      <alignment horizontal="center" vertical="center"/>
    </xf>
    <xf numFmtId="176" fontId="44" fillId="0" borderId="4" xfId="50" applyNumberFormat="1" applyFont="1" applyBorder="1" applyAlignment="1">
      <alignment horizontal="center" vertical="center" wrapText="1"/>
    </xf>
    <xf numFmtId="184" fontId="45" fillId="0" borderId="4" xfId="50" applyNumberFormat="1" applyFont="1" applyBorder="1" applyAlignment="1">
      <alignment horizontal="center" vertical="center"/>
    </xf>
    <xf numFmtId="0" fontId="45" fillId="0" borderId="4" xfId="5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shrinkToFit="1"/>
    </xf>
    <xf numFmtId="176" fontId="45" fillId="0" borderId="1" xfId="0" applyNumberFormat="1" applyFont="1" applyFill="1" applyBorder="1" applyAlignment="1">
      <alignment horizontal="center" vertical="center"/>
    </xf>
    <xf numFmtId="49" fontId="45" fillId="0" borderId="1" xfId="0" applyNumberFormat="1" applyFont="1" applyFill="1" applyBorder="1" applyAlignment="1">
      <alignment horizontal="center" vertical="center"/>
    </xf>
    <xf numFmtId="49" fontId="45" fillId="0" borderId="1" xfId="0" applyNumberFormat="1" applyFont="1" applyFill="1" applyBorder="1" applyAlignment="1">
      <alignment horizontal="center" vertical="center" wrapText="1"/>
    </xf>
    <xf numFmtId="0" fontId="45" fillId="0" borderId="1" xfId="0" applyFont="1" applyFill="1" applyBorder="1" applyAlignment="1">
      <alignment horizontal="center" vertical="center"/>
    </xf>
    <xf numFmtId="0" fontId="46" fillId="0" borderId="1" xfId="0" applyFont="1" applyFill="1" applyBorder="1" applyAlignment="1">
      <alignment horizontal="center" vertical="center"/>
    </xf>
    <xf numFmtId="176" fontId="13" fillId="0" borderId="1" xfId="0" applyNumberFormat="1" applyFont="1" applyFill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45" fillId="0" borderId="1" xfId="0" applyFont="1" applyFill="1" applyBorder="1" applyAlignment="1">
      <alignment horizontal="center" vertical="center" wrapText="1"/>
    </xf>
    <xf numFmtId="184" fontId="45" fillId="0" borderId="1" xfId="0" applyNumberFormat="1" applyFont="1" applyFill="1" applyBorder="1" applyAlignment="1">
      <alignment horizontal="center" vertical="center"/>
    </xf>
    <xf numFmtId="176" fontId="45" fillId="0" borderId="1" xfId="0" applyNumberFormat="1" applyFont="1" applyFill="1" applyBorder="1" applyAlignment="1">
      <alignment vertical="center"/>
    </xf>
    <xf numFmtId="0" fontId="47" fillId="6" borderId="1" xfId="5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184" fontId="5" fillId="2" borderId="3" xfId="0" applyNumberFormat="1" applyFont="1" applyFill="1" applyBorder="1" applyAlignment="1">
      <alignment horizontal="center" vertical="center"/>
    </xf>
    <xf numFmtId="184" fontId="5" fillId="2" borderId="7" xfId="0" applyNumberFormat="1" applyFont="1" applyFill="1" applyBorder="1" applyAlignment="1">
      <alignment horizontal="center" vertical="center"/>
    </xf>
    <xf numFmtId="184" fontId="5" fillId="2" borderId="9" xfId="0" applyNumberFormat="1" applyFont="1" applyFill="1" applyBorder="1" applyAlignment="1">
      <alignment horizontal="center" vertical="center"/>
    </xf>
    <xf numFmtId="184" fontId="15" fillId="2" borderId="1" xfId="0" applyNumberFormat="1" applyFont="1" applyFill="1" applyBorder="1" applyAlignment="1">
      <alignment horizontal="center" vertical="center" wrapText="1" shrinkToFit="1"/>
    </xf>
    <xf numFmtId="184" fontId="5" fillId="2" borderId="1" xfId="0" applyNumberFormat="1" applyFont="1" applyFill="1" applyBorder="1" applyAlignment="1">
      <alignment horizontal="center" vertical="center"/>
    </xf>
    <xf numFmtId="0" fontId="16" fillId="0" borderId="1" xfId="52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/>
    </xf>
    <xf numFmtId="0" fontId="44" fillId="0" borderId="1" xfId="52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5" fillId="0" borderId="1" xfId="0" applyFont="1" applyFill="1" applyBorder="1" applyAlignment="1">
      <alignment vertical="center"/>
    </xf>
    <xf numFmtId="0" fontId="45" fillId="0" borderId="1" xfId="0" applyFont="1" applyFill="1" applyBorder="1" applyAlignment="1">
      <alignment horizontal="center" vertical="center" shrinkToFit="1"/>
    </xf>
    <xf numFmtId="176" fontId="45" fillId="3" borderId="1" xfId="0" applyNumberFormat="1" applyFont="1" applyFill="1" applyBorder="1" applyAlignment="1">
      <alignment horizontal="center" vertical="center"/>
    </xf>
    <xf numFmtId="184" fontId="45" fillId="3" borderId="1" xfId="0" applyNumberFormat="1" applyFont="1" applyFill="1" applyBorder="1" applyAlignment="1">
      <alignment horizontal="center" vertical="center"/>
    </xf>
    <xf numFmtId="49" fontId="45" fillId="3" borderId="1" xfId="0" applyNumberFormat="1" applyFont="1" applyFill="1" applyBorder="1" applyAlignment="1">
      <alignment horizontal="center" vertical="center"/>
    </xf>
    <xf numFmtId="0" fontId="45" fillId="3" borderId="1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 shrinkToFit="1"/>
    </xf>
    <xf numFmtId="0" fontId="45" fillId="0" borderId="1" xfId="0" applyFont="1" applyFill="1" applyBorder="1" applyAlignment="1">
      <alignment horizontal="left" vertical="center" shrinkToFit="1"/>
    </xf>
    <xf numFmtId="0" fontId="45" fillId="3" borderId="1" xfId="0" applyFont="1" applyFill="1" applyBorder="1" applyAlignment="1">
      <alignment horizontal="center" vertical="center" shrinkToFit="1"/>
    </xf>
    <xf numFmtId="176" fontId="45" fillId="0" borderId="1" xfId="0" applyNumberFormat="1" applyFont="1" applyBorder="1" applyAlignment="1">
      <alignment horizontal="center" vertical="center"/>
    </xf>
    <xf numFmtId="49" fontId="45" fillId="0" borderId="1" xfId="0" applyNumberFormat="1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4" fillId="6" borderId="10" xfId="50" applyFont="1" applyFill="1" applyBorder="1" applyAlignment="1">
      <alignment horizontal="center" vertical="center" wrapText="1"/>
    </xf>
    <xf numFmtId="0" fontId="44" fillId="6" borderId="7" xfId="50" applyFont="1" applyFill="1" applyBorder="1" applyAlignment="1">
      <alignment horizontal="center" vertical="center" wrapText="1"/>
    </xf>
    <xf numFmtId="184" fontId="44" fillId="6" borderId="1" xfId="50" applyNumberFormat="1" applyFont="1" applyFill="1" applyBorder="1" applyAlignment="1">
      <alignment horizontal="center" vertical="center" wrapText="1"/>
    </xf>
    <xf numFmtId="0" fontId="44" fillId="6" borderId="1" xfId="52" applyFont="1" applyFill="1" applyBorder="1" applyAlignment="1">
      <alignment horizontal="center" vertical="center" wrapText="1" shrinkToFit="1"/>
    </xf>
    <xf numFmtId="0" fontId="46" fillId="6" borderId="10" xfId="50" applyFont="1" applyFill="1" applyBorder="1" applyAlignment="1">
      <alignment horizontal="center" vertical="center" wrapText="1"/>
    </xf>
    <xf numFmtId="0" fontId="46" fillId="6" borderId="7" xfId="50" applyFont="1" applyFill="1" applyBorder="1" applyAlignment="1">
      <alignment horizontal="center" vertical="center" wrapText="1"/>
    </xf>
    <xf numFmtId="0" fontId="44" fillId="6" borderId="11" xfId="50" applyFont="1" applyFill="1" applyBorder="1" applyAlignment="1">
      <alignment horizontal="center" vertical="center" wrapText="1"/>
    </xf>
    <xf numFmtId="0" fontId="44" fillId="6" borderId="12" xfId="50" applyFont="1" applyFill="1" applyBorder="1" applyAlignment="1">
      <alignment horizontal="center" vertical="center" wrapText="1"/>
    </xf>
    <xf numFmtId="184" fontId="44" fillId="6" borderId="13" xfId="50" applyNumberFormat="1" applyFont="1" applyFill="1" applyBorder="1" applyAlignment="1">
      <alignment horizontal="center" vertical="center" wrapText="1"/>
    </xf>
    <xf numFmtId="0" fontId="44" fillId="6" borderId="13" xfId="52" applyFont="1" applyFill="1" applyBorder="1" applyAlignment="1">
      <alignment horizontal="center" vertical="center" wrapText="1" shrinkToFit="1"/>
    </xf>
    <xf numFmtId="186" fontId="44" fillId="6" borderId="13" xfId="52" applyNumberFormat="1" applyFont="1" applyFill="1" applyBorder="1" applyAlignment="1">
      <alignment horizontal="center" vertical="center" wrapText="1" shrinkToFit="1"/>
    </xf>
    <xf numFmtId="0" fontId="13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0" fontId="48" fillId="7" borderId="14" xfId="0" applyFont="1" applyFill="1" applyBorder="1" applyAlignment="1">
      <alignment horizontal="center" vertical="center"/>
    </xf>
    <xf numFmtId="0" fontId="48" fillId="7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84" fontId="0" fillId="0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84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84" fontId="0" fillId="0" borderId="1" xfId="0" applyNumberForma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84" fontId="0" fillId="7" borderId="1" xfId="0" applyNumberFormat="1" applyFill="1" applyBorder="1" applyAlignment="1">
      <alignment horizontal="center" vertical="center"/>
    </xf>
    <xf numFmtId="0" fontId="49" fillId="7" borderId="1" xfId="0" applyFont="1" applyFill="1" applyBorder="1" applyAlignment="1">
      <alignment horizontal="center" vertical="center"/>
    </xf>
    <xf numFmtId="185" fontId="0" fillId="7" borderId="1" xfId="0" applyNumberFormat="1" applyFill="1" applyBorder="1" applyAlignment="1">
      <alignment horizontal="center" vertical="center"/>
    </xf>
    <xf numFmtId="185" fontId="0" fillId="0" borderId="0" xfId="0" applyNumberFormat="1" applyFill="1" applyAlignment="1">
      <alignment horizontal="center" vertical="center"/>
    </xf>
    <xf numFmtId="0" fontId="0" fillId="3" borderId="0" xfId="0" applyFill="1">
      <alignment vertical="center"/>
    </xf>
    <xf numFmtId="177" fontId="0" fillId="0" borderId="0" xfId="12" applyNumberFormat="1" applyAlignment="1">
      <alignment horizontal="center" vertical="center"/>
    </xf>
    <xf numFmtId="185" fontId="0" fillId="0" borderId="0" xfId="0" applyNumberFormat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8" borderId="0" xfId="0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14" fontId="0" fillId="0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0" xfId="0" applyFont="1" applyFill="1" applyAlignment="1" applyProtection="1">
      <alignment horizontal="center" vertical="center"/>
      <protection locked="0"/>
    </xf>
    <xf numFmtId="0" fontId="1" fillId="0" borderId="0" xfId="0" applyFont="1" applyFill="1" applyProtection="1">
      <alignment vertical="center"/>
      <protection locked="0"/>
    </xf>
    <xf numFmtId="0" fontId="1" fillId="0" borderId="0" xfId="0" applyFont="1" applyFill="1" applyAlignment="1" applyProtection="1">
      <alignment horizontal="center" vertical="top" wrapText="1"/>
      <protection locked="0"/>
    </xf>
    <xf numFmtId="0" fontId="50" fillId="0" borderId="0" xfId="0" applyFont="1" applyFill="1" applyBorder="1" applyAlignment="1" applyProtection="1">
      <alignment horizontal="center" vertical="center"/>
      <protection locked="0"/>
    </xf>
    <xf numFmtId="0" fontId="51" fillId="0" borderId="0" xfId="0" applyFont="1" applyFill="1" applyBorder="1" applyAlignment="1" applyProtection="1">
      <alignment horizontal="center" vertical="center"/>
      <protection locked="0"/>
    </xf>
    <xf numFmtId="0" fontId="28" fillId="0" borderId="0" xfId="0" applyFont="1" applyFill="1" applyBorder="1" applyAlignment="1" applyProtection="1">
      <alignment horizontal="center" vertical="center"/>
      <protection locked="0"/>
    </xf>
    <xf numFmtId="0" fontId="52" fillId="0" borderId="0" xfId="0" applyFont="1" applyFill="1" applyBorder="1" applyAlignment="1" applyProtection="1">
      <alignment horizontal="center" vertical="center"/>
      <protection locked="0"/>
    </xf>
    <xf numFmtId="176" fontId="0" fillId="0" borderId="0" xfId="0" applyNumberFormat="1" applyFill="1" applyProtection="1">
      <alignment vertical="center"/>
    </xf>
    <xf numFmtId="176" fontId="0" fillId="0" borderId="0" xfId="0" applyNumberFormat="1" applyFill="1" applyProtection="1">
      <alignment vertical="center"/>
      <protection locked="0"/>
    </xf>
    <xf numFmtId="0" fontId="0" fillId="0" borderId="0" xfId="0" applyFill="1" applyProtection="1">
      <alignment vertical="center"/>
      <protection locked="0"/>
    </xf>
    <xf numFmtId="176" fontId="0" fillId="0" borderId="0" xfId="0" applyNumberFormat="1" applyFill="1" applyAlignment="1" applyProtection="1">
      <alignment vertical="center" wrapText="1"/>
      <protection locked="0"/>
    </xf>
    <xf numFmtId="0" fontId="0" fillId="0" borderId="0" xfId="0" applyNumberFormat="1" applyFill="1" applyProtection="1">
      <alignment vertical="center"/>
      <protection locked="0"/>
    </xf>
    <xf numFmtId="0" fontId="53" fillId="0" borderId="0" xfId="0" applyFont="1" applyFill="1" applyProtection="1">
      <alignment vertical="center"/>
      <protection locked="0"/>
    </xf>
    <xf numFmtId="176" fontId="54" fillId="0" borderId="0" xfId="0" applyNumberFormat="1" applyFont="1" applyFill="1" applyAlignment="1" applyProtection="1">
      <alignment vertical="center"/>
    </xf>
    <xf numFmtId="176" fontId="54" fillId="0" borderId="0" xfId="0" applyNumberFormat="1" applyFont="1" applyFill="1" applyAlignment="1" applyProtection="1">
      <alignment vertical="center"/>
      <protection locked="0"/>
    </xf>
    <xf numFmtId="0" fontId="54" fillId="0" borderId="0" xfId="0" applyFont="1" applyFill="1" applyAlignment="1" applyProtection="1">
      <alignment vertical="center" wrapText="1"/>
      <protection locked="0"/>
    </xf>
    <xf numFmtId="176" fontId="54" fillId="0" borderId="0" xfId="0" applyNumberFormat="1" applyFont="1" applyFill="1" applyAlignment="1" applyProtection="1">
      <alignment vertical="center" wrapText="1"/>
      <protection locked="0"/>
    </xf>
    <xf numFmtId="176" fontId="55" fillId="0" borderId="0" xfId="0" applyNumberFormat="1" applyFont="1" applyFill="1" applyAlignment="1" applyProtection="1">
      <alignment horizontal="center" vertical="center"/>
    </xf>
    <xf numFmtId="176" fontId="55" fillId="0" borderId="0" xfId="0" applyNumberFormat="1" applyFont="1" applyFill="1" applyAlignment="1" applyProtection="1">
      <alignment horizontal="center" vertical="center"/>
      <protection locked="0"/>
    </xf>
    <xf numFmtId="0" fontId="5" fillId="0" borderId="0" xfId="0" applyFont="1" applyFill="1" applyAlignment="1" applyProtection="1">
      <alignment horizontal="center" vertical="center" wrapText="1"/>
      <protection locked="0"/>
    </xf>
    <xf numFmtId="176" fontId="55" fillId="0" borderId="0" xfId="0" applyNumberFormat="1" applyFont="1" applyFill="1" applyBorder="1" applyAlignment="1" applyProtection="1">
      <alignment vertical="center"/>
      <protection locked="0"/>
    </xf>
    <xf numFmtId="176" fontId="55" fillId="0" borderId="0" xfId="0" applyNumberFormat="1" applyFont="1" applyFill="1" applyAlignment="1" applyProtection="1">
      <alignment vertical="center" wrapText="1"/>
      <protection locked="0"/>
    </xf>
    <xf numFmtId="0" fontId="56" fillId="0" borderId="0" xfId="0" applyFont="1" applyFill="1" applyAlignment="1" applyProtection="1">
      <alignment vertical="center" wrapText="1"/>
      <protection locked="0"/>
    </xf>
    <xf numFmtId="187" fontId="55" fillId="0" borderId="0" xfId="0" applyNumberFormat="1" applyFont="1" applyFill="1" applyAlignment="1" applyProtection="1">
      <alignment vertical="center"/>
      <protection locked="0"/>
    </xf>
    <xf numFmtId="176" fontId="5" fillId="0" borderId="1" xfId="0" applyNumberFormat="1" applyFont="1" applyFill="1" applyBorder="1" applyAlignment="1" applyProtection="1">
      <alignment horizontal="center" vertical="top" wrapText="1" shrinkToFit="1"/>
    </xf>
    <xf numFmtId="0" fontId="5" fillId="0" borderId="1" xfId="0" applyFont="1" applyFill="1" applyBorder="1" applyAlignment="1" applyProtection="1">
      <alignment horizontal="center" vertical="top" wrapText="1" shrinkToFit="1"/>
      <protection locked="0"/>
    </xf>
    <xf numFmtId="0" fontId="6" fillId="0" borderId="1" xfId="0" applyFont="1" applyFill="1" applyBorder="1" applyAlignment="1" applyProtection="1">
      <alignment horizontal="center" vertical="top" wrapText="1" shrinkToFit="1"/>
      <protection locked="0"/>
    </xf>
    <xf numFmtId="176" fontId="57" fillId="0" borderId="1" xfId="0" applyNumberFormat="1" applyFont="1" applyFill="1" applyBorder="1" applyAlignment="1" applyProtection="1">
      <alignment horizontal="center" vertical="center"/>
    </xf>
    <xf numFmtId="0" fontId="58" fillId="0" borderId="1" xfId="0" applyFont="1" applyFill="1" applyBorder="1" applyAlignment="1" applyProtection="1">
      <alignment horizontal="center" vertical="center" wrapText="1"/>
      <protection locked="0"/>
    </xf>
    <xf numFmtId="0" fontId="59" fillId="0" borderId="1" xfId="0" applyFont="1" applyFill="1" applyBorder="1" applyAlignment="1" applyProtection="1">
      <alignment horizontal="center" vertical="center" wrapText="1" shrinkToFit="1"/>
      <protection locked="0"/>
    </xf>
    <xf numFmtId="0" fontId="57" fillId="0" borderId="1" xfId="0" applyNumberFormat="1" applyFont="1" applyFill="1" applyBorder="1" applyAlignment="1" applyProtection="1">
      <alignment horizontal="center" vertical="center" shrinkToFit="1"/>
      <protection locked="0"/>
    </xf>
    <xf numFmtId="49" fontId="6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0" fillId="0" borderId="1" xfId="0" applyFont="1" applyFill="1" applyBorder="1" applyAlignment="1" applyProtection="1">
      <alignment horizontal="center" vertical="center" wrapText="1" shrinkToFit="1"/>
      <protection locked="0"/>
    </xf>
    <xf numFmtId="0" fontId="59" fillId="0" borderId="1" xfId="0" applyFont="1" applyFill="1" applyBorder="1" applyAlignment="1" applyProtection="1">
      <alignment horizontal="center" vertical="center" wrapText="1"/>
      <protection locked="0"/>
    </xf>
    <xf numFmtId="176" fontId="61" fillId="0" borderId="1" xfId="0" applyNumberFormat="1" applyFont="1" applyFill="1" applyBorder="1" applyAlignment="1" applyProtection="1">
      <alignment horizontal="center" vertical="center"/>
    </xf>
    <xf numFmtId="0" fontId="62" fillId="0" borderId="1" xfId="0" applyFont="1" applyFill="1" applyBorder="1" applyAlignment="1" applyProtection="1">
      <alignment horizontal="center" vertical="center" wrapText="1"/>
      <protection locked="0"/>
    </xf>
    <xf numFmtId="0" fontId="63" fillId="0" borderId="1" xfId="0" applyFont="1" applyFill="1" applyBorder="1" applyAlignment="1" applyProtection="1">
      <alignment horizontal="center" vertical="center" wrapText="1" shrinkToFit="1"/>
      <protection locked="0"/>
    </xf>
    <xf numFmtId="0" fontId="61" fillId="0" borderId="1" xfId="0" applyNumberFormat="1" applyFont="1" applyFill="1" applyBorder="1" applyAlignment="1" applyProtection="1">
      <alignment horizontal="center" vertical="center" shrinkToFit="1"/>
      <protection locked="0"/>
    </xf>
    <xf numFmtId="49" fontId="6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4" fillId="0" borderId="1" xfId="0" applyFont="1" applyFill="1" applyBorder="1" applyAlignment="1" applyProtection="1">
      <alignment horizontal="center" vertical="center" wrapText="1" shrinkToFit="1"/>
      <protection locked="0"/>
    </xf>
    <xf numFmtId="0" fontId="63" fillId="0" borderId="1" xfId="0" applyFont="1" applyFill="1" applyBorder="1" applyAlignment="1" applyProtection="1">
      <alignment horizontal="center" vertical="center" wrapText="1"/>
      <protection locked="0"/>
    </xf>
    <xf numFmtId="176" fontId="44" fillId="0" borderId="1" xfId="0" applyNumberFormat="1" applyFont="1" applyFill="1" applyBorder="1" applyAlignment="1" applyProtection="1">
      <alignment horizontal="center" vertical="center"/>
    </xf>
    <xf numFmtId="0" fontId="65" fillId="0" borderId="1" xfId="0" applyFont="1" applyFill="1" applyBorder="1" applyAlignment="1" applyProtection="1">
      <alignment horizontal="center" vertical="center" wrapText="1"/>
      <protection locked="0"/>
    </xf>
    <xf numFmtId="0" fontId="45" fillId="0" borderId="1" xfId="0" applyFont="1" applyFill="1" applyBorder="1" applyAlignment="1" applyProtection="1">
      <alignment horizontal="center" vertical="center" wrapText="1" shrinkToFit="1"/>
      <protection locked="0"/>
    </xf>
    <xf numFmtId="0" fontId="44" fillId="0" borderId="1" xfId="0" applyNumberFormat="1" applyFont="1" applyFill="1" applyBorder="1" applyAlignment="1" applyProtection="1">
      <alignment horizontal="center" vertical="center" shrinkToFit="1"/>
      <protection locked="0"/>
    </xf>
    <xf numFmtId="49" fontId="4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6" fillId="0" borderId="1" xfId="0" applyFont="1" applyFill="1" applyBorder="1" applyAlignment="1" applyProtection="1">
      <alignment horizontal="center" vertical="center" wrapText="1" shrinkToFit="1"/>
      <protection locked="0"/>
    </xf>
    <xf numFmtId="0" fontId="45" fillId="0" borderId="1" xfId="0" applyFont="1" applyFill="1" applyBorder="1" applyAlignment="1" applyProtection="1">
      <alignment horizontal="center" vertical="center" wrapText="1"/>
      <protection locked="0"/>
    </xf>
    <xf numFmtId="176" fontId="66" fillId="0" borderId="1" xfId="0" applyNumberFormat="1" applyFont="1" applyFill="1" applyBorder="1" applyAlignment="1" applyProtection="1">
      <alignment horizontal="center" vertical="center"/>
    </xf>
    <xf numFmtId="0" fontId="67" fillId="0" borderId="1" xfId="0" applyFont="1" applyFill="1" applyBorder="1" applyAlignment="1" applyProtection="1">
      <alignment horizontal="center" vertical="center" wrapText="1"/>
      <protection locked="0"/>
    </xf>
    <xf numFmtId="0" fontId="68" fillId="0" borderId="1" xfId="0" applyFont="1" applyFill="1" applyBorder="1" applyAlignment="1" applyProtection="1">
      <alignment horizontal="center" vertical="center" wrapText="1" shrinkToFit="1"/>
      <protection locked="0"/>
    </xf>
    <xf numFmtId="0" fontId="66" fillId="0" borderId="1" xfId="0" applyNumberFormat="1" applyFont="1" applyFill="1" applyBorder="1" applyAlignment="1" applyProtection="1">
      <alignment horizontal="center" vertical="center" shrinkToFit="1"/>
      <protection locked="0"/>
    </xf>
    <xf numFmtId="49" fontId="33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6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3" fillId="0" borderId="1" xfId="0" applyFont="1" applyFill="1" applyBorder="1" applyAlignment="1" applyProtection="1">
      <alignment horizontal="center" vertical="center" wrapText="1" shrinkToFit="1"/>
      <protection locked="0"/>
    </xf>
    <xf numFmtId="0" fontId="66" fillId="0" borderId="1" xfId="0" applyFont="1" applyFill="1" applyBorder="1" applyAlignment="1" applyProtection="1">
      <alignment horizontal="center" vertical="center" wrapText="1" shrinkToFit="1"/>
      <protection locked="0"/>
    </xf>
    <xf numFmtId="0" fontId="68" fillId="0" borderId="1" xfId="0" applyFont="1" applyFill="1" applyBorder="1" applyAlignment="1" applyProtection="1">
      <alignment horizontal="center" vertical="center" wrapText="1"/>
      <protection locked="0"/>
    </xf>
    <xf numFmtId="0" fontId="67" fillId="0" borderId="1" xfId="0" applyFont="1" applyFill="1" applyBorder="1" applyAlignment="1" applyProtection="1">
      <alignment horizontal="center" vertical="center" wrapText="1" shrinkToFit="1"/>
      <protection locked="0"/>
    </xf>
    <xf numFmtId="0" fontId="0" fillId="0" borderId="0" xfId="0" applyFont="1" applyFill="1" applyAlignment="1" applyProtection="1">
      <alignment vertical="center"/>
      <protection locked="0"/>
    </xf>
    <xf numFmtId="0" fontId="0" fillId="0" borderId="0" xfId="0" applyFill="1" applyAlignment="1" applyProtection="1">
      <alignment horizontal="center" vertical="center"/>
      <protection locked="0"/>
    </xf>
    <xf numFmtId="176" fontId="42" fillId="0" borderId="0" xfId="0" applyNumberFormat="1" applyFont="1" applyFill="1" applyAlignment="1" applyProtection="1">
      <alignment vertical="center"/>
      <protection locked="0"/>
    </xf>
    <xf numFmtId="0" fontId="54" fillId="0" borderId="0" xfId="0" applyFont="1" applyFill="1" applyAlignment="1" applyProtection="1">
      <alignment vertical="center"/>
      <protection locked="0"/>
    </xf>
    <xf numFmtId="0" fontId="54" fillId="0" borderId="0" xfId="0" applyNumberFormat="1" applyFont="1" applyFill="1" applyAlignment="1" applyProtection="1">
      <alignment vertical="center"/>
      <protection locked="0"/>
    </xf>
    <xf numFmtId="0" fontId="34" fillId="0" borderId="0" xfId="0" applyFont="1" applyFill="1" applyAlignment="1" applyProtection="1">
      <alignment vertical="center"/>
      <protection locked="0"/>
    </xf>
    <xf numFmtId="0" fontId="5" fillId="0" borderId="0" xfId="0" applyFont="1" applyFill="1" applyAlignment="1" applyProtection="1">
      <alignment horizontal="center" vertical="center"/>
      <protection locked="0"/>
    </xf>
    <xf numFmtId="179" fontId="5" fillId="0" borderId="0" xfId="0" applyNumberFormat="1" applyFont="1" applyFill="1" applyAlignment="1" applyProtection="1">
      <alignment horizontal="center" vertical="center" wrapText="1"/>
      <protection locked="0"/>
    </xf>
    <xf numFmtId="0" fontId="56" fillId="0" borderId="1" xfId="0" applyFont="1" applyFill="1" applyBorder="1" applyAlignment="1" applyProtection="1">
      <alignment horizontal="center" vertical="top" wrapText="1"/>
      <protection locked="0"/>
    </xf>
    <xf numFmtId="0" fontId="14" fillId="0" borderId="1" xfId="0" applyFont="1" applyFill="1" applyBorder="1" applyAlignment="1" applyProtection="1">
      <alignment horizontal="center" vertical="top" wrapText="1" shrinkToFit="1"/>
      <protection locked="0"/>
    </xf>
    <xf numFmtId="182" fontId="69" fillId="0" borderId="1" xfId="0" applyNumberFormat="1" applyFont="1" applyFill="1" applyBorder="1" applyAlignment="1" applyProtection="1">
      <alignment horizontal="center" vertical="top" wrapText="1" shrinkToFit="1"/>
      <protection locked="0"/>
    </xf>
    <xf numFmtId="179" fontId="14" fillId="0" borderId="1" xfId="0" applyNumberFormat="1" applyFont="1" applyFill="1" applyBorder="1" applyAlignment="1" applyProtection="1">
      <alignment horizontal="center" vertical="top" wrapText="1" shrinkToFit="1"/>
      <protection locked="0"/>
    </xf>
    <xf numFmtId="0" fontId="70" fillId="0" borderId="1" xfId="0" applyFont="1" applyFill="1" applyBorder="1" applyAlignment="1" applyProtection="1">
      <alignment horizontal="center" vertical="center" wrapText="1"/>
      <protection locked="0"/>
    </xf>
    <xf numFmtId="185" fontId="60" fillId="0" borderId="1" xfId="0" applyNumberFormat="1" applyFont="1" applyFill="1" applyBorder="1" applyAlignment="1" applyProtection="1">
      <alignment horizontal="center" vertical="center"/>
      <protection locked="0"/>
    </xf>
    <xf numFmtId="182" fontId="59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179" fontId="59" fillId="0" borderId="1" xfId="0" applyNumberFormat="1" applyFont="1" applyFill="1" applyBorder="1" applyAlignment="1" applyProtection="1">
      <alignment horizontal="center" vertical="center" wrapText="1"/>
      <protection locked="0"/>
    </xf>
    <xf numFmtId="182" fontId="71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72" fillId="0" borderId="1" xfId="0" applyFont="1" applyFill="1" applyBorder="1" applyAlignment="1" applyProtection="1">
      <alignment horizontal="center" vertical="center" wrapText="1"/>
      <protection locked="0"/>
    </xf>
    <xf numFmtId="185" fontId="64" fillId="0" borderId="1" xfId="0" applyNumberFormat="1" applyFont="1" applyFill="1" applyBorder="1" applyAlignment="1" applyProtection="1">
      <alignment horizontal="center" vertical="center"/>
      <protection locked="0"/>
    </xf>
    <xf numFmtId="182" fontId="63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9" fontId="6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185" fontId="46" fillId="0" borderId="1" xfId="0" applyNumberFormat="1" applyFont="1" applyFill="1" applyBorder="1" applyAlignment="1" applyProtection="1">
      <alignment horizontal="center" vertical="center"/>
      <protection locked="0"/>
    </xf>
    <xf numFmtId="182" fontId="45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9" fontId="45" fillId="0" borderId="1" xfId="0" applyNumberFormat="1" applyFont="1" applyFill="1" applyBorder="1" applyAlignment="1" applyProtection="1">
      <alignment horizontal="center" vertical="center" wrapText="1"/>
      <protection locked="0"/>
    </xf>
    <xf numFmtId="185" fontId="66" fillId="0" borderId="1" xfId="0" applyNumberFormat="1" applyFont="1" applyFill="1" applyBorder="1" applyAlignment="1" applyProtection="1">
      <alignment horizontal="center" vertical="center"/>
      <protection locked="0"/>
    </xf>
    <xf numFmtId="185" fontId="33" fillId="0" borderId="1" xfId="0" applyNumberFormat="1" applyFont="1" applyFill="1" applyBorder="1" applyAlignment="1" applyProtection="1">
      <alignment horizontal="center" vertical="center" wrapText="1"/>
      <protection locked="0"/>
    </xf>
    <xf numFmtId="182" fontId="68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82" fontId="65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9" fontId="67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73" fillId="0" borderId="1" xfId="0" applyNumberFormat="1" applyFont="1" applyFill="1" applyBorder="1" applyAlignment="1" applyProtection="1">
      <alignment horizontal="center" vertical="center" wrapText="1"/>
      <protection locked="0"/>
    </xf>
    <xf numFmtId="182" fontId="67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9" fontId="54" fillId="0" borderId="0" xfId="0" applyNumberFormat="1" applyFont="1" applyFill="1" applyAlignment="1" applyProtection="1">
      <alignment vertical="center" wrapText="1"/>
      <protection locked="0"/>
    </xf>
    <xf numFmtId="0" fontId="54" fillId="0" borderId="0" xfId="0" applyNumberFormat="1" applyFont="1" applyFill="1" applyAlignment="1" applyProtection="1">
      <alignment vertical="center" wrapText="1"/>
      <protection locked="0"/>
    </xf>
    <xf numFmtId="181" fontId="5" fillId="0" borderId="0" xfId="0" applyNumberFormat="1" applyFont="1" applyFill="1" applyAlignment="1" applyProtection="1">
      <alignment horizontal="center" vertical="center"/>
      <protection locked="0"/>
    </xf>
    <xf numFmtId="179" fontId="5" fillId="0" borderId="3" xfId="0" applyNumberFormat="1" applyFont="1" applyFill="1" applyBorder="1" applyAlignment="1" applyProtection="1">
      <alignment horizontal="center" vertical="top" wrapText="1" shrinkToFit="1"/>
      <protection locked="0"/>
    </xf>
    <xf numFmtId="0" fontId="15" fillId="0" borderId="1" xfId="0" applyNumberFormat="1" applyFont="1" applyFill="1" applyBorder="1" applyAlignment="1" applyProtection="1">
      <alignment horizontal="center" vertical="top" wrapText="1" shrinkToFit="1"/>
      <protection locked="0"/>
    </xf>
    <xf numFmtId="0" fontId="5" fillId="0" borderId="7" xfId="0" applyFont="1" applyFill="1" applyBorder="1" applyAlignment="1" applyProtection="1">
      <alignment horizontal="center" vertical="top" wrapText="1" shrinkToFit="1"/>
      <protection locked="0"/>
    </xf>
    <xf numFmtId="181" fontId="5" fillId="0" borderId="1" xfId="0" applyNumberFormat="1" applyFont="1" applyFill="1" applyBorder="1" applyAlignment="1" applyProtection="1">
      <alignment horizontal="center" vertical="top" wrapText="1" shrinkToFit="1"/>
      <protection locked="0"/>
    </xf>
    <xf numFmtId="179" fontId="71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59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74" fillId="0" borderId="1" xfId="0" applyFont="1" applyFill="1" applyBorder="1" applyAlignment="1" applyProtection="1">
      <alignment horizontal="center" vertical="center" wrapText="1"/>
      <protection locked="0"/>
    </xf>
    <xf numFmtId="0" fontId="57" fillId="0" borderId="1" xfId="0" applyFont="1" applyFill="1" applyBorder="1" applyAlignment="1" applyProtection="1">
      <alignment horizontal="center" vertical="center" wrapText="1"/>
      <protection locked="0"/>
    </xf>
    <xf numFmtId="188" fontId="70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81" fontId="60" fillId="0" borderId="1" xfId="0" applyNumberFormat="1" applyFont="1" applyFill="1" applyBorder="1" applyAlignment="1" applyProtection="1">
      <alignment horizontal="center" vertical="center"/>
      <protection locked="0"/>
    </xf>
    <xf numFmtId="180" fontId="60" fillId="0" borderId="1" xfId="0" applyNumberFormat="1" applyFont="1" applyFill="1" applyBorder="1" applyAlignment="1" applyProtection="1">
      <alignment horizontal="center" vertical="center"/>
      <protection locked="0"/>
    </xf>
    <xf numFmtId="0" fontId="75" fillId="0" borderId="1" xfId="0" applyFont="1" applyFill="1" applyBorder="1" applyAlignment="1" applyProtection="1">
      <alignment horizontal="center" vertical="center" wrapText="1"/>
      <protection locked="0"/>
    </xf>
    <xf numFmtId="0" fontId="61" fillId="0" borderId="1" xfId="0" applyFont="1" applyFill="1" applyBorder="1" applyAlignment="1" applyProtection="1">
      <alignment horizontal="center" vertical="center" wrapText="1"/>
      <protection locked="0"/>
    </xf>
    <xf numFmtId="180" fontId="64" fillId="0" borderId="1" xfId="0" applyNumberFormat="1" applyFont="1" applyFill="1" applyBorder="1" applyAlignment="1" applyProtection="1">
      <alignment horizontal="center" vertical="center"/>
      <protection locked="0"/>
    </xf>
    <xf numFmtId="181" fontId="64" fillId="0" borderId="1" xfId="0" applyNumberFormat="1" applyFont="1" applyFill="1" applyBorder="1" applyAlignment="1" applyProtection="1">
      <alignment horizontal="center" vertical="center"/>
      <protection locked="0"/>
    </xf>
    <xf numFmtId="179" fontId="27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27" fillId="0" borderId="1" xfId="0" applyNumberFormat="1" applyFont="1" applyFill="1" applyBorder="1" applyAlignment="1">
      <alignment horizontal="center" vertical="center" wrapText="1"/>
    </xf>
    <xf numFmtId="0" fontId="76" fillId="0" borderId="1" xfId="0" applyFont="1" applyFill="1" applyBorder="1" applyAlignment="1" applyProtection="1">
      <alignment horizontal="center" vertical="center" wrapText="1"/>
      <protection locked="0"/>
    </xf>
    <xf numFmtId="0" fontId="44" fillId="0" borderId="1" xfId="0" applyFont="1" applyFill="1" applyBorder="1" applyAlignment="1" applyProtection="1">
      <alignment horizontal="center" vertical="center" wrapText="1"/>
      <protection locked="0"/>
    </xf>
    <xf numFmtId="188" fontId="1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81" fontId="46" fillId="0" borderId="1" xfId="0" applyNumberFormat="1" applyFont="1" applyFill="1" applyBorder="1" applyAlignment="1" applyProtection="1">
      <alignment horizontal="center" vertical="center"/>
      <protection locked="0"/>
    </xf>
    <xf numFmtId="179" fontId="68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77" fillId="0" borderId="1" xfId="0" applyFont="1" applyFill="1" applyBorder="1" applyAlignment="1" applyProtection="1">
      <alignment horizontal="center" vertical="center" wrapText="1"/>
      <protection locked="0"/>
    </xf>
    <xf numFmtId="0" fontId="66" fillId="0" borderId="1" xfId="0" applyFont="1" applyFill="1" applyBorder="1" applyAlignment="1" applyProtection="1">
      <alignment horizontal="center" vertical="center" wrapText="1"/>
      <protection locked="0"/>
    </xf>
    <xf numFmtId="180" fontId="66" fillId="0" borderId="1" xfId="0" applyNumberFormat="1" applyFont="1" applyFill="1" applyBorder="1" applyAlignment="1" applyProtection="1">
      <alignment horizontal="center" vertical="center"/>
      <protection locked="0"/>
    </xf>
    <xf numFmtId="181" fontId="66" fillId="0" borderId="1" xfId="0" applyNumberFormat="1" applyFont="1" applyFill="1" applyBorder="1" applyAlignment="1" applyProtection="1">
      <alignment horizontal="center" vertical="center"/>
      <protection locked="0"/>
    </xf>
    <xf numFmtId="0" fontId="67" fillId="0" borderId="1" xfId="0" applyNumberFormat="1" applyFont="1" applyFill="1" applyBorder="1" applyAlignment="1" applyProtection="1">
      <alignment horizontal="center" vertical="center" wrapText="1"/>
      <protection locked="0"/>
    </xf>
    <xf numFmtId="3" fontId="0" fillId="0" borderId="0" xfId="0" applyNumberFormat="1" applyFill="1" applyProtection="1">
      <alignment vertical="center"/>
      <protection locked="0"/>
    </xf>
    <xf numFmtId="0" fontId="78" fillId="0" borderId="0" xfId="0" applyFont="1" applyFill="1" applyAlignment="1" applyProtection="1">
      <alignment vertical="center"/>
      <protection locked="0"/>
    </xf>
    <xf numFmtId="0" fontId="5" fillId="0" borderId="0" xfId="0" applyNumberFormat="1" applyFont="1" applyFill="1" applyAlignment="1" applyProtection="1">
      <alignment horizontal="center" vertical="center"/>
      <protection locked="0"/>
    </xf>
    <xf numFmtId="0" fontId="79" fillId="0" borderId="0" xfId="0" applyFont="1" applyFill="1" applyAlignment="1" applyProtection="1">
      <alignment horizontal="center" vertical="center"/>
      <protection locked="0"/>
    </xf>
    <xf numFmtId="176" fontId="55" fillId="0" borderId="0" xfId="0" applyNumberFormat="1" applyFont="1" applyFill="1" applyAlignment="1" applyProtection="1">
      <alignment vertical="center"/>
      <protection locked="0"/>
    </xf>
    <xf numFmtId="0" fontId="14" fillId="0" borderId="1" xfId="0" applyNumberFormat="1" applyFont="1" applyFill="1" applyBorder="1" applyAlignment="1" applyProtection="1">
      <alignment horizontal="center" vertical="top" wrapText="1" shrinkToFit="1"/>
      <protection locked="0"/>
    </xf>
    <xf numFmtId="0" fontId="18" fillId="0" borderId="1" xfId="0" applyNumberFormat="1" applyFont="1" applyFill="1" applyBorder="1" applyAlignment="1" applyProtection="1">
      <alignment horizontal="center" vertical="top" wrapText="1" shrinkToFit="1"/>
      <protection locked="0"/>
    </xf>
    <xf numFmtId="0" fontId="18" fillId="0" borderId="1" xfId="0" applyFont="1" applyFill="1" applyBorder="1" applyAlignment="1" applyProtection="1">
      <alignment horizontal="center" vertical="top" wrapText="1" shrinkToFit="1"/>
      <protection locked="0"/>
    </xf>
    <xf numFmtId="0" fontId="56" fillId="0" borderId="1" xfId="0" applyFont="1" applyFill="1" applyBorder="1" applyAlignment="1" applyProtection="1">
      <alignment horizontal="center" vertical="top" wrapText="1" shrinkToFit="1"/>
      <protection locked="0"/>
    </xf>
    <xf numFmtId="0" fontId="5" fillId="0" borderId="1" xfId="0" applyNumberFormat="1" applyFont="1" applyFill="1" applyBorder="1" applyAlignment="1" applyProtection="1">
      <alignment horizontal="center" vertical="top" wrapText="1" shrinkToFit="1"/>
      <protection locked="0"/>
    </xf>
    <xf numFmtId="0" fontId="57" fillId="0" borderId="1" xfId="0" applyFont="1" applyFill="1" applyBorder="1" applyAlignment="1" applyProtection="1">
      <alignment horizontal="center" vertical="center"/>
      <protection locked="0"/>
    </xf>
    <xf numFmtId="0" fontId="58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82" fontId="59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60" fillId="0" borderId="1" xfId="0" applyFont="1" applyFill="1" applyBorder="1" applyAlignment="1" applyProtection="1">
      <alignment horizontal="center" vertical="center"/>
      <protection locked="0"/>
    </xf>
    <xf numFmtId="184" fontId="59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5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1" fillId="0" borderId="1" xfId="0" applyFont="1" applyFill="1" applyBorder="1" applyAlignment="1" applyProtection="1">
      <alignment horizontal="center" vertical="center"/>
      <protection locked="0"/>
    </xf>
    <xf numFmtId="0" fontId="62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6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4" fillId="0" borderId="1" xfId="0" applyFont="1" applyFill="1" applyBorder="1" applyAlignment="1" applyProtection="1">
      <alignment horizontal="center" vertical="center"/>
      <protection locked="0"/>
    </xf>
    <xf numFmtId="184" fontId="63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44" fillId="0" borderId="1" xfId="0" applyFont="1" applyFill="1" applyBorder="1" applyAlignment="1" applyProtection="1">
      <alignment horizontal="center" vertical="center"/>
      <protection locked="0"/>
    </xf>
    <xf numFmtId="0" fontId="65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46" fillId="0" borderId="1" xfId="0" applyFont="1" applyFill="1" applyBorder="1" applyAlignment="1" applyProtection="1">
      <alignment horizontal="center" vertical="center"/>
      <protection locked="0"/>
    </xf>
    <xf numFmtId="184" fontId="45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66" fillId="0" borderId="1" xfId="0" applyFont="1" applyFill="1" applyBorder="1" applyAlignment="1" applyProtection="1">
      <alignment horizontal="center" vertical="center"/>
      <protection locked="0"/>
    </xf>
    <xf numFmtId="0" fontId="67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84" fontId="67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85" fontId="0" fillId="0" borderId="1" xfId="0" applyNumberFormat="1" applyFill="1" applyBorder="1" applyAlignment="1" applyProtection="1">
      <alignment horizontal="center" vertical="center"/>
      <protection locked="0"/>
    </xf>
    <xf numFmtId="0" fontId="53" fillId="0" borderId="1" xfId="0" applyFont="1" applyFill="1" applyBorder="1" applyAlignment="1" applyProtection="1">
      <alignment horizontal="center" vertical="center"/>
      <protection locked="0"/>
    </xf>
    <xf numFmtId="185" fontId="53" fillId="0" borderId="1" xfId="0" applyNumberFormat="1" applyFont="1" applyFill="1" applyBorder="1" applyAlignment="1" applyProtection="1">
      <alignment horizontal="center" vertical="center"/>
      <protection locked="0"/>
    </xf>
    <xf numFmtId="0" fontId="80" fillId="0" borderId="0" xfId="0" applyFont="1" applyFill="1" applyAlignment="1" applyProtection="1">
      <alignment vertical="center"/>
      <protection locked="0"/>
    </xf>
    <xf numFmtId="0" fontId="80" fillId="0" borderId="0" xfId="0" applyFont="1" applyFill="1" applyAlignment="1" applyProtection="1">
      <alignment vertical="center" wrapText="1"/>
      <protection locked="0"/>
    </xf>
    <xf numFmtId="0" fontId="81" fillId="0" borderId="1" xfId="0" applyFont="1" applyFill="1" applyBorder="1" applyAlignment="1" applyProtection="1">
      <alignment horizontal="center" vertical="center" wrapText="1"/>
      <protection locked="0"/>
    </xf>
    <xf numFmtId="184" fontId="82" fillId="0" borderId="1" xfId="0" applyNumberFormat="1" applyFont="1" applyFill="1" applyBorder="1" applyAlignment="1" applyProtection="1">
      <alignment horizontal="center" vertical="center"/>
      <protection locked="0"/>
    </xf>
    <xf numFmtId="184" fontId="82" fillId="0" borderId="3" xfId="0" applyNumberFormat="1" applyFont="1" applyFill="1" applyBorder="1" applyAlignment="1" applyProtection="1">
      <alignment horizontal="center" vertical="center"/>
      <protection locked="0"/>
    </xf>
    <xf numFmtId="184" fontId="82" fillId="0" borderId="7" xfId="0" applyNumberFormat="1" applyFont="1" applyFill="1" applyBorder="1" applyAlignment="1" applyProtection="1">
      <alignment horizontal="center" vertical="center"/>
      <protection locked="0"/>
    </xf>
    <xf numFmtId="0" fontId="82" fillId="0" borderId="1" xfId="0" applyFont="1" applyFill="1" applyBorder="1" applyAlignment="1" applyProtection="1">
      <alignment horizontal="center" vertical="top" wrapText="1" shrinkToFit="1"/>
      <protection locked="0"/>
    </xf>
    <xf numFmtId="184" fontId="81" fillId="0" borderId="1" xfId="0" applyNumberFormat="1" applyFont="1" applyFill="1" applyBorder="1" applyAlignment="1" applyProtection="1">
      <alignment horizontal="center" vertical="top" wrapText="1" shrinkToFit="1"/>
      <protection locked="0"/>
    </xf>
    <xf numFmtId="0" fontId="60" fillId="0" borderId="1" xfId="0" applyNumberFormat="1" applyFont="1" applyFill="1" applyBorder="1" applyAlignment="1" applyProtection="1">
      <alignment horizontal="center" vertical="center"/>
      <protection locked="0"/>
    </xf>
    <xf numFmtId="0" fontId="57" fillId="0" borderId="1" xfId="0" applyNumberFormat="1" applyFont="1" applyFill="1" applyBorder="1" applyAlignment="1" applyProtection="1">
      <alignment horizontal="center" vertical="center"/>
      <protection locked="0"/>
    </xf>
    <xf numFmtId="184" fontId="60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84" fontId="57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64" fillId="0" borderId="1" xfId="0" applyNumberFormat="1" applyFont="1" applyFill="1" applyBorder="1" applyAlignment="1" applyProtection="1">
      <alignment horizontal="center" vertical="center"/>
      <protection locked="0"/>
    </xf>
    <xf numFmtId="0" fontId="61" fillId="0" borderId="1" xfId="0" applyNumberFormat="1" applyFont="1" applyFill="1" applyBorder="1" applyAlignment="1" applyProtection="1">
      <alignment horizontal="center" vertical="center"/>
      <protection locked="0"/>
    </xf>
    <xf numFmtId="184" fontId="64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84" fontId="61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46" fillId="0" borderId="1" xfId="0" applyNumberFormat="1" applyFont="1" applyFill="1" applyBorder="1" applyAlignment="1" applyProtection="1">
      <alignment horizontal="center" vertical="center"/>
      <protection locked="0"/>
    </xf>
    <xf numFmtId="0" fontId="44" fillId="0" borderId="1" xfId="0" applyNumberFormat="1" applyFont="1" applyFill="1" applyBorder="1" applyAlignment="1" applyProtection="1">
      <alignment horizontal="center" vertical="center"/>
      <protection locked="0"/>
    </xf>
    <xf numFmtId="184" fontId="46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84" fontId="44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66" fillId="0" borderId="1" xfId="0" applyNumberFormat="1" applyFont="1" applyFill="1" applyBorder="1" applyAlignment="1" applyProtection="1">
      <alignment horizontal="center" vertical="center"/>
      <protection locked="0"/>
    </xf>
    <xf numFmtId="184" fontId="66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184" fontId="83" fillId="0" borderId="1" xfId="0" applyNumberFormat="1" applyFont="1" applyFill="1" applyBorder="1" applyAlignment="1" applyProtection="1">
      <alignment horizontal="center" vertical="top" wrapText="1" shrinkToFit="1"/>
      <protection locked="0"/>
    </xf>
    <xf numFmtId="184" fontId="84" fillId="0" borderId="0" xfId="0" applyNumberFormat="1" applyFont="1" applyFill="1" applyAlignment="1" applyProtection="1">
      <alignment vertical="center"/>
      <protection locked="0"/>
    </xf>
    <xf numFmtId="0" fontId="18" fillId="0" borderId="3" xfId="0" applyFont="1" applyFill="1" applyBorder="1" applyAlignment="1" applyProtection="1">
      <alignment horizontal="center" vertical="center"/>
      <protection locked="0"/>
    </xf>
    <xf numFmtId="0" fontId="18" fillId="0" borderId="7" xfId="0" applyFont="1" applyFill="1" applyBorder="1" applyAlignment="1" applyProtection="1">
      <alignment horizontal="center" vertical="center"/>
      <protection locked="0"/>
    </xf>
    <xf numFmtId="49" fontId="85" fillId="0" borderId="1" xfId="0" applyNumberFormat="1" applyFont="1" applyFill="1" applyBorder="1" applyAlignment="1" applyProtection="1">
      <alignment vertical="center" wrapText="1"/>
      <protection locked="0"/>
    </xf>
    <xf numFmtId="177" fontId="43" fillId="0" borderId="1" xfId="12" applyNumberFormat="1" applyFont="1" applyFill="1" applyBorder="1" applyAlignment="1" applyProtection="1">
      <alignment horizontal="center" vertical="center" wrapText="1"/>
      <protection locked="0"/>
    </xf>
    <xf numFmtId="184" fontId="15" fillId="0" borderId="1" xfId="0" applyNumberFormat="1" applyFont="1" applyFill="1" applyBorder="1" applyAlignment="1" applyProtection="1">
      <alignment horizontal="center" vertical="top" wrapText="1" shrinkToFit="1"/>
      <protection locked="0"/>
    </xf>
    <xf numFmtId="184" fontId="58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84" fontId="59" fillId="0" borderId="1" xfId="0" applyNumberFormat="1" applyFont="1" applyFill="1" applyBorder="1" applyAlignment="1" applyProtection="1">
      <alignment horizontal="center" vertical="center"/>
      <protection locked="0"/>
    </xf>
    <xf numFmtId="184" fontId="62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84" fontId="63" fillId="0" borderId="1" xfId="0" applyNumberFormat="1" applyFont="1" applyFill="1" applyBorder="1" applyAlignment="1" applyProtection="1">
      <alignment horizontal="center" vertical="center"/>
      <protection locked="0"/>
    </xf>
    <xf numFmtId="184" fontId="65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84" fontId="45" fillId="0" borderId="1" xfId="0" applyNumberFormat="1" applyFont="1" applyFill="1" applyBorder="1" applyAlignment="1" applyProtection="1">
      <alignment horizontal="center" vertical="center"/>
      <protection locked="0"/>
    </xf>
    <xf numFmtId="184" fontId="67" fillId="0" borderId="1" xfId="0" applyNumberFormat="1" applyFont="1" applyFill="1" applyBorder="1" applyAlignment="1" applyProtection="1">
      <alignment horizontal="center" vertical="center"/>
      <protection locked="0"/>
    </xf>
    <xf numFmtId="185" fontId="0" fillId="0" borderId="1" xfId="0" applyNumberFormat="1" applyFill="1" applyBorder="1" applyProtection="1">
      <alignment vertical="center"/>
      <protection locked="0"/>
    </xf>
    <xf numFmtId="185" fontId="0" fillId="0" borderId="0" xfId="0" applyNumberFormat="1" applyFill="1" applyProtection="1">
      <alignment vertical="center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184" fontId="1" fillId="0" borderId="1" xfId="0" applyNumberFormat="1" applyFont="1" applyFill="1" applyBorder="1" applyAlignment="1" applyProtection="1">
      <alignment horizontal="center" vertical="center"/>
      <protection locked="0"/>
    </xf>
    <xf numFmtId="0" fontId="86" fillId="0" borderId="0" xfId="0" applyFont="1" applyFill="1" applyAlignment="1" applyProtection="1">
      <alignment horizontal="center" vertical="top" wrapText="1"/>
      <protection locked="0"/>
    </xf>
    <xf numFmtId="0" fontId="0" fillId="0" borderId="1" xfId="0" applyFill="1" applyBorder="1" applyAlignment="1" applyProtection="1">
      <alignment horizontal="center" vertical="center" wrapText="1"/>
      <protection locked="0"/>
    </xf>
    <xf numFmtId="184" fontId="50" fillId="0" borderId="1" xfId="0" applyNumberFormat="1" applyFont="1" applyFill="1" applyBorder="1" applyAlignment="1" applyProtection="1">
      <alignment horizontal="center" vertical="center"/>
      <protection locked="0"/>
    </xf>
    <xf numFmtId="184" fontId="51" fillId="0" borderId="1" xfId="0" applyNumberFormat="1" applyFont="1" applyFill="1" applyBorder="1" applyAlignment="1" applyProtection="1">
      <alignment horizontal="center" vertical="center"/>
      <protection locked="0"/>
    </xf>
    <xf numFmtId="184" fontId="52" fillId="0" borderId="1" xfId="0" applyNumberFormat="1" applyFont="1" applyFill="1" applyBorder="1" applyAlignment="1" applyProtection="1">
      <alignment horizontal="center" vertical="center"/>
      <protection locked="0"/>
    </xf>
    <xf numFmtId="184" fontId="0" fillId="0" borderId="1" xfId="0" applyNumberFormat="1" applyFill="1" applyBorder="1" applyAlignment="1" applyProtection="1">
      <alignment horizontal="center" vertical="center"/>
      <protection locked="0"/>
    </xf>
    <xf numFmtId="184" fontId="0" fillId="0" borderId="0" xfId="0" applyNumberFormat="1" applyFill="1" applyProtection="1">
      <alignment vertical="center"/>
      <protection locked="0"/>
    </xf>
    <xf numFmtId="0" fontId="25" fillId="0" borderId="0" xfId="0" applyFont="1" applyFill="1" applyBorder="1" applyAlignment="1" applyProtection="1">
      <alignment horizontal="center" vertical="center"/>
      <protection locked="0"/>
    </xf>
    <xf numFmtId="0" fontId="28" fillId="9" borderId="0" xfId="0" applyFont="1" applyFill="1" applyBorder="1" applyAlignment="1" applyProtection="1">
      <alignment horizontal="center" vertical="center"/>
      <protection locked="0"/>
    </xf>
    <xf numFmtId="176" fontId="87" fillId="0" borderId="4" xfId="0" applyNumberFormat="1" applyFont="1" applyFill="1" applyBorder="1" applyAlignment="1" applyProtection="1">
      <alignment horizontal="center" vertical="center" wrapText="1" shrinkToFit="1"/>
    </xf>
    <xf numFmtId="0" fontId="87" fillId="0" borderId="4" xfId="0" applyFont="1" applyFill="1" applyBorder="1" applyAlignment="1" applyProtection="1">
      <alignment horizontal="center" vertical="center" wrapText="1"/>
      <protection locked="0"/>
    </xf>
    <xf numFmtId="0" fontId="87" fillId="0" borderId="4" xfId="0" applyFont="1" applyFill="1" applyBorder="1" applyAlignment="1" applyProtection="1">
      <alignment horizontal="center" vertical="center" wrapText="1" shrinkToFit="1"/>
      <protection locked="0"/>
    </xf>
    <xf numFmtId="0" fontId="73" fillId="0" borderId="4" xfId="0" applyNumberFormat="1" applyFont="1" applyFill="1" applyBorder="1" applyAlignment="1" applyProtection="1">
      <alignment horizontal="center" vertical="center"/>
      <protection locked="0"/>
    </xf>
    <xf numFmtId="0" fontId="73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88" fillId="0" borderId="1" xfId="0" applyFont="1" applyFill="1" applyBorder="1" applyAlignment="1" applyProtection="1">
      <alignment horizontal="center" vertical="center" wrapText="1" shrinkToFit="1"/>
      <protection locked="0"/>
    </xf>
    <xf numFmtId="0" fontId="73" fillId="0" borderId="1" xfId="0" applyFont="1" applyFill="1" applyBorder="1" applyAlignment="1" applyProtection="1">
      <alignment horizontal="center" vertical="center" wrapText="1"/>
      <protection locked="0"/>
    </xf>
    <xf numFmtId="176" fontId="89" fillId="0" borderId="4" xfId="0" applyNumberFormat="1" applyFont="1" applyFill="1" applyBorder="1" applyAlignment="1" applyProtection="1">
      <alignment horizontal="center" vertical="center" shrinkToFit="1"/>
    </xf>
    <xf numFmtId="0" fontId="89" fillId="0" borderId="4" xfId="0" applyNumberFormat="1" applyFont="1" applyFill="1" applyBorder="1" applyAlignment="1" applyProtection="1">
      <alignment horizontal="center" vertical="center" wrapText="1"/>
      <protection locked="0"/>
    </xf>
    <xf numFmtId="178" fontId="89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90" fillId="0" borderId="4" xfId="0" applyNumberFormat="1" applyFont="1" applyFill="1" applyBorder="1" applyAlignment="1" applyProtection="1">
      <alignment horizontal="center" vertical="center" shrinkToFit="1"/>
      <protection locked="0"/>
    </xf>
    <xf numFmtId="0" fontId="90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6" fontId="91" fillId="0" borderId="1" xfId="0" applyNumberFormat="1" applyFont="1" applyFill="1" applyBorder="1" applyAlignment="1" applyProtection="1">
      <alignment horizontal="center" vertical="center"/>
    </xf>
    <xf numFmtId="0" fontId="92" fillId="0" borderId="1" xfId="0" applyFont="1" applyFill="1" applyBorder="1" applyAlignment="1" applyProtection="1">
      <alignment horizontal="center" vertical="center" wrapText="1"/>
      <protection locked="0"/>
    </xf>
    <xf numFmtId="0" fontId="87" fillId="0" borderId="4" xfId="0" applyNumberFormat="1" applyFont="1" applyFill="1" applyBorder="1" applyAlignment="1" applyProtection="1">
      <alignment horizontal="center" vertical="center" wrapText="1" shrinkToFit="1"/>
      <protection locked="0"/>
    </xf>
    <xf numFmtId="0" fontId="91" fillId="0" borderId="1" xfId="0" applyNumberFormat="1" applyFont="1" applyFill="1" applyBorder="1" applyAlignment="1" applyProtection="1">
      <alignment horizontal="center" vertical="center" shrinkToFit="1"/>
      <protection locked="0"/>
    </xf>
    <xf numFmtId="49" fontId="88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91" fillId="0" borderId="1" xfId="0" applyFont="1" applyFill="1" applyBorder="1" applyAlignment="1" applyProtection="1">
      <alignment horizontal="center" vertical="center" wrapText="1" shrinkToFit="1"/>
      <protection locked="0"/>
    </xf>
    <xf numFmtId="0" fontId="73" fillId="0" borderId="4" xfId="0" applyFont="1" applyFill="1" applyBorder="1" applyAlignment="1" applyProtection="1">
      <alignment horizontal="center" vertical="center" wrapText="1" shrinkToFit="1"/>
      <protection locked="0"/>
    </xf>
    <xf numFmtId="49" fontId="91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46" fillId="0" borderId="4" xfId="0" applyNumberFormat="1" applyFont="1" applyFill="1" applyBorder="1" applyAlignment="1" applyProtection="1">
      <alignment horizontal="center" vertical="center" wrapText="1"/>
      <protection locked="0"/>
    </xf>
    <xf numFmtId="49" fontId="4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73" fillId="0" borderId="1" xfId="0" applyFont="1" applyFill="1" applyBorder="1" applyAlignment="1" applyProtection="1">
      <alignment horizontal="center" vertical="center" wrapText="1" shrinkToFit="1"/>
      <protection locked="0"/>
    </xf>
    <xf numFmtId="176" fontId="44" fillId="9" borderId="1" xfId="0" applyNumberFormat="1" applyFont="1" applyFill="1" applyBorder="1" applyAlignment="1" applyProtection="1">
      <alignment horizontal="center" vertical="center"/>
    </xf>
    <xf numFmtId="0" fontId="65" fillId="9" borderId="1" xfId="0" applyFont="1" applyFill="1" applyBorder="1" applyAlignment="1" applyProtection="1">
      <alignment horizontal="center" vertical="center" wrapText="1"/>
      <protection locked="0"/>
    </xf>
    <xf numFmtId="0" fontId="45" fillId="9" borderId="1" xfId="0" applyFont="1" applyFill="1" applyBorder="1" applyAlignment="1" applyProtection="1">
      <alignment horizontal="center" vertical="center" wrapText="1" shrinkToFit="1"/>
      <protection locked="0"/>
    </xf>
    <xf numFmtId="0" fontId="44" fillId="9" borderId="1" xfId="0" applyNumberFormat="1" applyFont="1" applyFill="1" applyBorder="1" applyAlignment="1" applyProtection="1">
      <alignment horizontal="center" vertical="center" shrinkToFit="1"/>
      <protection locked="0"/>
    </xf>
    <xf numFmtId="49" fontId="46" fillId="9" borderId="1" xfId="0" applyNumberFormat="1" applyFont="1" applyFill="1" applyBorder="1" applyAlignment="1" applyProtection="1">
      <alignment horizontal="center" vertical="center" wrapText="1"/>
      <protection locked="0"/>
    </xf>
    <xf numFmtId="0" fontId="46" fillId="9" borderId="1" xfId="0" applyFont="1" applyFill="1" applyBorder="1" applyAlignment="1" applyProtection="1">
      <alignment horizontal="center" vertical="center" wrapText="1" shrinkToFit="1"/>
      <protection locked="0"/>
    </xf>
    <xf numFmtId="0" fontId="45" fillId="9" borderId="1" xfId="0" applyFont="1" applyFill="1" applyBorder="1" applyAlignment="1" applyProtection="1">
      <alignment horizontal="center" vertical="center" wrapText="1"/>
      <protection locked="0"/>
    </xf>
    <xf numFmtId="185" fontId="88" fillId="0" borderId="1" xfId="0" applyNumberFormat="1" applyFont="1" applyFill="1" applyBorder="1" applyAlignment="1" applyProtection="1">
      <alignment horizontal="center" vertical="center"/>
      <protection locked="0"/>
    </xf>
    <xf numFmtId="182" fontId="73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93" fillId="0" borderId="1" xfId="0" applyFont="1" applyFill="1" applyBorder="1" applyAlignment="1" applyProtection="1">
      <alignment horizontal="center" vertical="center" wrapText="1"/>
      <protection locked="0"/>
    </xf>
    <xf numFmtId="182" fontId="92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9" fontId="92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65" fillId="0" borderId="1" xfId="0" applyNumberFormat="1" applyFont="1" applyFill="1" applyBorder="1" applyAlignment="1" applyProtection="1">
      <alignment horizontal="center" vertical="center" wrapText="1"/>
      <protection locked="0"/>
    </xf>
    <xf numFmtId="182" fontId="45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1" fillId="9" borderId="1" xfId="0" applyFont="1" applyFill="1" applyBorder="1" applyAlignment="1" applyProtection="1">
      <alignment horizontal="center" vertical="center" wrapText="1"/>
      <protection locked="0"/>
    </xf>
    <xf numFmtId="185" fontId="46" fillId="9" borderId="1" xfId="0" applyNumberFormat="1" applyFont="1" applyFill="1" applyBorder="1" applyAlignment="1" applyProtection="1">
      <alignment horizontal="center" vertical="center"/>
      <protection locked="0"/>
    </xf>
    <xf numFmtId="182" fontId="45" fillId="9" borderId="1" xfId="0" applyNumberFormat="1" applyFont="1" applyFill="1" applyBorder="1" applyAlignment="1" applyProtection="1">
      <alignment horizontal="center" vertical="center" wrapText="1" shrinkToFit="1"/>
      <protection locked="0"/>
    </xf>
    <xf numFmtId="179" fontId="45" fillId="9" borderId="1" xfId="0" applyNumberFormat="1" applyFont="1" applyFill="1" applyBorder="1" applyAlignment="1" applyProtection="1">
      <alignment horizontal="center" vertical="center" wrapText="1"/>
      <protection locked="0"/>
    </xf>
    <xf numFmtId="179" fontId="73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73" fillId="0" borderId="1" xfId="0" applyNumberFormat="1" applyFont="1" applyFill="1" applyBorder="1" applyAlignment="1" applyProtection="1">
      <alignment horizontal="center" vertical="center" wrapText="1"/>
      <protection locked="0"/>
    </xf>
    <xf numFmtId="182" fontId="94" fillId="0" borderId="7" xfId="0" applyNumberFormat="1" applyFont="1" applyFill="1" applyBorder="1" applyAlignment="1" applyProtection="1">
      <alignment horizontal="center" vertical="center" wrapText="1" shrinkToFit="1"/>
      <protection locked="0"/>
    </xf>
    <xf numFmtId="180" fontId="88" fillId="0" borderId="1" xfId="0" applyNumberFormat="1" applyFont="1" applyFill="1" applyBorder="1" applyAlignment="1" applyProtection="1">
      <alignment horizontal="center" vertical="center"/>
      <protection locked="0"/>
    </xf>
    <xf numFmtId="181" fontId="88" fillId="0" borderId="1" xfId="0" applyNumberFormat="1" applyFont="1" applyFill="1" applyBorder="1" applyAlignment="1" applyProtection="1">
      <alignment horizontal="center" vertical="center"/>
      <protection locked="0"/>
    </xf>
    <xf numFmtId="179" fontId="89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95" fillId="0" borderId="8" xfId="0" applyNumberFormat="1" applyFont="1" applyFill="1" applyBorder="1" applyAlignment="1" applyProtection="1">
      <alignment horizontal="center" vertical="center" wrapText="1"/>
      <protection locked="0"/>
    </xf>
    <xf numFmtId="188" fontId="93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9" fontId="96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97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89" fillId="0" borderId="3" xfId="0" applyNumberFormat="1" applyFont="1" applyFill="1" applyBorder="1" applyAlignment="1" applyProtection="1">
      <alignment horizontal="center" vertical="center" wrapText="1"/>
      <protection locked="0"/>
    </xf>
    <xf numFmtId="182" fontId="94" fillId="0" borderId="8" xfId="0" applyNumberFormat="1" applyFont="1" applyFill="1" applyBorder="1" applyAlignment="1" applyProtection="1">
      <alignment horizontal="center" vertical="center" wrapText="1" shrinkToFit="1"/>
      <protection locked="0"/>
    </xf>
    <xf numFmtId="0" fontId="91" fillId="0" borderId="1" xfId="0" applyFont="1" applyFill="1" applyBorder="1" applyAlignment="1" applyProtection="1">
      <alignment horizontal="center" vertical="center" wrapText="1"/>
      <protection locked="0"/>
    </xf>
    <xf numFmtId="0" fontId="98" fillId="0" borderId="1" xfId="0" applyFont="1" applyFill="1" applyBorder="1" applyAlignment="1" applyProtection="1">
      <alignment horizontal="center" vertical="center" wrapText="1"/>
      <protection locked="0"/>
    </xf>
    <xf numFmtId="180" fontId="46" fillId="0" borderId="1" xfId="0" applyNumberFormat="1" applyFont="1" applyFill="1" applyBorder="1" applyAlignment="1" applyProtection="1">
      <alignment horizontal="center" vertical="center"/>
      <protection locked="0"/>
    </xf>
    <xf numFmtId="179" fontId="93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97" fillId="0" borderId="3" xfId="0" applyNumberFormat="1" applyFont="1" applyFill="1" applyBorder="1" applyAlignment="1" applyProtection="1">
      <alignment horizontal="center" vertical="center" wrapText="1"/>
      <protection locked="0"/>
    </xf>
    <xf numFmtId="179" fontId="99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71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74" fillId="3" borderId="1" xfId="0" applyFont="1" applyFill="1" applyBorder="1" applyAlignment="1" applyProtection="1">
      <alignment horizontal="center" vertical="center" wrapText="1"/>
      <protection locked="0"/>
    </xf>
    <xf numFmtId="179" fontId="45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76" fillId="9" borderId="1" xfId="0" applyFont="1" applyFill="1" applyBorder="1" applyAlignment="1" applyProtection="1">
      <alignment horizontal="center" vertical="center" wrapText="1"/>
      <protection locked="0"/>
    </xf>
    <xf numFmtId="0" fontId="44" fillId="9" borderId="1" xfId="0" applyFont="1" applyFill="1" applyBorder="1" applyAlignment="1" applyProtection="1">
      <alignment horizontal="center" vertical="center" wrapText="1"/>
      <protection locked="0"/>
    </xf>
    <xf numFmtId="180" fontId="46" fillId="9" borderId="1" xfId="0" applyNumberFormat="1" applyFont="1" applyFill="1" applyBorder="1" applyAlignment="1" applyProtection="1">
      <alignment horizontal="center" vertical="center"/>
      <protection locked="0"/>
    </xf>
    <xf numFmtId="181" fontId="46" fillId="9" borderId="1" xfId="0" applyNumberFormat="1" applyFont="1" applyFill="1" applyBorder="1" applyAlignment="1" applyProtection="1">
      <alignment horizontal="center" vertical="center"/>
      <protection locked="0"/>
    </xf>
    <xf numFmtId="0" fontId="88" fillId="0" borderId="1" xfId="0" applyFont="1" applyFill="1" applyBorder="1" applyAlignment="1" applyProtection="1">
      <alignment horizontal="center" vertical="center"/>
      <protection locked="0"/>
    </xf>
    <xf numFmtId="0" fontId="73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84" fontId="73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91" fillId="0" borderId="1" xfId="0" applyFont="1" applyFill="1" applyBorder="1" applyAlignment="1" applyProtection="1">
      <alignment horizontal="center" vertical="center"/>
      <protection locked="0"/>
    </xf>
    <xf numFmtId="0" fontId="92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45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100" fillId="0" borderId="1" xfId="0" applyFont="1" applyFill="1" applyBorder="1" applyAlignment="1" applyProtection="1">
      <alignment horizontal="center" vertical="center" wrapText="1" shrinkToFit="1"/>
      <protection locked="0"/>
    </xf>
    <xf numFmtId="0" fontId="101" fillId="0" borderId="1" xfId="0" applyFont="1" applyFill="1" applyBorder="1" applyAlignment="1" applyProtection="1">
      <alignment horizontal="center" vertical="center" wrapText="1" shrinkToFit="1"/>
      <protection locked="0"/>
    </xf>
    <xf numFmtId="182" fontId="58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44" fillId="9" borderId="1" xfId="0" applyFont="1" applyFill="1" applyBorder="1" applyAlignment="1" applyProtection="1">
      <alignment horizontal="center" vertical="center"/>
      <protection locked="0"/>
    </xf>
    <xf numFmtId="0" fontId="65" fillId="9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44" fillId="9" borderId="1" xfId="0" applyNumberFormat="1" applyFont="1" applyFill="1" applyBorder="1" applyAlignment="1" applyProtection="1">
      <alignment horizontal="center" vertical="center" wrapText="1"/>
      <protection locked="0"/>
    </xf>
    <xf numFmtId="0" fontId="46" fillId="9" borderId="1" xfId="0" applyFont="1" applyFill="1" applyBorder="1" applyAlignment="1" applyProtection="1">
      <alignment horizontal="center" vertical="center"/>
      <protection locked="0"/>
    </xf>
    <xf numFmtId="184" fontId="45" fillId="9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88" fillId="0" borderId="1" xfId="0" applyNumberFormat="1" applyFont="1" applyFill="1" applyBorder="1" applyAlignment="1" applyProtection="1">
      <alignment horizontal="center" vertical="center"/>
      <protection locked="0"/>
    </xf>
    <xf numFmtId="184" fontId="88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91" fillId="0" borderId="1" xfId="0" applyNumberFormat="1" applyFont="1" applyFill="1" applyBorder="1" applyAlignment="1" applyProtection="1">
      <alignment horizontal="center" vertical="center"/>
      <protection locked="0"/>
    </xf>
    <xf numFmtId="184" fontId="91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44" fillId="9" borderId="1" xfId="0" applyNumberFormat="1" applyFont="1" applyFill="1" applyBorder="1" applyAlignment="1" applyProtection="1">
      <alignment horizontal="center" vertical="center"/>
      <protection locked="0"/>
    </xf>
    <xf numFmtId="184" fontId="46" fillId="9" borderId="1" xfId="0" applyNumberFormat="1" applyFont="1" applyFill="1" applyBorder="1" applyAlignment="1" applyProtection="1">
      <alignment horizontal="center" vertical="center" wrapText="1" shrinkToFit="1"/>
      <protection locked="0"/>
    </xf>
    <xf numFmtId="184" fontId="44" fillId="9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25" fillId="0" borderId="1" xfId="0" applyFont="1" applyFill="1" applyBorder="1" applyAlignment="1" applyProtection="1">
      <alignment horizontal="center" vertical="center"/>
      <protection locked="0"/>
    </xf>
    <xf numFmtId="184" fontId="73" fillId="0" borderId="1" xfId="0" applyNumberFormat="1" applyFont="1" applyFill="1" applyBorder="1" applyAlignment="1" applyProtection="1">
      <alignment horizontal="center" vertical="center"/>
      <protection locked="0"/>
    </xf>
    <xf numFmtId="184" fontId="92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84" fontId="65" fillId="9" borderId="1" xfId="0" applyNumberFormat="1" applyFont="1" applyFill="1" applyBorder="1" applyAlignment="1" applyProtection="1">
      <alignment horizontal="center" vertical="center" wrapText="1" shrinkToFit="1"/>
      <protection locked="0"/>
    </xf>
    <xf numFmtId="184" fontId="45" fillId="9" borderId="1" xfId="0" applyNumberFormat="1" applyFont="1" applyFill="1" applyBorder="1" applyAlignment="1" applyProtection="1">
      <alignment horizontal="center" vertical="center"/>
      <protection locked="0"/>
    </xf>
    <xf numFmtId="184" fontId="25" fillId="0" borderId="1" xfId="0" applyNumberFormat="1" applyFont="1" applyFill="1" applyBorder="1" applyAlignment="1" applyProtection="1">
      <alignment horizontal="center" vertical="center"/>
      <protection locked="0"/>
    </xf>
    <xf numFmtId="184" fontId="28" fillId="0" borderId="1" xfId="0" applyNumberFormat="1" applyFont="1" applyFill="1" applyBorder="1" applyAlignment="1" applyProtection="1">
      <alignment horizontal="center" vertical="center"/>
      <protection locked="0"/>
    </xf>
    <xf numFmtId="184" fontId="28" fillId="9" borderId="1" xfId="0" applyNumberFormat="1" applyFont="1" applyFill="1" applyBorder="1" applyAlignment="1" applyProtection="1">
      <alignment horizontal="center" vertical="center"/>
      <protection locked="0"/>
    </xf>
    <xf numFmtId="0" fontId="45" fillId="3" borderId="1" xfId="0" applyFont="1" applyFill="1" applyBorder="1" applyAlignment="1" quotePrefix="1">
      <alignment horizontal="center" vertical="center" shrinkToFit="1"/>
    </xf>
    <xf numFmtId="0" fontId="45" fillId="0" borderId="1" xfId="0" applyFont="1" applyFill="1" applyBorder="1" applyAlignment="1" quotePrefix="1">
      <alignment horizontal="center" vertical="center" shrinkToFit="1"/>
    </xf>
  </cellXfs>
  <cellStyles count="57">
    <cellStyle name="常规" xfId="0" builtinId="0"/>
    <cellStyle name="货币[0]" xfId="1" builtinId="7"/>
    <cellStyle name="常规 44" xfId="2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_MA Inventory list" xfId="50"/>
    <cellStyle name="20% - 强调文字颜色 4 2 3 117" xfId="51"/>
    <cellStyle name="常规 5 6" xfId="52"/>
    <cellStyle name="常规 2" xfId="53"/>
    <cellStyle name="常规 130" xfId="54"/>
    <cellStyle name="常规 5" xfId="55"/>
    <cellStyle name="常规_Sheet1" xfId="56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2727F0"/>
      <color rgb="00DF1FD4"/>
      <color rgb="00FFFFFF"/>
      <color rgb="00FF0000"/>
      <color rgb="000000FF"/>
      <color rgb="001C05ED"/>
      <color rgb="002029DE"/>
      <color rgb="0000B0F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184150</xdr:colOff>
      <xdr:row>19</xdr:row>
      <xdr:rowOff>71755</xdr:rowOff>
    </xdr:from>
    <xdr:to>
      <xdr:col>19</xdr:col>
      <xdr:colOff>969010</xdr:colOff>
      <xdr:row>43</xdr:row>
      <xdr:rowOff>167005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540990" y="4465955"/>
          <a:ext cx="3238500" cy="4895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506730</xdr:colOff>
      <xdr:row>37</xdr:row>
      <xdr:rowOff>74930</xdr:rowOff>
    </xdr:from>
    <xdr:to>
      <xdr:col>12</xdr:col>
      <xdr:colOff>457835</xdr:colOff>
      <xdr:row>41</xdr:row>
      <xdr:rowOff>103505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8069580"/>
          <a:ext cx="6248400" cy="828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103505</xdr:colOff>
      <xdr:row>77</xdr:row>
      <xdr:rowOff>108585</xdr:rowOff>
    </xdr:from>
    <xdr:to>
      <xdr:col>29</xdr:col>
      <xdr:colOff>513715</xdr:colOff>
      <xdr:row>115</xdr:row>
      <xdr:rowOff>173355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639280" y="21822410"/>
          <a:ext cx="5307330" cy="7675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567055</xdr:colOff>
      <xdr:row>84</xdr:row>
      <xdr:rowOff>123190</xdr:rowOff>
    </xdr:from>
    <xdr:to>
      <xdr:col>44</xdr:col>
      <xdr:colOff>605155</xdr:colOff>
      <xdr:row>109</xdr:row>
      <xdr:rowOff>66040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6462355" y="23246715"/>
          <a:ext cx="8953500" cy="4943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C000"/>
  </sheetPr>
  <dimension ref="A1:BU62"/>
  <sheetViews>
    <sheetView showGridLines="0" zoomScale="85" zoomScaleNormal="85" workbookViewId="0">
      <pane xSplit="14" ySplit="3" topLeftCell="AF4" activePane="bottomRight" state="frozen"/>
      <selection/>
      <selection pane="topRight"/>
      <selection pane="bottomLeft"/>
      <selection pane="bottomRight" activeCell="AD27" sqref="AD27"/>
    </sheetView>
  </sheetViews>
  <sheetFormatPr defaultColWidth="8.96666666666667" defaultRowHeight="15.75"/>
  <cols>
    <col min="1" max="1" width="11.4" style="378" customWidth="1"/>
    <col min="2" max="2" width="11.5583333333333" style="379" customWidth="1"/>
    <col min="3" max="3" width="8.06666666666667" style="380" customWidth="1"/>
    <col min="4" max="4" width="12.5" style="379" customWidth="1"/>
    <col min="5" max="5" width="9.25833333333333" style="379" customWidth="1"/>
    <col min="6" max="6" width="9.01666666666667" style="381" customWidth="1"/>
    <col min="7" max="7" width="16.4" style="380" customWidth="1"/>
    <col min="8" max="8" width="18.2833333333333" style="380" customWidth="1"/>
    <col min="9" max="9" width="9.25833333333333" style="380" customWidth="1"/>
    <col min="10" max="10" width="8.19166666666667" style="380" customWidth="1"/>
    <col min="11" max="11" width="9.225" style="380" customWidth="1"/>
    <col min="12" max="12" width="6.19166666666667" style="380" customWidth="1"/>
    <col min="13" max="13" width="13.75" style="380" customWidth="1"/>
    <col min="14" max="14" width="13.9916666666667" style="380" customWidth="1"/>
    <col min="15" max="15" width="10.6333333333333" style="380" customWidth="1"/>
    <col min="16" max="16" width="13.75" style="380" customWidth="1"/>
    <col min="17" max="17" width="9.38333333333333" style="380" customWidth="1"/>
    <col min="18" max="19" width="8.06666666666667" style="380" customWidth="1"/>
    <col min="20" max="20" width="8.5" style="380" customWidth="1"/>
    <col min="21" max="21" width="32.6666666666667" style="380" customWidth="1"/>
    <col min="22" max="22" width="10.1583333333333" style="380" customWidth="1"/>
    <col min="23" max="23" width="10.3083333333333" style="380" customWidth="1"/>
    <col min="24" max="24" width="11.875" style="380" customWidth="1"/>
    <col min="25" max="25" width="13.5333333333333" style="380" customWidth="1"/>
    <col min="26" max="26" width="8.06666666666667" style="382" customWidth="1"/>
    <col min="27" max="27" width="5.93333333333333" style="380" customWidth="1"/>
    <col min="28" max="28" width="5.15833333333333" style="380" customWidth="1"/>
    <col min="29" max="29" width="7.025" style="383" customWidth="1"/>
    <col min="30" max="30" width="14.1166666666667" style="379" customWidth="1"/>
    <col min="31" max="31" width="9.125" style="380" customWidth="1"/>
    <col min="32" max="32" width="8.525" style="383" customWidth="1"/>
    <col min="33" max="33" width="8.44166666666667" style="380" customWidth="1"/>
    <col min="34" max="34" width="7.25" style="380" customWidth="1"/>
    <col min="35" max="35" width="8.44166666666667" style="380" customWidth="1"/>
    <col min="36" max="36" width="9.06666666666667" style="380" customWidth="1"/>
    <col min="37" max="44" width="10.2666666666667" style="380" customWidth="1"/>
    <col min="45" max="49" width="10.0666666666667" style="380" customWidth="1"/>
    <col min="50" max="51" width="8.525" style="383" customWidth="1"/>
    <col min="52" max="52" width="4.55833333333333" style="380" customWidth="1"/>
    <col min="53" max="53" width="8.375" style="380" customWidth="1"/>
    <col min="54" max="54" width="9.2" style="380" customWidth="1"/>
    <col min="55" max="55" width="11.0166666666667" style="380" customWidth="1"/>
    <col min="56" max="56" width="8.75" style="380" customWidth="1"/>
    <col min="57" max="57" width="8.375" style="380" customWidth="1"/>
    <col min="58" max="59" width="8.75" style="380" customWidth="1"/>
    <col min="60" max="60" width="9.2" style="380" customWidth="1"/>
    <col min="61" max="61" width="10.2416666666667" style="380" customWidth="1"/>
    <col min="62" max="62" width="8.96666666666667" style="380"/>
    <col min="63" max="71" width="15.4583333333333" style="380" customWidth="1"/>
    <col min="72" max="72" width="8.96666666666667" style="380"/>
    <col min="73" max="73" width="9.44166666666667" style="380"/>
    <col min="74" max="16384" width="8.96666666666667" style="380"/>
  </cols>
  <sheetData>
    <row r="1" s="371" customFormat="1" ht="37" customHeight="1" spans="1:52">
      <c r="A1" s="384" t="s">
        <v>0</v>
      </c>
      <c r="B1" s="385"/>
      <c r="C1" s="386"/>
      <c r="D1" s="385"/>
      <c r="E1" s="385"/>
      <c r="F1" s="387"/>
      <c r="G1" s="385"/>
      <c r="H1" s="385"/>
      <c r="I1" s="431" t="s">
        <v>1</v>
      </c>
      <c r="J1" s="432"/>
      <c r="K1" s="432"/>
      <c r="L1" s="432"/>
      <c r="M1" s="432"/>
      <c r="N1" s="432"/>
      <c r="O1" s="433"/>
      <c r="P1" s="386"/>
      <c r="Q1" s="386"/>
      <c r="R1" s="432"/>
      <c r="S1" s="432"/>
      <c r="T1" s="461"/>
      <c r="U1" s="462"/>
      <c r="V1" s="385"/>
      <c r="W1" s="432"/>
      <c r="X1" s="432"/>
      <c r="Y1" s="433"/>
      <c r="Z1" s="462"/>
      <c r="AA1" s="461"/>
      <c r="AB1" s="432"/>
      <c r="AC1" s="492"/>
      <c r="AD1" s="385"/>
      <c r="AE1" s="433"/>
      <c r="AF1" s="492"/>
      <c r="AG1" s="386"/>
      <c r="AH1" s="386"/>
      <c r="AI1" s="386"/>
      <c r="AJ1" s="522" t="s">
        <v>2</v>
      </c>
      <c r="AK1" s="386"/>
      <c r="AL1" s="523" t="s">
        <v>3</v>
      </c>
      <c r="AM1" s="386"/>
      <c r="AN1" s="386"/>
      <c r="AO1" s="386"/>
      <c r="AP1" s="386"/>
      <c r="AQ1" s="386"/>
      <c r="AR1" s="523" t="s">
        <v>4</v>
      </c>
      <c r="AS1" s="386"/>
      <c r="AT1" s="386"/>
      <c r="AU1" s="386"/>
      <c r="AV1" s="386"/>
      <c r="AW1" s="386"/>
      <c r="AX1" s="492"/>
      <c r="AY1" s="492"/>
      <c r="AZ1" s="546"/>
    </row>
    <row r="2" s="372" customFormat="1" ht="47.25" spans="1:71">
      <c r="A2" s="388"/>
      <c r="B2" s="389"/>
      <c r="C2" s="390"/>
      <c r="D2" s="391"/>
      <c r="E2" s="391"/>
      <c r="F2" s="392"/>
      <c r="G2" s="393"/>
      <c r="H2" s="394"/>
      <c r="I2" s="434" t="s">
        <v>5</v>
      </c>
      <c r="J2" s="435"/>
      <c r="K2" s="435"/>
      <c r="L2" s="435"/>
      <c r="M2" s="435"/>
      <c r="N2" s="435"/>
      <c r="O2" s="436"/>
      <c r="P2" s="390"/>
      <c r="Q2" s="390"/>
      <c r="R2" s="435"/>
      <c r="S2" s="435"/>
      <c r="T2" s="436"/>
      <c r="U2" s="462"/>
      <c r="V2" s="391"/>
      <c r="W2" s="435"/>
      <c r="X2" s="463"/>
      <c r="Y2" s="493"/>
      <c r="Z2" s="493"/>
      <c r="AA2" s="493"/>
      <c r="AB2" s="435"/>
      <c r="AC2" s="494"/>
      <c r="AD2" s="495"/>
      <c r="AE2" s="493"/>
      <c r="AF2" s="494"/>
      <c r="AG2" s="524" t="s">
        <v>6</v>
      </c>
      <c r="AH2" s="524"/>
      <c r="AI2" s="524" t="s">
        <v>7</v>
      </c>
      <c r="AJ2" s="525" t="s">
        <v>8</v>
      </c>
      <c r="AK2" s="525" t="s">
        <v>9</v>
      </c>
      <c r="AL2" s="526" t="s">
        <v>10</v>
      </c>
      <c r="AM2" s="527"/>
      <c r="AN2" s="526" t="s">
        <v>11</v>
      </c>
      <c r="AO2" s="527"/>
      <c r="AP2" s="527" t="s">
        <v>12</v>
      </c>
      <c r="AQ2" s="525" t="s">
        <v>13</v>
      </c>
      <c r="AR2" s="525"/>
      <c r="AS2" s="525"/>
      <c r="AT2" s="525" t="s">
        <v>14</v>
      </c>
      <c r="AU2" s="525"/>
      <c r="AV2" s="525"/>
      <c r="AW2" s="525" t="s">
        <v>15</v>
      </c>
      <c r="AX2" s="547" t="s">
        <v>16</v>
      </c>
      <c r="AY2" s="548"/>
      <c r="AZ2" s="549" t="s">
        <v>17</v>
      </c>
      <c r="BA2" s="550">
        <v>0.125</v>
      </c>
      <c r="BB2" s="550">
        <v>0.104166666666667</v>
      </c>
      <c r="BC2" s="550">
        <v>0.0208333333333333</v>
      </c>
      <c r="BD2" s="550">
        <v>0.125</v>
      </c>
      <c r="BE2" s="550">
        <v>0.125</v>
      </c>
      <c r="BF2" s="550">
        <v>0.125</v>
      </c>
      <c r="BG2" s="550">
        <v>0.125</v>
      </c>
      <c r="BH2" s="550">
        <v>0.125</v>
      </c>
      <c r="BI2" s="550">
        <v>0.125</v>
      </c>
      <c r="BJ2" s="561" t="s">
        <v>18</v>
      </c>
      <c r="BK2" s="562">
        <f>'77489 77593生产MA'!E15-BA51-BA53-'77489 77593生产MA'!I29</f>
        <v>12327.625</v>
      </c>
      <c r="BL2" s="562">
        <f>'77489 77593生产MA'!F15-BB51-BB53-'77489 77593生产MA'!I30-'77489 77593生产MA'!I31-'77489 77593生产MA'!J33-'77489 77593生产MA'!K33-'77489 77593生产MA'!J35-'77489 77593生产MA'!K35</f>
        <v>10449.5208333332</v>
      </c>
      <c r="BM2" s="562">
        <f>'77489 77593生产MA'!G15-BD53-BD51</f>
        <v>12340.625</v>
      </c>
      <c r="BN2" s="562">
        <f>'77489 77593生产MA'!H15-BC53-BC51</f>
        <v>1965.10416666665</v>
      </c>
      <c r="BO2" s="562">
        <f>'77489 77593生产MA'!I15-BE51-BE53-'77489 77593生产MA'!J34-'77489 77593生产MA'!K34</f>
        <v>10462.625</v>
      </c>
      <c r="BP2" s="562">
        <f>'77489 77593生产MA'!J15-BF51-BF53</f>
        <v>12340.625</v>
      </c>
      <c r="BQ2" s="562">
        <f>'77489 77593生产MA'!K15-BG51-BG53</f>
        <v>12340.625</v>
      </c>
      <c r="BR2" s="562">
        <f>'77489 77593生产MA'!L15-BH51-BH53-'77489 77593生产MA'!K32-'77489 77593生产MA'!J32</f>
        <v>12740.625</v>
      </c>
      <c r="BS2" s="562">
        <f>'77489 77593生产MA'!M15-BI51-BI53</f>
        <v>12340.625</v>
      </c>
    </row>
    <row r="3" s="373" customFormat="1" ht="60" customHeight="1" spans="1:71">
      <c r="A3" s="395" t="s">
        <v>19</v>
      </c>
      <c r="B3" s="396" t="s">
        <v>20</v>
      </c>
      <c r="C3" s="396" t="s">
        <v>21</v>
      </c>
      <c r="D3" s="396" t="s">
        <v>22</v>
      </c>
      <c r="E3" s="396" t="s">
        <v>23</v>
      </c>
      <c r="F3" s="396" t="s">
        <v>24</v>
      </c>
      <c r="G3" s="396" t="s">
        <v>25</v>
      </c>
      <c r="H3" s="397" t="s">
        <v>26</v>
      </c>
      <c r="I3" s="437" t="s">
        <v>27</v>
      </c>
      <c r="J3" s="397" t="s">
        <v>28</v>
      </c>
      <c r="K3" s="438" t="s">
        <v>29</v>
      </c>
      <c r="L3" s="396" t="s">
        <v>30</v>
      </c>
      <c r="M3" s="439" t="s">
        <v>31</v>
      </c>
      <c r="N3" s="439" t="s">
        <v>32</v>
      </c>
      <c r="O3" s="440" t="s">
        <v>33</v>
      </c>
      <c r="P3" s="438" t="s">
        <v>34</v>
      </c>
      <c r="Q3" s="438" t="s">
        <v>35</v>
      </c>
      <c r="R3" s="396" t="s">
        <v>36</v>
      </c>
      <c r="S3" s="438" t="s">
        <v>37</v>
      </c>
      <c r="T3" s="464" t="s">
        <v>38</v>
      </c>
      <c r="U3" s="465" t="s">
        <v>39</v>
      </c>
      <c r="V3" s="466" t="s">
        <v>40</v>
      </c>
      <c r="W3" s="396" t="s">
        <v>41</v>
      </c>
      <c r="X3" s="467" t="s">
        <v>42</v>
      </c>
      <c r="Y3" s="496" t="s">
        <v>43</v>
      </c>
      <c r="Z3" s="497" t="s">
        <v>44</v>
      </c>
      <c r="AA3" s="497" t="s">
        <v>45</v>
      </c>
      <c r="AB3" s="498" t="s">
        <v>46</v>
      </c>
      <c r="AC3" s="497" t="s">
        <v>47</v>
      </c>
      <c r="AD3" s="499" t="s">
        <v>48</v>
      </c>
      <c r="AE3" s="500" t="s">
        <v>47</v>
      </c>
      <c r="AF3" s="497" t="s">
        <v>49</v>
      </c>
      <c r="AG3" s="528" t="s">
        <v>50</v>
      </c>
      <c r="AH3" s="528" t="s">
        <v>51</v>
      </c>
      <c r="AI3" s="528" t="s">
        <v>52</v>
      </c>
      <c r="AJ3" s="529" t="s">
        <v>50</v>
      </c>
      <c r="AK3" s="529"/>
      <c r="AL3" s="529" t="s">
        <v>50</v>
      </c>
      <c r="AM3" s="529" t="s">
        <v>51</v>
      </c>
      <c r="AN3" s="529" t="s">
        <v>50</v>
      </c>
      <c r="AO3" s="529" t="s">
        <v>51</v>
      </c>
      <c r="AP3" s="545" t="s">
        <v>53</v>
      </c>
      <c r="AQ3" s="529" t="s">
        <v>51</v>
      </c>
      <c r="AR3" s="529" t="s">
        <v>50</v>
      </c>
      <c r="AS3" s="525" t="s">
        <v>9</v>
      </c>
      <c r="AT3" s="529" t="s">
        <v>54</v>
      </c>
      <c r="AU3" s="529" t="s">
        <v>55</v>
      </c>
      <c r="AV3" s="529" t="s">
        <v>56</v>
      </c>
      <c r="AW3" s="529" t="s">
        <v>57</v>
      </c>
      <c r="AX3" s="497" t="s">
        <v>58</v>
      </c>
      <c r="AY3" s="497" t="s">
        <v>59</v>
      </c>
      <c r="AZ3" s="551"/>
      <c r="BA3" s="438" t="s">
        <v>60</v>
      </c>
      <c r="BB3" s="396" t="s">
        <v>61</v>
      </c>
      <c r="BC3" s="438" t="s">
        <v>62</v>
      </c>
      <c r="BD3" s="438" t="s">
        <v>63</v>
      </c>
      <c r="BE3" s="438" t="s">
        <v>64</v>
      </c>
      <c r="BF3" s="438" t="s">
        <v>65</v>
      </c>
      <c r="BG3" s="438" t="s">
        <v>66</v>
      </c>
      <c r="BH3" s="438" t="s">
        <v>67</v>
      </c>
      <c r="BI3" s="438" t="s">
        <v>68</v>
      </c>
      <c r="BJ3" s="563"/>
      <c r="BK3" s="564" t="s">
        <v>60</v>
      </c>
      <c r="BL3" s="564" t="s">
        <v>61</v>
      </c>
      <c r="BM3" s="564" t="s">
        <v>63</v>
      </c>
      <c r="BN3" s="564" t="s">
        <v>62</v>
      </c>
      <c r="BO3" s="564" t="s">
        <v>64</v>
      </c>
      <c r="BP3" s="564" t="s">
        <v>65</v>
      </c>
      <c r="BQ3" s="564" t="s">
        <v>66</v>
      </c>
      <c r="BR3" s="564" t="s">
        <v>67</v>
      </c>
      <c r="BS3" s="564" t="s">
        <v>68</v>
      </c>
    </row>
    <row r="4" s="570" customFormat="1" ht="30" hidden="1" customHeight="1" spans="1:71">
      <c r="A4" s="572">
        <v>45323</v>
      </c>
      <c r="B4" s="573" t="s">
        <v>69</v>
      </c>
      <c r="C4" s="574" t="s">
        <v>70</v>
      </c>
      <c r="D4" s="575" t="s">
        <v>71</v>
      </c>
      <c r="E4" s="576"/>
      <c r="F4" s="576"/>
      <c r="G4" s="577" t="s">
        <v>72</v>
      </c>
      <c r="H4" s="578" t="s">
        <v>73</v>
      </c>
      <c r="I4" s="602">
        <v>480</v>
      </c>
      <c r="J4" s="602">
        <v>0</v>
      </c>
      <c r="K4" s="602">
        <v>60</v>
      </c>
      <c r="L4" s="602">
        <f>I4/K4</f>
        <v>8</v>
      </c>
      <c r="M4" s="603">
        <v>45359</v>
      </c>
      <c r="N4" s="603">
        <v>45355</v>
      </c>
      <c r="O4" s="459"/>
      <c r="P4" s="459" t="s">
        <v>74</v>
      </c>
      <c r="Q4" s="459"/>
      <c r="R4" s="459">
        <v>45323</v>
      </c>
      <c r="S4" s="459" t="s">
        <v>75</v>
      </c>
      <c r="T4" s="613" t="s">
        <v>75</v>
      </c>
      <c r="U4" s="614" t="s">
        <v>76</v>
      </c>
      <c r="V4" s="615"/>
      <c r="W4" s="616"/>
      <c r="X4" s="617"/>
      <c r="Y4" s="638" t="s">
        <v>77</v>
      </c>
      <c r="Z4" s="639">
        <v>480</v>
      </c>
      <c r="AA4" s="639">
        <f>Z4-I4</f>
        <v>0</v>
      </c>
      <c r="AB4" s="603"/>
      <c r="AC4" s="603"/>
      <c r="AD4" s="588" t="s">
        <v>72</v>
      </c>
      <c r="AE4" s="638" t="s">
        <v>78</v>
      </c>
      <c r="AF4" s="640">
        <f>I4</f>
        <v>480</v>
      </c>
      <c r="AG4" s="652">
        <f>AF4</f>
        <v>480</v>
      </c>
      <c r="AH4" s="652"/>
      <c r="AI4" s="652">
        <f>AG4</f>
        <v>480</v>
      </c>
      <c r="AJ4" s="653">
        <f>L4</f>
        <v>8</v>
      </c>
      <c r="AK4" s="653">
        <f>AJ4</f>
        <v>8</v>
      </c>
      <c r="AL4" s="653"/>
      <c r="AM4" s="653"/>
      <c r="AN4" s="653"/>
      <c r="AO4" s="653"/>
      <c r="AP4" s="653"/>
      <c r="AQ4" s="653"/>
      <c r="AR4" s="653"/>
      <c r="AS4" s="653"/>
      <c r="AT4" s="653"/>
      <c r="AU4" s="653"/>
      <c r="AV4" s="653"/>
      <c r="AW4" s="653"/>
      <c r="AX4" s="640">
        <f>AF4</f>
        <v>480</v>
      </c>
      <c r="AY4" s="640"/>
      <c r="AZ4" s="653"/>
      <c r="BA4" s="660">
        <f>I4*$BA$2</f>
        <v>60</v>
      </c>
      <c r="BB4" s="660">
        <f>I4*$BB$2</f>
        <v>50.0000000000002</v>
      </c>
      <c r="BC4" s="660">
        <f>I4*$BC$2</f>
        <v>9.99999999999998</v>
      </c>
      <c r="BD4" s="660">
        <f>I4*$BD$2</f>
        <v>60</v>
      </c>
      <c r="BE4" s="660">
        <f>I4*$BE$2</f>
        <v>60</v>
      </c>
      <c r="BF4" s="660">
        <f>I4*$BF$2</f>
        <v>60</v>
      </c>
      <c r="BG4" s="660">
        <f>I4*$BG$2</f>
        <v>60</v>
      </c>
      <c r="BH4" s="660">
        <f>I4*$BH$2</f>
        <v>60</v>
      </c>
      <c r="BI4" s="660">
        <f>I4*$BI$2</f>
        <v>60</v>
      </c>
      <c r="BK4" s="567">
        <f>BK2-BA4</f>
        <v>12267.625</v>
      </c>
      <c r="BL4" s="567">
        <f>BL2-BB4</f>
        <v>10399.5208333332</v>
      </c>
      <c r="BM4" s="567">
        <f>BM2-BD4</f>
        <v>12280.625</v>
      </c>
      <c r="BN4" s="567">
        <f>BN2-BC4</f>
        <v>1955.10416666665</v>
      </c>
      <c r="BO4" s="567">
        <f>BO2-BE4</f>
        <v>10402.625</v>
      </c>
      <c r="BP4" s="567">
        <f>BP2-BF4</f>
        <v>12280.625</v>
      </c>
      <c r="BQ4" s="567">
        <f>BQ2-BG4</f>
        <v>12280.625</v>
      </c>
      <c r="BR4" s="567">
        <f>BR2-BH4</f>
        <v>12680.625</v>
      </c>
      <c r="BS4" s="567">
        <f>BS2-BI4</f>
        <v>12280.625</v>
      </c>
    </row>
    <row r="5" s="570" customFormat="1" ht="30" hidden="1" customHeight="1" spans="1:71">
      <c r="A5" s="572">
        <v>45323</v>
      </c>
      <c r="B5" s="573" t="s">
        <v>69</v>
      </c>
      <c r="C5" s="574" t="s">
        <v>70</v>
      </c>
      <c r="D5" s="575" t="s">
        <v>71</v>
      </c>
      <c r="E5" s="576"/>
      <c r="F5" s="576"/>
      <c r="G5" s="577" t="s">
        <v>79</v>
      </c>
      <c r="H5" s="578" t="s">
        <v>73</v>
      </c>
      <c r="I5" s="602">
        <v>240</v>
      </c>
      <c r="J5" s="602">
        <v>0</v>
      </c>
      <c r="K5" s="602">
        <v>30</v>
      </c>
      <c r="L5" s="602">
        <f>I5/K5</f>
        <v>8</v>
      </c>
      <c r="M5" s="603">
        <v>45359</v>
      </c>
      <c r="N5" s="603">
        <v>45355</v>
      </c>
      <c r="O5" s="459"/>
      <c r="P5" s="459" t="s">
        <v>74</v>
      </c>
      <c r="Q5" s="459"/>
      <c r="R5" s="459">
        <v>45323</v>
      </c>
      <c r="S5" s="459" t="s">
        <v>75</v>
      </c>
      <c r="T5" s="613" t="s">
        <v>75</v>
      </c>
      <c r="U5" s="614" t="s">
        <v>76</v>
      </c>
      <c r="V5" s="615"/>
      <c r="W5" s="616"/>
      <c r="X5" s="617"/>
      <c r="Y5" s="638" t="s">
        <v>77</v>
      </c>
      <c r="Z5" s="639">
        <v>240</v>
      </c>
      <c r="AA5" s="639">
        <f>Z5-I5</f>
        <v>0</v>
      </c>
      <c r="AB5" s="603"/>
      <c r="AC5" s="603"/>
      <c r="AD5" s="588" t="s">
        <v>79</v>
      </c>
      <c r="AE5" s="638" t="s">
        <v>78</v>
      </c>
      <c r="AF5" s="640">
        <f>I5</f>
        <v>240</v>
      </c>
      <c r="AG5" s="652"/>
      <c r="AH5" s="652"/>
      <c r="AI5" s="652"/>
      <c r="AJ5" s="653"/>
      <c r="AK5" s="653"/>
      <c r="AL5" s="653"/>
      <c r="AM5" s="653"/>
      <c r="AN5" s="653"/>
      <c r="AO5" s="653"/>
      <c r="AP5" s="653"/>
      <c r="AQ5" s="653">
        <f>L5</f>
        <v>8</v>
      </c>
      <c r="AS5" s="659">
        <f>AQ5</f>
        <v>8</v>
      </c>
      <c r="AT5" s="659"/>
      <c r="AU5" s="659"/>
      <c r="AV5" s="659"/>
      <c r="AW5" s="659"/>
      <c r="AX5" s="640">
        <f>AF5</f>
        <v>240</v>
      </c>
      <c r="AY5" s="640"/>
      <c r="AZ5" s="653"/>
      <c r="BA5" s="660">
        <f t="shared" ref="BA5:BA12" si="0">I5*$BA$2</f>
        <v>30</v>
      </c>
      <c r="BB5" s="660">
        <f t="shared" ref="BB5:BB12" si="1">I5*$BB$2</f>
        <v>25.0000000000001</v>
      </c>
      <c r="BC5" s="660">
        <f t="shared" ref="BC5:BC12" si="2">I5*$BC$2</f>
        <v>4.99999999999999</v>
      </c>
      <c r="BD5" s="660">
        <f t="shared" ref="BD5:BD12" si="3">I5*$BD$2</f>
        <v>30</v>
      </c>
      <c r="BE5" s="660">
        <f t="shared" ref="BE5:BE12" si="4">I5*$BE$2</f>
        <v>30</v>
      </c>
      <c r="BF5" s="660">
        <f t="shared" ref="BF5:BF12" si="5">I5*$BF$2</f>
        <v>30</v>
      </c>
      <c r="BG5" s="660">
        <f t="shared" ref="BG5:BG12" si="6">I5*$BG$2</f>
        <v>30</v>
      </c>
      <c r="BH5" s="660">
        <f t="shared" ref="BH5:BH12" si="7">I5*$BH$2</f>
        <v>30</v>
      </c>
      <c r="BI5" s="660">
        <f t="shared" ref="BI5:BI12" si="8">I5*$BI$2</f>
        <v>30</v>
      </c>
      <c r="BK5" s="567">
        <f>BK4-BA5</f>
        <v>12237.625</v>
      </c>
      <c r="BL5" s="567">
        <f t="shared" ref="BL5:BS5" si="9">BL4-BB5</f>
        <v>10374.5208333332</v>
      </c>
      <c r="BM5" s="567">
        <f>BM4-BD5</f>
        <v>12250.625</v>
      </c>
      <c r="BN5" s="567">
        <f>BN4-BC5</f>
        <v>1950.10416666665</v>
      </c>
      <c r="BO5" s="567">
        <f t="shared" si="9"/>
        <v>10372.625</v>
      </c>
      <c r="BP5" s="567">
        <f t="shared" si="9"/>
        <v>12250.625</v>
      </c>
      <c r="BQ5" s="567">
        <f t="shared" si="9"/>
        <v>12250.625</v>
      </c>
      <c r="BR5" s="567">
        <f t="shared" si="9"/>
        <v>12650.625</v>
      </c>
      <c r="BS5" s="567">
        <f t="shared" si="9"/>
        <v>12250.625</v>
      </c>
    </row>
    <row r="6" s="570" customFormat="1" ht="30" hidden="1" customHeight="1" spans="1:71">
      <c r="A6" s="579">
        <v>45463</v>
      </c>
      <c r="B6" s="580" t="s">
        <v>80</v>
      </c>
      <c r="C6" s="581" t="s">
        <v>81</v>
      </c>
      <c r="D6" s="582">
        <v>4500137881</v>
      </c>
      <c r="E6" s="580" t="s">
        <v>82</v>
      </c>
      <c r="F6" s="582" t="s">
        <v>83</v>
      </c>
      <c r="G6" s="583" t="s">
        <v>84</v>
      </c>
      <c r="H6" s="578" t="s">
        <v>85</v>
      </c>
      <c r="I6" s="604">
        <v>312</v>
      </c>
      <c r="J6" s="602">
        <v>0</v>
      </c>
      <c r="K6" s="602">
        <v>52</v>
      </c>
      <c r="L6" s="602">
        <f>I6/K6</f>
        <v>6</v>
      </c>
      <c r="M6" s="603">
        <v>45498</v>
      </c>
      <c r="N6" s="603">
        <v>45502</v>
      </c>
      <c r="O6" s="459" t="s">
        <v>86</v>
      </c>
      <c r="P6" s="459" t="s">
        <v>74</v>
      </c>
      <c r="Q6" s="459" t="s">
        <v>87</v>
      </c>
      <c r="R6" s="459">
        <v>45469</v>
      </c>
      <c r="S6" s="618" t="s">
        <v>75</v>
      </c>
      <c r="T6" s="613" t="s">
        <v>88</v>
      </c>
      <c r="U6" s="614" t="s">
        <v>89</v>
      </c>
      <c r="V6" s="619" t="s">
        <v>90</v>
      </c>
      <c r="W6" s="620">
        <v>0.9801</v>
      </c>
      <c r="X6" s="617">
        <f>W6*I6</f>
        <v>305.7912</v>
      </c>
      <c r="Y6" s="641" t="s">
        <v>91</v>
      </c>
      <c r="Z6" s="642">
        <v>312</v>
      </c>
      <c r="AA6" s="639">
        <f>Z6-I6</f>
        <v>0</v>
      </c>
      <c r="AB6" s="605"/>
      <c r="AC6" s="605"/>
      <c r="AD6" s="588" t="s">
        <v>84</v>
      </c>
      <c r="AE6" s="638" t="s">
        <v>78</v>
      </c>
      <c r="AF6" s="640">
        <f>I6</f>
        <v>312</v>
      </c>
      <c r="AG6" s="652">
        <f>AF6</f>
        <v>312</v>
      </c>
      <c r="AH6" s="654"/>
      <c r="AI6" s="652">
        <f>AG6</f>
        <v>312</v>
      </c>
      <c r="AJ6" s="655"/>
      <c r="AK6" s="655"/>
      <c r="AL6" s="655"/>
      <c r="AM6" s="655"/>
      <c r="AN6" s="653">
        <f>I6/13</f>
        <v>24</v>
      </c>
      <c r="AO6" s="655"/>
      <c r="AP6" s="655"/>
      <c r="AQ6" s="655"/>
      <c r="AR6" s="655"/>
      <c r="AS6" s="655"/>
      <c r="AT6" s="655"/>
      <c r="AU6" s="655"/>
      <c r="AV6" s="653"/>
      <c r="AW6" s="655"/>
      <c r="AX6" s="640">
        <f>I6</f>
        <v>312</v>
      </c>
      <c r="AY6" s="661"/>
      <c r="AZ6" s="655"/>
      <c r="BA6" s="660">
        <f t="shared" si="0"/>
        <v>39</v>
      </c>
      <c r="BB6" s="660">
        <f t="shared" si="1"/>
        <v>32.5000000000001</v>
      </c>
      <c r="BC6" s="660">
        <f t="shared" si="2"/>
        <v>6.49999999999999</v>
      </c>
      <c r="BD6" s="660">
        <f t="shared" si="3"/>
        <v>39</v>
      </c>
      <c r="BE6" s="660">
        <f t="shared" si="4"/>
        <v>39</v>
      </c>
      <c r="BF6" s="660">
        <f t="shared" si="5"/>
        <v>39</v>
      </c>
      <c r="BG6" s="660">
        <f t="shared" si="6"/>
        <v>39</v>
      </c>
      <c r="BH6" s="660">
        <f t="shared" si="7"/>
        <v>39</v>
      </c>
      <c r="BI6" s="660">
        <f t="shared" si="8"/>
        <v>39</v>
      </c>
      <c r="BK6" s="567">
        <f>BK5-BA6</f>
        <v>12198.625</v>
      </c>
      <c r="BL6" s="567">
        <f>BL5-BB6</f>
        <v>10342.0208333332</v>
      </c>
      <c r="BM6" s="567">
        <f>BM5-BD6</f>
        <v>12211.625</v>
      </c>
      <c r="BN6" s="567">
        <f>BN5-BC6</f>
        <v>1943.60416666665</v>
      </c>
      <c r="BO6" s="567">
        <f>BO5-BE6</f>
        <v>10333.625</v>
      </c>
      <c r="BP6" s="567">
        <f>BP5-BF6</f>
        <v>12211.625</v>
      </c>
      <c r="BQ6" s="567">
        <f>BQ5-BG6</f>
        <v>12211.625</v>
      </c>
      <c r="BR6" s="567">
        <f>BR5-BH6</f>
        <v>12611.625</v>
      </c>
      <c r="BS6" s="567">
        <f>BS5-BI6</f>
        <v>12211.625</v>
      </c>
    </row>
    <row r="7" s="570" customFormat="1" ht="30" hidden="1" customHeight="1" spans="1:71">
      <c r="A7" s="584">
        <v>45564</v>
      </c>
      <c r="B7" s="585" t="s">
        <v>80</v>
      </c>
      <c r="C7" s="586" t="s">
        <v>81</v>
      </c>
      <c r="D7" s="587">
        <v>4500163959</v>
      </c>
      <c r="E7" s="588" t="s">
        <v>92</v>
      </c>
      <c r="F7" s="587" t="s">
        <v>93</v>
      </c>
      <c r="G7" s="589" t="s">
        <v>84</v>
      </c>
      <c r="H7" s="578" t="s">
        <v>85</v>
      </c>
      <c r="I7" s="604">
        <v>676</v>
      </c>
      <c r="J7" s="602">
        <v>0</v>
      </c>
      <c r="K7" s="602">
        <v>52</v>
      </c>
      <c r="L7" s="602">
        <f t="shared" ref="L7:L43" si="10">I7/K7</f>
        <v>13</v>
      </c>
      <c r="M7" s="452">
        <v>45667</v>
      </c>
      <c r="N7" s="452">
        <v>45663</v>
      </c>
      <c r="O7" s="459" t="s">
        <v>86</v>
      </c>
      <c r="P7" s="459" t="s">
        <v>94</v>
      </c>
      <c r="Q7" s="621" t="s">
        <v>95</v>
      </c>
      <c r="R7" s="622">
        <v>45574</v>
      </c>
      <c r="S7" s="618" t="s">
        <v>75</v>
      </c>
      <c r="T7" s="623" t="s">
        <v>96</v>
      </c>
      <c r="U7" s="614" t="s">
        <v>97</v>
      </c>
      <c r="V7" s="624" t="s">
        <v>90</v>
      </c>
      <c r="W7" s="620">
        <v>0.9638</v>
      </c>
      <c r="X7" s="617">
        <f>W7*I7</f>
        <v>651.5288</v>
      </c>
      <c r="Y7" s="641" t="s">
        <v>98</v>
      </c>
      <c r="Z7" s="642">
        <v>676</v>
      </c>
      <c r="AA7" s="639">
        <f t="shared" ref="AA7:AA22" si="11">Z7-I7</f>
        <v>0</v>
      </c>
      <c r="AB7" s="605"/>
      <c r="AC7" s="605"/>
      <c r="AD7" s="588" t="s">
        <v>84</v>
      </c>
      <c r="AE7" s="638" t="s">
        <v>78</v>
      </c>
      <c r="AF7" s="640">
        <f t="shared" ref="AF7:AF12" si="12">I7</f>
        <v>676</v>
      </c>
      <c r="AG7" s="652">
        <f>AF7</f>
        <v>676</v>
      </c>
      <c r="AH7" s="652"/>
      <c r="AI7" s="652">
        <f>AG7</f>
        <v>676</v>
      </c>
      <c r="AJ7" s="655"/>
      <c r="AK7" s="655"/>
      <c r="AL7" s="655"/>
      <c r="AM7" s="655"/>
      <c r="AN7" s="653">
        <f>I7/13</f>
        <v>52</v>
      </c>
      <c r="AO7" s="653"/>
      <c r="AP7" s="655"/>
      <c r="AQ7" s="655"/>
      <c r="AR7" s="655"/>
      <c r="AS7" s="655"/>
      <c r="AT7" s="655"/>
      <c r="AU7" s="655"/>
      <c r="AV7" s="655"/>
      <c r="AW7" s="655"/>
      <c r="AX7" s="640">
        <f t="shared" ref="AX7:AX12" si="13">I7</f>
        <v>676</v>
      </c>
      <c r="AY7" s="661"/>
      <c r="AZ7" s="655"/>
      <c r="BA7" s="660">
        <f t="shared" si="0"/>
        <v>84.5</v>
      </c>
      <c r="BB7" s="660">
        <f t="shared" si="1"/>
        <v>70.4166666666669</v>
      </c>
      <c r="BC7" s="660">
        <f t="shared" si="2"/>
        <v>14.0833333333333</v>
      </c>
      <c r="BD7" s="660">
        <f t="shared" si="3"/>
        <v>84.5</v>
      </c>
      <c r="BE7" s="660">
        <f t="shared" si="4"/>
        <v>84.5</v>
      </c>
      <c r="BF7" s="660">
        <f t="shared" si="5"/>
        <v>84.5</v>
      </c>
      <c r="BG7" s="660">
        <f t="shared" si="6"/>
        <v>84.5</v>
      </c>
      <c r="BH7" s="660">
        <f t="shared" si="7"/>
        <v>84.5</v>
      </c>
      <c r="BI7" s="660">
        <f t="shared" si="8"/>
        <v>84.5</v>
      </c>
      <c r="BK7" s="567">
        <f>BK6-BA7</f>
        <v>12114.125</v>
      </c>
      <c r="BL7" s="567">
        <f>BL6-BB7</f>
        <v>10271.6041666665</v>
      </c>
      <c r="BM7" s="567">
        <f>BM6-BD7</f>
        <v>12127.125</v>
      </c>
      <c r="BN7" s="567">
        <f>BN6-BC7</f>
        <v>1929.52083333331</v>
      </c>
      <c r="BO7" s="567">
        <f>BO6-BE7</f>
        <v>10249.125</v>
      </c>
      <c r="BP7" s="567">
        <f>BP6-BF7</f>
        <v>12127.125</v>
      </c>
      <c r="BQ7" s="567">
        <f>BQ6-BG7</f>
        <v>12127.125</v>
      </c>
      <c r="BR7" s="567">
        <f>BR6-BH7</f>
        <v>12527.125</v>
      </c>
      <c r="BS7" s="567">
        <f>BS6-BI7</f>
        <v>12127.125</v>
      </c>
    </row>
    <row r="8" s="570" customFormat="1" ht="30" hidden="1" customHeight="1" spans="1:71">
      <c r="A8" s="584">
        <v>45541</v>
      </c>
      <c r="B8" s="585" t="s">
        <v>99</v>
      </c>
      <c r="C8" s="586" t="s">
        <v>100</v>
      </c>
      <c r="D8" s="587">
        <v>4500144734</v>
      </c>
      <c r="E8" s="588">
        <v>11039548</v>
      </c>
      <c r="F8" s="587" t="s">
        <v>101</v>
      </c>
      <c r="G8" s="589" t="s">
        <v>102</v>
      </c>
      <c r="H8" s="578" t="s">
        <v>103</v>
      </c>
      <c r="I8" s="604">
        <v>9456</v>
      </c>
      <c r="J8" s="602">
        <v>0</v>
      </c>
      <c r="K8" s="602">
        <v>24</v>
      </c>
      <c r="L8" s="602">
        <f t="shared" si="10"/>
        <v>394</v>
      </c>
      <c r="M8" s="603">
        <v>45656</v>
      </c>
      <c r="N8" s="603">
        <v>45652</v>
      </c>
      <c r="O8" s="459"/>
      <c r="P8" s="459" t="s">
        <v>94</v>
      </c>
      <c r="Q8" s="459" t="s">
        <v>104</v>
      </c>
      <c r="R8" s="622">
        <v>45614</v>
      </c>
      <c r="S8" s="618" t="s">
        <v>75</v>
      </c>
      <c r="T8" s="623" t="s">
        <v>75</v>
      </c>
      <c r="U8" s="614" t="s">
        <v>105</v>
      </c>
      <c r="V8" s="625" t="s">
        <v>106</v>
      </c>
      <c r="W8" s="616">
        <v>0.9854</v>
      </c>
      <c r="X8" s="617">
        <f>W8*I8</f>
        <v>9317.9424</v>
      </c>
      <c r="Y8" s="641" t="s">
        <v>107</v>
      </c>
      <c r="Z8" s="642">
        <f>9432+24</f>
        <v>9456</v>
      </c>
      <c r="AA8" s="639">
        <f t="shared" si="11"/>
        <v>0</v>
      </c>
      <c r="AB8" s="605"/>
      <c r="AC8" s="605"/>
      <c r="AD8" s="588" t="s">
        <v>102</v>
      </c>
      <c r="AE8" s="638" t="s">
        <v>78</v>
      </c>
      <c r="AF8" s="640">
        <f t="shared" si="12"/>
        <v>9456</v>
      </c>
      <c r="AG8" s="652">
        <f>I8</f>
        <v>9456</v>
      </c>
      <c r="AH8" s="652"/>
      <c r="AI8" s="652">
        <f>I8</f>
        <v>9456</v>
      </c>
      <c r="AJ8" s="655"/>
      <c r="AK8" s="655"/>
      <c r="AL8" s="653">
        <f>I8/24</f>
        <v>394</v>
      </c>
      <c r="AM8" s="655"/>
      <c r="AN8" s="653"/>
      <c r="AO8" s="653"/>
      <c r="AP8" s="655"/>
      <c r="AQ8" s="655"/>
      <c r="AR8" s="655"/>
      <c r="AS8" s="655"/>
      <c r="AT8" s="655"/>
      <c r="AU8" s="655"/>
      <c r="AV8" s="655"/>
      <c r="AW8" s="655"/>
      <c r="AX8" s="640">
        <f t="shared" si="13"/>
        <v>9456</v>
      </c>
      <c r="AY8" s="661"/>
      <c r="AZ8" s="655"/>
      <c r="BA8" s="660">
        <f t="shared" si="0"/>
        <v>1182</v>
      </c>
      <c r="BB8" s="660">
        <f t="shared" si="1"/>
        <v>985.000000000003</v>
      </c>
      <c r="BC8" s="660">
        <f t="shared" si="2"/>
        <v>197</v>
      </c>
      <c r="BD8" s="660">
        <f t="shared" si="3"/>
        <v>1182</v>
      </c>
      <c r="BE8" s="660">
        <f t="shared" si="4"/>
        <v>1182</v>
      </c>
      <c r="BF8" s="660">
        <f t="shared" si="5"/>
        <v>1182</v>
      </c>
      <c r="BG8" s="660">
        <f t="shared" si="6"/>
        <v>1182</v>
      </c>
      <c r="BH8" s="660">
        <f t="shared" si="7"/>
        <v>1182</v>
      </c>
      <c r="BI8" s="660">
        <f t="shared" si="8"/>
        <v>1182</v>
      </c>
      <c r="BK8" s="567">
        <f>BK7-BA8</f>
        <v>10932.125</v>
      </c>
      <c r="BL8" s="567">
        <f>BL7-BB8</f>
        <v>9286.60416666653</v>
      </c>
      <c r="BM8" s="567">
        <f>BM7-BD8</f>
        <v>10945.125</v>
      </c>
      <c r="BN8" s="567">
        <f>BN7-BC8</f>
        <v>1732.52083333331</v>
      </c>
      <c r="BO8" s="567">
        <f>BO7-BE8</f>
        <v>9067.125</v>
      </c>
      <c r="BP8" s="567">
        <f>BP7-BF8</f>
        <v>10945.125</v>
      </c>
      <c r="BQ8" s="567">
        <f>BQ7-BG8</f>
        <v>10945.125</v>
      </c>
      <c r="BR8" s="567">
        <f>BR7-BH8</f>
        <v>11345.125</v>
      </c>
      <c r="BS8" s="567">
        <f>BS7-BI8</f>
        <v>10945.125</v>
      </c>
    </row>
    <row r="9" s="570" customFormat="1" ht="30" hidden="1" customHeight="1" spans="1:71">
      <c r="A9" s="584">
        <v>45604</v>
      </c>
      <c r="B9" s="585" t="s">
        <v>108</v>
      </c>
      <c r="C9" s="590" t="s">
        <v>109</v>
      </c>
      <c r="D9" s="587">
        <v>4500150836</v>
      </c>
      <c r="E9" s="588"/>
      <c r="F9" s="587" t="s">
        <v>110</v>
      </c>
      <c r="G9" s="577" t="s">
        <v>84</v>
      </c>
      <c r="H9" s="578" t="s">
        <v>85</v>
      </c>
      <c r="I9" s="604">
        <v>2028</v>
      </c>
      <c r="J9" s="602">
        <v>0</v>
      </c>
      <c r="K9" s="602">
        <v>52</v>
      </c>
      <c r="L9" s="602">
        <f t="shared" si="10"/>
        <v>39</v>
      </c>
      <c r="M9" s="603">
        <v>45660</v>
      </c>
      <c r="N9" s="605">
        <v>45656</v>
      </c>
      <c r="O9" s="459" t="s">
        <v>111</v>
      </c>
      <c r="P9" s="459" t="s">
        <v>74</v>
      </c>
      <c r="Q9" s="459" t="s">
        <v>112</v>
      </c>
      <c r="R9" s="622" t="s">
        <v>113</v>
      </c>
      <c r="S9" s="618" t="s">
        <v>75</v>
      </c>
      <c r="T9" s="613" t="s">
        <v>114</v>
      </c>
      <c r="U9" s="626" t="s">
        <v>115</v>
      </c>
      <c r="V9" s="625" t="s">
        <v>90</v>
      </c>
      <c r="W9" s="620">
        <v>0.963</v>
      </c>
      <c r="X9" s="617">
        <f>W9*I9</f>
        <v>1952.964</v>
      </c>
      <c r="Y9" s="641" t="s">
        <v>116</v>
      </c>
      <c r="Z9" s="642">
        <v>2028</v>
      </c>
      <c r="AA9" s="639">
        <f t="shared" si="11"/>
        <v>0</v>
      </c>
      <c r="AB9" s="605"/>
      <c r="AC9" s="605"/>
      <c r="AD9" s="588" t="s">
        <v>84</v>
      </c>
      <c r="AE9" s="638" t="s">
        <v>78</v>
      </c>
      <c r="AF9" s="640">
        <f t="shared" si="12"/>
        <v>2028</v>
      </c>
      <c r="AG9" s="652">
        <f>AF9</f>
        <v>2028</v>
      </c>
      <c r="AH9" s="652"/>
      <c r="AI9" s="652">
        <f>AG9</f>
        <v>2028</v>
      </c>
      <c r="AJ9" s="655"/>
      <c r="AK9" s="655"/>
      <c r="AL9" s="655"/>
      <c r="AM9" s="655"/>
      <c r="AN9" s="653">
        <f>I9/13</f>
        <v>156</v>
      </c>
      <c r="AO9" s="655"/>
      <c r="AP9" s="655"/>
      <c r="AQ9" s="655"/>
      <c r="AR9" s="655"/>
      <c r="AS9" s="655"/>
      <c r="AT9" s="655"/>
      <c r="AU9" s="655"/>
      <c r="AV9" s="655"/>
      <c r="AW9" s="655"/>
      <c r="AX9" s="640">
        <f t="shared" si="13"/>
        <v>2028</v>
      </c>
      <c r="AY9" s="661"/>
      <c r="AZ9" s="655"/>
      <c r="BA9" s="660">
        <f t="shared" si="0"/>
        <v>253.5</v>
      </c>
      <c r="BB9" s="660">
        <f t="shared" si="1"/>
        <v>211.250000000001</v>
      </c>
      <c r="BC9" s="660">
        <f t="shared" si="2"/>
        <v>42.2499999999999</v>
      </c>
      <c r="BD9" s="660">
        <f t="shared" si="3"/>
        <v>253.5</v>
      </c>
      <c r="BE9" s="660">
        <f t="shared" si="4"/>
        <v>253.5</v>
      </c>
      <c r="BF9" s="660">
        <f t="shared" si="5"/>
        <v>253.5</v>
      </c>
      <c r="BG9" s="660">
        <f t="shared" si="6"/>
        <v>253.5</v>
      </c>
      <c r="BH9" s="660">
        <f t="shared" si="7"/>
        <v>253.5</v>
      </c>
      <c r="BI9" s="660">
        <f t="shared" si="8"/>
        <v>253.5</v>
      </c>
      <c r="BK9" s="567">
        <f>BK8-BA9</f>
        <v>10678.625</v>
      </c>
      <c r="BL9" s="567">
        <f>BL8-BB9</f>
        <v>9075.35416666653</v>
      </c>
      <c r="BM9" s="567">
        <f>BM8-BD9</f>
        <v>10691.625</v>
      </c>
      <c r="BN9" s="567">
        <f>BN8-BC9</f>
        <v>1690.27083333331</v>
      </c>
      <c r="BO9" s="567">
        <f>BO8-BE9</f>
        <v>8813.625</v>
      </c>
      <c r="BP9" s="567">
        <f>BP8-BF9</f>
        <v>10691.625</v>
      </c>
      <c r="BQ9" s="567">
        <f>BQ8-BG9</f>
        <v>10691.625</v>
      </c>
      <c r="BR9" s="567">
        <f>BR8-BH9</f>
        <v>11091.625</v>
      </c>
      <c r="BS9" s="567">
        <f>BS8-BI9</f>
        <v>10691.625</v>
      </c>
    </row>
    <row r="10" s="570" customFormat="1" ht="30" hidden="1" customHeight="1" spans="1:71">
      <c r="A10" s="584">
        <v>45608</v>
      </c>
      <c r="B10" s="585" t="s">
        <v>117</v>
      </c>
      <c r="C10" s="590" t="s">
        <v>118</v>
      </c>
      <c r="D10" s="587">
        <v>4500151082</v>
      </c>
      <c r="E10" s="588" t="s">
        <v>119</v>
      </c>
      <c r="F10" s="587" t="s">
        <v>120</v>
      </c>
      <c r="G10" s="577" t="s">
        <v>121</v>
      </c>
      <c r="H10" s="578" t="s">
        <v>122</v>
      </c>
      <c r="I10" s="602">
        <v>6056</v>
      </c>
      <c r="J10" s="602">
        <v>0</v>
      </c>
      <c r="K10" s="602">
        <v>8</v>
      </c>
      <c r="L10" s="602">
        <f t="shared" si="10"/>
        <v>757</v>
      </c>
      <c r="M10" s="603">
        <v>45660</v>
      </c>
      <c r="N10" s="605">
        <v>45656</v>
      </c>
      <c r="O10" s="459" t="s">
        <v>123</v>
      </c>
      <c r="P10" s="606" t="s">
        <v>94</v>
      </c>
      <c r="Q10" s="606" t="s">
        <v>124</v>
      </c>
      <c r="R10" s="622">
        <v>45609</v>
      </c>
      <c r="S10" s="618" t="s">
        <v>125</v>
      </c>
      <c r="T10" s="623" t="s">
        <v>126</v>
      </c>
      <c r="U10" s="626" t="s">
        <v>127</v>
      </c>
      <c r="V10" s="625" t="s">
        <v>128</v>
      </c>
      <c r="W10" s="616">
        <v>1.0363</v>
      </c>
      <c r="X10" s="617">
        <f>L10*W10</f>
        <v>784.4791</v>
      </c>
      <c r="Y10" s="641" t="s">
        <v>129</v>
      </c>
      <c r="Z10" s="642">
        <v>6056</v>
      </c>
      <c r="AA10" s="639">
        <f t="shared" si="11"/>
        <v>0</v>
      </c>
      <c r="AB10" s="603"/>
      <c r="AC10" s="605"/>
      <c r="AD10" s="588" t="s">
        <v>121</v>
      </c>
      <c r="AE10" s="638" t="s">
        <v>78</v>
      </c>
      <c r="AF10" s="640">
        <f t="shared" si="12"/>
        <v>6056</v>
      </c>
      <c r="AG10" s="652">
        <f>AF10</f>
        <v>6056</v>
      </c>
      <c r="AH10" s="652"/>
      <c r="AI10" s="652">
        <f>AG10</f>
        <v>6056</v>
      </c>
      <c r="AJ10" s="655"/>
      <c r="AK10" s="655"/>
      <c r="AL10" s="655"/>
      <c r="AM10" s="655"/>
      <c r="AN10" s="653"/>
      <c r="AO10" s="655"/>
      <c r="AP10" s="655">
        <f>I10/8</f>
        <v>757</v>
      </c>
      <c r="AQ10" s="655"/>
      <c r="AR10" s="655"/>
      <c r="AS10" s="655"/>
      <c r="AT10" s="655"/>
      <c r="AU10" s="655"/>
      <c r="AV10" s="655"/>
      <c r="AW10" s="655"/>
      <c r="AX10" s="640">
        <f t="shared" si="13"/>
        <v>6056</v>
      </c>
      <c r="AY10" s="661"/>
      <c r="AZ10" s="655"/>
      <c r="BA10" s="660">
        <f t="shared" si="0"/>
        <v>757</v>
      </c>
      <c r="BB10" s="660">
        <f t="shared" si="1"/>
        <v>630.833333333335</v>
      </c>
      <c r="BC10" s="660">
        <f t="shared" si="2"/>
        <v>126.166666666666</v>
      </c>
      <c r="BD10" s="660">
        <f t="shared" si="3"/>
        <v>757</v>
      </c>
      <c r="BE10" s="660">
        <f t="shared" si="4"/>
        <v>757</v>
      </c>
      <c r="BF10" s="660">
        <f t="shared" si="5"/>
        <v>757</v>
      </c>
      <c r="BG10" s="660">
        <f t="shared" si="6"/>
        <v>757</v>
      </c>
      <c r="BH10" s="660">
        <f t="shared" si="7"/>
        <v>757</v>
      </c>
      <c r="BI10" s="660">
        <f t="shared" si="8"/>
        <v>757</v>
      </c>
      <c r="BK10" s="567">
        <f t="shared" ref="BK10:BK22" si="14">BK9-BA10</f>
        <v>9921.625</v>
      </c>
      <c r="BL10" s="567">
        <f t="shared" ref="BL10:BL22" si="15">BL9-BB10</f>
        <v>8444.52083333319</v>
      </c>
      <c r="BM10" s="567">
        <f t="shared" ref="BM10:BM22" si="16">BM9-BD10</f>
        <v>9934.625</v>
      </c>
      <c r="BN10" s="567">
        <f t="shared" ref="BN10:BN22" si="17">BN9-BC10</f>
        <v>1564.10416666665</v>
      </c>
      <c r="BO10" s="567">
        <f t="shared" ref="BO10:BO22" si="18">BO9-BE10</f>
        <v>8056.625</v>
      </c>
      <c r="BP10" s="567">
        <f t="shared" ref="BP10:BP22" si="19">BP9-BF10</f>
        <v>9934.625</v>
      </c>
      <c r="BQ10" s="567">
        <f t="shared" ref="BQ10:BQ22" si="20">BQ9-BG10</f>
        <v>9934.625</v>
      </c>
      <c r="BR10" s="567">
        <f t="shared" ref="BR10:BR22" si="21">BR9-BH10</f>
        <v>10334.625</v>
      </c>
      <c r="BS10" s="567">
        <f t="shared" ref="BS10:BS22" si="22">BS9-BI10</f>
        <v>9934.625</v>
      </c>
    </row>
    <row r="11" s="570" customFormat="1" ht="30" hidden="1" customHeight="1" spans="1:71">
      <c r="A11" s="584">
        <v>45614</v>
      </c>
      <c r="B11" s="585" t="s">
        <v>130</v>
      </c>
      <c r="C11" s="590" t="s">
        <v>109</v>
      </c>
      <c r="D11" s="587">
        <v>4500151353</v>
      </c>
      <c r="E11" s="588" t="s">
        <v>131</v>
      </c>
      <c r="F11" s="587" t="s">
        <v>132</v>
      </c>
      <c r="G11" s="577" t="s">
        <v>133</v>
      </c>
      <c r="H11" s="578" t="s">
        <v>85</v>
      </c>
      <c r="I11" s="604">
        <v>1313</v>
      </c>
      <c r="J11" s="602">
        <v>0</v>
      </c>
      <c r="K11" s="602">
        <v>13</v>
      </c>
      <c r="L11" s="602">
        <f t="shared" si="10"/>
        <v>101</v>
      </c>
      <c r="M11" s="603">
        <v>45660</v>
      </c>
      <c r="N11" s="605">
        <v>45656</v>
      </c>
      <c r="O11" s="459"/>
      <c r="P11" s="606" t="s">
        <v>94</v>
      </c>
      <c r="Q11" s="606" t="s">
        <v>134</v>
      </c>
      <c r="R11" s="622">
        <v>45614</v>
      </c>
      <c r="S11" s="618" t="s">
        <v>125</v>
      </c>
      <c r="T11" s="613" t="s">
        <v>135</v>
      </c>
      <c r="U11" s="626" t="s">
        <v>136</v>
      </c>
      <c r="V11" s="625" t="s">
        <v>90</v>
      </c>
      <c r="W11" s="620">
        <v>0.9839</v>
      </c>
      <c r="X11" s="617">
        <f>W11*I11</f>
        <v>1291.8607</v>
      </c>
      <c r="Y11" s="641" t="s">
        <v>137</v>
      </c>
      <c r="Z11" s="642">
        <v>1313</v>
      </c>
      <c r="AA11" s="639">
        <f t="shared" si="11"/>
        <v>0</v>
      </c>
      <c r="AB11" s="605"/>
      <c r="AC11" s="605"/>
      <c r="AD11" s="588" t="s">
        <v>133</v>
      </c>
      <c r="AE11" s="638" t="s">
        <v>78</v>
      </c>
      <c r="AF11" s="640">
        <f t="shared" si="12"/>
        <v>1313</v>
      </c>
      <c r="AG11" s="652">
        <f>AF11</f>
        <v>1313</v>
      </c>
      <c r="AH11" s="652"/>
      <c r="AI11" s="652">
        <f>I11</f>
        <v>1313</v>
      </c>
      <c r="AJ11" s="655"/>
      <c r="AK11" s="655"/>
      <c r="AL11" s="655"/>
      <c r="AM11" s="655"/>
      <c r="AN11" s="653">
        <f>I11/13</f>
        <v>101</v>
      </c>
      <c r="AO11" s="655"/>
      <c r="AP11" s="655"/>
      <c r="AQ11" s="655"/>
      <c r="AR11" s="655"/>
      <c r="AS11" s="655"/>
      <c r="AT11" s="655"/>
      <c r="AU11" s="655"/>
      <c r="AV11" s="655"/>
      <c r="AW11" s="655"/>
      <c r="AX11" s="640">
        <f t="shared" si="13"/>
        <v>1313</v>
      </c>
      <c r="AY11" s="661"/>
      <c r="AZ11" s="655"/>
      <c r="BA11" s="660">
        <f t="shared" si="0"/>
        <v>164.125</v>
      </c>
      <c r="BB11" s="660">
        <f t="shared" si="1"/>
        <v>136.770833333334</v>
      </c>
      <c r="BC11" s="660">
        <f t="shared" si="2"/>
        <v>27.3541666666666</v>
      </c>
      <c r="BD11" s="660">
        <f t="shared" si="3"/>
        <v>164.125</v>
      </c>
      <c r="BE11" s="660">
        <f t="shared" si="4"/>
        <v>164.125</v>
      </c>
      <c r="BF11" s="660">
        <f t="shared" si="5"/>
        <v>164.125</v>
      </c>
      <c r="BG11" s="660">
        <f t="shared" si="6"/>
        <v>164.125</v>
      </c>
      <c r="BH11" s="660">
        <f t="shared" si="7"/>
        <v>164.125</v>
      </c>
      <c r="BI11" s="660">
        <f t="shared" si="8"/>
        <v>164.125</v>
      </c>
      <c r="BK11" s="567">
        <f t="shared" si="14"/>
        <v>9757.5</v>
      </c>
      <c r="BL11" s="567">
        <f t="shared" si="15"/>
        <v>8307.74999999986</v>
      </c>
      <c r="BM11" s="567">
        <f t="shared" si="16"/>
        <v>9770.5</v>
      </c>
      <c r="BN11" s="567">
        <f t="shared" si="17"/>
        <v>1536.74999999998</v>
      </c>
      <c r="BO11" s="567">
        <f t="shared" si="18"/>
        <v>7892.5</v>
      </c>
      <c r="BP11" s="567">
        <f t="shared" si="19"/>
        <v>9770.5</v>
      </c>
      <c r="BQ11" s="567">
        <f t="shared" si="20"/>
        <v>9770.5</v>
      </c>
      <c r="BR11" s="567">
        <f t="shared" si="21"/>
        <v>10170.5</v>
      </c>
      <c r="BS11" s="567">
        <f t="shared" si="22"/>
        <v>9770.5</v>
      </c>
    </row>
    <row r="12" s="570" customFormat="1" ht="30" hidden="1" customHeight="1" spans="1:71">
      <c r="A12" s="584">
        <v>45617</v>
      </c>
      <c r="B12" s="585" t="s">
        <v>138</v>
      </c>
      <c r="C12" s="590" t="s">
        <v>139</v>
      </c>
      <c r="D12" s="587">
        <v>4500151881</v>
      </c>
      <c r="E12" s="588" t="s">
        <v>140</v>
      </c>
      <c r="F12" s="587" t="s">
        <v>141</v>
      </c>
      <c r="G12" s="577" t="s">
        <v>121</v>
      </c>
      <c r="H12" s="578" t="s">
        <v>122</v>
      </c>
      <c r="I12" s="602">
        <v>6000</v>
      </c>
      <c r="J12" s="602">
        <v>0</v>
      </c>
      <c r="K12" s="602">
        <v>8</v>
      </c>
      <c r="L12" s="602">
        <f t="shared" si="10"/>
        <v>750</v>
      </c>
      <c r="M12" s="603">
        <v>45660</v>
      </c>
      <c r="N12" s="605">
        <v>45656</v>
      </c>
      <c r="O12" s="459"/>
      <c r="P12" s="606" t="s">
        <v>94</v>
      </c>
      <c r="Q12" s="618" t="s">
        <v>142</v>
      </c>
      <c r="R12" s="622">
        <v>45629</v>
      </c>
      <c r="S12" s="618" t="s">
        <v>75</v>
      </c>
      <c r="T12" s="613" t="s">
        <v>143</v>
      </c>
      <c r="U12" s="626" t="s">
        <v>144</v>
      </c>
      <c r="V12" s="625" t="s">
        <v>145</v>
      </c>
      <c r="W12" s="616">
        <v>0.9957</v>
      </c>
      <c r="X12" s="617">
        <f>L12*W12</f>
        <v>746.775</v>
      </c>
      <c r="Y12" s="641" t="s">
        <v>146</v>
      </c>
      <c r="Z12" s="642">
        <v>6000</v>
      </c>
      <c r="AA12" s="639">
        <f t="shared" si="11"/>
        <v>0</v>
      </c>
      <c r="AB12" s="605"/>
      <c r="AC12" s="605"/>
      <c r="AD12" s="588" t="s">
        <v>121</v>
      </c>
      <c r="AE12" s="638" t="s">
        <v>78</v>
      </c>
      <c r="AF12" s="640">
        <f t="shared" si="12"/>
        <v>6000</v>
      </c>
      <c r="AG12" s="652">
        <f>AF12</f>
        <v>6000</v>
      </c>
      <c r="AH12" s="652"/>
      <c r="AI12" s="652">
        <f>AG12</f>
        <v>6000</v>
      </c>
      <c r="AJ12" s="655"/>
      <c r="AK12" s="655"/>
      <c r="AL12" s="655"/>
      <c r="AM12" s="655"/>
      <c r="AN12" s="653"/>
      <c r="AO12" s="655"/>
      <c r="AP12" s="655">
        <f>I12/8</f>
        <v>750</v>
      </c>
      <c r="AQ12" s="655"/>
      <c r="AR12" s="655"/>
      <c r="AS12" s="655"/>
      <c r="AT12" s="655"/>
      <c r="AU12" s="655"/>
      <c r="AV12" s="655"/>
      <c r="AW12" s="655"/>
      <c r="AX12" s="640">
        <f t="shared" si="13"/>
        <v>6000</v>
      </c>
      <c r="AY12" s="661"/>
      <c r="AZ12" s="655"/>
      <c r="BA12" s="660">
        <f t="shared" si="0"/>
        <v>750</v>
      </c>
      <c r="BB12" s="660">
        <f t="shared" si="1"/>
        <v>625.000000000002</v>
      </c>
      <c r="BC12" s="660">
        <f t="shared" si="2"/>
        <v>125</v>
      </c>
      <c r="BD12" s="660">
        <f t="shared" si="3"/>
        <v>750</v>
      </c>
      <c r="BE12" s="660">
        <f t="shared" si="4"/>
        <v>750</v>
      </c>
      <c r="BF12" s="660">
        <f t="shared" si="5"/>
        <v>750</v>
      </c>
      <c r="BG12" s="660">
        <f t="shared" si="6"/>
        <v>750</v>
      </c>
      <c r="BH12" s="660">
        <f t="shared" si="7"/>
        <v>750</v>
      </c>
      <c r="BI12" s="660">
        <f t="shared" si="8"/>
        <v>750</v>
      </c>
      <c r="BK12" s="567">
        <f t="shared" si="14"/>
        <v>9007.5</v>
      </c>
      <c r="BL12" s="567">
        <f t="shared" si="15"/>
        <v>7682.74999999986</v>
      </c>
      <c r="BM12" s="567">
        <f t="shared" si="16"/>
        <v>9020.5</v>
      </c>
      <c r="BN12" s="567">
        <f t="shared" si="17"/>
        <v>1411.74999999998</v>
      </c>
      <c r="BO12" s="567">
        <f t="shared" si="18"/>
        <v>7142.5</v>
      </c>
      <c r="BP12" s="567">
        <f t="shared" si="19"/>
        <v>9020.5</v>
      </c>
      <c r="BQ12" s="567">
        <f t="shared" si="20"/>
        <v>9020.5</v>
      </c>
      <c r="BR12" s="567">
        <f t="shared" si="21"/>
        <v>9420.5</v>
      </c>
      <c r="BS12" s="567">
        <f t="shared" si="22"/>
        <v>9020.5</v>
      </c>
    </row>
    <row r="13" s="570" customFormat="1" ht="30" hidden="1" customHeight="1" spans="1:71">
      <c r="A13" s="584">
        <v>45603</v>
      </c>
      <c r="B13" s="585" t="s">
        <v>147</v>
      </c>
      <c r="C13" s="590" t="s">
        <v>118</v>
      </c>
      <c r="D13" s="587">
        <v>4500150464</v>
      </c>
      <c r="E13" s="588" t="s">
        <v>148</v>
      </c>
      <c r="F13" s="587" t="s">
        <v>149</v>
      </c>
      <c r="G13" s="577" t="s">
        <v>150</v>
      </c>
      <c r="H13" s="578" t="s">
        <v>151</v>
      </c>
      <c r="I13" s="602">
        <v>1008</v>
      </c>
      <c r="J13" s="602">
        <v>0</v>
      </c>
      <c r="K13" s="602">
        <v>12</v>
      </c>
      <c r="L13" s="602">
        <f t="shared" si="10"/>
        <v>84</v>
      </c>
      <c r="M13" s="603">
        <v>45672</v>
      </c>
      <c r="N13" s="605">
        <v>45667</v>
      </c>
      <c r="O13" s="606"/>
      <c r="P13" s="459" t="s">
        <v>74</v>
      </c>
      <c r="Q13" s="606" t="s">
        <v>152</v>
      </c>
      <c r="R13" s="622">
        <v>45610</v>
      </c>
      <c r="S13" s="618" t="s">
        <v>75</v>
      </c>
      <c r="T13" s="623" t="s">
        <v>153</v>
      </c>
      <c r="U13" s="626" t="s">
        <v>154</v>
      </c>
      <c r="V13" s="625" t="s">
        <v>155</v>
      </c>
      <c r="W13" s="620">
        <v>2.2427</v>
      </c>
      <c r="X13" s="617">
        <f>W13*I13</f>
        <v>2260.6416</v>
      </c>
      <c r="Y13" s="641" t="s">
        <v>156</v>
      </c>
      <c r="Z13" s="642">
        <v>1008</v>
      </c>
      <c r="AA13" s="639">
        <f t="shared" si="11"/>
        <v>0</v>
      </c>
      <c r="AB13" s="605"/>
      <c r="AC13" s="605"/>
      <c r="AD13" s="588" t="s">
        <v>157</v>
      </c>
      <c r="AE13" s="638" t="s">
        <v>78</v>
      </c>
      <c r="AF13" s="640">
        <f>I13*2</f>
        <v>2016</v>
      </c>
      <c r="AG13" s="652">
        <f>AF13</f>
        <v>2016</v>
      </c>
      <c r="AH13" s="654"/>
      <c r="AI13" s="652">
        <f>AF13</f>
        <v>2016</v>
      </c>
      <c r="AJ13" s="655"/>
      <c r="AK13" s="655"/>
      <c r="AL13" s="655"/>
      <c r="AM13" s="655"/>
      <c r="AN13" s="655"/>
      <c r="AO13" s="655"/>
      <c r="AP13" s="655"/>
      <c r="AQ13" s="655"/>
      <c r="AR13" s="655"/>
      <c r="AS13" s="655"/>
      <c r="AT13" s="655">
        <f>I13</f>
        <v>1008</v>
      </c>
      <c r="AU13" s="655">
        <f>AT13</f>
        <v>1008</v>
      </c>
      <c r="AV13" s="655"/>
      <c r="AW13" s="655"/>
      <c r="AX13" s="640">
        <f>I13*2</f>
        <v>2016</v>
      </c>
      <c r="AY13" s="661"/>
      <c r="AZ13" s="655"/>
      <c r="BA13" s="660">
        <f>I13*$BA$2*2</f>
        <v>252</v>
      </c>
      <c r="BB13" s="660">
        <f>I13*$BB$2*2</f>
        <v>210.000000000001</v>
      </c>
      <c r="BC13" s="660">
        <f>I13*$BC$2*2</f>
        <v>41.9999999999999</v>
      </c>
      <c r="BD13" s="660">
        <f>I13*$BD$2*2</f>
        <v>252</v>
      </c>
      <c r="BE13" s="660">
        <f>I13*$BE$2*2</f>
        <v>252</v>
      </c>
      <c r="BF13" s="660">
        <f>I13*$BF$2*2</f>
        <v>252</v>
      </c>
      <c r="BG13" s="660">
        <f>I13*$BG$2*2</f>
        <v>252</v>
      </c>
      <c r="BH13" s="660">
        <f>I13*$BH$2*2</f>
        <v>252</v>
      </c>
      <c r="BI13" s="660">
        <f>I13*$BI$2*2</f>
        <v>252</v>
      </c>
      <c r="BK13" s="567">
        <f t="shared" si="14"/>
        <v>8755.5</v>
      </c>
      <c r="BL13" s="567">
        <f t="shared" si="15"/>
        <v>7472.74999999986</v>
      </c>
      <c r="BM13" s="567">
        <f t="shared" si="16"/>
        <v>8768.5</v>
      </c>
      <c r="BN13" s="567">
        <f t="shared" si="17"/>
        <v>1369.74999999998</v>
      </c>
      <c r="BO13" s="567">
        <f t="shared" si="18"/>
        <v>6890.5</v>
      </c>
      <c r="BP13" s="567">
        <f t="shared" si="19"/>
        <v>8768.5</v>
      </c>
      <c r="BQ13" s="567">
        <f t="shared" si="20"/>
        <v>8768.5</v>
      </c>
      <c r="BR13" s="567">
        <f t="shared" si="21"/>
        <v>9168.5</v>
      </c>
      <c r="BS13" s="567">
        <f t="shared" si="22"/>
        <v>8768.5</v>
      </c>
    </row>
    <row r="14" s="570" customFormat="1" ht="30" customHeight="1" spans="1:71">
      <c r="A14" s="584">
        <v>45651</v>
      </c>
      <c r="B14" s="585" t="s">
        <v>158</v>
      </c>
      <c r="C14" s="590" t="s">
        <v>159</v>
      </c>
      <c r="D14" s="587">
        <v>4500154748</v>
      </c>
      <c r="E14" s="588" t="s">
        <v>160</v>
      </c>
      <c r="F14" s="587" t="s">
        <v>161</v>
      </c>
      <c r="G14" s="577" t="s">
        <v>162</v>
      </c>
      <c r="H14" s="578" t="s">
        <v>163</v>
      </c>
      <c r="I14" s="604">
        <v>4800</v>
      </c>
      <c r="J14" s="602">
        <v>0</v>
      </c>
      <c r="K14" s="602">
        <v>48</v>
      </c>
      <c r="L14" s="602">
        <f t="shared" si="10"/>
        <v>100</v>
      </c>
      <c r="M14" s="603">
        <v>45716</v>
      </c>
      <c r="N14" s="605">
        <v>45712</v>
      </c>
      <c r="O14" s="606"/>
      <c r="P14" s="459" t="s">
        <v>94</v>
      </c>
      <c r="Q14" s="606" t="s">
        <v>164</v>
      </c>
      <c r="R14" s="622">
        <v>45652</v>
      </c>
      <c r="S14" s="618" t="s">
        <v>75</v>
      </c>
      <c r="T14" s="623" t="s">
        <v>165</v>
      </c>
      <c r="U14" s="626" t="s">
        <v>166</v>
      </c>
      <c r="V14" s="625" t="s">
        <v>167</v>
      </c>
      <c r="W14" s="616">
        <v>0.9808</v>
      </c>
      <c r="X14" s="617">
        <f>W14*I14</f>
        <v>4707.84</v>
      </c>
      <c r="Y14" s="641" t="s">
        <v>168</v>
      </c>
      <c r="Z14" s="642">
        <v>4800</v>
      </c>
      <c r="AA14" s="639">
        <f t="shared" si="11"/>
        <v>0</v>
      </c>
      <c r="AB14" s="605"/>
      <c r="AC14" s="605"/>
      <c r="AD14" s="588" t="s">
        <v>162</v>
      </c>
      <c r="AE14" s="638" t="s">
        <v>78</v>
      </c>
      <c r="AF14" s="640">
        <f>I14</f>
        <v>4800</v>
      </c>
      <c r="AG14" s="652">
        <f>I14</f>
        <v>4800</v>
      </c>
      <c r="AH14" s="654"/>
      <c r="AI14" s="652">
        <f>I14</f>
        <v>4800</v>
      </c>
      <c r="AJ14" s="655"/>
      <c r="AK14" s="655"/>
      <c r="AL14" s="655">
        <f>I14/24</f>
        <v>200</v>
      </c>
      <c r="AM14" s="655"/>
      <c r="AN14" s="655"/>
      <c r="AO14" s="655"/>
      <c r="AP14" s="655"/>
      <c r="AQ14" s="655"/>
      <c r="AR14" s="655"/>
      <c r="AS14" s="655"/>
      <c r="AT14" s="655"/>
      <c r="AU14" s="655"/>
      <c r="AV14" s="655"/>
      <c r="AW14" s="655"/>
      <c r="AX14" s="640">
        <f>I14</f>
        <v>4800</v>
      </c>
      <c r="AY14" s="661"/>
      <c r="AZ14" s="655"/>
      <c r="BA14" s="660">
        <f>I14*$BA$2</f>
        <v>600</v>
      </c>
      <c r="BB14" s="660">
        <f>I14*$BB$2</f>
        <v>500.000000000002</v>
      </c>
      <c r="BC14" s="660">
        <f>I14*$BC$2</f>
        <v>99.9999999999998</v>
      </c>
      <c r="BD14" s="660">
        <f>I14*$BD$2</f>
        <v>600</v>
      </c>
      <c r="BE14" s="660">
        <f>I14*$BE$2</f>
        <v>600</v>
      </c>
      <c r="BF14" s="660">
        <f>I14*$BF$2</f>
        <v>600</v>
      </c>
      <c r="BG14" s="660">
        <f>I14*$BG$2</f>
        <v>600</v>
      </c>
      <c r="BH14" s="660">
        <f>I14*$BH$2</f>
        <v>600</v>
      </c>
      <c r="BI14" s="660">
        <f>I14*$BI$2</f>
        <v>600</v>
      </c>
      <c r="BK14" s="567">
        <f t="shared" si="14"/>
        <v>8155.5</v>
      </c>
      <c r="BL14" s="567">
        <f t="shared" si="15"/>
        <v>6972.74999999985</v>
      </c>
      <c r="BM14" s="567">
        <f t="shared" si="16"/>
        <v>8168.5</v>
      </c>
      <c r="BN14" s="567">
        <f t="shared" si="17"/>
        <v>1269.74999999998</v>
      </c>
      <c r="BO14" s="567">
        <f t="shared" si="18"/>
        <v>6290.5</v>
      </c>
      <c r="BP14" s="567">
        <f t="shared" si="19"/>
        <v>8168.5</v>
      </c>
      <c r="BQ14" s="567">
        <f t="shared" si="20"/>
        <v>8168.5</v>
      </c>
      <c r="BR14" s="567">
        <f t="shared" si="21"/>
        <v>8568.5</v>
      </c>
      <c r="BS14" s="567">
        <f t="shared" si="22"/>
        <v>8168.5</v>
      </c>
    </row>
    <row r="15" s="570" customFormat="1" ht="30" hidden="1" customHeight="1" spans="1:71">
      <c r="A15" s="584">
        <v>45696</v>
      </c>
      <c r="B15" s="585" t="s">
        <v>138</v>
      </c>
      <c r="C15" s="590" t="s">
        <v>139</v>
      </c>
      <c r="D15" s="587">
        <v>4500156986</v>
      </c>
      <c r="E15" s="588"/>
      <c r="F15" s="587" t="s">
        <v>169</v>
      </c>
      <c r="G15" s="577" t="s">
        <v>121</v>
      </c>
      <c r="H15" s="578" t="s">
        <v>122</v>
      </c>
      <c r="I15" s="602">
        <v>9600</v>
      </c>
      <c r="J15" s="602">
        <v>0</v>
      </c>
      <c r="K15" s="602">
        <v>8</v>
      </c>
      <c r="L15" s="602">
        <f t="shared" si="10"/>
        <v>1200</v>
      </c>
      <c r="M15" s="603">
        <v>45736</v>
      </c>
      <c r="N15" s="605">
        <v>45733</v>
      </c>
      <c r="O15" s="606"/>
      <c r="P15" s="459" t="s">
        <v>170</v>
      </c>
      <c r="Q15" s="606" t="s">
        <v>171</v>
      </c>
      <c r="R15" s="622">
        <v>45707</v>
      </c>
      <c r="S15" s="618" t="s">
        <v>75</v>
      </c>
      <c r="T15" s="623" t="s">
        <v>172</v>
      </c>
      <c r="U15" s="626" t="s">
        <v>173</v>
      </c>
      <c r="V15" s="625" t="s">
        <v>145</v>
      </c>
      <c r="W15" s="616">
        <v>0.9957</v>
      </c>
      <c r="X15" s="617">
        <f>W15*I15</f>
        <v>9558.72</v>
      </c>
      <c r="Y15" s="641" t="s">
        <v>174</v>
      </c>
      <c r="Z15" s="642">
        <f>4792+4800+8</f>
        <v>9600</v>
      </c>
      <c r="AA15" s="639">
        <f t="shared" si="11"/>
        <v>0</v>
      </c>
      <c r="AB15" s="605"/>
      <c r="AC15" s="605"/>
      <c r="AD15" s="588" t="s">
        <v>175</v>
      </c>
      <c r="AE15" s="638" t="s">
        <v>78</v>
      </c>
      <c r="AF15" s="640">
        <f>I15</f>
        <v>9600</v>
      </c>
      <c r="AG15" s="652"/>
      <c r="AH15" s="654">
        <f>I15</f>
        <v>9600</v>
      </c>
      <c r="AI15" s="652">
        <f>I15</f>
        <v>9600</v>
      </c>
      <c r="AJ15" s="655"/>
      <c r="AK15" s="655"/>
      <c r="AL15" s="655"/>
      <c r="AM15" s="655"/>
      <c r="AN15" s="655"/>
      <c r="AO15" s="655"/>
      <c r="AP15" s="655">
        <f>I15/8</f>
        <v>1200</v>
      </c>
      <c r="AQ15" s="655"/>
      <c r="AR15" s="655"/>
      <c r="AS15" s="655"/>
      <c r="AT15" s="655"/>
      <c r="AU15" s="655"/>
      <c r="AV15" s="655"/>
      <c r="AW15" s="655"/>
      <c r="AX15" s="640">
        <f>I15</f>
        <v>9600</v>
      </c>
      <c r="AY15" s="661"/>
      <c r="AZ15" s="655"/>
      <c r="BA15" s="660">
        <f>I15*$BA$2</f>
        <v>1200</v>
      </c>
      <c r="BB15" s="660">
        <f>I15*$BB$2</f>
        <v>1000</v>
      </c>
      <c r="BC15" s="660">
        <f>I15*$BC$2</f>
        <v>200</v>
      </c>
      <c r="BD15" s="660">
        <f>I15*$BD$2</f>
        <v>1200</v>
      </c>
      <c r="BE15" s="660">
        <f>I15*$BE$2</f>
        <v>1200</v>
      </c>
      <c r="BF15" s="660">
        <f>I15*$BF$2</f>
        <v>1200</v>
      </c>
      <c r="BG15" s="660">
        <f>I15*$BG$2</f>
        <v>1200</v>
      </c>
      <c r="BH15" s="660">
        <f>I15*$BH$2</f>
        <v>1200</v>
      </c>
      <c r="BI15" s="660">
        <f>I15*$BI$2</f>
        <v>1200</v>
      </c>
      <c r="BK15" s="664">
        <f t="shared" si="14"/>
        <v>6955.5</v>
      </c>
      <c r="BL15" s="664">
        <f t="shared" si="15"/>
        <v>5972.74999999985</v>
      </c>
      <c r="BM15" s="664">
        <f t="shared" si="16"/>
        <v>6968.5</v>
      </c>
      <c r="BN15" s="664">
        <f t="shared" si="17"/>
        <v>1069.74999999998</v>
      </c>
      <c r="BO15" s="664">
        <f t="shared" si="18"/>
        <v>5090.5</v>
      </c>
      <c r="BP15" s="664">
        <f t="shared" si="19"/>
        <v>6968.5</v>
      </c>
      <c r="BQ15" s="664">
        <f t="shared" si="20"/>
        <v>6968.5</v>
      </c>
      <c r="BR15" s="664">
        <f t="shared" si="21"/>
        <v>7368.5</v>
      </c>
      <c r="BS15" s="664">
        <f t="shared" si="22"/>
        <v>6968.5</v>
      </c>
    </row>
    <row r="16" s="570" customFormat="1" ht="30" hidden="1" customHeight="1" spans="1:71">
      <c r="A16" s="584">
        <v>45702</v>
      </c>
      <c r="B16" s="585" t="s">
        <v>176</v>
      </c>
      <c r="C16" s="590" t="s">
        <v>177</v>
      </c>
      <c r="D16" s="587">
        <v>4500157700</v>
      </c>
      <c r="E16" s="588"/>
      <c r="F16" s="591" t="s">
        <v>178</v>
      </c>
      <c r="G16" s="577" t="s">
        <v>79</v>
      </c>
      <c r="H16" s="578" t="s">
        <v>73</v>
      </c>
      <c r="I16" s="602">
        <v>6570</v>
      </c>
      <c r="J16" s="602">
        <v>0</v>
      </c>
      <c r="K16" s="602">
        <v>30</v>
      </c>
      <c r="L16" s="602">
        <f t="shared" si="10"/>
        <v>219</v>
      </c>
      <c r="M16" s="603">
        <v>45741</v>
      </c>
      <c r="N16" s="605">
        <v>45737</v>
      </c>
      <c r="O16" s="606"/>
      <c r="P16" s="606" t="s">
        <v>94</v>
      </c>
      <c r="Q16" s="606" t="s">
        <v>179</v>
      </c>
      <c r="R16" s="459">
        <v>45706</v>
      </c>
      <c r="S16" s="618" t="s">
        <v>75</v>
      </c>
      <c r="T16" s="613" t="s">
        <v>180</v>
      </c>
      <c r="U16" s="626" t="s">
        <v>181</v>
      </c>
      <c r="V16" s="625" t="s">
        <v>182</v>
      </c>
      <c r="W16" s="620">
        <v>36.2614</v>
      </c>
      <c r="X16" s="617">
        <f>W16*L16</f>
        <v>7941.2466</v>
      </c>
      <c r="Y16" s="641" t="s">
        <v>183</v>
      </c>
      <c r="Z16" s="642">
        <v>6570</v>
      </c>
      <c r="AA16" s="639">
        <f t="shared" si="11"/>
        <v>0</v>
      </c>
      <c r="AB16" s="605"/>
      <c r="AC16" s="605"/>
      <c r="AD16" s="591" t="s">
        <v>184</v>
      </c>
      <c r="AE16" s="638" t="s">
        <v>78</v>
      </c>
      <c r="AF16" s="640">
        <f>I16</f>
        <v>6570</v>
      </c>
      <c r="AG16" s="652"/>
      <c r="AH16" s="654">
        <f>I16</f>
        <v>6570</v>
      </c>
      <c r="AI16" s="654">
        <f>I16</f>
        <v>6570</v>
      </c>
      <c r="AJ16" s="655"/>
      <c r="AK16" s="655"/>
      <c r="AL16" s="655"/>
      <c r="AM16" s="655"/>
      <c r="AN16" s="653"/>
      <c r="AO16" s="655"/>
      <c r="AP16" s="655"/>
      <c r="AQ16" s="655">
        <f>I16/30</f>
        <v>219</v>
      </c>
      <c r="AR16" s="655"/>
      <c r="AS16" s="655">
        <f>AQ16</f>
        <v>219</v>
      </c>
      <c r="AT16" s="655"/>
      <c r="AU16" s="655"/>
      <c r="AV16" s="655"/>
      <c r="AW16" s="655"/>
      <c r="AX16" s="661">
        <f>I16</f>
        <v>6570</v>
      </c>
      <c r="AY16" s="661"/>
      <c r="AZ16" s="655"/>
      <c r="BA16" s="660">
        <f>I16*$BA$2</f>
        <v>821.25</v>
      </c>
      <c r="BB16" s="660">
        <f>I16*$BB$2</f>
        <v>684.375000000002</v>
      </c>
      <c r="BC16" s="660">
        <f>I16*$BC$2</f>
        <v>136.875</v>
      </c>
      <c r="BD16" s="660">
        <f>I16*$BD$2</f>
        <v>821.25</v>
      </c>
      <c r="BE16" s="660">
        <f>I16*$BE$2</f>
        <v>821.25</v>
      </c>
      <c r="BF16" s="660">
        <f>I16*$BF$2</f>
        <v>821.25</v>
      </c>
      <c r="BG16" s="660">
        <f>I16*$BG$2</f>
        <v>821.25</v>
      </c>
      <c r="BH16" s="660">
        <f>I16*$BH$2</f>
        <v>821.25</v>
      </c>
      <c r="BI16" s="660">
        <f>I16*$BI$2</f>
        <v>821.25</v>
      </c>
      <c r="BK16" s="664">
        <f t="shared" si="14"/>
        <v>6134.25</v>
      </c>
      <c r="BL16" s="664">
        <f t="shared" si="15"/>
        <v>5288.37499999985</v>
      </c>
      <c r="BM16" s="664">
        <f t="shared" si="16"/>
        <v>6147.25</v>
      </c>
      <c r="BN16" s="664">
        <f t="shared" si="17"/>
        <v>932.874999999981</v>
      </c>
      <c r="BO16" s="664">
        <f t="shared" si="18"/>
        <v>4269.25</v>
      </c>
      <c r="BP16" s="664">
        <f t="shared" si="19"/>
        <v>6147.25</v>
      </c>
      <c r="BQ16" s="664">
        <f t="shared" si="20"/>
        <v>6147.25</v>
      </c>
      <c r="BR16" s="664">
        <f t="shared" si="21"/>
        <v>6547.25</v>
      </c>
      <c r="BS16" s="664">
        <f t="shared" si="22"/>
        <v>6147.25</v>
      </c>
    </row>
    <row r="17" s="570" customFormat="1" ht="30" hidden="1" customHeight="1" spans="1:71">
      <c r="A17" s="584">
        <v>45705</v>
      </c>
      <c r="B17" s="585" t="s">
        <v>185</v>
      </c>
      <c r="C17" s="590" t="s">
        <v>186</v>
      </c>
      <c r="D17" s="587">
        <v>4500157780</v>
      </c>
      <c r="E17" s="588"/>
      <c r="F17" s="591" t="s">
        <v>187</v>
      </c>
      <c r="G17" s="577" t="s">
        <v>84</v>
      </c>
      <c r="H17" s="578" t="s">
        <v>85</v>
      </c>
      <c r="I17" s="604">
        <v>156</v>
      </c>
      <c r="J17" s="602">
        <v>0</v>
      </c>
      <c r="K17" s="602">
        <v>52</v>
      </c>
      <c r="L17" s="602">
        <f t="shared" si="10"/>
        <v>3</v>
      </c>
      <c r="M17" s="603">
        <v>45741</v>
      </c>
      <c r="N17" s="605">
        <v>45737</v>
      </c>
      <c r="O17" s="606"/>
      <c r="P17" s="459" t="s">
        <v>74</v>
      </c>
      <c r="Q17" s="606" t="s">
        <v>188</v>
      </c>
      <c r="R17" s="459">
        <v>45705</v>
      </c>
      <c r="S17" s="459" t="s">
        <v>75</v>
      </c>
      <c r="T17" s="459" t="s">
        <v>75</v>
      </c>
      <c r="U17" s="626" t="s">
        <v>189</v>
      </c>
      <c r="V17" s="625" t="s">
        <v>90</v>
      </c>
      <c r="W17" s="620">
        <v>0.967</v>
      </c>
      <c r="X17" s="617">
        <f>W17*I17</f>
        <v>150.852</v>
      </c>
      <c r="Y17" s="641" t="s">
        <v>190</v>
      </c>
      <c r="Z17" s="642">
        <v>156</v>
      </c>
      <c r="AA17" s="639">
        <f t="shared" si="11"/>
        <v>0</v>
      </c>
      <c r="AB17" s="605"/>
      <c r="AC17" s="605"/>
      <c r="AD17" s="591" t="s">
        <v>84</v>
      </c>
      <c r="AE17" s="638" t="s">
        <v>78</v>
      </c>
      <c r="AF17" s="640">
        <f>I17</f>
        <v>156</v>
      </c>
      <c r="AG17" s="652">
        <f>AF17</f>
        <v>156</v>
      </c>
      <c r="AH17" s="654"/>
      <c r="AI17" s="654">
        <f>I17</f>
        <v>156</v>
      </c>
      <c r="AJ17" s="655"/>
      <c r="AK17" s="655"/>
      <c r="AL17" s="655"/>
      <c r="AM17" s="655"/>
      <c r="AN17" s="653">
        <f>I17/13</f>
        <v>12</v>
      </c>
      <c r="AO17" s="655"/>
      <c r="AP17" s="655"/>
      <c r="AQ17" s="655"/>
      <c r="AR17" s="655"/>
      <c r="AS17" s="655"/>
      <c r="AT17" s="655"/>
      <c r="AU17" s="655"/>
      <c r="AV17" s="655"/>
      <c r="AW17" s="655"/>
      <c r="AX17" s="661">
        <f>I17</f>
        <v>156</v>
      </c>
      <c r="AY17" s="661"/>
      <c r="AZ17" s="655"/>
      <c r="BA17" s="660">
        <f>I17*$BA$2</f>
        <v>19.5</v>
      </c>
      <c r="BB17" s="660">
        <f>I17*$BB$2</f>
        <v>16.2500000000001</v>
      </c>
      <c r="BC17" s="660">
        <f>I17*$BC$2</f>
        <v>3.24999999999999</v>
      </c>
      <c r="BD17" s="660">
        <f>I17*$BD$2</f>
        <v>19.5</v>
      </c>
      <c r="BE17" s="660">
        <f>I17*$BE$2</f>
        <v>19.5</v>
      </c>
      <c r="BF17" s="660">
        <f>I17*$BF$2</f>
        <v>19.5</v>
      </c>
      <c r="BG17" s="660">
        <f>I17*$BG$2</f>
        <v>19.5</v>
      </c>
      <c r="BH17" s="660">
        <f>I17*$BH$2</f>
        <v>19.5</v>
      </c>
      <c r="BI17" s="660">
        <f>I17*$BI$2</f>
        <v>19.5</v>
      </c>
      <c r="BK17" s="664">
        <f t="shared" si="14"/>
        <v>6114.75</v>
      </c>
      <c r="BL17" s="664">
        <f t="shared" si="15"/>
        <v>5272.12499999985</v>
      </c>
      <c r="BM17" s="664">
        <f t="shared" si="16"/>
        <v>6127.75</v>
      </c>
      <c r="BN17" s="664">
        <f t="shared" si="17"/>
        <v>929.624999999981</v>
      </c>
      <c r="BO17" s="664">
        <f t="shared" si="18"/>
        <v>4249.75</v>
      </c>
      <c r="BP17" s="664">
        <f t="shared" si="19"/>
        <v>6127.75</v>
      </c>
      <c r="BQ17" s="664">
        <f t="shared" si="20"/>
        <v>6127.75</v>
      </c>
      <c r="BR17" s="664">
        <f t="shared" si="21"/>
        <v>6527.75</v>
      </c>
      <c r="BS17" s="664">
        <f t="shared" si="22"/>
        <v>6127.75</v>
      </c>
    </row>
    <row r="18" s="376" customFormat="1" ht="30" hidden="1" customHeight="1" spans="1:71">
      <c r="A18" s="412">
        <v>45740</v>
      </c>
      <c r="B18" s="413"/>
      <c r="C18" s="592"/>
      <c r="D18" s="415" t="s">
        <v>191</v>
      </c>
      <c r="E18" s="416"/>
      <c r="F18" s="593"/>
      <c r="G18" s="417" t="s">
        <v>192</v>
      </c>
      <c r="H18" s="418"/>
      <c r="I18" s="450" t="s">
        <v>193</v>
      </c>
      <c r="J18" s="451">
        <v>0</v>
      </c>
      <c r="K18" s="451">
        <v>24</v>
      </c>
      <c r="L18" s="451" t="e">
        <f t="shared" si="10"/>
        <v>#VALUE!</v>
      </c>
      <c r="M18" s="452">
        <v>45749</v>
      </c>
      <c r="N18" s="457">
        <f>M18-4</f>
        <v>45745</v>
      </c>
      <c r="O18" s="607"/>
      <c r="P18" s="607"/>
      <c r="Q18" s="453"/>
      <c r="R18" s="453" t="s">
        <v>194</v>
      </c>
      <c r="S18" s="453" t="s">
        <v>75</v>
      </c>
      <c r="T18" s="453" t="s">
        <v>75</v>
      </c>
      <c r="U18" s="481" t="s">
        <v>195</v>
      </c>
      <c r="V18" s="482" t="s">
        <v>196</v>
      </c>
      <c r="W18" s="627"/>
      <c r="X18" s="484"/>
      <c r="Y18" s="512" t="s">
        <v>197</v>
      </c>
      <c r="Z18" s="513">
        <v>11</v>
      </c>
      <c r="AA18" s="643"/>
      <c r="AB18" s="457"/>
      <c r="AC18" s="457"/>
      <c r="AD18" s="514" t="s">
        <v>198</v>
      </c>
      <c r="AE18" s="514" t="s">
        <v>198</v>
      </c>
      <c r="AF18" s="515"/>
      <c r="AG18" s="539"/>
      <c r="AH18" s="539"/>
      <c r="AI18" s="539"/>
      <c r="AJ18" s="541"/>
      <c r="AK18" s="541"/>
      <c r="AL18" s="541"/>
      <c r="AM18" s="541"/>
      <c r="AN18" s="541"/>
      <c r="AO18" s="541"/>
      <c r="AP18" s="541"/>
      <c r="AQ18" s="541"/>
      <c r="AR18" s="541"/>
      <c r="AS18" s="541"/>
      <c r="AT18" s="541"/>
      <c r="AU18" s="541"/>
      <c r="AV18" s="541"/>
      <c r="AW18" s="541"/>
      <c r="AX18" s="556"/>
      <c r="AY18" s="556"/>
      <c r="AZ18" s="541"/>
      <c r="BA18" s="557"/>
      <c r="BB18" s="557"/>
      <c r="BC18" s="557"/>
      <c r="BD18" s="557"/>
      <c r="BE18" s="557"/>
      <c r="BF18" s="557"/>
      <c r="BG18" s="557"/>
      <c r="BH18" s="557"/>
      <c r="BI18" s="557"/>
      <c r="BK18" s="665"/>
      <c r="BL18" s="665"/>
      <c r="BM18" s="665"/>
      <c r="BN18" s="665"/>
      <c r="BO18" s="665"/>
      <c r="BP18" s="665"/>
      <c r="BQ18" s="665"/>
      <c r="BR18" s="665"/>
      <c r="BS18" s="665"/>
    </row>
    <row r="19" s="376" customFormat="1" ht="30" hidden="1" customHeight="1" spans="1:71">
      <c r="A19" s="412">
        <v>45740</v>
      </c>
      <c r="B19" s="413"/>
      <c r="C19" s="592"/>
      <c r="D19" s="415" t="s">
        <v>191</v>
      </c>
      <c r="E19" s="416"/>
      <c r="F19" s="593"/>
      <c r="G19" s="417" t="s">
        <v>192</v>
      </c>
      <c r="H19" s="418"/>
      <c r="I19" s="450" t="s">
        <v>199</v>
      </c>
      <c r="J19" s="451">
        <v>0</v>
      </c>
      <c r="K19" s="451">
        <v>24</v>
      </c>
      <c r="L19" s="451" t="e">
        <f t="shared" si="10"/>
        <v>#VALUE!</v>
      </c>
      <c r="M19" s="452">
        <v>45749</v>
      </c>
      <c r="N19" s="457">
        <f>M19-4</f>
        <v>45745</v>
      </c>
      <c r="O19" s="607"/>
      <c r="P19" s="607"/>
      <c r="Q19" s="453"/>
      <c r="R19" s="453" t="s">
        <v>194</v>
      </c>
      <c r="S19" s="453" t="s">
        <v>75</v>
      </c>
      <c r="T19" s="453" t="s">
        <v>75</v>
      </c>
      <c r="U19" s="481" t="s">
        <v>200</v>
      </c>
      <c r="V19" s="482" t="s">
        <v>196</v>
      </c>
      <c r="W19" s="627"/>
      <c r="X19" s="484"/>
      <c r="Y19" s="512" t="s">
        <v>197</v>
      </c>
      <c r="Z19" s="513">
        <v>18</v>
      </c>
      <c r="AA19" s="643"/>
      <c r="AB19" s="457"/>
      <c r="AC19" s="457"/>
      <c r="AD19" s="514" t="s">
        <v>198</v>
      </c>
      <c r="AE19" s="514" t="s">
        <v>198</v>
      </c>
      <c r="AF19" s="515"/>
      <c r="AG19" s="539"/>
      <c r="AH19" s="539"/>
      <c r="AI19" s="539"/>
      <c r="AJ19" s="541"/>
      <c r="AK19" s="541"/>
      <c r="AL19" s="541"/>
      <c r="AM19" s="541"/>
      <c r="AN19" s="541"/>
      <c r="AO19" s="541"/>
      <c r="AP19" s="541"/>
      <c r="AQ19" s="541"/>
      <c r="AR19" s="541"/>
      <c r="AS19" s="541"/>
      <c r="AT19" s="541"/>
      <c r="AU19" s="541"/>
      <c r="AV19" s="541"/>
      <c r="AW19" s="541"/>
      <c r="AX19" s="556"/>
      <c r="AY19" s="556"/>
      <c r="AZ19" s="541"/>
      <c r="BA19" s="557"/>
      <c r="BB19" s="557"/>
      <c r="BC19" s="557"/>
      <c r="BD19" s="557"/>
      <c r="BE19" s="557"/>
      <c r="BF19" s="557"/>
      <c r="BG19" s="557"/>
      <c r="BH19" s="557"/>
      <c r="BI19" s="557"/>
      <c r="BK19" s="665"/>
      <c r="BL19" s="665"/>
      <c r="BM19" s="665"/>
      <c r="BN19" s="665"/>
      <c r="BO19" s="665"/>
      <c r="BP19" s="665"/>
      <c r="BQ19" s="665"/>
      <c r="BR19" s="665"/>
      <c r="BS19" s="665"/>
    </row>
    <row r="20" s="570" customFormat="1" ht="30" customHeight="1" spans="1:71">
      <c r="A20" s="584">
        <v>45712</v>
      </c>
      <c r="B20" s="585" t="s">
        <v>201</v>
      </c>
      <c r="C20" s="588" t="s">
        <v>202</v>
      </c>
      <c r="D20" s="587">
        <v>4500158302</v>
      </c>
      <c r="E20" s="588"/>
      <c r="F20" s="591" t="s">
        <v>203</v>
      </c>
      <c r="G20" s="577" t="s">
        <v>162</v>
      </c>
      <c r="H20" s="578" t="s">
        <v>103</v>
      </c>
      <c r="I20" s="604">
        <v>576</v>
      </c>
      <c r="J20" s="602">
        <v>0</v>
      </c>
      <c r="K20" s="602">
        <v>48</v>
      </c>
      <c r="L20" s="602">
        <f t="shared" si="10"/>
        <v>12</v>
      </c>
      <c r="M20" s="603">
        <v>45763</v>
      </c>
      <c r="N20" s="605">
        <v>45758</v>
      </c>
      <c r="O20" s="606"/>
      <c r="P20" s="606" t="s">
        <v>94</v>
      </c>
      <c r="Q20" s="459" t="s">
        <v>95</v>
      </c>
      <c r="R20" s="459" t="s">
        <v>204</v>
      </c>
      <c r="S20" s="459" t="s">
        <v>75</v>
      </c>
      <c r="T20" s="459" t="s">
        <v>205</v>
      </c>
      <c r="U20" s="626" t="s">
        <v>206</v>
      </c>
      <c r="V20" s="625" t="s">
        <v>207</v>
      </c>
      <c r="W20" s="616">
        <v>0.9947</v>
      </c>
      <c r="X20" s="617">
        <f t="shared" ref="X20:X27" si="23">W20*I20</f>
        <v>572.9472</v>
      </c>
      <c r="Y20" s="641" t="s">
        <v>208</v>
      </c>
      <c r="Z20" s="642">
        <v>576</v>
      </c>
      <c r="AA20" s="639">
        <f>Z20-I20</f>
        <v>0</v>
      </c>
      <c r="AB20" s="605"/>
      <c r="AC20" s="605"/>
      <c r="AD20" s="591" t="s">
        <v>209</v>
      </c>
      <c r="AE20" s="638" t="s">
        <v>78</v>
      </c>
      <c r="AF20" s="640">
        <f t="shared" ref="AF20:AF42" si="24">I20</f>
        <v>576</v>
      </c>
      <c r="AG20" s="654"/>
      <c r="AH20" s="654">
        <f t="shared" ref="AH20:AH26" si="25">I20</f>
        <v>576</v>
      </c>
      <c r="AI20" s="654">
        <f t="shared" ref="AI20:AI27" si="26">I20</f>
        <v>576</v>
      </c>
      <c r="AJ20" s="655"/>
      <c r="AK20" s="655"/>
      <c r="AL20" s="655"/>
      <c r="AM20" s="655">
        <f t="shared" ref="AM20:AM26" si="27">I20/24</f>
        <v>24</v>
      </c>
      <c r="AN20" s="655"/>
      <c r="AO20" s="655"/>
      <c r="AP20" s="655"/>
      <c r="AQ20" s="655"/>
      <c r="AR20" s="655"/>
      <c r="AS20" s="655"/>
      <c r="AT20" s="655"/>
      <c r="AU20" s="655"/>
      <c r="AV20" s="655"/>
      <c r="AW20" s="655"/>
      <c r="AX20" s="661">
        <f t="shared" ref="AX20:AX29" si="28">I20</f>
        <v>576</v>
      </c>
      <c r="AY20" s="661"/>
      <c r="AZ20" s="655"/>
      <c r="BA20" s="660">
        <f t="shared" ref="BA20:BA28" si="29">I20*$BA$2</f>
        <v>72</v>
      </c>
      <c r="BB20" s="660">
        <f t="shared" ref="BB20:BB28" si="30">I20*$BB$2</f>
        <v>60.0000000000002</v>
      </c>
      <c r="BC20" s="660">
        <f t="shared" ref="BC20:BC28" si="31">I20*$BC$2</f>
        <v>12</v>
      </c>
      <c r="BD20" s="660">
        <f t="shared" ref="BD20:BD28" si="32">I20*$BD$2</f>
        <v>72</v>
      </c>
      <c r="BE20" s="660">
        <f t="shared" ref="BE20:BE28" si="33">I20*$BE$2</f>
        <v>72</v>
      </c>
      <c r="BF20" s="660">
        <f t="shared" ref="BF20:BF28" si="34">I20*$BF$2</f>
        <v>72</v>
      </c>
      <c r="BG20" s="660">
        <f t="shared" ref="BG20:BG28" si="35">I20*$BG$2</f>
        <v>72</v>
      </c>
      <c r="BH20" s="660">
        <f t="shared" ref="BH20:BH28" si="36">I20*$BH$2</f>
        <v>72</v>
      </c>
      <c r="BI20" s="660">
        <f t="shared" ref="BI20:BI28" si="37">I20*$BI$2</f>
        <v>72</v>
      </c>
      <c r="BK20" s="664">
        <f>BK17-BA20</f>
        <v>6042.75</v>
      </c>
      <c r="BL20" s="664">
        <f>BL17-BB20</f>
        <v>5212.12499999985</v>
      </c>
      <c r="BM20" s="664">
        <f>BM17-BD20</f>
        <v>6055.75</v>
      </c>
      <c r="BN20" s="664">
        <f>BN17-BC20</f>
        <v>917.624999999981</v>
      </c>
      <c r="BO20" s="664">
        <f>BO17-BE20</f>
        <v>4177.75</v>
      </c>
      <c r="BP20" s="664">
        <f>BP17-BF20</f>
        <v>6055.75</v>
      </c>
      <c r="BQ20" s="664">
        <f>BQ17-BG20</f>
        <v>6055.75</v>
      </c>
      <c r="BR20" s="664">
        <f>BR17-BH20</f>
        <v>6455.75</v>
      </c>
      <c r="BS20" s="664">
        <f>BS17-BI20</f>
        <v>6055.75</v>
      </c>
    </row>
    <row r="21" s="570" customFormat="1" ht="30" customHeight="1" spans="1:71">
      <c r="A21" s="584">
        <v>45712</v>
      </c>
      <c r="B21" s="585" t="s">
        <v>210</v>
      </c>
      <c r="C21" s="588" t="s">
        <v>211</v>
      </c>
      <c r="D21" s="587">
        <v>4500158358</v>
      </c>
      <c r="E21" s="588"/>
      <c r="F21" s="591" t="s">
        <v>212</v>
      </c>
      <c r="G21" s="577" t="s">
        <v>162</v>
      </c>
      <c r="H21" s="578" t="s">
        <v>103</v>
      </c>
      <c r="I21" s="604">
        <v>192</v>
      </c>
      <c r="J21" s="602">
        <v>0</v>
      </c>
      <c r="K21" s="602">
        <v>48</v>
      </c>
      <c r="L21" s="602">
        <f t="shared" si="10"/>
        <v>4</v>
      </c>
      <c r="M21" s="603">
        <v>45763</v>
      </c>
      <c r="N21" s="605">
        <v>45758</v>
      </c>
      <c r="O21" s="606"/>
      <c r="P21" s="606" t="s">
        <v>94</v>
      </c>
      <c r="Q21" s="606" t="s">
        <v>95</v>
      </c>
      <c r="R21" s="459" t="s">
        <v>204</v>
      </c>
      <c r="S21" s="459" t="s">
        <v>75</v>
      </c>
      <c r="T21" s="459" t="s">
        <v>213</v>
      </c>
      <c r="U21" s="626" t="s">
        <v>214</v>
      </c>
      <c r="V21" s="625" t="s">
        <v>207</v>
      </c>
      <c r="W21" s="616">
        <v>0.9947</v>
      </c>
      <c r="X21" s="617">
        <f t="shared" si="23"/>
        <v>190.9824</v>
      </c>
      <c r="Y21" s="641" t="s">
        <v>215</v>
      </c>
      <c r="Z21" s="642">
        <v>192</v>
      </c>
      <c r="AA21" s="639">
        <f>Z21-I21</f>
        <v>0</v>
      </c>
      <c r="AB21" s="605"/>
      <c r="AC21" s="605"/>
      <c r="AD21" s="591" t="s">
        <v>209</v>
      </c>
      <c r="AE21" s="638" t="s">
        <v>78</v>
      </c>
      <c r="AF21" s="640">
        <f t="shared" si="24"/>
        <v>192</v>
      </c>
      <c r="AG21" s="654"/>
      <c r="AH21" s="654">
        <f t="shared" si="25"/>
        <v>192</v>
      </c>
      <c r="AI21" s="654">
        <f t="shared" si="26"/>
        <v>192</v>
      </c>
      <c r="AJ21" s="655"/>
      <c r="AK21" s="655"/>
      <c r="AL21" s="655"/>
      <c r="AM21" s="655">
        <f t="shared" si="27"/>
        <v>8</v>
      </c>
      <c r="AN21" s="655"/>
      <c r="AO21" s="655"/>
      <c r="AP21" s="655"/>
      <c r="AQ21" s="655"/>
      <c r="AR21" s="655"/>
      <c r="AS21" s="655"/>
      <c r="AT21" s="655"/>
      <c r="AU21" s="655"/>
      <c r="AV21" s="655"/>
      <c r="AW21" s="655"/>
      <c r="AX21" s="661">
        <f t="shared" si="28"/>
        <v>192</v>
      </c>
      <c r="AY21" s="661"/>
      <c r="AZ21" s="655"/>
      <c r="BA21" s="660">
        <f t="shared" si="29"/>
        <v>24</v>
      </c>
      <c r="BB21" s="660">
        <f t="shared" si="30"/>
        <v>20.0000000000001</v>
      </c>
      <c r="BC21" s="660">
        <f t="shared" si="31"/>
        <v>3.99999999999999</v>
      </c>
      <c r="BD21" s="660">
        <f t="shared" si="32"/>
        <v>24</v>
      </c>
      <c r="BE21" s="660">
        <f t="shared" si="33"/>
        <v>24</v>
      </c>
      <c r="BF21" s="660">
        <f t="shared" si="34"/>
        <v>24</v>
      </c>
      <c r="BG21" s="660">
        <f t="shared" si="35"/>
        <v>24</v>
      </c>
      <c r="BH21" s="660">
        <f t="shared" si="36"/>
        <v>24</v>
      </c>
      <c r="BI21" s="660">
        <f t="shared" si="37"/>
        <v>24</v>
      </c>
      <c r="BK21" s="664">
        <f t="shared" ref="BK21:BK29" si="38">BK20-BA21</f>
        <v>6018.75</v>
      </c>
      <c r="BL21" s="664">
        <f t="shared" ref="BL21:BL29" si="39">BL20-BB21</f>
        <v>5192.12499999985</v>
      </c>
      <c r="BM21" s="664">
        <f t="shared" ref="BM21:BM29" si="40">BM20-BD21</f>
        <v>6031.75</v>
      </c>
      <c r="BN21" s="664">
        <f t="shared" ref="BN21:BN29" si="41">BN20-BC21</f>
        <v>913.624999999981</v>
      </c>
      <c r="BO21" s="664">
        <f t="shared" ref="BO21:BO29" si="42">BO20-BE21</f>
        <v>4153.75</v>
      </c>
      <c r="BP21" s="664">
        <f t="shared" ref="BP21:BP29" si="43">BP20-BF21</f>
        <v>6031.75</v>
      </c>
      <c r="BQ21" s="664">
        <f t="shared" ref="BQ21:BQ29" si="44">BQ20-BG21</f>
        <v>6031.75</v>
      </c>
      <c r="BR21" s="664">
        <f t="shared" ref="BR21:BR29" si="45">BR20-BH21</f>
        <v>6431.75</v>
      </c>
      <c r="BS21" s="664">
        <f t="shared" ref="BS21:BS29" si="46">BS20-BI21</f>
        <v>6031.75</v>
      </c>
    </row>
    <row r="22" s="570" customFormat="1" ht="30" customHeight="1" spans="1:71">
      <c r="A22" s="584">
        <v>45712</v>
      </c>
      <c r="B22" s="585" t="s">
        <v>216</v>
      </c>
      <c r="C22" s="588" t="s">
        <v>217</v>
      </c>
      <c r="D22" s="587">
        <v>4500158415</v>
      </c>
      <c r="E22" s="588"/>
      <c r="F22" s="591" t="s">
        <v>218</v>
      </c>
      <c r="G22" s="577" t="s">
        <v>162</v>
      </c>
      <c r="H22" s="578" t="s">
        <v>103</v>
      </c>
      <c r="I22" s="604">
        <v>384</v>
      </c>
      <c r="J22" s="602">
        <v>0</v>
      </c>
      <c r="K22" s="602">
        <v>48</v>
      </c>
      <c r="L22" s="602">
        <f t="shared" si="10"/>
        <v>8</v>
      </c>
      <c r="M22" s="603">
        <v>45763</v>
      </c>
      <c r="N22" s="605">
        <v>45758</v>
      </c>
      <c r="O22" s="606"/>
      <c r="P22" s="606" t="s">
        <v>94</v>
      </c>
      <c r="Q22" s="606" t="s">
        <v>219</v>
      </c>
      <c r="R22" s="459" t="s">
        <v>204</v>
      </c>
      <c r="S22" s="459" t="s">
        <v>75</v>
      </c>
      <c r="T22" s="459" t="s">
        <v>213</v>
      </c>
      <c r="U22" s="626" t="s">
        <v>220</v>
      </c>
      <c r="V22" s="625" t="s">
        <v>207</v>
      </c>
      <c r="W22" s="616">
        <v>0.9947</v>
      </c>
      <c r="X22" s="617">
        <f t="shared" si="23"/>
        <v>381.9648</v>
      </c>
      <c r="Y22" s="644" t="s">
        <v>221</v>
      </c>
      <c r="Z22" s="642">
        <v>384</v>
      </c>
      <c r="AA22" s="639">
        <f>Z22-I22</f>
        <v>0</v>
      </c>
      <c r="AB22" s="605"/>
      <c r="AC22" s="605"/>
      <c r="AD22" s="591" t="s">
        <v>209</v>
      </c>
      <c r="AE22" s="638" t="s">
        <v>78</v>
      </c>
      <c r="AF22" s="640">
        <f t="shared" si="24"/>
        <v>384</v>
      </c>
      <c r="AG22" s="654"/>
      <c r="AH22" s="654">
        <f t="shared" si="25"/>
        <v>384</v>
      </c>
      <c r="AI22" s="654">
        <f t="shared" si="26"/>
        <v>384</v>
      </c>
      <c r="AJ22" s="655"/>
      <c r="AK22" s="655"/>
      <c r="AL22" s="655"/>
      <c r="AM22" s="655">
        <f t="shared" si="27"/>
        <v>16</v>
      </c>
      <c r="AN22" s="655"/>
      <c r="AO22" s="655"/>
      <c r="AP22" s="655"/>
      <c r="AQ22" s="655"/>
      <c r="AR22" s="655"/>
      <c r="AS22" s="655"/>
      <c r="AT22" s="655"/>
      <c r="AU22" s="655"/>
      <c r="AV22" s="655"/>
      <c r="AW22" s="655"/>
      <c r="AX22" s="661">
        <f t="shared" si="28"/>
        <v>384</v>
      </c>
      <c r="AY22" s="661"/>
      <c r="AZ22" s="655"/>
      <c r="BA22" s="660">
        <f t="shared" si="29"/>
        <v>48</v>
      </c>
      <c r="BB22" s="660">
        <f t="shared" si="30"/>
        <v>40.0000000000001</v>
      </c>
      <c r="BC22" s="660">
        <f t="shared" si="31"/>
        <v>7.99999999999999</v>
      </c>
      <c r="BD22" s="660">
        <f t="shared" si="32"/>
        <v>48</v>
      </c>
      <c r="BE22" s="660">
        <f t="shared" si="33"/>
        <v>48</v>
      </c>
      <c r="BF22" s="660">
        <f t="shared" si="34"/>
        <v>48</v>
      </c>
      <c r="BG22" s="660">
        <f t="shared" si="35"/>
        <v>48</v>
      </c>
      <c r="BH22" s="660">
        <f t="shared" si="36"/>
        <v>48</v>
      </c>
      <c r="BI22" s="660">
        <f t="shared" si="37"/>
        <v>48</v>
      </c>
      <c r="BK22" s="664">
        <f t="shared" si="38"/>
        <v>5970.75</v>
      </c>
      <c r="BL22" s="664">
        <f t="shared" si="39"/>
        <v>5152.12499999985</v>
      </c>
      <c r="BM22" s="664">
        <f t="shared" si="40"/>
        <v>5983.75</v>
      </c>
      <c r="BN22" s="664">
        <f t="shared" si="41"/>
        <v>905.624999999981</v>
      </c>
      <c r="BO22" s="664">
        <f t="shared" si="42"/>
        <v>4105.75</v>
      </c>
      <c r="BP22" s="664">
        <f t="shared" si="43"/>
        <v>5983.75</v>
      </c>
      <c r="BQ22" s="664">
        <f t="shared" si="44"/>
        <v>5983.75</v>
      </c>
      <c r="BR22" s="664">
        <f t="shared" si="45"/>
        <v>6383.75</v>
      </c>
      <c r="BS22" s="664">
        <f t="shared" si="46"/>
        <v>5983.75</v>
      </c>
    </row>
    <row r="23" s="570" customFormat="1" ht="30" customHeight="1" spans="1:71">
      <c r="A23" s="584">
        <v>45714</v>
      </c>
      <c r="B23" s="585" t="s">
        <v>222</v>
      </c>
      <c r="C23" s="588" t="s">
        <v>223</v>
      </c>
      <c r="D23" s="587">
        <v>4500158535</v>
      </c>
      <c r="E23" s="588"/>
      <c r="F23" s="591" t="s">
        <v>224</v>
      </c>
      <c r="G23" s="577" t="s">
        <v>162</v>
      </c>
      <c r="H23" s="578" t="s">
        <v>103</v>
      </c>
      <c r="I23" s="604">
        <v>1440</v>
      </c>
      <c r="J23" s="602">
        <v>0</v>
      </c>
      <c r="K23" s="602">
        <v>48</v>
      </c>
      <c r="L23" s="602">
        <f t="shared" si="10"/>
        <v>30</v>
      </c>
      <c r="M23" s="603">
        <v>45763</v>
      </c>
      <c r="N23" s="605">
        <v>45758</v>
      </c>
      <c r="O23" s="606"/>
      <c r="P23" s="606" t="s">
        <v>94</v>
      </c>
      <c r="Q23" s="606" t="s">
        <v>225</v>
      </c>
      <c r="R23" s="459" t="s">
        <v>204</v>
      </c>
      <c r="S23" s="459" t="s">
        <v>75</v>
      </c>
      <c r="T23" s="459" t="s">
        <v>213</v>
      </c>
      <c r="U23" s="626" t="s">
        <v>226</v>
      </c>
      <c r="V23" s="625" t="s">
        <v>207</v>
      </c>
      <c r="W23" s="616">
        <v>0.9907</v>
      </c>
      <c r="X23" s="617">
        <f t="shared" si="23"/>
        <v>1426.608</v>
      </c>
      <c r="Y23" s="641" t="s">
        <v>227</v>
      </c>
      <c r="Z23" s="642">
        <v>1440</v>
      </c>
      <c r="AA23" s="639">
        <f>Z23-I23</f>
        <v>0</v>
      </c>
      <c r="AB23" s="605"/>
      <c r="AC23" s="605"/>
      <c r="AD23" s="591" t="s">
        <v>209</v>
      </c>
      <c r="AE23" s="638" t="s">
        <v>78</v>
      </c>
      <c r="AF23" s="640">
        <f t="shared" si="24"/>
        <v>1440</v>
      </c>
      <c r="AG23" s="654"/>
      <c r="AH23" s="654">
        <f t="shared" si="25"/>
        <v>1440</v>
      </c>
      <c r="AI23" s="654">
        <f t="shared" si="26"/>
        <v>1440</v>
      </c>
      <c r="AJ23" s="655"/>
      <c r="AK23" s="655"/>
      <c r="AL23" s="655"/>
      <c r="AM23" s="655">
        <f t="shared" si="27"/>
        <v>60</v>
      </c>
      <c r="AN23" s="655"/>
      <c r="AO23" s="655"/>
      <c r="AP23" s="655"/>
      <c r="AQ23" s="655"/>
      <c r="AR23" s="655"/>
      <c r="AS23" s="655"/>
      <c r="AT23" s="655"/>
      <c r="AU23" s="655"/>
      <c r="AV23" s="655"/>
      <c r="AW23" s="655"/>
      <c r="AX23" s="661">
        <f t="shared" si="28"/>
        <v>1440</v>
      </c>
      <c r="AY23" s="661"/>
      <c r="AZ23" s="655"/>
      <c r="BA23" s="660">
        <f t="shared" si="29"/>
        <v>180</v>
      </c>
      <c r="BB23" s="660">
        <f t="shared" si="30"/>
        <v>150</v>
      </c>
      <c r="BC23" s="660">
        <f t="shared" si="31"/>
        <v>30</v>
      </c>
      <c r="BD23" s="660">
        <f t="shared" si="32"/>
        <v>180</v>
      </c>
      <c r="BE23" s="660">
        <f t="shared" si="33"/>
        <v>180</v>
      </c>
      <c r="BF23" s="660">
        <f t="shared" si="34"/>
        <v>180</v>
      </c>
      <c r="BG23" s="660">
        <f t="shared" si="35"/>
        <v>180</v>
      </c>
      <c r="BH23" s="660">
        <f t="shared" si="36"/>
        <v>180</v>
      </c>
      <c r="BI23" s="660">
        <f t="shared" si="37"/>
        <v>180</v>
      </c>
      <c r="BK23" s="664">
        <f t="shared" si="38"/>
        <v>5790.75</v>
      </c>
      <c r="BL23" s="664">
        <f t="shared" si="39"/>
        <v>5002.12499999985</v>
      </c>
      <c r="BM23" s="664">
        <f t="shared" si="40"/>
        <v>5803.75</v>
      </c>
      <c r="BN23" s="664">
        <f t="shared" si="41"/>
        <v>875.624999999981</v>
      </c>
      <c r="BO23" s="664">
        <f t="shared" si="42"/>
        <v>3925.75</v>
      </c>
      <c r="BP23" s="664">
        <f t="shared" si="43"/>
        <v>5803.75</v>
      </c>
      <c r="BQ23" s="664">
        <f t="shared" si="44"/>
        <v>5803.75</v>
      </c>
      <c r="BR23" s="664">
        <f t="shared" si="45"/>
        <v>6203.75</v>
      </c>
      <c r="BS23" s="664">
        <f t="shared" si="46"/>
        <v>5803.75</v>
      </c>
    </row>
    <row r="24" s="570" customFormat="1" ht="30" customHeight="1" spans="1:71">
      <c r="A24" s="584">
        <v>45714</v>
      </c>
      <c r="B24" s="585" t="s">
        <v>228</v>
      </c>
      <c r="C24" s="588" t="s">
        <v>229</v>
      </c>
      <c r="D24" s="587">
        <v>4500158447</v>
      </c>
      <c r="E24" s="588"/>
      <c r="F24" s="591" t="s">
        <v>230</v>
      </c>
      <c r="G24" s="577" t="s">
        <v>162</v>
      </c>
      <c r="H24" s="578" t="s">
        <v>103</v>
      </c>
      <c r="I24" s="604">
        <v>1056</v>
      </c>
      <c r="J24" s="602">
        <v>0</v>
      </c>
      <c r="K24" s="602">
        <v>48</v>
      </c>
      <c r="L24" s="602">
        <f t="shared" si="10"/>
        <v>22</v>
      </c>
      <c r="M24" s="603">
        <v>45763</v>
      </c>
      <c r="N24" s="605">
        <v>45758</v>
      </c>
      <c r="O24" s="606"/>
      <c r="P24" s="606" t="s">
        <v>94</v>
      </c>
      <c r="Q24" s="606" t="s">
        <v>231</v>
      </c>
      <c r="R24" s="459" t="s">
        <v>204</v>
      </c>
      <c r="S24" s="459" t="s">
        <v>75</v>
      </c>
      <c r="T24" s="459" t="s">
        <v>213</v>
      </c>
      <c r="U24" s="626" t="s">
        <v>220</v>
      </c>
      <c r="V24" s="625" t="s">
        <v>207</v>
      </c>
      <c r="W24" s="616">
        <v>0.9907</v>
      </c>
      <c r="X24" s="617">
        <f t="shared" si="23"/>
        <v>1046.1792</v>
      </c>
      <c r="Y24" s="641" t="s">
        <v>232</v>
      </c>
      <c r="Z24" s="642">
        <f>1008+48</f>
        <v>1056</v>
      </c>
      <c r="AA24" s="639">
        <f>Z24-I24</f>
        <v>0</v>
      </c>
      <c r="AB24" s="605"/>
      <c r="AC24" s="605"/>
      <c r="AD24" s="591" t="s">
        <v>209</v>
      </c>
      <c r="AE24" s="638" t="s">
        <v>78</v>
      </c>
      <c r="AF24" s="640">
        <f t="shared" si="24"/>
        <v>1056</v>
      </c>
      <c r="AG24" s="654"/>
      <c r="AH24" s="654">
        <f t="shared" si="25"/>
        <v>1056</v>
      </c>
      <c r="AI24" s="654">
        <f t="shared" si="26"/>
        <v>1056</v>
      </c>
      <c r="AJ24" s="655"/>
      <c r="AK24" s="655"/>
      <c r="AL24" s="655"/>
      <c r="AM24" s="655">
        <f t="shared" si="27"/>
        <v>44</v>
      </c>
      <c r="AN24" s="655"/>
      <c r="AO24" s="655"/>
      <c r="AP24" s="655"/>
      <c r="AQ24" s="655"/>
      <c r="AR24" s="655"/>
      <c r="AS24" s="655"/>
      <c r="AT24" s="655"/>
      <c r="AU24" s="655"/>
      <c r="AV24" s="655"/>
      <c r="AW24" s="655"/>
      <c r="AX24" s="661">
        <f t="shared" si="28"/>
        <v>1056</v>
      </c>
      <c r="AY24" s="661"/>
      <c r="AZ24" s="655"/>
      <c r="BA24" s="660">
        <f t="shared" si="29"/>
        <v>132</v>
      </c>
      <c r="BB24" s="660">
        <f t="shared" si="30"/>
        <v>110</v>
      </c>
      <c r="BC24" s="660">
        <f t="shared" si="31"/>
        <v>22</v>
      </c>
      <c r="BD24" s="660">
        <f t="shared" si="32"/>
        <v>132</v>
      </c>
      <c r="BE24" s="660">
        <f t="shared" si="33"/>
        <v>132</v>
      </c>
      <c r="BF24" s="660">
        <f t="shared" si="34"/>
        <v>132</v>
      </c>
      <c r="BG24" s="660">
        <f t="shared" si="35"/>
        <v>132</v>
      </c>
      <c r="BH24" s="660">
        <f t="shared" si="36"/>
        <v>132</v>
      </c>
      <c r="BI24" s="660">
        <f t="shared" si="37"/>
        <v>132</v>
      </c>
      <c r="BK24" s="664">
        <f t="shared" si="38"/>
        <v>5658.75</v>
      </c>
      <c r="BL24" s="664">
        <f t="shared" si="39"/>
        <v>4892.12499999985</v>
      </c>
      <c r="BM24" s="664">
        <f t="shared" si="40"/>
        <v>5671.75</v>
      </c>
      <c r="BN24" s="664">
        <f t="shared" si="41"/>
        <v>853.624999999981</v>
      </c>
      <c r="BO24" s="664">
        <f t="shared" si="42"/>
        <v>3793.75</v>
      </c>
      <c r="BP24" s="664">
        <f t="shared" si="43"/>
        <v>5671.75</v>
      </c>
      <c r="BQ24" s="664">
        <f t="shared" si="44"/>
        <v>5671.75</v>
      </c>
      <c r="BR24" s="664">
        <f t="shared" si="45"/>
        <v>6071.75</v>
      </c>
      <c r="BS24" s="664">
        <f t="shared" si="46"/>
        <v>5671.75</v>
      </c>
    </row>
    <row r="25" s="570" customFormat="1" ht="30" customHeight="1" spans="1:71">
      <c r="A25" s="584">
        <v>45755</v>
      </c>
      <c r="B25" s="585" t="s">
        <v>233</v>
      </c>
      <c r="C25" s="594" t="s">
        <v>229</v>
      </c>
      <c r="D25" s="587">
        <v>4500162922</v>
      </c>
      <c r="E25" s="588" t="s">
        <v>234</v>
      </c>
      <c r="F25" s="591" t="s">
        <v>235</v>
      </c>
      <c r="G25" s="577" t="s">
        <v>162</v>
      </c>
      <c r="H25" s="578" t="s">
        <v>103</v>
      </c>
      <c r="I25" s="604">
        <v>3168</v>
      </c>
      <c r="J25" s="602">
        <v>0</v>
      </c>
      <c r="K25" s="602">
        <v>48</v>
      </c>
      <c r="L25" s="602">
        <f t="shared" si="10"/>
        <v>66</v>
      </c>
      <c r="M25" s="603">
        <v>45792</v>
      </c>
      <c r="N25" s="605">
        <v>45789</v>
      </c>
      <c r="O25" s="606" t="s">
        <v>236</v>
      </c>
      <c r="P25" s="606" t="s">
        <v>94</v>
      </c>
      <c r="Q25" s="628" t="s">
        <v>237</v>
      </c>
      <c r="R25" s="459">
        <v>45762</v>
      </c>
      <c r="S25" s="459" t="s">
        <v>75</v>
      </c>
      <c r="T25" s="459" t="s">
        <v>238</v>
      </c>
      <c r="U25" s="626" t="s">
        <v>239</v>
      </c>
      <c r="V25" s="625" t="s">
        <v>145</v>
      </c>
      <c r="W25" s="616">
        <v>0.961</v>
      </c>
      <c r="X25" s="617">
        <f t="shared" si="23"/>
        <v>3044.448</v>
      </c>
      <c r="Y25" s="641" t="s">
        <v>240</v>
      </c>
      <c r="Z25" s="642">
        <v>3168</v>
      </c>
      <c r="AA25" s="642">
        <v>0</v>
      </c>
      <c r="AB25" s="605"/>
      <c r="AC25" s="605"/>
      <c r="AD25" s="591" t="s">
        <v>209</v>
      </c>
      <c r="AE25" s="638" t="s">
        <v>78</v>
      </c>
      <c r="AF25" s="640">
        <f t="shared" si="24"/>
        <v>3168</v>
      </c>
      <c r="AG25" s="654"/>
      <c r="AH25" s="654">
        <f t="shared" si="25"/>
        <v>3168</v>
      </c>
      <c r="AI25" s="654">
        <f t="shared" si="26"/>
        <v>3168</v>
      </c>
      <c r="AJ25" s="655"/>
      <c r="AK25" s="655"/>
      <c r="AL25" s="655"/>
      <c r="AM25" s="655">
        <f t="shared" si="27"/>
        <v>132</v>
      </c>
      <c r="AN25" s="655"/>
      <c r="AO25" s="655"/>
      <c r="AP25" s="655"/>
      <c r="AQ25" s="655"/>
      <c r="AR25" s="655"/>
      <c r="AS25" s="655"/>
      <c r="AT25" s="655"/>
      <c r="AU25" s="655"/>
      <c r="AV25" s="655"/>
      <c r="AW25" s="655"/>
      <c r="AX25" s="661">
        <f t="shared" si="28"/>
        <v>3168</v>
      </c>
      <c r="AY25" s="661"/>
      <c r="AZ25" s="655"/>
      <c r="BA25" s="660">
        <f t="shared" si="29"/>
        <v>396</v>
      </c>
      <c r="BB25" s="660">
        <f t="shared" si="30"/>
        <v>330.000000000001</v>
      </c>
      <c r="BC25" s="660">
        <f t="shared" si="31"/>
        <v>65.9999999999999</v>
      </c>
      <c r="BD25" s="660">
        <f t="shared" si="32"/>
        <v>396</v>
      </c>
      <c r="BE25" s="660">
        <f t="shared" si="33"/>
        <v>396</v>
      </c>
      <c r="BF25" s="660">
        <f t="shared" si="34"/>
        <v>396</v>
      </c>
      <c r="BG25" s="660">
        <f t="shared" si="35"/>
        <v>396</v>
      </c>
      <c r="BH25" s="660">
        <f t="shared" si="36"/>
        <v>396</v>
      </c>
      <c r="BI25" s="660">
        <f t="shared" si="37"/>
        <v>396</v>
      </c>
      <c r="BK25" s="664">
        <f t="shared" si="38"/>
        <v>5262.75</v>
      </c>
      <c r="BL25" s="664">
        <f t="shared" si="39"/>
        <v>4562.12499999985</v>
      </c>
      <c r="BM25" s="664">
        <f t="shared" si="40"/>
        <v>5275.75</v>
      </c>
      <c r="BN25" s="664">
        <f t="shared" si="41"/>
        <v>787.624999999981</v>
      </c>
      <c r="BO25" s="664">
        <f t="shared" si="42"/>
        <v>3397.75</v>
      </c>
      <c r="BP25" s="664">
        <f t="shared" si="43"/>
        <v>5275.75</v>
      </c>
      <c r="BQ25" s="664">
        <f t="shared" si="44"/>
        <v>5275.75</v>
      </c>
      <c r="BR25" s="664">
        <f t="shared" si="45"/>
        <v>5675.75</v>
      </c>
      <c r="BS25" s="664">
        <f t="shared" si="46"/>
        <v>5275.75</v>
      </c>
    </row>
    <row r="26" s="570" customFormat="1" ht="30" customHeight="1" spans="1:71">
      <c r="A26" s="584">
        <v>45757</v>
      </c>
      <c r="B26" s="585" t="s">
        <v>241</v>
      </c>
      <c r="C26" s="594" t="s">
        <v>242</v>
      </c>
      <c r="D26" s="587">
        <v>4500162850</v>
      </c>
      <c r="E26" s="588" t="s">
        <v>243</v>
      </c>
      <c r="F26" s="591" t="s">
        <v>244</v>
      </c>
      <c r="G26" s="577" t="s">
        <v>162</v>
      </c>
      <c r="H26" s="578" t="s">
        <v>103</v>
      </c>
      <c r="I26" s="604">
        <v>480</v>
      </c>
      <c r="J26" s="602">
        <v>0</v>
      </c>
      <c r="K26" s="602">
        <v>48</v>
      </c>
      <c r="L26" s="602">
        <f t="shared" si="10"/>
        <v>10</v>
      </c>
      <c r="M26" s="603">
        <v>45821</v>
      </c>
      <c r="N26" s="603">
        <v>45818</v>
      </c>
      <c r="O26" s="459" t="s">
        <v>245</v>
      </c>
      <c r="P26" s="459" t="s">
        <v>74</v>
      </c>
      <c r="Q26" s="606" t="s">
        <v>246</v>
      </c>
      <c r="R26" s="459" t="s">
        <v>247</v>
      </c>
      <c r="S26" s="459" t="s">
        <v>125</v>
      </c>
      <c r="T26" s="459" t="s">
        <v>248</v>
      </c>
      <c r="U26" s="626" t="s">
        <v>249</v>
      </c>
      <c r="V26" s="625" t="s">
        <v>207</v>
      </c>
      <c r="W26" s="616">
        <v>0.9931</v>
      </c>
      <c r="X26" s="617">
        <f t="shared" si="23"/>
        <v>476.688</v>
      </c>
      <c r="Y26" s="641" t="s">
        <v>250</v>
      </c>
      <c r="Z26" s="642">
        <v>480</v>
      </c>
      <c r="AA26" s="642">
        <v>0</v>
      </c>
      <c r="AB26" s="603"/>
      <c r="AC26" s="605"/>
      <c r="AD26" s="591" t="s">
        <v>209</v>
      </c>
      <c r="AE26" s="638" t="s">
        <v>78</v>
      </c>
      <c r="AF26" s="640">
        <f t="shared" si="24"/>
        <v>480</v>
      </c>
      <c r="AG26" s="654"/>
      <c r="AH26" s="654">
        <f t="shared" si="25"/>
        <v>480</v>
      </c>
      <c r="AI26" s="654">
        <f t="shared" si="26"/>
        <v>480</v>
      </c>
      <c r="AJ26" s="655"/>
      <c r="AK26" s="655"/>
      <c r="AL26" s="655"/>
      <c r="AM26" s="655">
        <f t="shared" si="27"/>
        <v>20</v>
      </c>
      <c r="AN26" s="655"/>
      <c r="AO26" s="655"/>
      <c r="AP26" s="655"/>
      <c r="AQ26" s="655"/>
      <c r="AR26" s="655"/>
      <c r="AS26" s="655"/>
      <c r="AT26" s="655"/>
      <c r="AU26" s="655"/>
      <c r="AV26" s="655"/>
      <c r="AW26" s="655"/>
      <c r="AX26" s="661">
        <f t="shared" si="28"/>
        <v>480</v>
      </c>
      <c r="AY26" s="661"/>
      <c r="AZ26" s="655"/>
      <c r="BA26" s="660">
        <f t="shared" si="29"/>
        <v>60</v>
      </c>
      <c r="BB26" s="660">
        <f t="shared" si="30"/>
        <v>50.0000000000002</v>
      </c>
      <c r="BC26" s="660">
        <f t="shared" si="31"/>
        <v>9.99999999999998</v>
      </c>
      <c r="BD26" s="660">
        <f t="shared" si="32"/>
        <v>60</v>
      </c>
      <c r="BE26" s="660">
        <f t="shared" si="33"/>
        <v>60</v>
      </c>
      <c r="BF26" s="660">
        <f t="shared" si="34"/>
        <v>60</v>
      </c>
      <c r="BG26" s="660">
        <f t="shared" si="35"/>
        <v>60</v>
      </c>
      <c r="BH26" s="660">
        <f t="shared" si="36"/>
        <v>60</v>
      </c>
      <c r="BI26" s="660">
        <f t="shared" si="37"/>
        <v>60</v>
      </c>
      <c r="BK26" s="664">
        <f t="shared" si="38"/>
        <v>5202.75</v>
      </c>
      <c r="BL26" s="664">
        <f t="shared" si="39"/>
        <v>4512.12499999985</v>
      </c>
      <c r="BM26" s="664">
        <f t="shared" si="40"/>
        <v>5215.75</v>
      </c>
      <c r="BN26" s="664">
        <f t="shared" si="41"/>
        <v>777.624999999981</v>
      </c>
      <c r="BO26" s="664">
        <f t="shared" si="42"/>
        <v>3337.75</v>
      </c>
      <c r="BP26" s="664">
        <f t="shared" si="43"/>
        <v>5215.75</v>
      </c>
      <c r="BQ26" s="664">
        <f t="shared" si="44"/>
        <v>5215.75</v>
      </c>
      <c r="BR26" s="664">
        <f t="shared" si="45"/>
        <v>5615.75</v>
      </c>
      <c r="BS26" s="664">
        <f t="shared" si="46"/>
        <v>5215.75</v>
      </c>
    </row>
    <row r="27" s="570" customFormat="1" ht="30" customHeight="1" spans="1:71">
      <c r="A27" s="584">
        <v>45792</v>
      </c>
      <c r="B27" s="585" t="s">
        <v>251</v>
      </c>
      <c r="C27" s="594" t="s">
        <v>252</v>
      </c>
      <c r="D27" s="587">
        <v>4500166516</v>
      </c>
      <c r="E27" s="588"/>
      <c r="F27" s="591" t="s">
        <v>253</v>
      </c>
      <c r="G27" s="577" t="s">
        <v>162</v>
      </c>
      <c r="H27" s="578" t="s">
        <v>103</v>
      </c>
      <c r="I27" s="604">
        <v>2400</v>
      </c>
      <c r="J27" s="602">
        <v>0</v>
      </c>
      <c r="K27" s="602">
        <v>48</v>
      </c>
      <c r="L27" s="602">
        <f t="shared" si="10"/>
        <v>50</v>
      </c>
      <c r="M27" s="603">
        <v>45838</v>
      </c>
      <c r="N27" s="603">
        <v>45834</v>
      </c>
      <c r="O27" s="459"/>
      <c r="P27" s="606" t="s">
        <v>94</v>
      </c>
      <c r="Q27" s="459" t="s">
        <v>254</v>
      </c>
      <c r="R27" s="459">
        <v>45796</v>
      </c>
      <c r="S27" s="459" t="s">
        <v>75</v>
      </c>
      <c r="T27" s="459" t="s">
        <v>75</v>
      </c>
      <c r="U27" s="626" t="s">
        <v>255</v>
      </c>
      <c r="V27" s="625" t="s">
        <v>256</v>
      </c>
      <c r="W27" s="616">
        <v>0.9892</v>
      </c>
      <c r="X27" s="617">
        <f t="shared" si="23"/>
        <v>2374.08</v>
      </c>
      <c r="Y27" s="641" t="s">
        <v>257</v>
      </c>
      <c r="Z27" s="642">
        <f>2352+48</f>
        <v>2400</v>
      </c>
      <c r="AA27" s="642">
        <f>Z27-I27</f>
        <v>0</v>
      </c>
      <c r="AB27" s="603"/>
      <c r="AC27" s="605"/>
      <c r="AD27" s="591" t="s">
        <v>162</v>
      </c>
      <c r="AE27" s="638" t="s">
        <v>78</v>
      </c>
      <c r="AF27" s="640">
        <f t="shared" si="24"/>
        <v>2400</v>
      </c>
      <c r="AG27" s="654">
        <f>I27</f>
        <v>2400</v>
      </c>
      <c r="AH27" s="654"/>
      <c r="AI27" s="654">
        <f t="shared" si="26"/>
        <v>2400</v>
      </c>
      <c r="AJ27" s="655"/>
      <c r="AK27" s="655"/>
      <c r="AL27" s="655">
        <f>I27/24</f>
        <v>100</v>
      </c>
      <c r="AM27" s="655"/>
      <c r="AN27" s="655"/>
      <c r="AO27" s="655"/>
      <c r="AP27" s="655"/>
      <c r="AQ27" s="655"/>
      <c r="AR27" s="655"/>
      <c r="AS27" s="655"/>
      <c r="AT27" s="655"/>
      <c r="AU27" s="655"/>
      <c r="AV27" s="655"/>
      <c r="AW27" s="655"/>
      <c r="AX27" s="661">
        <f t="shared" si="28"/>
        <v>2400</v>
      </c>
      <c r="AY27" s="661"/>
      <c r="AZ27" s="655"/>
      <c r="BA27" s="660">
        <f t="shared" si="29"/>
        <v>300</v>
      </c>
      <c r="BB27" s="660">
        <f t="shared" si="30"/>
        <v>250.000000000001</v>
      </c>
      <c r="BC27" s="660">
        <f t="shared" si="31"/>
        <v>49.9999999999999</v>
      </c>
      <c r="BD27" s="660">
        <f t="shared" si="32"/>
        <v>300</v>
      </c>
      <c r="BE27" s="660">
        <f t="shared" si="33"/>
        <v>300</v>
      </c>
      <c r="BF27" s="660">
        <f t="shared" si="34"/>
        <v>300</v>
      </c>
      <c r="BG27" s="660">
        <f t="shared" si="35"/>
        <v>300</v>
      </c>
      <c r="BH27" s="660">
        <f t="shared" si="36"/>
        <v>300</v>
      </c>
      <c r="BI27" s="660">
        <f t="shared" si="37"/>
        <v>300</v>
      </c>
      <c r="BK27" s="664">
        <f t="shared" si="38"/>
        <v>4902.75</v>
      </c>
      <c r="BL27" s="664">
        <f t="shared" si="39"/>
        <v>4262.12499999984</v>
      </c>
      <c r="BM27" s="664">
        <f t="shared" si="40"/>
        <v>4915.75</v>
      </c>
      <c r="BN27" s="664">
        <f t="shared" si="41"/>
        <v>727.624999999981</v>
      </c>
      <c r="BO27" s="664">
        <f t="shared" si="42"/>
        <v>3037.75</v>
      </c>
      <c r="BP27" s="664">
        <f t="shared" si="43"/>
        <v>4915.75</v>
      </c>
      <c r="BQ27" s="664">
        <f t="shared" si="44"/>
        <v>4915.75</v>
      </c>
      <c r="BR27" s="664">
        <f t="shared" si="45"/>
        <v>5315.75</v>
      </c>
      <c r="BS27" s="664">
        <f t="shared" si="46"/>
        <v>4915.75</v>
      </c>
    </row>
    <row r="28" s="570" customFormat="1" ht="30" hidden="1" customHeight="1" spans="1:71">
      <c r="A28" s="584">
        <v>45803</v>
      </c>
      <c r="B28" s="585" t="s">
        <v>176</v>
      </c>
      <c r="C28" s="594" t="s">
        <v>258</v>
      </c>
      <c r="D28" s="587">
        <v>4500167892</v>
      </c>
      <c r="E28" s="588" t="s">
        <v>259</v>
      </c>
      <c r="F28" s="587" t="s">
        <v>260</v>
      </c>
      <c r="G28" s="577" t="s">
        <v>72</v>
      </c>
      <c r="H28" s="578" t="s">
        <v>73</v>
      </c>
      <c r="I28" s="602">
        <v>7440</v>
      </c>
      <c r="J28" s="602">
        <v>0</v>
      </c>
      <c r="K28" s="602">
        <v>60</v>
      </c>
      <c r="L28" s="602">
        <f t="shared" si="10"/>
        <v>124</v>
      </c>
      <c r="M28" s="603">
        <v>45839</v>
      </c>
      <c r="N28" s="603">
        <f t="shared" ref="N28:N34" si="47">M28-4</f>
        <v>45835</v>
      </c>
      <c r="O28" s="459"/>
      <c r="P28" s="459" t="s">
        <v>94</v>
      </c>
      <c r="Q28" s="459" t="s">
        <v>261</v>
      </c>
      <c r="R28" s="459">
        <v>45803</v>
      </c>
      <c r="S28" s="459" t="s">
        <v>75</v>
      </c>
      <c r="T28" s="459" t="s">
        <v>262</v>
      </c>
      <c r="U28" s="626" t="s">
        <v>263</v>
      </c>
      <c r="V28" s="625" t="s">
        <v>264</v>
      </c>
      <c r="W28" s="616">
        <v>70.3426</v>
      </c>
      <c r="X28" s="617">
        <f>W28*L28</f>
        <v>8722.4824</v>
      </c>
      <c r="Y28" s="641" t="s">
        <v>265</v>
      </c>
      <c r="Z28" s="642">
        <v>7440</v>
      </c>
      <c r="AA28" s="642">
        <v>0</v>
      </c>
      <c r="AB28" s="603"/>
      <c r="AC28" s="605"/>
      <c r="AD28" s="591" t="s">
        <v>266</v>
      </c>
      <c r="AE28" s="638" t="s">
        <v>78</v>
      </c>
      <c r="AF28" s="640">
        <f t="shared" si="24"/>
        <v>7440</v>
      </c>
      <c r="AG28" s="654"/>
      <c r="AH28" s="654">
        <f t="shared" ref="AH28:AH35" si="48">I28</f>
        <v>7440</v>
      </c>
      <c r="AI28" s="652">
        <f>AH28</f>
        <v>7440</v>
      </c>
      <c r="AJ28" s="653">
        <f>L28</f>
        <v>124</v>
      </c>
      <c r="AK28" s="653">
        <f>AJ28</f>
        <v>124</v>
      </c>
      <c r="AL28" s="655"/>
      <c r="AM28" s="655"/>
      <c r="AN28" s="655"/>
      <c r="AO28" s="655"/>
      <c r="AP28" s="655"/>
      <c r="AQ28" s="655"/>
      <c r="AR28" s="655"/>
      <c r="AS28" s="655"/>
      <c r="AT28" s="655"/>
      <c r="AU28" s="655"/>
      <c r="AV28" s="655"/>
      <c r="AW28" s="655"/>
      <c r="AX28" s="661">
        <f t="shared" si="28"/>
        <v>7440</v>
      </c>
      <c r="AY28" s="661"/>
      <c r="AZ28" s="655"/>
      <c r="BA28" s="660">
        <f t="shared" si="29"/>
        <v>930</v>
      </c>
      <c r="BB28" s="660">
        <f t="shared" si="30"/>
        <v>775.000000000003</v>
      </c>
      <c r="BC28" s="660">
        <f t="shared" si="31"/>
        <v>155</v>
      </c>
      <c r="BD28" s="660">
        <f t="shared" si="32"/>
        <v>930</v>
      </c>
      <c r="BE28" s="660">
        <f t="shared" si="33"/>
        <v>930</v>
      </c>
      <c r="BF28" s="660">
        <f t="shared" si="34"/>
        <v>930</v>
      </c>
      <c r="BG28" s="660">
        <f t="shared" si="35"/>
        <v>930</v>
      </c>
      <c r="BH28" s="660">
        <f t="shared" si="36"/>
        <v>930</v>
      </c>
      <c r="BI28" s="660">
        <f t="shared" si="37"/>
        <v>930</v>
      </c>
      <c r="BK28" s="664">
        <f t="shared" si="38"/>
        <v>3972.75</v>
      </c>
      <c r="BL28" s="664">
        <f t="shared" si="39"/>
        <v>3487.12499999984</v>
      </c>
      <c r="BM28" s="664">
        <f t="shared" si="40"/>
        <v>3985.75</v>
      </c>
      <c r="BN28" s="664">
        <f t="shared" si="41"/>
        <v>572.624999999981</v>
      </c>
      <c r="BO28" s="664">
        <f t="shared" si="42"/>
        <v>2107.75</v>
      </c>
      <c r="BP28" s="664">
        <f t="shared" si="43"/>
        <v>3985.75</v>
      </c>
      <c r="BQ28" s="664">
        <f t="shared" si="44"/>
        <v>3985.75</v>
      </c>
      <c r="BR28" s="664">
        <f t="shared" si="45"/>
        <v>4385.75</v>
      </c>
      <c r="BS28" s="664">
        <f t="shared" si="46"/>
        <v>3985.75</v>
      </c>
    </row>
    <row r="29" s="570" customFormat="1" ht="30" hidden="1" customHeight="1" spans="1:71">
      <c r="A29" s="584">
        <v>45834</v>
      </c>
      <c r="B29" s="585" t="s">
        <v>267</v>
      </c>
      <c r="C29" s="594" t="s">
        <v>268</v>
      </c>
      <c r="D29" s="587">
        <v>4500171335</v>
      </c>
      <c r="E29" s="588" t="s">
        <v>269</v>
      </c>
      <c r="F29" s="587" t="s">
        <v>270</v>
      </c>
      <c r="G29" s="577" t="s">
        <v>271</v>
      </c>
      <c r="H29" s="578" t="s">
        <v>103</v>
      </c>
      <c r="I29" s="604">
        <v>912</v>
      </c>
      <c r="J29" s="602">
        <v>0</v>
      </c>
      <c r="K29" s="602">
        <v>24</v>
      </c>
      <c r="L29" s="602">
        <f t="shared" si="10"/>
        <v>38</v>
      </c>
      <c r="M29" s="603">
        <v>45870</v>
      </c>
      <c r="N29" s="603">
        <f t="shared" si="47"/>
        <v>45866</v>
      </c>
      <c r="O29" s="459"/>
      <c r="P29" s="459" t="s">
        <v>74</v>
      </c>
      <c r="Q29" s="459" t="s">
        <v>272</v>
      </c>
      <c r="R29" s="459">
        <v>45835</v>
      </c>
      <c r="S29" s="459" t="s">
        <v>75</v>
      </c>
      <c r="T29" s="459" t="s">
        <v>273</v>
      </c>
      <c r="U29" s="626" t="s">
        <v>274</v>
      </c>
      <c r="V29" s="625" t="s">
        <v>275</v>
      </c>
      <c r="W29" s="616">
        <v>0.9892</v>
      </c>
      <c r="X29" s="617">
        <f t="shared" ref="X29:X43" si="49">W29*I29</f>
        <v>902.1504</v>
      </c>
      <c r="Y29" s="641" t="s">
        <v>276</v>
      </c>
      <c r="Z29" s="642">
        <f>888+24</f>
        <v>912</v>
      </c>
      <c r="AA29" s="642">
        <f>Z29-I29</f>
        <v>0</v>
      </c>
      <c r="AB29" s="603"/>
      <c r="AC29" s="605"/>
      <c r="AD29" s="591" t="s">
        <v>271</v>
      </c>
      <c r="AE29" s="638" t="s">
        <v>78</v>
      </c>
      <c r="AF29" s="640">
        <f t="shared" si="24"/>
        <v>912</v>
      </c>
      <c r="AG29" s="654"/>
      <c r="AH29" s="654">
        <f t="shared" si="48"/>
        <v>912</v>
      </c>
      <c r="AI29" s="652">
        <f t="shared" ref="AI29:AI42" si="50">I29</f>
        <v>912</v>
      </c>
      <c r="AJ29" s="653"/>
      <c r="AK29" s="653"/>
      <c r="AL29" s="655"/>
      <c r="AM29" s="655">
        <f t="shared" ref="AM29:AM35" si="51">I29/24</f>
        <v>38</v>
      </c>
      <c r="AN29" s="655"/>
      <c r="AO29" s="655"/>
      <c r="AP29" s="655"/>
      <c r="AQ29" s="655"/>
      <c r="AR29" s="655"/>
      <c r="AS29" s="655"/>
      <c r="AT29" s="655"/>
      <c r="AU29" s="655"/>
      <c r="AV29" s="655"/>
      <c r="AW29" s="655"/>
      <c r="AX29" s="661"/>
      <c r="AY29" s="661">
        <f t="shared" ref="AY29:AY34" si="52">I29</f>
        <v>912</v>
      </c>
      <c r="AZ29" s="655"/>
      <c r="BA29" s="660">
        <f t="shared" ref="BA29:BA43" si="53">I29*$BA$2</f>
        <v>114</v>
      </c>
      <c r="BB29" s="660">
        <f t="shared" ref="BB29:BB43" si="54">I29*$BB$2</f>
        <v>95.0000000000003</v>
      </c>
      <c r="BC29" s="660">
        <f t="shared" ref="BC29:BC43" si="55">I29*$BC$2</f>
        <v>19</v>
      </c>
      <c r="BD29" s="660">
        <f t="shared" ref="BD29:BD43" si="56">I29*$BD$2</f>
        <v>114</v>
      </c>
      <c r="BE29" s="660">
        <f t="shared" ref="BE29:BE43" si="57">I29*$BE$2</f>
        <v>114</v>
      </c>
      <c r="BF29" s="660">
        <f t="shared" ref="BF29:BF43" si="58">I29*$BF$2</f>
        <v>114</v>
      </c>
      <c r="BG29" s="660">
        <f t="shared" ref="BG29:BG43" si="59">I29*$BG$2</f>
        <v>114</v>
      </c>
      <c r="BH29" s="660">
        <f t="shared" ref="BH29:BH43" si="60">I29*$BH$2</f>
        <v>114</v>
      </c>
      <c r="BI29" s="660">
        <f t="shared" ref="BI29:BI43" si="61">I29*$BI$2</f>
        <v>114</v>
      </c>
      <c r="BK29" s="664">
        <f t="shared" ref="BK29:BK41" si="62">BK28-BA29</f>
        <v>3858.75</v>
      </c>
      <c r="BL29" s="664">
        <f t="shared" ref="BL29:BL41" si="63">BL28-BB29</f>
        <v>3392.12499999984</v>
      </c>
      <c r="BM29" s="664">
        <f t="shared" ref="BM29:BM41" si="64">BM28-BD29</f>
        <v>3871.75</v>
      </c>
      <c r="BN29" s="664">
        <f t="shared" ref="BN29:BN41" si="65">BN28-BC29</f>
        <v>553.624999999981</v>
      </c>
      <c r="BO29" s="664">
        <f t="shared" ref="BO29:BO41" si="66">BO28-BE29</f>
        <v>1993.75</v>
      </c>
      <c r="BP29" s="664">
        <f t="shared" ref="BP29:BP41" si="67">BP28-BF29</f>
        <v>3871.75</v>
      </c>
      <c r="BQ29" s="664">
        <f t="shared" ref="BQ29:BQ41" si="68">BQ28-BG29</f>
        <v>3871.75</v>
      </c>
      <c r="BR29" s="664">
        <f t="shared" ref="BR29:BR41" si="69">BR28-BH29</f>
        <v>4271.75</v>
      </c>
      <c r="BS29" s="664">
        <f t="shared" ref="BS29:BS41" si="70">BS28-BI29</f>
        <v>3871.75</v>
      </c>
    </row>
    <row r="30" s="570" customFormat="1" ht="30" hidden="1" customHeight="1" spans="1:71">
      <c r="A30" s="584">
        <v>45834</v>
      </c>
      <c r="B30" s="585" t="s">
        <v>267</v>
      </c>
      <c r="C30" s="594" t="s">
        <v>268</v>
      </c>
      <c r="D30" s="587">
        <v>4500171335</v>
      </c>
      <c r="E30" s="588" t="s">
        <v>269</v>
      </c>
      <c r="F30" s="587" t="s">
        <v>277</v>
      </c>
      <c r="G30" s="577" t="s">
        <v>271</v>
      </c>
      <c r="H30" s="578" t="s">
        <v>103</v>
      </c>
      <c r="I30" s="604">
        <v>288</v>
      </c>
      <c r="J30" s="602">
        <v>0</v>
      </c>
      <c r="K30" s="602">
        <v>24</v>
      </c>
      <c r="L30" s="602">
        <f t="shared" si="10"/>
        <v>12</v>
      </c>
      <c r="M30" s="603">
        <v>45870</v>
      </c>
      <c r="N30" s="603">
        <f t="shared" si="47"/>
        <v>45866</v>
      </c>
      <c r="O30" s="459"/>
      <c r="P30" s="459" t="s">
        <v>74</v>
      </c>
      <c r="Q30" s="459" t="s">
        <v>272</v>
      </c>
      <c r="R30" s="459">
        <v>45835</v>
      </c>
      <c r="S30" s="459" t="s">
        <v>75</v>
      </c>
      <c r="T30" s="459" t="s">
        <v>273</v>
      </c>
      <c r="U30" s="626" t="s">
        <v>274</v>
      </c>
      <c r="V30" s="625" t="s">
        <v>275</v>
      </c>
      <c r="W30" s="616">
        <v>0.9708</v>
      </c>
      <c r="X30" s="617">
        <f t="shared" si="49"/>
        <v>279.5904</v>
      </c>
      <c r="Y30" s="641" t="s">
        <v>276</v>
      </c>
      <c r="Z30" s="642">
        <f>240+48</f>
        <v>288</v>
      </c>
      <c r="AA30" s="642">
        <f t="shared" ref="AA30:AA39" si="71">Z30-I30</f>
        <v>0</v>
      </c>
      <c r="AB30" s="603"/>
      <c r="AC30" s="605"/>
      <c r="AD30" s="591" t="s">
        <v>271</v>
      </c>
      <c r="AE30" s="638" t="s">
        <v>78</v>
      </c>
      <c r="AF30" s="640">
        <f t="shared" si="24"/>
        <v>288</v>
      </c>
      <c r="AG30" s="654"/>
      <c r="AH30" s="654">
        <f t="shared" si="48"/>
        <v>288</v>
      </c>
      <c r="AI30" s="652">
        <f t="shared" si="50"/>
        <v>288</v>
      </c>
      <c r="AJ30" s="653"/>
      <c r="AK30" s="653"/>
      <c r="AL30" s="655"/>
      <c r="AM30" s="655">
        <f t="shared" si="51"/>
        <v>12</v>
      </c>
      <c r="AN30" s="655"/>
      <c r="AO30" s="655"/>
      <c r="AP30" s="655"/>
      <c r="AQ30" s="655"/>
      <c r="AR30" s="655"/>
      <c r="AS30" s="655"/>
      <c r="AT30" s="655"/>
      <c r="AU30" s="655"/>
      <c r="AV30" s="655"/>
      <c r="AW30" s="655"/>
      <c r="AX30" s="661"/>
      <c r="AY30" s="661">
        <f t="shared" si="52"/>
        <v>288</v>
      </c>
      <c r="AZ30" s="655"/>
      <c r="BA30" s="660">
        <f t="shared" si="53"/>
        <v>36</v>
      </c>
      <c r="BB30" s="660">
        <f t="shared" si="54"/>
        <v>30.0000000000001</v>
      </c>
      <c r="BC30" s="660">
        <f t="shared" si="55"/>
        <v>5.99999999999999</v>
      </c>
      <c r="BD30" s="660">
        <f t="shared" si="56"/>
        <v>36</v>
      </c>
      <c r="BE30" s="660">
        <f t="shared" si="57"/>
        <v>36</v>
      </c>
      <c r="BF30" s="660">
        <f t="shared" si="58"/>
        <v>36</v>
      </c>
      <c r="BG30" s="660">
        <f t="shared" si="59"/>
        <v>36</v>
      </c>
      <c r="BH30" s="660">
        <f t="shared" si="60"/>
        <v>36</v>
      </c>
      <c r="BI30" s="660">
        <f t="shared" si="61"/>
        <v>36</v>
      </c>
      <c r="BK30" s="664">
        <f t="shared" si="62"/>
        <v>3822.75</v>
      </c>
      <c r="BL30" s="664">
        <f t="shared" si="63"/>
        <v>3362.12499999984</v>
      </c>
      <c r="BM30" s="664">
        <f t="shared" si="64"/>
        <v>3835.75</v>
      </c>
      <c r="BN30" s="664">
        <f t="shared" si="65"/>
        <v>547.624999999981</v>
      </c>
      <c r="BO30" s="664">
        <f t="shared" si="66"/>
        <v>1957.75</v>
      </c>
      <c r="BP30" s="664">
        <f t="shared" si="67"/>
        <v>3835.75</v>
      </c>
      <c r="BQ30" s="664">
        <f t="shared" si="68"/>
        <v>3835.75</v>
      </c>
      <c r="BR30" s="664">
        <f t="shared" si="69"/>
        <v>4235.75</v>
      </c>
      <c r="BS30" s="664">
        <f t="shared" si="70"/>
        <v>3835.75</v>
      </c>
    </row>
    <row r="31" s="570" customFormat="1" ht="30" hidden="1" customHeight="1" spans="1:71">
      <c r="A31" s="584">
        <v>45834</v>
      </c>
      <c r="B31" s="585" t="s">
        <v>267</v>
      </c>
      <c r="C31" s="594" t="s">
        <v>268</v>
      </c>
      <c r="D31" s="587">
        <v>4500171335</v>
      </c>
      <c r="E31" s="588" t="s">
        <v>269</v>
      </c>
      <c r="F31" s="587" t="s">
        <v>278</v>
      </c>
      <c r="G31" s="577" t="s">
        <v>271</v>
      </c>
      <c r="H31" s="578" t="s">
        <v>103</v>
      </c>
      <c r="I31" s="604">
        <v>1080</v>
      </c>
      <c r="J31" s="602">
        <v>0</v>
      </c>
      <c r="K31" s="602">
        <v>24</v>
      </c>
      <c r="L31" s="602">
        <f t="shared" si="10"/>
        <v>45</v>
      </c>
      <c r="M31" s="603">
        <v>45870</v>
      </c>
      <c r="N31" s="603">
        <f t="shared" si="47"/>
        <v>45866</v>
      </c>
      <c r="O31" s="459"/>
      <c r="P31" s="459" t="s">
        <v>74</v>
      </c>
      <c r="Q31" s="459" t="s">
        <v>272</v>
      </c>
      <c r="R31" s="459">
        <v>45835</v>
      </c>
      <c r="S31" s="459" t="s">
        <v>75</v>
      </c>
      <c r="T31" s="459" t="s">
        <v>273</v>
      </c>
      <c r="U31" s="626" t="s">
        <v>274</v>
      </c>
      <c r="V31" s="625" t="s">
        <v>275</v>
      </c>
      <c r="W31" s="616">
        <v>0.9708</v>
      </c>
      <c r="X31" s="617">
        <f t="shared" si="49"/>
        <v>1048.464</v>
      </c>
      <c r="Y31" s="641" t="s">
        <v>276</v>
      </c>
      <c r="Z31" s="642">
        <v>1080</v>
      </c>
      <c r="AA31" s="642">
        <f t="shared" si="71"/>
        <v>0</v>
      </c>
      <c r="AB31" s="603"/>
      <c r="AC31" s="605"/>
      <c r="AD31" s="591" t="s">
        <v>271</v>
      </c>
      <c r="AE31" s="638" t="s">
        <v>78</v>
      </c>
      <c r="AF31" s="640">
        <f t="shared" si="24"/>
        <v>1080</v>
      </c>
      <c r="AG31" s="654"/>
      <c r="AH31" s="654">
        <f t="shared" si="48"/>
        <v>1080</v>
      </c>
      <c r="AI31" s="652">
        <f t="shared" si="50"/>
        <v>1080</v>
      </c>
      <c r="AJ31" s="653"/>
      <c r="AK31" s="653"/>
      <c r="AL31" s="655"/>
      <c r="AM31" s="655">
        <f t="shared" si="51"/>
        <v>45</v>
      </c>
      <c r="AN31" s="655"/>
      <c r="AO31" s="655"/>
      <c r="AP31" s="655"/>
      <c r="AQ31" s="655"/>
      <c r="AR31" s="655"/>
      <c r="AS31" s="655"/>
      <c r="AT31" s="655"/>
      <c r="AU31" s="655"/>
      <c r="AV31" s="655"/>
      <c r="AW31" s="655"/>
      <c r="AX31" s="661"/>
      <c r="AY31" s="661">
        <f t="shared" si="52"/>
        <v>1080</v>
      </c>
      <c r="AZ31" s="655"/>
      <c r="BA31" s="660">
        <f t="shared" si="53"/>
        <v>135</v>
      </c>
      <c r="BB31" s="660">
        <f t="shared" si="54"/>
        <v>112.5</v>
      </c>
      <c r="BC31" s="660">
        <f t="shared" si="55"/>
        <v>22.5</v>
      </c>
      <c r="BD31" s="660">
        <f t="shared" si="56"/>
        <v>135</v>
      </c>
      <c r="BE31" s="660">
        <f t="shared" si="57"/>
        <v>135</v>
      </c>
      <c r="BF31" s="660">
        <f t="shared" si="58"/>
        <v>135</v>
      </c>
      <c r="BG31" s="660">
        <f t="shared" si="59"/>
        <v>135</v>
      </c>
      <c r="BH31" s="660">
        <f t="shared" si="60"/>
        <v>135</v>
      </c>
      <c r="BI31" s="660">
        <f t="shared" si="61"/>
        <v>135</v>
      </c>
      <c r="BK31" s="664">
        <f t="shared" si="62"/>
        <v>3687.75</v>
      </c>
      <c r="BL31" s="664">
        <f t="shared" si="63"/>
        <v>3249.62499999984</v>
      </c>
      <c r="BM31" s="664">
        <f t="shared" si="64"/>
        <v>3700.75</v>
      </c>
      <c r="BN31" s="664">
        <f t="shared" si="65"/>
        <v>525.124999999981</v>
      </c>
      <c r="BO31" s="664">
        <f t="shared" si="66"/>
        <v>1822.75</v>
      </c>
      <c r="BP31" s="664">
        <f t="shared" si="67"/>
        <v>3700.75</v>
      </c>
      <c r="BQ31" s="664">
        <f t="shared" si="68"/>
        <v>3700.75</v>
      </c>
      <c r="BR31" s="664">
        <f t="shared" si="69"/>
        <v>4100.75</v>
      </c>
      <c r="BS31" s="664">
        <f t="shared" si="70"/>
        <v>3700.75</v>
      </c>
    </row>
    <row r="32" s="570" customFormat="1" ht="30" hidden="1" customHeight="1" spans="1:71">
      <c r="A32" s="584">
        <v>45834</v>
      </c>
      <c r="B32" s="585" t="s">
        <v>267</v>
      </c>
      <c r="C32" s="594" t="s">
        <v>268</v>
      </c>
      <c r="D32" s="587">
        <v>4500171335</v>
      </c>
      <c r="E32" s="588" t="s">
        <v>269</v>
      </c>
      <c r="F32" s="587" t="s">
        <v>279</v>
      </c>
      <c r="G32" s="577" t="s">
        <v>271</v>
      </c>
      <c r="H32" s="578" t="s">
        <v>103</v>
      </c>
      <c r="I32" s="604">
        <v>384</v>
      </c>
      <c r="J32" s="602">
        <v>0</v>
      </c>
      <c r="K32" s="602">
        <v>24</v>
      </c>
      <c r="L32" s="602">
        <f t="shared" si="10"/>
        <v>16</v>
      </c>
      <c r="M32" s="603">
        <v>45870</v>
      </c>
      <c r="N32" s="603">
        <f t="shared" si="47"/>
        <v>45866</v>
      </c>
      <c r="O32" s="459"/>
      <c r="P32" s="459" t="s">
        <v>74</v>
      </c>
      <c r="Q32" s="459" t="s">
        <v>272</v>
      </c>
      <c r="R32" s="459">
        <v>45835</v>
      </c>
      <c r="S32" s="459" t="s">
        <v>75</v>
      </c>
      <c r="T32" s="459" t="s">
        <v>273</v>
      </c>
      <c r="U32" s="626" t="s">
        <v>274</v>
      </c>
      <c r="V32" s="625" t="s">
        <v>275</v>
      </c>
      <c r="W32" s="616">
        <v>0.9892</v>
      </c>
      <c r="X32" s="617">
        <f t="shared" si="49"/>
        <v>379.8528</v>
      </c>
      <c r="Y32" s="641" t="s">
        <v>276</v>
      </c>
      <c r="Z32" s="642">
        <v>384</v>
      </c>
      <c r="AA32" s="642">
        <f t="shared" si="71"/>
        <v>0</v>
      </c>
      <c r="AB32" s="603"/>
      <c r="AC32" s="605"/>
      <c r="AD32" s="591" t="s">
        <v>271</v>
      </c>
      <c r="AE32" s="638" t="s">
        <v>78</v>
      </c>
      <c r="AF32" s="640">
        <f t="shared" si="24"/>
        <v>384</v>
      </c>
      <c r="AG32" s="654"/>
      <c r="AH32" s="654">
        <f t="shared" si="48"/>
        <v>384</v>
      </c>
      <c r="AI32" s="652">
        <f t="shared" si="50"/>
        <v>384</v>
      </c>
      <c r="AJ32" s="653"/>
      <c r="AK32" s="653"/>
      <c r="AL32" s="655"/>
      <c r="AM32" s="655">
        <f t="shared" si="51"/>
        <v>16</v>
      </c>
      <c r="AN32" s="655"/>
      <c r="AO32" s="655"/>
      <c r="AP32" s="655"/>
      <c r="AQ32" s="655"/>
      <c r="AR32" s="655"/>
      <c r="AS32" s="655"/>
      <c r="AT32" s="655"/>
      <c r="AU32" s="655"/>
      <c r="AV32" s="655"/>
      <c r="AW32" s="655"/>
      <c r="AX32" s="661"/>
      <c r="AY32" s="661">
        <f t="shared" si="52"/>
        <v>384</v>
      </c>
      <c r="AZ32" s="655"/>
      <c r="BA32" s="660">
        <f t="shared" si="53"/>
        <v>48</v>
      </c>
      <c r="BB32" s="660">
        <f t="shared" si="54"/>
        <v>40.0000000000001</v>
      </c>
      <c r="BC32" s="660">
        <f t="shared" si="55"/>
        <v>7.99999999999999</v>
      </c>
      <c r="BD32" s="660">
        <f t="shared" si="56"/>
        <v>48</v>
      </c>
      <c r="BE32" s="660">
        <f t="shared" si="57"/>
        <v>48</v>
      </c>
      <c r="BF32" s="660">
        <f t="shared" si="58"/>
        <v>48</v>
      </c>
      <c r="BG32" s="660">
        <f t="shared" si="59"/>
        <v>48</v>
      </c>
      <c r="BH32" s="660">
        <f t="shared" si="60"/>
        <v>48</v>
      </c>
      <c r="BI32" s="660">
        <f t="shared" si="61"/>
        <v>48</v>
      </c>
      <c r="BK32" s="664">
        <f t="shared" si="62"/>
        <v>3639.75</v>
      </c>
      <c r="BL32" s="664">
        <f t="shared" si="63"/>
        <v>3209.62499999984</v>
      </c>
      <c r="BM32" s="664">
        <f t="shared" si="64"/>
        <v>3652.75</v>
      </c>
      <c r="BN32" s="664">
        <f t="shared" si="65"/>
        <v>517.124999999981</v>
      </c>
      <c r="BO32" s="664">
        <f t="shared" si="66"/>
        <v>1774.75</v>
      </c>
      <c r="BP32" s="664">
        <f t="shared" si="67"/>
        <v>3652.75</v>
      </c>
      <c r="BQ32" s="664">
        <f t="shared" si="68"/>
        <v>3652.75</v>
      </c>
      <c r="BR32" s="664">
        <f t="shared" si="69"/>
        <v>4052.75</v>
      </c>
      <c r="BS32" s="664">
        <f t="shared" si="70"/>
        <v>3652.75</v>
      </c>
    </row>
    <row r="33" s="570" customFormat="1" ht="30" hidden="1" customHeight="1" spans="1:71">
      <c r="A33" s="584">
        <v>45834</v>
      </c>
      <c r="B33" s="585" t="s">
        <v>267</v>
      </c>
      <c r="C33" s="594" t="s">
        <v>268</v>
      </c>
      <c r="D33" s="587">
        <v>4500171335</v>
      </c>
      <c r="E33" s="588" t="s">
        <v>269</v>
      </c>
      <c r="F33" s="587" t="s">
        <v>280</v>
      </c>
      <c r="G33" s="577" t="s">
        <v>271</v>
      </c>
      <c r="H33" s="578" t="s">
        <v>103</v>
      </c>
      <c r="I33" s="604">
        <v>408</v>
      </c>
      <c r="J33" s="602">
        <v>0</v>
      </c>
      <c r="K33" s="602">
        <v>24</v>
      </c>
      <c r="L33" s="602">
        <f t="shared" si="10"/>
        <v>17</v>
      </c>
      <c r="M33" s="603">
        <v>45870</v>
      </c>
      <c r="N33" s="603">
        <f t="shared" si="47"/>
        <v>45866</v>
      </c>
      <c r="O33" s="459"/>
      <c r="P33" s="459" t="s">
        <v>74</v>
      </c>
      <c r="Q33" s="459" t="s">
        <v>272</v>
      </c>
      <c r="R33" s="459">
        <v>45835</v>
      </c>
      <c r="S33" s="459" t="s">
        <v>75</v>
      </c>
      <c r="T33" s="459" t="s">
        <v>273</v>
      </c>
      <c r="U33" s="626" t="s">
        <v>274</v>
      </c>
      <c r="V33" s="625" t="s">
        <v>275</v>
      </c>
      <c r="W33" s="616">
        <v>0.9892</v>
      </c>
      <c r="X33" s="617">
        <f t="shared" si="49"/>
        <v>403.5936</v>
      </c>
      <c r="Y33" s="641" t="s">
        <v>276</v>
      </c>
      <c r="Z33" s="642">
        <v>408</v>
      </c>
      <c r="AA33" s="642">
        <f t="shared" si="71"/>
        <v>0</v>
      </c>
      <c r="AB33" s="603"/>
      <c r="AC33" s="605"/>
      <c r="AD33" s="591" t="s">
        <v>271</v>
      </c>
      <c r="AE33" s="638" t="s">
        <v>78</v>
      </c>
      <c r="AF33" s="640">
        <f t="shared" si="24"/>
        <v>408</v>
      </c>
      <c r="AG33" s="654"/>
      <c r="AH33" s="654">
        <f t="shared" si="48"/>
        <v>408</v>
      </c>
      <c r="AI33" s="652">
        <f t="shared" si="50"/>
        <v>408</v>
      </c>
      <c r="AJ33" s="653"/>
      <c r="AK33" s="653"/>
      <c r="AL33" s="655"/>
      <c r="AM33" s="655">
        <f t="shared" si="51"/>
        <v>17</v>
      </c>
      <c r="AN33" s="655"/>
      <c r="AO33" s="655"/>
      <c r="AP33" s="655"/>
      <c r="AQ33" s="655"/>
      <c r="AR33" s="655"/>
      <c r="AS33" s="655"/>
      <c r="AT33" s="655"/>
      <c r="AU33" s="655"/>
      <c r="AV33" s="655"/>
      <c r="AW33" s="655"/>
      <c r="AX33" s="661"/>
      <c r="AY33" s="661">
        <f t="shared" si="52"/>
        <v>408</v>
      </c>
      <c r="AZ33" s="655"/>
      <c r="BA33" s="660">
        <f t="shared" si="53"/>
        <v>51</v>
      </c>
      <c r="BB33" s="660">
        <f t="shared" si="54"/>
        <v>42.5000000000001</v>
      </c>
      <c r="BC33" s="660">
        <f t="shared" si="55"/>
        <v>8.49999999999999</v>
      </c>
      <c r="BD33" s="660">
        <f t="shared" si="56"/>
        <v>51</v>
      </c>
      <c r="BE33" s="660">
        <f t="shared" si="57"/>
        <v>51</v>
      </c>
      <c r="BF33" s="660">
        <f t="shared" si="58"/>
        <v>51</v>
      </c>
      <c r="BG33" s="660">
        <f t="shared" si="59"/>
        <v>51</v>
      </c>
      <c r="BH33" s="660">
        <f t="shared" si="60"/>
        <v>51</v>
      </c>
      <c r="BI33" s="660">
        <f t="shared" si="61"/>
        <v>51</v>
      </c>
      <c r="BK33" s="664">
        <f t="shared" si="62"/>
        <v>3588.75</v>
      </c>
      <c r="BL33" s="664">
        <f t="shared" si="63"/>
        <v>3167.12499999984</v>
      </c>
      <c r="BM33" s="664">
        <f t="shared" si="64"/>
        <v>3601.75</v>
      </c>
      <c r="BN33" s="664">
        <f t="shared" si="65"/>
        <v>508.624999999981</v>
      </c>
      <c r="BO33" s="664">
        <f t="shared" si="66"/>
        <v>1723.75</v>
      </c>
      <c r="BP33" s="664">
        <f t="shared" si="67"/>
        <v>3601.75</v>
      </c>
      <c r="BQ33" s="664">
        <f t="shared" si="68"/>
        <v>3601.75</v>
      </c>
      <c r="BR33" s="664">
        <f t="shared" si="69"/>
        <v>4001.75</v>
      </c>
      <c r="BS33" s="664">
        <f t="shared" si="70"/>
        <v>3601.75</v>
      </c>
    </row>
    <row r="34" s="570" customFormat="1" ht="30" hidden="1" customHeight="1" spans="1:71">
      <c r="A34" s="584">
        <v>45834</v>
      </c>
      <c r="B34" s="585" t="s">
        <v>267</v>
      </c>
      <c r="C34" s="594" t="s">
        <v>268</v>
      </c>
      <c r="D34" s="587">
        <v>4500171342</v>
      </c>
      <c r="E34" s="588" t="s">
        <v>281</v>
      </c>
      <c r="F34" s="587" t="s">
        <v>282</v>
      </c>
      <c r="G34" s="577" t="s">
        <v>271</v>
      </c>
      <c r="H34" s="578" t="s">
        <v>103</v>
      </c>
      <c r="I34" s="604">
        <v>144</v>
      </c>
      <c r="J34" s="602">
        <v>0</v>
      </c>
      <c r="K34" s="602">
        <v>24</v>
      </c>
      <c r="L34" s="602">
        <f t="shared" si="10"/>
        <v>6</v>
      </c>
      <c r="M34" s="603">
        <v>45870</v>
      </c>
      <c r="N34" s="603">
        <f t="shared" si="47"/>
        <v>45866</v>
      </c>
      <c r="O34" s="459"/>
      <c r="P34" s="459" t="s">
        <v>74</v>
      </c>
      <c r="Q34" s="459" t="s">
        <v>272</v>
      </c>
      <c r="R34" s="459">
        <v>45835</v>
      </c>
      <c r="S34" s="459" t="s">
        <v>75</v>
      </c>
      <c r="T34" s="459" t="s">
        <v>273</v>
      </c>
      <c r="U34" s="626" t="s">
        <v>274</v>
      </c>
      <c r="V34" s="625" t="s">
        <v>275</v>
      </c>
      <c r="W34" s="616">
        <v>0.9931</v>
      </c>
      <c r="X34" s="617">
        <f t="shared" si="49"/>
        <v>143.0064</v>
      </c>
      <c r="Y34" s="641" t="s">
        <v>283</v>
      </c>
      <c r="Z34" s="642">
        <v>144</v>
      </c>
      <c r="AA34" s="642">
        <f t="shared" si="71"/>
        <v>0</v>
      </c>
      <c r="AB34" s="603"/>
      <c r="AC34" s="605"/>
      <c r="AD34" s="591" t="s">
        <v>271</v>
      </c>
      <c r="AE34" s="638" t="s">
        <v>78</v>
      </c>
      <c r="AF34" s="640">
        <f t="shared" si="24"/>
        <v>144</v>
      </c>
      <c r="AG34" s="654"/>
      <c r="AH34" s="654">
        <f t="shared" si="48"/>
        <v>144</v>
      </c>
      <c r="AI34" s="652">
        <f t="shared" si="50"/>
        <v>144</v>
      </c>
      <c r="AJ34" s="653"/>
      <c r="AK34" s="653"/>
      <c r="AL34" s="655"/>
      <c r="AM34" s="655">
        <f t="shared" si="51"/>
        <v>6</v>
      </c>
      <c r="AN34" s="655"/>
      <c r="AO34" s="655"/>
      <c r="AP34" s="655"/>
      <c r="AQ34" s="655"/>
      <c r="AR34" s="655"/>
      <c r="AS34" s="655"/>
      <c r="AT34" s="655"/>
      <c r="AU34" s="655"/>
      <c r="AV34" s="655"/>
      <c r="AW34" s="655"/>
      <c r="AX34" s="661"/>
      <c r="AY34" s="661">
        <f t="shared" si="52"/>
        <v>144</v>
      </c>
      <c r="AZ34" s="655"/>
      <c r="BA34" s="660">
        <f t="shared" si="53"/>
        <v>18</v>
      </c>
      <c r="BB34" s="660">
        <f t="shared" si="54"/>
        <v>15</v>
      </c>
      <c r="BC34" s="660">
        <f t="shared" si="55"/>
        <v>3</v>
      </c>
      <c r="BD34" s="660">
        <f t="shared" si="56"/>
        <v>18</v>
      </c>
      <c r="BE34" s="660">
        <f t="shared" si="57"/>
        <v>18</v>
      </c>
      <c r="BF34" s="660">
        <f t="shared" si="58"/>
        <v>18</v>
      </c>
      <c r="BG34" s="660">
        <f t="shared" si="59"/>
        <v>18</v>
      </c>
      <c r="BH34" s="660">
        <f t="shared" si="60"/>
        <v>18</v>
      </c>
      <c r="BI34" s="660">
        <f t="shared" si="61"/>
        <v>18</v>
      </c>
      <c r="BK34" s="664">
        <f t="shared" si="62"/>
        <v>3570.75</v>
      </c>
      <c r="BL34" s="664">
        <f t="shared" si="63"/>
        <v>3152.12499999984</v>
      </c>
      <c r="BM34" s="664">
        <f t="shared" si="64"/>
        <v>3583.75</v>
      </c>
      <c r="BN34" s="664">
        <f t="shared" si="65"/>
        <v>505.624999999981</v>
      </c>
      <c r="BO34" s="664">
        <f t="shared" si="66"/>
        <v>1705.75</v>
      </c>
      <c r="BP34" s="664">
        <f t="shared" si="67"/>
        <v>3583.75</v>
      </c>
      <c r="BQ34" s="664">
        <f t="shared" si="68"/>
        <v>3583.75</v>
      </c>
      <c r="BR34" s="664">
        <f t="shared" si="69"/>
        <v>3983.75</v>
      </c>
      <c r="BS34" s="664">
        <f t="shared" si="70"/>
        <v>3583.75</v>
      </c>
    </row>
    <row r="35" s="570" customFormat="1" ht="30" customHeight="1" spans="1:71">
      <c r="A35" s="584">
        <v>45838</v>
      </c>
      <c r="B35" s="585" t="s">
        <v>284</v>
      </c>
      <c r="C35" s="594" t="s">
        <v>285</v>
      </c>
      <c r="D35" s="587">
        <v>4500172103</v>
      </c>
      <c r="E35" s="588"/>
      <c r="F35" s="587" t="s">
        <v>286</v>
      </c>
      <c r="G35" s="577" t="s">
        <v>162</v>
      </c>
      <c r="H35" s="578" t="s">
        <v>103</v>
      </c>
      <c r="I35" s="604">
        <v>528</v>
      </c>
      <c r="J35" s="602">
        <v>0</v>
      </c>
      <c r="K35" s="602">
        <v>48</v>
      </c>
      <c r="L35" s="602">
        <f t="shared" si="10"/>
        <v>11</v>
      </c>
      <c r="M35" s="603">
        <v>45874</v>
      </c>
      <c r="N35" s="603">
        <v>45870</v>
      </c>
      <c r="O35" s="459"/>
      <c r="P35" s="459" t="s">
        <v>74</v>
      </c>
      <c r="Q35" s="459" t="s">
        <v>287</v>
      </c>
      <c r="R35" s="459">
        <v>45845</v>
      </c>
      <c r="S35" s="459" t="s">
        <v>75</v>
      </c>
      <c r="T35" s="459" t="s">
        <v>288</v>
      </c>
      <c r="U35" s="626" t="s">
        <v>289</v>
      </c>
      <c r="V35" s="625" t="s">
        <v>290</v>
      </c>
      <c r="W35" s="616">
        <v>0.9892</v>
      </c>
      <c r="X35" s="617">
        <f t="shared" si="49"/>
        <v>522.2976</v>
      </c>
      <c r="Y35" s="645" t="s">
        <v>291</v>
      </c>
      <c r="Z35" s="642">
        <v>528</v>
      </c>
      <c r="AA35" s="642">
        <f t="shared" si="71"/>
        <v>0</v>
      </c>
      <c r="AB35" s="603"/>
      <c r="AC35" s="605"/>
      <c r="AD35" s="591" t="s">
        <v>209</v>
      </c>
      <c r="AE35" s="638" t="s">
        <v>78</v>
      </c>
      <c r="AF35" s="640">
        <f t="shared" si="24"/>
        <v>528</v>
      </c>
      <c r="AG35" s="654"/>
      <c r="AH35" s="654">
        <f t="shared" si="48"/>
        <v>528</v>
      </c>
      <c r="AI35" s="654">
        <f t="shared" si="50"/>
        <v>528</v>
      </c>
      <c r="AJ35" s="653"/>
      <c r="AK35" s="653"/>
      <c r="AL35" s="655"/>
      <c r="AM35" s="655">
        <f t="shared" si="51"/>
        <v>22</v>
      </c>
      <c r="AN35" s="655"/>
      <c r="AO35" s="655"/>
      <c r="AP35" s="655"/>
      <c r="AQ35" s="655"/>
      <c r="AR35" s="655"/>
      <c r="AS35" s="655"/>
      <c r="AT35" s="655"/>
      <c r="AU35" s="655"/>
      <c r="AV35" s="655"/>
      <c r="AW35" s="655"/>
      <c r="AX35" s="661">
        <f>I35</f>
        <v>528</v>
      </c>
      <c r="AY35" s="661"/>
      <c r="AZ35" s="655"/>
      <c r="BA35" s="660">
        <f t="shared" si="53"/>
        <v>66</v>
      </c>
      <c r="BB35" s="660">
        <f t="shared" si="54"/>
        <v>55.0000000000002</v>
      </c>
      <c r="BC35" s="660">
        <f t="shared" si="55"/>
        <v>11</v>
      </c>
      <c r="BD35" s="660">
        <f t="shared" si="56"/>
        <v>66</v>
      </c>
      <c r="BE35" s="660">
        <f t="shared" si="57"/>
        <v>66</v>
      </c>
      <c r="BF35" s="660">
        <f t="shared" si="58"/>
        <v>66</v>
      </c>
      <c r="BG35" s="660">
        <f t="shared" si="59"/>
        <v>66</v>
      </c>
      <c r="BH35" s="660">
        <f t="shared" si="60"/>
        <v>66</v>
      </c>
      <c r="BI35" s="660">
        <f t="shared" si="61"/>
        <v>66</v>
      </c>
      <c r="BK35" s="664">
        <f t="shared" si="62"/>
        <v>3504.75</v>
      </c>
      <c r="BL35" s="664">
        <f t="shared" si="63"/>
        <v>3097.12499999984</v>
      </c>
      <c r="BM35" s="664">
        <f t="shared" si="64"/>
        <v>3517.75</v>
      </c>
      <c r="BN35" s="664">
        <f t="shared" si="65"/>
        <v>494.624999999981</v>
      </c>
      <c r="BO35" s="664">
        <f t="shared" si="66"/>
        <v>1639.75</v>
      </c>
      <c r="BP35" s="664">
        <f t="shared" si="67"/>
        <v>3517.75</v>
      </c>
      <c r="BQ35" s="664">
        <f t="shared" si="68"/>
        <v>3517.75</v>
      </c>
      <c r="BR35" s="664">
        <f t="shared" si="69"/>
        <v>3917.75</v>
      </c>
      <c r="BS35" s="664">
        <f t="shared" si="70"/>
        <v>3517.75</v>
      </c>
    </row>
    <row r="36" s="570" customFormat="1" ht="30" hidden="1" customHeight="1" spans="1:71">
      <c r="A36" s="584">
        <v>45841</v>
      </c>
      <c r="B36" s="585" t="s">
        <v>292</v>
      </c>
      <c r="C36" s="594" t="s">
        <v>118</v>
      </c>
      <c r="D36" s="587">
        <v>4500171299</v>
      </c>
      <c r="E36" s="588" t="s">
        <v>293</v>
      </c>
      <c r="F36" s="587" t="s">
        <v>294</v>
      </c>
      <c r="G36" s="577" t="s">
        <v>84</v>
      </c>
      <c r="H36" s="578" t="s">
        <v>85</v>
      </c>
      <c r="I36" s="604">
        <v>1820</v>
      </c>
      <c r="J36" s="602">
        <v>0</v>
      </c>
      <c r="K36" s="602">
        <v>52</v>
      </c>
      <c r="L36" s="602">
        <f t="shared" si="10"/>
        <v>35</v>
      </c>
      <c r="M36" s="603">
        <v>45882</v>
      </c>
      <c r="N36" s="603">
        <v>45882</v>
      </c>
      <c r="O36" s="459"/>
      <c r="P36" s="459" t="s">
        <v>94</v>
      </c>
      <c r="Q36" s="459" t="s">
        <v>295</v>
      </c>
      <c r="R36" s="459">
        <v>45841</v>
      </c>
      <c r="S36" s="459" t="s">
        <v>125</v>
      </c>
      <c r="T36" s="459" t="s">
        <v>296</v>
      </c>
      <c r="U36" s="626" t="s">
        <v>297</v>
      </c>
      <c r="V36" s="625" t="s">
        <v>298</v>
      </c>
      <c r="W36" s="620">
        <v>0.5759</v>
      </c>
      <c r="X36" s="617">
        <f t="shared" si="49"/>
        <v>1048.138</v>
      </c>
      <c r="Y36" s="641" t="s">
        <v>299</v>
      </c>
      <c r="Z36" s="642">
        <v>1820</v>
      </c>
      <c r="AA36" s="642">
        <f t="shared" si="71"/>
        <v>0</v>
      </c>
      <c r="AB36" s="603"/>
      <c r="AC36" s="605"/>
      <c r="AD36" s="591" t="s">
        <v>84</v>
      </c>
      <c r="AE36" s="638" t="s">
        <v>78</v>
      </c>
      <c r="AF36" s="640">
        <f t="shared" si="24"/>
        <v>1820</v>
      </c>
      <c r="AG36" s="652">
        <f>AF36</f>
        <v>1820</v>
      </c>
      <c r="AH36" s="654"/>
      <c r="AI36" s="654">
        <f t="shared" si="50"/>
        <v>1820</v>
      </c>
      <c r="AJ36" s="653"/>
      <c r="AK36" s="653"/>
      <c r="AL36" s="655"/>
      <c r="AM36" s="655"/>
      <c r="AN36" s="653">
        <f>I36/13</f>
        <v>140</v>
      </c>
      <c r="AO36" s="655"/>
      <c r="AP36" s="655"/>
      <c r="AQ36" s="655"/>
      <c r="AR36" s="655"/>
      <c r="AS36" s="655"/>
      <c r="AT36" s="655"/>
      <c r="AU36" s="655"/>
      <c r="AV36" s="655"/>
      <c r="AW36" s="655"/>
      <c r="AX36" s="661">
        <f>I36</f>
        <v>1820</v>
      </c>
      <c r="AY36" s="661"/>
      <c r="AZ36" s="655"/>
      <c r="BA36" s="660">
        <f t="shared" si="53"/>
        <v>227.5</v>
      </c>
      <c r="BB36" s="660">
        <f t="shared" si="54"/>
        <v>189.583333333334</v>
      </c>
      <c r="BC36" s="660">
        <f t="shared" si="55"/>
        <v>37.9166666666666</v>
      </c>
      <c r="BD36" s="660">
        <f t="shared" si="56"/>
        <v>227.5</v>
      </c>
      <c r="BE36" s="660">
        <f t="shared" si="57"/>
        <v>227.5</v>
      </c>
      <c r="BF36" s="660">
        <f t="shared" si="58"/>
        <v>227.5</v>
      </c>
      <c r="BG36" s="660">
        <f t="shared" si="59"/>
        <v>227.5</v>
      </c>
      <c r="BH36" s="660">
        <f t="shared" si="60"/>
        <v>227.5</v>
      </c>
      <c r="BI36" s="660">
        <f t="shared" si="61"/>
        <v>227.5</v>
      </c>
      <c r="BK36" s="664">
        <f t="shared" si="62"/>
        <v>3277.25</v>
      </c>
      <c r="BL36" s="664">
        <f t="shared" si="63"/>
        <v>2907.54166666651</v>
      </c>
      <c r="BM36" s="664">
        <f t="shared" si="64"/>
        <v>3290.25</v>
      </c>
      <c r="BN36" s="664">
        <f t="shared" si="65"/>
        <v>456.708333333315</v>
      </c>
      <c r="BO36" s="664">
        <f t="shared" si="66"/>
        <v>1412.25</v>
      </c>
      <c r="BP36" s="664">
        <f t="shared" si="67"/>
        <v>3290.25</v>
      </c>
      <c r="BQ36" s="664">
        <f t="shared" si="68"/>
        <v>3290.25</v>
      </c>
      <c r="BR36" s="664">
        <f t="shared" si="69"/>
        <v>3690.25</v>
      </c>
      <c r="BS36" s="664">
        <f t="shared" si="70"/>
        <v>3290.25</v>
      </c>
    </row>
    <row r="37" s="570" customFormat="1" ht="30" customHeight="1" spans="1:71">
      <c r="A37" s="584">
        <v>45825</v>
      </c>
      <c r="B37" s="585" t="s">
        <v>300</v>
      </c>
      <c r="C37" s="594" t="s">
        <v>301</v>
      </c>
      <c r="D37" s="587">
        <v>4500170167</v>
      </c>
      <c r="E37" s="588" t="s">
        <v>302</v>
      </c>
      <c r="F37" s="587" t="s">
        <v>303</v>
      </c>
      <c r="G37" s="577" t="s">
        <v>162</v>
      </c>
      <c r="H37" s="578" t="s">
        <v>103</v>
      </c>
      <c r="I37" s="604">
        <v>2016</v>
      </c>
      <c r="J37" s="602">
        <v>0</v>
      </c>
      <c r="K37" s="602">
        <v>48</v>
      </c>
      <c r="L37" s="602">
        <f t="shared" si="10"/>
        <v>42</v>
      </c>
      <c r="M37" s="603">
        <v>45891</v>
      </c>
      <c r="N37" s="603">
        <v>45887</v>
      </c>
      <c r="O37" s="459"/>
      <c r="P37" s="459" t="s">
        <v>74</v>
      </c>
      <c r="Q37" s="459" t="s">
        <v>304</v>
      </c>
      <c r="R37" s="459">
        <v>45827</v>
      </c>
      <c r="S37" s="459" t="s">
        <v>75</v>
      </c>
      <c r="T37" s="459" t="s">
        <v>305</v>
      </c>
      <c r="U37" s="626" t="s">
        <v>306</v>
      </c>
      <c r="V37" s="625" t="s">
        <v>145</v>
      </c>
      <c r="W37" s="616">
        <v>0.9708</v>
      </c>
      <c r="X37" s="617">
        <f t="shared" si="49"/>
        <v>1957.1328</v>
      </c>
      <c r="Y37" s="603" t="s">
        <v>307</v>
      </c>
      <c r="Z37" s="642">
        <f>1968+48</f>
        <v>2016</v>
      </c>
      <c r="AA37" s="642">
        <f t="shared" si="71"/>
        <v>0</v>
      </c>
      <c r="AB37" s="603"/>
      <c r="AC37" s="605"/>
      <c r="AD37" s="591" t="s">
        <v>209</v>
      </c>
      <c r="AE37" s="638" t="s">
        <v>78</v>
      </c>
      <c r="AF37" s="640">
        <f t="shared" si="24"/>
        <v>2016</v>
      </c>
      <c r="AG37" s="654"/>
      <c r="AH37" s="654">
        <f>I37</f>
        <v>2016</v>
      </c>
      <c r="AI37" s="654">
        <f t="shared" si="50"/>
        <v>2016</v>
      </c>
      <c r="AJ37" s="653"/>
      <c r="AK37" s="653"/>
      <c r="AL37" s="655"/>
      <c r="AM37" s="655">
        <f>I37/24</f>
        <v>84</v>
      </c>
      <c r="AN37" s="655"/>
      <c r="AO37" s="655"/>
      <c r="AP37" s="655"/>
      <c r="AQ37" s="655"/>
      <c r="AR37" s="655"/>
      <c r="AS37" s="655"/>
      <c r="AT37" s="655"/>
      <c r="AU37" s="655"/>
      <c r="AV37" s="655"/>
      <c r="AW37" s="655"/>
      <c r="AX37" s="661">
        <f>I37</f>
        <v>2016</v>
      </c>
      <c r="AY37" s="661"/>
      <c r="AZ37" s="655"/>
      <c r="BA37" s="660">
        <f t="shared" si="53"/>
        <v>252</v>
      </c>
      <c r="BB37" s="660">
        <f t="shared" si="54"/>
        <v>210.000000000001</v>
      </c>
      <c r="BC37" s="660">
        <f t="shared" si="55"/>
        <v>41.9999999999999</v>
      </c>
      <c r="BD37" s="660">
        <f t="shared" si="56"/>
        <v>252</v>
      </c>
      <c r="BE37" s="660">
        <f t="shared" si="57"/>
        <v>252</v>
      </c>
      <c r="BF37" s="660">
        <f t="shared" si="58"/>
        <v>252</v>
      </c>
      <c r="BG37" s="660">
        <f t="shared" si="59"/>
        <v>252</v>
      </c>
      <c r="BH37" s="660">
        <f t="shared" si="60"/>
        <v>252</v>
      </c>
      <c r="BI37" s="660">
        <f t="shared" si="61"/>
        <v>252</v>
      </c>
      <c r="BK37" s="664">
        <f t="shared" si="62"/>
        <v>3025.25</v>
      </c>
      <c r="BL37" s="664">
        <f t="shared" si="63"/>
        <v>2697.54166666651</v>
      </c>
      <c r="BM37" s="664">
        <f t="shared" si="64"/>
        <v>3038.25</v>
      </c>
      <c r="BN37" s="664">
        <f t="shared" si="65"/>
        <v>414.708333333315</v>
      </c>
      <c r="BO37" s="664">
        <f t="shared" si="66"/>
        <v>1160.25</v>
      </c>
      <c r="BP37" s="664">
        <f t="shared" si="67"/>
        <v>3038.25</v>
      </c>
      <c r="BQ37" s="664">
        <f t="shared" si="68"/>
        <v>3038.25</v>
      </c>
      <c r="BR37" s="664">
        <f t="shared" si="69"/>
        <v>3438.25</v>
      </c>
      <c r="BS37" s="664">
        <f t="shared" si="70"/>
        <v>3038.25</v>
      </c>
    </row>
    <row r="38" s="570" customFormat="1" ht="30" hidden="1" customHeight="1" spans="1:71">
      <c r="A38" s="584">
        <v>45889</v>
      </c>
      <c r="B38" s="585" t="s">
        <v>292</v>
      </c>
      <c r="C38" s="594" t="s">
        <v>118</v>
      </c>
      <c r="D38" s="587">
        <v>4500176896</v>
      </c>
      <c r="E38" s="588" t="s">
        <v>308</v>
      </c>
      <c r="F38" s="587" t="s">
        <v>309</v>
      </c>
      <c r="G38" s="577" t="s">
        <v>84</v>
      </c>
      <c r="H38" s="578" t="s">
        <v>85</v>
      </c>
      <c r="I38" s="604">
        <v>2860</v>
      </c>
      <c r="J38" s="602">
        <v>0</v>
      </c>
      <c r="K38" s="602">
        <v>52</v>
      </c>
      <c r="L38" s="602">
        <f t="shared" si="10"/>
        <v>55</v>
      </c>
      <c r="M38" s="603">
        <v>45923</v>
      </c>
      <c r="N38" s="603">
        <v>45919</v>
      </c>
      <c r="O38" s="459"/>
      <c r="P38" s="459" t="s">
        <v>94</v>
      </c>
      <c r="Q38" s="459"/>
      <c r="R38" s="622">
        <v>45889</v>
      </c>
      <c r="S38" s="618" t="s">
        <v>125</v>
      </c>
      <c r="T38" s="629" t="s">
        <v>310</v>
      </c>
      <c r="U38" s="626" t="s">
        <v>297</v>
      </c>
      <c r="V38" s="625" t="s">
        <v>298</v>
      </c>
      <c r="W38" s="620">
        <v>0.5759</v>
      </c>
      <c r="X38" s="617">
        <f t="shared" si="49"/>
        <v>1647.074</v>
      </c>
      <c r="Y38" s="641" t="s">
        <v>311</v>
      </c>
      <c r="Z38" s="642">
        <f>2808+52</f>
        <v>2860</v>
      </c>
      <c r="AA38" s="642">
        <f t="shared" si="71"/>
        <v>0</v>
      </c>
      <c r="AB38" s="603"/>
      <c r="AC38" s="605"/>
      <c r="AD38" s="577" t="s">
        <v>84</v>
      </c>
      <c r="AE38" s="638" t="s">
        <v>78</v>
      </c>
      <c r="AF38" s="640">
        <f t="shared" si="24"/>
        <v>2860</v>
      </c>
      <c r="AG38" s="652">
        <f>AF38</f>
        <v>2860</v>
      </c>
      <c r="AH38" s="654"/>
      <c r="AI38" s="654">
        <f t="shared" si="50"/>
        <v>2860</v>
      </c>
      <c r="AJ38" s="653"/>
      <c r="AK38" s="653"/>
      <c r="AL38" s="655"/>
      <c r="AM38" s="655"/>
      <c r="AN38" s="653">
        <f>I38/13</f>
        <v>220</v>
      </c>
      <c r="AO38" s="655"/>
      <c r="AP38" s="655"/>
      <c r="AQ38" s="655"/>
      <c r="AR38" s="655"/>
      <c r="AS38" s="655"/>
      <c r="AT38" s="655"/>
      <c r="AU38" s="655"/>
      <c r="AV38" s="655"/>
      <c r="AW38" s="655"/>
      <c r="AX38" s="661">
        <f>I38</f>
        <v>2860</v>
      </c>
      <c r="AY38" s="661"/>
      <c r="AZ38" s="655"/>
      <c r="BA38" s="660">
        <f t="shared" si="53"/>
        <v>357.5</v>
      </c>
      <c r="BB38" s="660">
        <f t="shared" si="54"/>
        <v>297.916666666668</v>
      </c>
      <c r="BC38" s="660">
        <f t="shared" si="55"/>
        <v>59.5833333333332</v>
      </c>
      <c r="BD38" s="660">
        <f t="shared" si="56"/>
        <v>357.5</v>
      </c>
      <c r="BE38" s="660">
        <f t="shared" si="57"/>
        <v>357.5</v>
      </c>
      <c r="BF38" s="660">
        <f t="shared" si="58"/>
        <v>357.5</v>
      </c>
      <c r="BG38" s="660">
        <f t="shared" si="59"/>
        <v>357.5</v>
      </c>
      <c r="BH38" s="660">
        <f t="shared" si="60"/>
        <v>357.5</v>
      </c>
      <c r="BI38" s="660">
        <f t="shared" si="61"/>
        <v>357.5</v>
      </c>
      <c r="BK38" s="664">
        <f t="shared" si="62"/>
        <v>2667.75</v>
      </c>
      <c r="BL38" s="664">
        <f t="shared" si="63"/>
        <v>2399.62499999984</v>
      </c>
      <c r="BM38" s="664">
        <f t="shared" si="64"/>
        <v>2680.75</v>
      </c>
      <c r="BN38" s="664">
        <f t="shared" si="65"/>
        <v>355.124999999982</v>
      </c>
      <c r="BO38" s="664">
        <f t="shared" si="66"/>
        <v>802.75</v>
      </c>
      <c r="BP38" s="664">
        <f t="shared" si="67"/>
        <v>2680.75</v>
      </c>
      <c r="BQ38" s="664">
        <f t="shared" si="68"/>
        <v>2680.75</v>
      </c>
      <c r="BR38" s="664">
        <f t="shared" si="69"/>
        <v>3080.75</v>
      </c>
      <c r="BS38" s="664">
        <f t="shared" si="70"/>
        <v>2680.75</v>
      </c>
    </row>
    <row r="39" s="374" customFormat="1" ht="30" hidden="1" customHeight="1" spans="1:71">
      <c r="A39" s="398">
        <v>45918</v>
      </c>
      <c r="B39" s="399" t="s">
        <v>292</v>
      </c>
      <c r="C39" s="400" t="s">
        <v>118</v>
      </c>
      <c r="D39" s="401">
        <v>4500179747</v>
      </c>
      <c r="E39" s="402" t="s">
        <v>312</v>
      </c>
      <c r="F39" s="401" t="s">
        <v>313</v>
      </c>
      <c r="G39" s="403" t="s">
        <v>84</v>
      </c>
      <c r="H39" s="404" t="s">
        <v>85</v>
      </c>
      <c r="I39" s="441">
        <v>5200</v>
      </c>
      <c r="J39" s="442">
        <v>0</v>
      </c>
      <c r="K39" s="442">
        <v>52</v>
      </c>
      <c r="L39" s="442">
        <f t="shared" si="10"/>
        <v>100</v>
      </c>
      <c r="M39" s="503">
        <v>45958</v>
      </c>
      <c r="N39" s="503">
        <v>45954</v>
      </c>
      <c r="O39" s="444"/>
      <c r="P39" s="459" t="s">
        <v>94</v>
      </c>
      <c r="Q39" s="444" t="s">
        <v>314</v>
      </c>
      <c r="R39" s="468">
        <v>45926</v>
      </c>
      <c r="S39" s="630" t="s">
        <v>125</v>
      </c>
      <c r="T39" s="631" t="s">
        <v>315</v>
      </c>
      <c r="U39" s="470" t="s">
        <v>297</v>
      </c>
      <c r="V39" s="471" t="s">
        <v>298</v>
      </c>
      <c r="W39" s="472">
        <v>0.5675</v>
      </c>
      <c r="X39" s="473">
        <f t="shared" si="49"/>
        <v>2951</v>
      </c>
      <c r="Y39" s="501" t="s">
        <v>316</v>
      </c>
      <c r="Z39" s="502">
        <f>5096+104</f>
        <v>5200</v>
      </c>
      <c r="AA39" s="502">
        <f t="shared" si="71"/>
        <v>0</v>
      </c>
      <c r="AB39" s="503"/>
      <c r="AC39" s="646"/>
      <c r="AD39" s="403" t="s">
        <v>84</v>
      </c>
      <c r="AE39" s="504" t="s">
        <v>78</v>
      </c>
      <c r="AF39" s="505">
        <f t="shared" si="24"/>
        <v>5200</v>
      </c>
      <c r="AG39" s="530">
        <f>AF39</f>
        <v>5200</v>
      </c>
      <c r="AH39" s="531"/>
      <c r="AI39" s="531">
        <f t="shared" si="50"/>
        <v>5200</v>
      </c>
      <c r="AJ39" s="532"/>
      <c r="AK39" s="532"/>
      <c r="AL39" s="533"/>
      <c r="AM39" s="533"/>
      <c r="AN39" s="532">
        <f>I39/13</f>
        <v>400</v>
      </c>
      <c r="AO39" s="533"/>
      <c r="AP39" s="533"/>
      <c r="AQ39" s="533"/>
      <c r="AR39" s="533"/>
      <c r="AS39" s="533"/>
      <c r="AT39" s="533"/>
      <c r="AU39" s="533"/>
      <c r="AV39" s="533"/>
      <c r="AW39" s="533"/>
      <c r="AX39" s="552">
        <f>I39</f>
        <v>5200</v>
      </c>
      <c r="AY39" s="552"/>
      <c r="AZ39" s="533"/>
      <c r="BA39" s="553">
        <f t="shared" si="53"/>
        <v>650</v>
      </c>
      <c r="BB39" s="553">
        <f t="shared" si="54"/>
        <v>541.666666666668</v>
      </c>
      <c r="BC39" s="553">
        <f t="shared" si="55"/>
        <v>108.333333333333</v>
      </c>
      <c r="BD39" s="553">
        <f t="shared" si="56"/>
        <v>650</v>
      </c>
      <c r="BE39" s="553">
        <f t="shared" si="57"/>
        <v>650</v>
      </c>
      <c r="BF39" s="553">
        <f t="shared" si="58"/>
        <v>650</v>
      </c>
      <c r="BG39" s="553">
        <f t="shared" si="59"/>
        <v>650</v>
      </c>
      <c r="BH39" s="553">
        <f t="shared" si="60"/>
        <v>650</v>
      </c>
      <c r="BI39" s="553">
        <f t="shared" si="61"/>
        <v>650</v>
      </c>
      <c r="BK39" s="565">
        <f t="shared" si="62"/>
        <v>2017.75</v>
      </c>
      <c r="BL39" s="565">
        <f t="shared" si="63"/>
        <v>1857.95833333317</v>
      </c>
      <c r="BM39" s="565">
        <f t="shared" si="64"/>
        <v>2030.75</v>
      </c>
      <c r="BN39" s="565">
        <f t="shared" si="65"/>
        <v>246.791666666648</v>
      </c>
      <c r="BO39" s="565">
        <f t="shared" si="66"/>
        <v>152.75</v>
      </c>
      <c r="BP39" s="565">
        <f t="shared" si="67"/>
        <v>2030.75</v>
      </c>
      <c r="BQ39" s="565">
        <f t="shared" si="68"/>
        <v>2030.75</v>
      </c>
      <c r="BR39" s="565">
        <f t="shared" si="69"/>
        <v>2430.75</v>
      </c>
      <c r="BS39" s="565">
        <f t="shared" si="70"/>
        <v>2030.75</v>
      </c>
    </row>
    <row r="40" s="374" customFormat="1" ht="30" hidden="1" customHeight="1" spans="1:71">
      <c r="A40" s="398">
        <v>45922</v>
      </c>
      <c r="B40" s="399" t="s">
        <v>317</v>
      </c>
      <c r="C40" s="400" t="s">
        <v>318</v>
      </c>
      <c r="D40" s="401">
        <v>4500180040</v>
      </c>
      <c r="E40" s="402">
        <v>249680</v>
      </c>
      <c r="F40" s="401" t="s">
        <v>319</v>
      </c>
      <c r="G40" s="403" t="s">
        <v>320</v>
      </c>
      <c r="H40" s="404" t="s">
        <v>321</v>
      </c>
      <c r="I40" s="441">
        <v>5760</v>
      </c>
      <c r="J40" s="442">
        <v>0</v>
      </c>
      <c r="K40" s="442">
        <v>24</v>
      </c>
      <c r="L40" s="442">
        <f t="shared" si="10"/>
        <v>240</v>
      </c>
      <c r="M40" s="503">
        <v>45968</v>
      </c>
      <c r="N40" s="503">
        <v>45964</v>
      </c>
      <c r="O40" s="444"/>
      <c r="P40" s="459" t="s">
        <v>94</v>
      </c>
      <c r="Q40" s="444" t="s">
        <v>322</v>
      </c>
      <c r="R40" s="468">
        <v>45940</v>
      </c>
      <c r="S40" s="630" t="s">
        <v>75</v>
      </c>
      <c r="T40" s="631" t="s">
        <v>323</v>
      </c>
      <c r="U40" s="632" t="s">
        <v>324</v>
      </c>
      <c r="V40" s="471" t="s">
        <v>325</v>
      </c>
      <c r="W40" s="472">
        <v>0.9005</v>
      </c>
      <c r="X40" s="473">
        <f t="shared" si="49"/>
        <v>5186.88</v>
      </c>
      <c r="Y40" s="501" t="s">
        <v>326</v>
      </c>
      <c r="Z40" s="502">
        <v>5760</v>
      </c>
      <c r="AA40" s="502">
        <v>0</v>
      </c>
      <c r="AB40" s="503"/>
      <c r="AC40" s="646"/>
      <c r="AD40" s="403" t="s">
        <v>320</v>
      </c>
      <c r="AE40" s="504" t="s">
        <v>78</v>
      </c>
      <c r="AF40" s="505">
        <f t="shared" si="24"/>
        <v>5760</v>
      </c>
      <c r="AG40" s="530"/>
      <c r="AH40" s="531">
        <f>I40</f>
        <v>5760</v>
      </c>
      <c r="AI40" s="531">
        <f t="shared" si="50"/>
        <v>5760</v>
      </c>
      <c r="AJ40" s="532"/>
      <c r="AK40" s="532"/>
      <c r="AL40" s="533"/>
      <c r="AM40" s="533"/>
      <c r="AN40" s="532"/>
      <c r="AO40" s="533">
        <f>I40/24</f>
        <v>240</v>
      </c>
      <c r="AP40" s="533"/>
      <c r="AQ40" s="533"/>
      <c r="AR40" s="533"/>
      <c r="AS40" s="533"/>
      <c r="AT40" s="533"/>
      <c r="AU40" s="533"/>
      <c r="AV40" s="533"/>
      <c r="AW40" s="533"/>
      <c r="AX40" s="552"/>
      <c r="AY40" s="552">
        <f>I40</f>
        <v>5760</v>
      </c>
      <c r="AZ40" s="533"/>
      <c r="BA40" s="553">
        <f t="shared" si="53"/>
        <v>720</v>
      </c>
      <c r="BB40" s="553">
        <f t="shared" si="54"/>
        <v>600.000000000002</v>
      </c>
      <c r="BC40" s="553">
        <f t="shared" si="55"/>
        <v>120</v>
      </c>
      <c r="BD40" s="553">
        <f t="shared" si="56"/>
        <v>720</v>
      </c>
      <c r="BE40" s="553">
        <f t="shared" si="57"/>
        <v>720</v>
      </c>
      <c r="BF40" s="553">
        <f t="shared" si="58"/>
        <v>720</v>
      </c>
      <c r="BG40" s="553">
        <f t="shared" si="59"/>
        <v>720</v>
      </c>
      <c r="BH40" s="553">
        <f t="shared" si="60"/>
        <v>720</v>
      </c>
      <c r="BI40" s="553">
        <f t="shared" si="61"/>
        <v>720</v>
      </c>
      <c r="BK40" s="565">
        <f t="shared" si="62"/>
        <v>1297.75</v>
      </c>
      <c r="BL40" s="565">
        <f t="shared" si="63"/>
        <v>1257.95833333317</v>
      </c>
      <c r="BM40" s="565">
        <f t="shared" si="64"/>
        <v>1310.75</v>
      </c>
      <c r="BN40" s="565">
        <f t="shared" si="65"/>
        <v>126.791666666649</v>
      </c>
      <c r="BO40" s="565">
        <f t="shared" si="66"/>
        <v>-567.25</v>
      </c>
      <c r="BP40" s="565">
        <f t="shared" si="67"/>
        <v>1310.75</v>
      </c>
      <c r="BQ40" s="565">
        <f t="shared" si="68"/>
        <v>1310.75</v>
      </c>
      <c r="BR40" s="565">
        <f t="shared" si="69"/>
        <v>1710.75</v>
      </c>
      <c r="BS40" s="565">
        <f t="shared" si="70"/>
        <v>1310.75</v>
      </c>
    </row>
    <row r="41" s="376" customFormat="1" ht="30" hidden="1" customHeight="1" spans="1:71">
      <c r="A41" s="412">
        <v>46008</v>
      </c>
      <c r="B41" s="413" t="s">
        <v>292</v>
      </c>
      <c r="C41" s="414" t="s">
        <v>118</v>
      </c>
      <c r="D41" s="415">
        <v>4500188454</v>
      </c>
      <c r="E41" s="416" t="s">
        <v>327</v>
      </c>
      <c r="F41" s="415" t="s">
        <v>328</v>
      </c>
      <c r="G41" s="417" t="s">
        <v>84</v>
      </c>
      <c r="H41" s="418" t="s">
        <v>85</v>
      </c>
      <c r="I41" s="450">
        <v>1820</v>
      </c>
      <c r="J41" s="451">
        <v>0</v>
      </c>
      <c r="K41" s="451">
        <v>52</v>
      </c>
      <c r="L41" s="451">
        <f t="shared" si="10"/>
        <v>35</v>
      </c>
      <c r="M41" s="608">
        <v>46045</v>
      </c>
      <c r="N41" s="608">
        <v>46042</v>
      </c>
      <c r="O41" s="453"/>
      <c r="P41" s="453"/>
      <c r="Q41" s="453"/>
      <c r="R41" s="479">
        <v>46008</v>
      </c>
      <c r="S41" s="479" t="s">
        <v>125</v>
      </c>
      <c r="T41" s="633" t="s">
        <v>329</v>
      </c>
      <c r="U41" s="481" t="s">
        <v>297</v>
      </c>
      <c r="V41" s="482" t="s">
        <v>330</v>
      </c>
      <c r="W41" s="483">
        <v>0.5759</v>
      </c>
      <c r="X41" s="484">
        <f t="shared" si="49"/>
        <v>1048.138</v>
      </c>
      <c r="Y41" s="512"/>
      <c r="Z41" s="513"/>
      <c r="AA41" s="513"/>
      <c r="AB41" s="452"/>
      <c r="AC41" s="452"/>
      <c r="AD41" s="417" t="s">
        <v>84</v>
      </c>
      <c r="AE41" s="514" t="s">
        <v>78</v>
      </c>
      <c r="AF41" s="515">
        <f t="shared" si="24"/>
        <v>1820</v>
      </c>
      <c r="AG41" s="538">
        <f>AF41</f>
        <v>1820</v>
      </c>
      <c r="AH41" s="539"/>
      <c r="AI41" s="539">
        <f t="shared" si="50"/>
        <v>1820</v>
      </c>
      <c r="AJ41" s="540"/>
      <c r="AK41" s="540"/>
      <c r="AL41" s="541"/>
      <c r="AM41" s="541"/>
      <c r="AN41" s="540">
        <f>I41/13</f>
        <v>140</v>
      </c>
      <c r="AO41" s="541"/>
      <c r="AP41" s="541"/>
      <c r="AQ41" s="541"/>
      <c r="AR41" s="541"/>
      <c r="AS41" s="541"/>
      <c r="AT41" s="541"/>
      <c r="AU41" s="541"/>
      <c r="AV41" s="541"/>
      <c r="AW41" s="541"/>
      <c r="AX41" s="556">
        <f>I41</f>
        <v>1820</v>
      </c>
      <c r="AY41" s="556"/>
      <c r="AZ41" s="541"/>
      <c r="BA41" s="557">
        <f t="shared" si="53"/>
        <v>227.5</v>
      </c>
      <c r="BB41" s="557">
        <f t="shared" si="54"/>
        <v>189.583333333334</v>
      </c>
      <c r="BC41" s="557">
        <f t="shared" si="55"/>
        <v>37.9166666666666</v>
      </c>
      <c r="BD41" s="557">
        <f t="shared" si="56"/>
        <v>227.5</v>
      </c>
      <c r="BE41" s="557">
        <f t="shared" si="57"/>
        <v>227.5</v>
      </c>
      <c r="BF41" s="557">
        <f t="shared" si="58"/>
        <v>227.5</v>
      </c>
      <c r="BG41" s="557">
        <f t="shared" si="59"/>
        <v>227.5</v>
      </c>
      <c r="BH41" s="557">
        <f t="shared" si="60"/>
        <v>227.5</v>
      </c>
      <c r="BI41" s="557">
        <f t="shared" si="61"/>
        <v>227.5</v>
      </c>
      <c r="BK41" s="565">
        <f t="shared" si="62"/>
        <v>1070.25</v>
      </c>
      <c r="BL41" s="565">
        <f t="shared" si="63"/>
        <v>1068.37499999983</v>
      </c>
      <c r="BM41" s="565">
        <f t="shared" si="64"/>
        <v>1083.25</v>
      </c>
      <c r="BN41" s="565">
        <f t="shared" si="65"/>
        <v>88.874999999982</v>
      </c>
      <c r="BO41" s="565">
        <f t="shared" si="66"/>
        <v>-794.75</v>
      </c>
      <c r="BP41" s="565">
        <f t="shared" si="67"/>
        <v>1083.25</v>
      </c>
      <c r="BQ41" s="565">
        <f t="shared" si="68"/>
        <v>1083.25</v>
      </c>
      <c r="BR41" s="565">
        <f t="shared" si="69"/>
        <v>1483.25</v>
      </c>
      <c r="BS41" s="565">
        <f t="shared" si="70"/>
        <v>1083.25</v>
      </c>
    </row>
    <row r="42" s="376" customFormat="1" ht="30" customHeight="1" spans="1:71">
      <c r="A42" s="412">
        <v>46008</v>
      </c>
      <c r="B42" s="413" t="s">
        <v>284</v>
      </c>
      <c r="C42" s="414" t="s">
        <v>285</v>
      </c>
      <c r="D42" s="415">
        <v>4500189203</v>
      </c>
      <c r="E42" s="416"/>
      <c r="F42" s="415" t="s">
        <v>331</v>
      </c>
      <c r="G42" s="417" t="s">
        <v>162</v>
      </c>
      <c r="H42" s="418" t="s">
        <v>103</v>
      </c>
      <c r="I42" s="450">
        <v>672</v>
      </c>
      <c r="J42" s="451">
        <v>0</v>
      </c>
      <c r="K42" s="451">
        <v>48</v>
      </c>
      <c r="L42" s="451">
        <f t="shared" si="10"/>
        <v>14</v>
      </c>
      <c r="M42" s="608">
        <v>46045</v>
      </c>
      <c r="N42" s="608">
        <v>46045</v>
      </c>
      <c r="O42" s="453"/>
      <c r="P42" s="453"/>
      <c r="Q42" s="453"/>
      <c r="R42" s="453" t="s">
        <v>332</v>
      </c>
      <c r="S42" s="453" t="s">
        <v>75</v>
      </c>
      <c r="T42" s="453" t="s">
        <v>333</v>
      </c>
      <c r="U42" s="481" t="s">
        <v>334</v>
      </c>
      <c r="V42" s="482" t="s">
        <v>290</v>
      </c>
      <c r="W42" s="627">
        <v>0.9931</v>
      </c>
      <c r="X42" s="484">
        <f t="shared" si="49"/>
        <v>667.3632</v>
      </c>
      <c r="Y42" s="512"/>
      <c r="Z42" s="513"/>
      <c r="AA42" s="513"/>
      <c r="AB42" s="452"/>
      <c r="AC42" s="452"/>
      <c r="AD42" s="593" t="s">
        <v>209</v>
      </c>
      <c r="AE42" s="514" t="s">
        <v>78</v>
      </c>
      <c r="AF42" s="515">
        <f t="shared" si="24"/>
        <v>672</v>
      </c>
      <c r="AG42" s="539"/>
      <c r="AH42" s="539">
        <f>I42</f>
        <v>672</v>
      </c>
      <c r="AI42" s="539">
        <f t="shared" si="50"/>
        <v>672</v>
      </c>
      <c r="AJ42" s="540"/>
      <c r="AK42" s="540"/>
      <c r="AL42" s="541"/>
      <c r="AM42" s="541">
        <f>I42/24</f>
        <v>28</v>
      </c>
      <c r="AN42" s="541"/>
      <c r="AO42" s="541"/>
      <c r="AP42" s="541"/>
      <c r="AQ42" s="541"/>
      <c r="AR42" s="541"/>
      <c r="AS42" s="541"/>
      <c r="AT42" s="541"/>
      <c r="AU42" s="541"/>
      <c r="AV42" s="541"/>
      <c r="AW42" s="541"/>
      <c r="AX42" s="556">
        <f>I42</f>
        <v>672</v>
      </c>
      <c r="AY42" s="556"/>
      <c r="AZ42" s="541"/>
      <c r="BA42" s="557">
        <f t="shared" si="53"/>
        <v>84</v>
      </c>
      <c r="BB42" s="557">
        <f t="shared" si="54"/>
        <v>70.0000000000002</v>
      </c>
      <c r="BC42" s="557">
        <f t="shared" si="55"/>
        <v>14</v>
      </c>
      <c r="BD42" s="557">
        <f t="shared" si="56"/>
        <v>84</v>
      </c>
      <c r="BE42" s="557">
        <f t="shared" si="57"/>
        <v>84</v>
      </c>
      <c r="BF42" s="557">
        <f t="shared" si="58"/>
        <v>84</v>
      </c>
      <c r="BG42" s="557">
        <f t="shared" si="59"/>
        <v>84</v>
      </c>
      <c r="BH42" s="557">
        <f t="shared" si="60"/>
        <v>84</v>
      </c>
      <c r="BI42" s="557">
        <f t="shared" si="61"/>
        <v>84</v>
      </c>
      <c r="BK42" s="665"/>
      <c r="BL42" s="665"/>
      <c r="BM42" s="665"/>
      <c r="BN42" s="665"/>
      <c r="BO42" s="665"/>
      <c r="BP42" s="665"/>
      <c r="BQ42" s="665"/>
      <c r="BR42" s="665"/>
      <c r="BS42" s="665"/>
    </row>
    <row r="43" s="571" customFormat="1" ht="30" customHeight="1" spans="1:71">
      <c r="A43" s="595">
        <v>46027</v>
      </c>
      <c r="B43" s="596" t="s">
        <v>335</v>
      </c>
      <c r="C43" s="597" t="s">
        <v>336</v>
      </c>
      <c r="D43" s="598">
        <v>4500190681</v>
      </c>
      <c r="E43" s="599"/>
      <c r="F43" s="598" t="s">
        <v>337</v>
      </c>
      <c r="G43" s="600" t="s">
        <v>162</v>
      </c>
      <c r="H43" s="601" t="s">
        <v>103</v>
      </c>
      <c r="I43" s="609">
        <v>288</v>
      </c>
      <c r="J43" s="610">
        <v>0</v>
      </c>
      <c r="K43" s="610">
        <v>48</v>
      </c>
      <c r="L43" s="610">
        <f t="shared" si="10"/>
        <v>6</v>
      </c>
      <c r="M43" s="611">
        <v>46057</v>
      </c>
      <c r="N43" s="611">
        <f>M43-4</f>
        <v>46053</v>
      </c>
      <c r="O43" s="612"/>
      <c r="P43" s="612"/>
      <c r="Q43" s="612"/>
      <c r="R43" s="612"/>
      <c r="S43" s="612"/>
      <c r="T43" s="612"/>
      <c r="U43" s="634" t="s">
        <v>338</v>
      </c>
      <c r="V43" s="635" t="s">
        <v>339</v>
      </c>
      <c r="W43" s="636">
        <v>0.9747</v>
      </c>
      <c r="X43" s="637">
        <f t="shared" si="49"/>
        <v>280.7136</v>
      </c>
      <c r="Y43" s="647"/>
      <c r="Z43" s="648"/>
      <c r="AA43" s="648"/>
      <c r="AB43" s="611"/>
      <c r="AC43" s="611"/>
      <c r="AD43" s="649"/>
      <c r="AE43" s="650"/>
      <c r="AF43" s="651"/>
      <c r="AG43" s="656"/>
      <c r="AH43" s="656"/>
      <c r="AI43" s="656"/>
      <c r="AJ43" s="657"/>
      <c r="AK43" s="657"/>
      <c r="AL43" s="658"/>
      <c r="AM43" s="658"/>
      <c r="AN43" s="658"/>
      <c r="AO43" s="658"/>
      <c r="AP43" s="658"/>
      <c r="AQ43" s="658"/>
      <c r="AR43" s="658"/>
      <c r="AS43" s="658"/>
      <c r="AT43" s="658"/>
      <c r="AU43" s="658"/>
      <c r="AV43" s="658"/>
      <c r="AW43" s="658"/>
      <c r="AX43" s="662"/>
      <c r="AY43" s="662"/>
      <c r="AZ43" s="658"/>
      <c r="BA43" s="663">
        <f t="shared" si="53"/>
        <v>36</v>
      </c>
      <c r="BB43" s="663">
        <f t="shared" si="54"/>
        <v>30.0000000000001</v>
      </c>
      <c r="BC43" s="663">
        <f t="shared" si="55"/>
        <v>5.99999999999999</v>
      </c>
      <c r="BD43" s="663">
        <f t="shared" si="56"/>
        <v>36</v>
      </c>
      <c r="BE43" s="663">
        <f t="shared" si="57"/>
        <v>36</v>
      </c>
      <c r="BF43" s="663">
        <f t="shared" si="58"/>
        <v>36</v>
      </c>
      <c r="BG43" s="663">
        <f t="shared" si="59"/>
        <v>36</v>
      </c>
      <c r="BH43" s="663">
        <f t="shared" si="60"/>
        <v>36</v>
      </c>
      <c r="BI43" s="663">
        <f t="shared" si="61"/>
        <v>36</v>
      </c>
      <c r="BK43" s="666"/>
      <c r="BL43" s="666"/>
      <c r="BM43" s="666"/>
      <c r="BN43" s="666"/>
      <c r="BO43" s="666"/>
      <c r="BP43" s="666"/>
      <c r="BQ43" s="666"/>
      <c r="BR43" s="666"/>
      <c r="BS43" s="666"/>
    </row>
    <row r="44" s="377" customFormat="1" ht="30" customHeight="1" spans="1:71">
      <c r="A44" s="419"/>
      <c r="B44" s="420"/>
      <c r="C44" s="421"/>
      <c r="D44" s="422"/>
      <c r="E44" s="423"/>
      <c r="F44" s="424"/>
      <c r="G44" s="425"/>
      <c r="H44" s="418"/>
      <c r="I44" s="454"/>
      <c r="J44" s="454"/>
      <c r="K44" s="455"/>
      <c r="L44" s="454"/>
      <c r="M44" s="456"/>
      <c r="N44" s="457"/>
      <c r="O44" s="458"/>
      <c r="P44" s="459"/>
      <c r="Q44" s="458"/>
      <c r="R44" s="485"/>
      <c r="S44" s="485"/>
      <c r="T44" s="485"/>
      <c r="U44" s="486"/>
      <c r="V44" s="487"/>
      <c r="W44" s="488"/>
      <c r="X44" s="489"/>
      <c r="Y44" s="516"/>
      <c r="Z44" s="517"/>
      <c r="AA44" s="517"/>
      <c r="AB44" s="460"/>
      <c r="AC44" s="460"/>
      <c r="AD44" s="424"/>
      <c r="AE44" s="516"/>
      <c r="AF44" s="518"/>
      <c r="AG44" s="542"/>
      <c r="AH44" s="542"/>
      <c r="AI44" s="542"/>
      <c r="AJ44" s="543"/>
      <c r="AK44" s="543"/>
      <c r="AL44" s="543"/>
      <c r="AM44" s="543"/>
      <c r="AN44" s="543"/>
      <c r="AO44" s="543"/>
      <c r="AP44" s="543"/>
      <c r="AQ44" s="543"/>
      <c r="AR44" s="543"/>
      <c r="AS44" s="543"/>
      <c r="AT44" s="543"/>
      <c r="AU44" s="543"/>
      <c r="AV44" s="543"/>
      <c r="AW44" s="543"/>
      <c r="AX44" s="518"/>
      <c r="AY44" s="518"/>
      <c r="AZ44" s="543"/>
      <c r="BA44" s="558"/>
      <c r="BB44" s="558"/>
      <c r="BC44" s="558"/>
      <c r="BD44" s="558"/>
      <c r="BE44" s="558"/>
      <c r="BF44" s="558"/>
      <c r="BG44" s="558"/>
      <c r="BH44" s="558"/>
      <c r="BI44" s="558"/>
      <c r="BK44" s="567"/>
      <c r="BL44" s="567"/>
      <c r="BM44" s="567"/>
      <c r="BN44" s="567"/>
      <c r="BO44" s="567"/>
      <c r="BP44" s="567"/>
      <c r="BQ44" s="567"/>
      <c r="BR44" s="567"/>
      <c r="BS44" s="567"/>
    </row>
    <row r="45" s="377" customFormat="1" ht="30" customHeight="1" spans="1:71">
      <c r="A45" s="419"/>
      <c r="B45" s="420"/>
      <c r="C45" s="421"/>
      <c r="D45" s="422"/>
      <c r="E45" s="423"/>
      <c r="F45" s="424"/>
      <c r="G45" s="426"/>
      <c r="H45" s="427"/>
      <c r="I45" s="455"/>
      <c r="J45" s="455"/>
      <c r="K45" s="455"/>
      <c r="L45" s="454"/>
      <c r="M45" s="460"/>
      <c r="N45" s="460"/>
      <c r="O45" s="458"/>
      <c r="P45" s="458"/>
      <c r="Q45" s="458"/>
      <c r="R45" s="485"/>
      <c r="S45" s="485"/>
      <c r="T45" s="485"/>
      <c r="U45" s="486"/>
      <c r="V45" s="487"/>
      <c r="W45" s="488"/>
      <c r="X45" s="489"/>
      <c r="Y45" s="516"/>
      <c r="Z45" s="517"/>
      <c r="AA45" s="517"/>
      <c r="AB45" s="460"/>
      <c r="AC45" s="460"/>
      <c r="AD45" s="424"/>
      <c r="AE45" s="516"/>
      <c r="AF45" s="518"/>
      <c r="AG45" s="542"/>
      <c r="AH45" s="542"/>
      <c r="AI45" s="542"/>
      <c r="AJ45" s="543"/>
      <c r="AK45" s="543"/>
      <c r="AL45" s="543"/>
      <c r="AM45" s="543"/>
      <c r="AN45" s="543"/>
      <c r="AO45" s="543"/>
      <c r="AP45" s="543"/>
      <c r="AQ45" s="543"/>
      <c r="AR45" s="543"/>
      <c r="AS45" s="543"/>
      <c r="AT45" s="543"/>
      <c r="AU45" s="543"/>
      <c r="AV45" s="543"/>
      <c r="AW45" s="543"/>
      <c r="AX45" s="518"/>
      <c r="AY45" s="518"/>
      <c r="AZ45" s="543"/>
      <c r="BA45" s="558"/>
      <c r="BB45" s="558"/>
      <c r="BC45" s="558"/>
      <c r="BD45" s="558"/>
      <c r="BE45" s="558"/>
      <c r="BF45" s="558"/>
      <c r="BG45" s="558"/>
      <c r="BH45" s="558"/>
      <c r="BI45" s="558"/>
      <c r="BK45" s="567"/>
      <c r="BL45" s="567"/>
      <c r="BM45" s="567"/>
      <c r="BN45" s="567"/>
      <c r="BO45" s="567"/>
      <c r="BP45" s="567"/>
      <c r="BQ45" s="567"/>
      <c r="BR45" s="567"/>
      <c r="BS45" s="567"/>
    </row>
    <row r="46" s="377" customFormat="1" ht="30" customHeight="1" spans="1:71">
      <c r="A46" s="419"/>
      <c r="B46" s="420"/>
      <c r="C46" s="428"/>
      <c r="D46" s="422"/>
      <c r="E46" s="424"/>
      <c r="F46" s="424"/>
      <c r="G46" s="425"/>
      <c r="H46" s="427"/>
      <c r="I46" s="455"/>
      <c r="J46" s="454"/>
      <c r="K46" s="454"/>
      <c r="L46" s="454"/>
      <c r="M46" s="460"/>
      <c r="N46" s="460"/>
      <c r="O46" s="458"/>
      <c r="P46" s="458"/>
      <c r="Q46" s="458"/>
      <c r="R46" s="485"/>
      <c r="S46" s="485"/>
      <c r="T46" s="485"/>
      <c r="U46" s="486"/>
      <c r="V46" s="487"/>
      <c r="W46" s="488"/>
      <c r="X46" s="489"/>
      <c r="Y46" s="516"/>
      <c r="Z46" s="517"/>
      <c r="AA46" s="517"/>
      <c r="AB46" s="460"/>
      <c r="AC46" s="460"/>
      <c r="AD46" s="424"/>
      <c r="AE46" s="516"/>
      <c r="AF46" s="518"/>
      <c r="AG46" s="542"/>
      <c r="AH46" s="542"/>
      <c r="AI46" s="542"/>
      <c r="AJ46" s="543"/>
      <c r="AK46" s="543"/>
      <c r="AL46" s="543"/>
      <c r="AM46" s="543"/>
      <c r="AN46" s="543"/>
      <c r="AO46" s="543"/>
      <c r="AP46" s="543"/>
      <c r="AQ46" s="543"/>
      <c r="AR46" s="543"/>
      <c r="AS46" s="543"/>
      <c r="AT46" s="543"/>
      <c r="AU46" s="543"/>
      <c r="AV46" s="543"/>
      <c r="AW46" s="543"/>
      <c r="AX46" s="518"/>
      <c r="AY46" s="518"/>
      <c r="AZ46" s="543"/>
      <c r="BA46" s="558"/>
      <c r="BB46" s="558"/>
      <c r="BC46" s="558"/>
      <c r="BD46" s="558"/>
      <c r="BE46" s="558"/>
      <c r="BF46" s="558"/>
      <c r="BG46" s="558"/>
      <c r="BH46" s="558"/>
      <c r="BI46" s="558"/>
      <c r="BK46" s="567"/>
      <c r="BL46" s="567"/>
      <c r="BM46" s="567"/>
      <c r="BN46" s="567"/>
      <c r="BO46" s="567"/>
      <c r="BP46" s="567"/>
      <c r="BQ46" s="567"/>
      <c r="BR46" s="567"/>
      <c r="BS46" s="567"/>
    </row>
    <row r="47" s="377" customFormat="1" ht="30" customHeight="1" spans="1:71">
      <c r="A47" s="419"/>
      <c r="B47" s="420"/>
      <c r="C47" s="428"/>
      <c r="D47" s="422"/>
      <c r="E47" s="424"/>
      <c r="F47" s="424"/>
      <c r="G47" s="426"/>
      <c r="H47" s="420"/>
      <c r="I47" s="454"/>
      <c r="J47" s="454"/>
      <c r="K47" s="454"/>
      <c r="L47" s="454"/>
      <c r="M47" s="460"/>
      <c r="N47" s="460"/>
      <c r="O47" s="458"/>
      <c r="P47" s="458"/>
      <c r="Q47" s="458"/>
      <c r="R47" s="458"/>
      <c r="S47" s="458"/>
      <c r="T47" s="458"/>
      <c r="U47" s="490"/>
      <c r="V47" s="487"/>
      <c r="W47" s="488"/>
      <c r="X47" s="489"/>
      <c r="Y47" s="516"/>
      <c r="Z47" s="517"/>
      <c r="AA47" s="517"/>
      <c r="AB47" s="460"/>
      <c r="AC47" s="460"/>
      <c r="AD47" s="424"/>
      <c r="AE47" s="516"/>
      <c r="AF47" s="518"/>
      <c r="AG47" s="542"/>
      <c r="AH47" s="542"/>
      <c r="AI47" s="542"/>
      <c r="AJ47" s="543"/>
      <c r="AK47" s="543"/>
      <c r="AL47" s="543"/>
      <c r="AM47" s="543"/>
      <c r="AN47" s="543"/>
      <c r="AO47" s="543"/>
      <c r="AP47" s="543"/>
      <c r="AQ47" s="543"/>
      <c r="AR47" s="543"/>
      <c r="AS47" s="543"/>
      <c r="AT47" s="543"/>
      <c r="AU47" s="543"/>
      <c r="AV47" s="543"/>
      <c r="AW47" s="543"/>
      <c r="AX47" s="518"/>
      <c r="AY47" s="518"/>
      <c r="AZ47" s="543"/>
      <c r="BA47" s="558"/>
      <c r="BB47" s="558"/>
      <c r="BC47" s="558"/>
      <c r="BD47" s="558"/>
      <c r="BE47" s="558"/>
      <c r="BF47" s="558"/>
      <c r="BG47" s="558"/>
      <c r="BH47" s="558"/>
      <c r="BI47" s="558"/>
      <c r="BK47" s="567"/>
      <c r="BL47" s="567"/>
      <c r="BM47" s="567"/>
      <c r="BN47" s="567"/>
      <c r="BO47" s="567"/>
      <c r="BP47" s="567"/>
      <c r="BQ47" s="567"/>
      <c r="BR47" s="567"/>
      <c r="BS47" s="567"/>
    </row>
    <row r="48" spans="73:73">
      <c r="BU48" s="377"/>
    </row>
    <row r="49" spans="9:73">
      <c r="I49" s="430"/>
      <c r="X49" s="430">
        <f>SUM(X4:X48)*7.75</f>
        <v>591886.22555</v>
      </c>
      <c r="AF49" s="519">
        <f>SUM(AF4:AF48)+AF51+AF53</f>
        <v>649110</v>
      </c>
      <c r="AG49" s="519">
        <f t="shared" ref="AG49:BL49" si="72">SUM(AG4:AG48)+AG51+AG53</f>
        <v>570989</v>
      </c>
      <c r="AH49" s="519">
        <f t="shared" si="72"/>
        <v>77881</v>
      </c>
      <c r="AI49" s="519">
        <f t="shared" si="72"/>
        <v>648870</v>
      </c>
      <c r="AJ49" s="519">
        <f t="shared" si="72"/>
        <v>500</v>
      </c>
      <c r="AK49" s="519">
        <f t="shared" si="72"/>
        <v>500</v>
      </c>
      <c r="AL49" s="519">
        <f t="shared" si="72"/>
        <v>6084</v>
      </c>
      <c r="AM49" s="519">
        <f t="shared" si="72"/>
        <v>1494</v>
      </c>
      <c r="AN49" s="519">
        <f t="shared" si="72"/>
        <v>4860</v>
      </c>
      <c r="AO49" s="519">
        <f t="shared" si="72"/>
        <v>725</v>
      </c>
      <c r="AP49" s="519">
        <f t="shared" si="72"/>
        <v>26521</v>
      </c>
      <c r="AQ49" s="519">
        <f t="shared" si="72"/>
        <v>300</v>
      </c>
      <c r="AR49" s="519">
        <f t="shared" si="72"/>
        <v>0</v>
      </c>
      <c r="AS49" s="519">
        <f t="shared" si="72"/>
        <v>300</v>
      </c>
      <c r="AT49" s="519">
        <f t="shared" si="72"/>
        <v>9192</v>
      </c>
      <c r="AU49" s="519">
        <f t="shared" si="72"/>
        <v>5760</v>
      </c>
      <c r="AV49" s="519">
        <f t="shared" si="72"/>
        <v>3432</v>
      </c>
      <c r="AW49" s="519">
        <f t="shared" si="72"/>
        <v>6233</v>
      </c>
      <c r="AX49" s="519">
        <f t="shared" si="72"/>
        <v>861684</v>
      </c>
      <c r="AY49" s="519">
        <f t="shared" si="72"/>
        <v>31322</v>
      </c>
      <c r="AZ49" s="519"/>
      <c r="BA49" s="519">
        <f>SUM(BA4:BA48)+BA51+BA53</f>
        <v>144036.75</v>
      </c>
      <c r="BB49" s="519">
        <f t="shared" ref="AZ49:BI49" si="73">SUM(BB4:BB48)+BB51+BB53</f>
        <v>120048.958333334</v>
      </c>
      <c r="BC49" s="519">
        <f t="shared" si="73"/>
        <v>24097.7916666667</v>
      </c>
      <c r="BD49" s="519">
        <f t="shared" si="73"/>
        <v>144036.75</v>
      </c>
      <c r="BE49" s="519">
        <f t="shared" si="73"/>
        <v>144036.75</v>
      </c>
      <c r="BF49" s="519">
        <f t="shared" si="73"/>
        <v>144036.75</v>
      </c>
      <c r="BG49" s="519">
        <f t="shared" si="73"/>
        <v>144036.75</v>
      </c>
      <c r="BH49" s="519">
        <f t="shared" si="73"/>
        <v>144036.75</v>
      </c>
      <c r="BI49" s="519">
        <f t="shared" si="73"/>
        <v>144036.75</v>
      </c>
      <c r="BU49" s="377"/>
    </row>
    <row r="50" spans="8:73">
      <c r="H50" s="429" t="s">
        <v>340</v>
      </c>
      <c r="BK50" s="568">
        <f>MIN(BK4:BK47)</f>
        <v>1070.25</v>
      </c>
      <c r="BL50" s="568">
        <f t="shared" ref="BL50:BS50" si="74">MIN(BL4:BL47)</f>
        <v>1068.37499999983</v>
      </c>
      <c r="BM50" s="568">
        <f t="shared" si="74"/>
        <v>1083.25</v>
      </c>
      <c r="BN50" s="568">
        <f t="shared" si="74"/>
        <v>88.874999999982</v>
      </c>
      <c r="BO50" s="568">
        <f t="shared" si="74"/>
        <v>-794.75</v>
      </c>
      <c r="BP50" s="568">
        <f t="shared" si="74"/>
        <v>1083.25</v>
      </c>
      <c r="BQ50" s="568">
        <f t="shared" si="74"/>
        <v>1083.25</v>
      </c>
      <c r="BR50" s="568">
        <f t="shared" si="74"/>
        <v>1483.25</v>
      </c>
      <c r="BS50" s="568">
        <f t="shared" si="74"/>
        <v>1083.25</v>
      </c>
      <c r="BU50" s="377"/>
    </row>
    <row r="51" spans="8:73">
      <c r="H51" s="430">
        <f>SUM(AF4:AF46)</f>
        <v>90731</v>
      </c>
      <c r="X51" s="491"/>
      <c r="AE51" s="520" t="s">
        <v>341</v>
      </c>
      <c r="AF51" s="520"/>
      <c r="AG51" s="520"/>
      <c r="AH51" s="520"/>
      <c r="AI51" s="520"/>
      <c r="AJ51" s="520"/>
      <c r="AK51" s="520"/>
      <c r="AL51" s="520"/>
      <c r="AM51" s="520"/>
      <c r="AN51" s="520"/>
      <c r="AO51" s="520"/>
      <c r="AP51" s="520"/>
      <c r="AQ51" s="520"/>
      <c r="AR51" s="520"/>
      <c r="AS51" s="520"/>
      <c r="AT51" s="520"/>
      <c r="AU51" s="520"/>
      <c r="AV51" s="520"/>
      <c r="AW51" s="520"/>
      <c r="AX51" s="520">
        <v>0</v>
      </c>
      <c r="AY51" s="520">
        <v>4068</v>
      </c>
      <c r="AZ51" s="521"/>
      <c r="BA51" s="521">
        <v>30159</v>
      </c>
      <c r="BB51" s="521">
        <v>25142.5</v>
      </c>
      <c r="BC51" s="521">
        <v>5076.5</v>
      </c>
      <c r="BD51" s="521">
        <v>30159</v>
      </c>
      <c r="BE51" s="521">
        <v>30159</v>
      </c>
      <c r="BF51" s="521">
        <v>30159</v>
      </c>
      <c r="BG51" s="521">
        <v>30159</v>
      </c>
      <c r="BH51" s="521">
        <v>30159</v>
      </c>
      <c r="BI51" s="521">
        <v>30159</v>
      </c>
      <c r="BU51" s="377"/>
    </row>
    <row r="52" spans="24:73">
      <c r="X52" s="380">
        <f>SUM(X25:X26)*7.75</f>
        <v>27288.804</v>
      </c>
      <c r="BU52" s="377"/>
    </row>
    <row r="53" spans="31:73">
      <c r="AE53" s="520" t="s">
        <v>342</v>
      </c>
      <c r="AF53" s="521">
        <v>558379</v>
      </c>
      <c r="AG53" s="519">
        <v>523596</v>
      </c>
      <c r="AH53" s="519">
        <v>34783</v>
      </c>
      <c r="AI53" s="519">
        <v>558379</v>
      </c>
      <c r="AJ53" s="519">
        <v>368</v>
      </c>
      <c r="AK53" s="519">
        <v>368</v>
      </c>
      <c r="AL53" s="519">
        <v>5390</v>
      </c>
      <c r="AM53" s="519">
        <v>922</v>
      </c>
      <c r="AN53" s="519">
        <v>3615</v>
      </c>
      <c r="AO53" s="519">
        <v>485</v>
      </c>
      <c r="AP53" s="519">
        <v>23814</v>
      </c>
      <c r="AQ53" s="519">
        <v>73</v>
      </c>
      <c r="AR53" s="519">
        <v>0</v>
      </c>
      <c r="AS53" s="519">
        <v>73</v>
      </c>
      <c r="AT53" s="519">
        <v>8184</v>
      </c>
      <c r="AU53" s="519">
        <v>4752</v>
      </c>
      <c r="AV53" s="519">
        <v>3432</v>
      </c>
      <c r="AW53" s="519">
        <v>6233</v>
      </c>
      <c r="AX53" s="521">
        <v>779929</v>
      </c>
      <c r="AY53" s="521">
        <v>18278</v>
      </c>
      <c r="AZ53" s="519"/>
      <c r="BA53" s="519">
        <v>102500.375</v>
      </c>
      <c r="BB53" s="519">
        <v>85425.3125000003</v>
      </c>
      <c r="BC53" s="519">
        <v>17125.0625</v>
      </c>
      <c r="BD53" s="519">
        <v>102500.375</v>
      </c>
      <c r="BE53" s="519">
        <v>102500.375</v>
      </c>
      <c r="BF53" s="519">
        <v>102500.375</v>
      </c>
      <c r="BG53" s="519">
        <v>102500.375</v>
      </c>
      <c r="BH53" s="519">
        <v>102500.375</v>
      </c>
      <c r="BI53" s="519">
        <v>102500.375</v>
      </c>
      <c r="BK53" s="569">
        <f>BK50-'77489 77593生产MA'!E17</f>
        <v>120</v>
      </c>
      <c r="BL53" s="569">
        <f>BL50-'77489 77593生产MA'!F17</f>
        <v>99.9999999999941</v>
      </c>
      <c r="BM53" s="569">
        <f>BM50-'77489 77593生产MA'!G17</f>
        <v>120</v>
      </c>
      <c r="BN53" s="569">
        <f>BN50-'77489 77593生产MA'!H17</f>
        <v>20.0000000000001</v>
      </c>
      <c r="BO53" s="569">
        <f>BO50-'77489 77593生产MA'!I17</f>
        <v>120</v>
      </c>
      <c r="BP53" s="569">
        <f>BP50-'77489 77593生产MA'!J17</f>
        <v>120</v>
      </c>
      <c r="BQ53" s="569">
        <f>BQ50-'77489 77593生产MA'!K17</f>
        <v>120</v>
      </c>
      <c r="BR53" s="569">
        <f>BR50-'77489 77593生产MA'!L17</f>
        <v>120</v>
      </c>
      <c r="BS53" s="569">
        <f>BS50-'77489 77593生产MA'!M17</f>
        <v>120</v>
      </c>
      <c r="BU53" s="377"/>
    </row>
    <row r="56" spans="36:61">
      <c r="AJ56" s="544">
        <f>SUM(AJ4:AJ47)</f>
        <v>132</v>
      </c>
      <c r="AL56" s="544">
        <f>SUM(AL4:AL47)</f>
        <v>694</v>
      </c>
      <c r="AM56" s="544">
        <f>SUM(AM4:AM47)</f>
        <v>572</v>
      </c>
      <c r="AQ56" s="544">
        <f>SUM(AQ4:AQ47)</f>
        <v>227</v>
      </c>
      <c r="AR56" s="544">
        <f>SUM(AR4:AR47)</f>
        <v>0</v>
      </c>
      <c r="BA56" s="559">
        <f t="shared" ref="BA56:BI56" si="75">SUM(BA4:BA45)</f>
        <v>11377.375</v>
      </c>
      <c r="BB56" s="559">
        <f t="shared" si="75"/>
        <v>9481.14583333336</v>
      </c>
      <c r="BC56" s="559">
        <f t="shared" si="75"/>
        <v>1896.22916666666</v>
      </c>
      <c r="BD56" s="559">
        <f t="shared" si="75"/>
        <v>11377.375</v>
      </c>
      <c r="BE56" s="559">
        <f t="shared" si="75"/>
        <v>11377.375</v>
      </c>
      <c r="BF56" s="559">
        <f t="shared" si="75"/>
        <v>11377.375</v>
      </c>
      <c r="BG56" s="559">
        <f t="shared" si="75"/>
        <v>11377.375</v>
      </c>
      <c r="BH56" s="559">
        <f t="shared" si="75"/>
        <v>11377.375</v>
      </c>
      <c r="BI56" s="559">
        <f t="shared" si="75"/>
        <v>11377.375</v>
      </c>
    </row>
    <row r="59" spans="51:61">
      <c r="AY59" s="383" t="s">
        <v>343</v>
      </c>
      <c r="BA59" s="560">
        <f>SUM(BA53,BA51,BA4:BA40)</f>
        <v>143689.25</v>
      </c>
      <c r="BB59" s="560">
        <f t="shared" ref="BB59:BI59" si="76">SUM(BB53,BB51,BB4:BB40)</f>
        <v>119759.375</v>
      </c>
      <c r="BC59" s="560">
        <f t="shared" si="76"/>
        <v>24039.875</v>
      </c>
      <c r="BD59" s="560">
        <f t="shared" si="76"/>
        <v>143689.25</v>
      </c>
      <c r="BE59" s="560">
        <f t="shared" si="76"/>
        <v>143689.25</v>
      </c>
      <c r="BF59" s="560">
        <f t="shared" si="76"/>
        <v>143689.25</v>
      </c>
      <c r="BG59" s="560">
        <f t="shared" si="76"/>
        <v>143689.25</v>
      </c>
      <c r="BH59" s="560">
        <f t="shared" si="76"/>
        <v>143689.25</v>
      </c>
      <c r="BI59" s="560">
        <f t="shared" si="76"/>
        <v>143689.25</v>
      </c>
    </row>
    <row r="62" spans="53:61">
      <c r="BA62" s="560"/>
      <c r="BB62" s="560"/>
      <c r="BC62" s="560"/>
      <c r="BD62" s="560"/>
      <c r="BE62" s="560"/>
      <c r="BF62" s="560"/>
      <c r="BG62" s="560"/>
      <c r="BH62" s="560"/>
      <c r="BI62" s="560"/>
    </row>
  </sheetData>
  <sheetProtection selectLockedCells="1" autoFilter="0"/>
  <autoFilter ref="A3:BU43">
    <filterColumn colId="6">
      <customFilters>
        <customFilter operator="equal" val="77593GQ2-S001"/>
      </customFilters>
    </filterColumn>
    <extLst/>
  </autoFilter>
  <mergeCells count="7">
    <mergeCell ref="A2:B2"/>
    <mergeCell ref="AG2:AH2"/>
    <mergeCell ref="AL2:AM2"/>
    <mergeCell ref="AN2:AO2"/>
    <mergeCell ref="AQ2:AS2"/>
    <mergeCell ref="AT2:AV2"/>
    <mergeCell ref="AX2:AY2"/>
  </mergeCells>
  <conditionalFormatting sqref="S6">
    <cfRule type="containsText" dxfId="0" priority="197" operator="between" text="欠">
      <formula>NOT(ISERROR(SEARCH("欠",S6)))</formula>
    </cfRule>
    <cfRule type="cellIs" dxfId="1" priority="198" operator="equal">
      <formula>"欠"</formula>
    </cfRule>
  </conditionalFormatting>
  <conditionalFormatting sqref="T6">
    <cfRule type="containsText" dxfId="0" priority="202" operator="between" text="欠">
      <formula>NOT(ISERROR(SEARCH("欠",T6)))</formula>
    </cfRule>
    <cfRule type="cellIs" dxfId="1" priority="203" operator="equal">
      <formula>"欠"</formula>
    </cfRule>
  </conditionalFormatting>
  <conditionalFormatting sqref="S8">
    <cfRule type="cellIs" dxfId="1" priority="131" operator="equal">
      <formula>"欠"</formula>
    </cfRule>
  </conditionalFormatting>
  <conditionalFormatting sqref="T8">
    <cfRule type="cellIs" dxfId="1" priority="130" operator="equal">
      <formula>"欠"</formula>
    </cfRule>
  </conditionalFormatting>
  <conditionalFormatting sqref="R13">
    <cfRule type="containsText" dxfId="0" priority="116" operator="between" text="欠">
      <formula>NOT(ISERROR(SEARCH("欠",R13)))</formula>
    </cfRule>
    <cfRule type="cellIs" dxfId="1" priority="117" operator="equal">
      <formula>"欠"</formula>
    </cfRule>
  </conditionalFormatting>
  <conditionalFormatting sqref="R14">
    <cfRule type="containsText" dxfId="0" priority="106" operator="between" text="欠">
      <formula>NOT(ISERROR(SEARCH("欠",R14)))</formula>
    </cfRule>
    <cfRule type="cellIs" dxfId="1" priority="107" operator="equal">
      <formula>"欠"</formula>
    </cfRule>
  </conditionalFormatting>
  <conditionalFormatting sqref="T14">
    <cfRule type="cellIs" dxfId="1" priority="108" operator="equal">
      <formula>"欠"</formula>
    </cfRule>
    <cfRule type="containsText" dxfId="0" priority="110" operator="between" text="欠">
      <formula>NOT(ISERROR(SEARCH("欠",T14)))</formula>
    </cfRule>
  </conditionalFormatting>
  <conditionalFormatting sqref="R26">
    <cfRule type="containsText" dxfId="0" priority="72" operator="between" text="欠">
      <formula>NOT(ISERROR(SEARCH("欠",R26)))</formula>
    </cfRule>
    <cfRule type="cellIs" dxfId="1" priority="73" operator="equal">
      <formula>"欠"</formula>
    </cfRule>
  </conditionalFormatting>
  <conditionalFormatting sqref="S26">
    <cfRule type="containsText" dxfId="0" priority="70" operator="between" text="欠">
      <formula>NOT(ISERROR(SEARCH("欠",S26)))</formula>
    </cfRule>
    <cfRule type="cellIs" dxfId="1" priority="71" operator="equal">
      <formula>"欠"</formula>
    </cfRule>
  </conditionalFormatting>
  <conditionalFormatting sqref="T26">
    <cfRule type="containsText" dxfId="0" priority="68" operator="between" text="欠">
      <formula>NOT(ISERROR(SEARCH("欠",T26)))</formula>
    </cfRule>
    <cfRule type="cellIs" dxfId="1" priority="69" operator="equal">
      <formula>"欠"</formula>
    </cfRule>
  </conditionalFormatting>
  <conditionalFormatting sqref="R35">
    <cfRule type="containsText" dxfId="0" priority="42" operator="between" text="欠">
      <formula>NOT(ISERROR(SEARCH("欠",R35)))</formula>
    </cfRule>
    <cfRule type="cellIs" dxfId="1" priority="43" operator="equal">
      <formula>"欠"</formula>
    </cfRule>
  </conditionalFormatting>
  <conditionalFormatting sqref="S35">
    <cfRule type="cellIs" dxfId="1" priority="41" operator="equal">
      <formula>"欠"</formula>
    </cfRule>
    <cfRule type="containsText" dxfId="0" priority="40" operator="between" text="欠">
      <formula>NOT(ISERROR(SEARCH("欠",S35)))</formula>
    </cfRule>
  </conditionalFormatting>
  <conditionalFormatting sqref="T35">
    <cfRule type="cellIs" dxfId="1" priority="39" operator="equal">
      <formula>"欠"</formula>
    </cfRule>
    <cfRule type="containsText" dxfId="0" priority="38" operator="between" text="欠">
      <formula>NOT(ISERROR(SEARCH("欠",T35)))</formula>
    </cfRule>
  </conditionalFormatting>
  <conditionalFormatting sqref="S36">
    <cfRule type="containsText" dxfId="0" priority="48" operator="between" text="欠">
      <formula>NOT(ISERROR(SEARCH("欠",S36)))</formula>
    </cfRule>
    <cfRule type="cellIs" dxfId="1" priority="49" operator="equal">
      <formula>"欠"</formula>
    </cfRule>
  </conditionalFormatting>
  <conditionalFormatting sqref="T36">
    <cfRule type="containsText" dxfId="0" priority="46" operator="between" text="欠">
      <formula>NOT(ISERROR(SEARCH("欠",T36)))</formula>
    </cfRule>
    <cfRule type="cellIs" dxfId="1" priority="47" operator="equal">
      <formula>"欠"</formula>
    </cfRule>
  </conditionalFormatting>
  <conditionalFormatting sqref="R37">
    <cfRule type="containsText" dxfId="0" priority="52" operator="between" text="欠">
      <formula>NOT(ISERROR(SEARCH("欠",R37)))</formula>
    </cfRule>
    <cfRule type="cellIs" dxfId="1" priority="53" operator="equal">
      <formula>"欠"</formula>
    </cfRule>
  </conditionalFormatting>
  <conditionalFormatting sqref="T37">
    <cfRule type="containsText" dxfId="0" priority="54" operator="between" text="欠">
      <formula>NOT(ISERROR(SEARCH("欠",T37)))</formula>
    </cfRule>
    <cfRule type="cellIs" dxfId="1" priority="55" operator="equal">
      <formula>"欠"</formula>
    </cfRule>
  </conditionalFormatting>
  <conditionalFormatting sqref="R38">
    <cfRule type="containsText" dxfId="0" priority="30" operator="between" text="欠">
      <formula>NOT(ISERROR(SEARCH("欠",R38)))</formula>
    </cfRule>
    <cfRule type="cellIs" dxfId="1" priority="31" operator="equal">
      <formula>"欠"</formula>
    </cfRule>
  </conditionalFormatting>
  <conditionalFormatting sqref="S40">
    <cfRule type="cellIs" dxfId="1" priority="20" operator="equal">
      <formula>"欠"</formula>
    </cfRule>
    <cfRule type="containsText" dxfId="0" priority="21" operator="between" text="欠">
      <formula>NOT(ISERROR(SEARCH("欠",S40)))</formula>
    </cfRule>
  </conditionalFormatting>
  <conditionalFormatting sqref="T40">
    <cfRule type="containsText" dxfId="0" priority="18" operator="between" text="欠">
      <formula>NOT(ISERROR(SEARCH("欠",T40)))</formula>
    </cfRule>
    <cfRule type="cellIs" dxfId="1" priority="19" operator="equal">
      <formula>"欠"</formula>
    </cfRule>
  </conditionalFormatting>
  <conditionalFormatting sqref="R41">
    <cfRule type="containsText" dxfId="0" priority="10" operator="between" text="欠">
      <formula>NOT(ISERROR(SEARCH("欠",R41)))</formula>
    </cfRule>
    <cfRule type="cellIs" dxfId="1" priority="11" operator="equal">
      <formula>"欠"</formula>
    </cfRule>
  </conditionalFormatting>
  <conditionalFormatting sqref="S41">
    <cfRule type="containsText" dxfId="0" priority="3" operator="between" text="欠">
      <formula>NOT(ISERROR(SEARCH("欠",S41)))</formula>
    </cfRule>
  </conditionalFormatting>
  <conditionalFormatting sqref="T41">
    <cfRule type="cellIs" dxfId="1" priority="2" operator="equal">
      <formula>"欠"</formula>
    </cfRule>
    <cfRule type="containsText" dxfId="0" priority="1" operator="between" text="欠">
      <formula>NOT(ISERROR(SEARCH("欠",T41)))</formula>
    </cfRule>
  </conditionalFormatting>
  <conditionalFormatting sqref="R47:T47">
    <cfRule type="cellIs" dxfId="1" priority="279" operator="equal">
      <formula>"欠"</formula>
    </cfRule>
  </conditionalFormatting>
  <conditionalFormatting sqref="R7:R12">
    <cfRule type="containsText" dxfId="0" priority="168" operator="between" text="欠">
      <formula>NOT(ISERROR(SEARCH("欠",R7)))</formula>
    </cfRule>
  </conditionalFormatting>
  <conditionalFormatting sqref="R15:R25">
    <cfRule type="containsText" dxfId="0" priority="100" operator="between" text="欠">
      <formula>NOT(ISERROR(SEARCH("欠",R15)))</formula>
    </cfRule>
    <cfRule type="cellIs" dxfId="1" priority="101" operator="equal">
      <formula>"欠"</formula>
    </cfRule>
  </conditionalFormatting>
  <conditionalFormatting sqref="R27:R34">
    <cfRule type="containsText" dxfId="0" priority="58" operator="between" text="欠">
      <formula>NOT(ISERROR(SEARCH("欠",R27)))</formula>
    </cfRule>
    <cfRule type="cellIs" dxfId="1" priority="59" operator="equal">
      <formula>"欠"</formula>
    </cfRule>
  </conditionalFormatting>
  <conditionalFormatting sqref="R39:R40">
    <cfRule type="containsText" dxfId="0" priority="24" operator="between" text="欠">
      <formula>NOT(ISERROR(SEARCH("欠",R39)))</formula>
    </cfRule>
    <cfRule type="cellIs" dxfId="1" priority="25" operator="equal">
      <formula>"欠"</formula>
    </cfRule>
  </conditionalFormatting>
  <conditionalFormatting sqref="R42:R43">
    <cfRule type="containsText" dxfId="0" priority="4" operator="between" text="欠">
      <formula>NOT(ISERROR(SEARCH("欠",R42)))</formula>
    </cfRule>
    <cfRule type="cellIs" dxfId="1" priority="5" operator="equal">
      <formula>"欠"</formula>
    </cfRule>
  </conditionalFormatting>
  <conditionalFormatting sqref="S9:S12">
    <cfRule type="cellIs" dxfId="1" priority="115" operator="equal">
      <formula>"欠"</formula>
    </cfRule>
  </conditionalFormatting>
  <conditionalFormatting sqref="S15:S25">
    <cfRule type="cellIs" dxfId="1" priority="104" operator="equal">
      <formula>"欠"</formula>
    </cfRule>
    <cfRule type="containsText" dxfId="0" priority="105" operator="between" text="欠">
      <formula>NOT(ISERROR(SEARCH("欠",S15)))</formula>
    </cfRule>
  </conditionalFormatting>
  <conditionalFormatting sqref="S38:S39">
    <cfRule type="cellIs" dxfId="1" priority="32" operator="equal">
      <formula>"欠"</formula>
    </cfRule>
    <cfRule type="containsText" dxfId="0" priority="33" operator="between" text="欠">
      <formula>NOT(ISERROR(SEARCH("欠",S38)))</formula>
    </cfRule>
  </conditionalFormatting>
  <conditionalFormatting sqref="T9:T12">
    <cfRule type="cellIs" dxfId="1" priority="123" operator="equal">
      <formula>"欠"</formula>
    </cfRule>
  </conditionalFormatting>
  <conditionalFormatting sqref="T15:T16">
    <cfRule type="cellIs" dxfId="1" priority="102" operator="equal">
      <formula>"欠"</formula>
    </cfRule>
    <cfRule type="containsText" dxfId="0" priority="103" operator="between" text="欠">
      <formula>NOT(ISERROR(SEARCH("欠",T15)))</formula>
    </cfRule>
  </conditionalFormatting>
  <conditionalFormatting sqref="T17:T20">
    <cfRule type="cellIs" dxfId="1" priority="98" operator="equal">
      <formula>"欠"</formula>
    </cfRule>
    <cfRule type="containsText" dxfId="0" priority="99" operator="between" text="欠">
      <formula>NOT(ISERROR(SEARCH("欠",T17)))</formula>
    </cfRule>
  </conditionalFormatting>
  <conditionalFormatting sqref="T21:T25">
    <cfRule type="cellIs" dxfId="1" priority="92" operator="equal">
      <formula>"欠"</formula>
    </cfRule>
    <cfRule type="containsText" dxfId="0" priority="93" operator="between" text="欠">
      <formula>NOT(ISERROR(SEARCH("欠",T21)))</formula>
    </cfRule>
  </conditionalFormatting>
  <conditionalFormatting sqref="T27:T34">
    <cfRule type="containsText" dxfId="0" priority="60" operator="between" text="欠">
      <formula>NOT(ISERROR(SEARCH("欠",T27)))</formula>
    </cfRule>
    <cfRule type="cellIs" dxfId="1" priority="61" operator="equal">
      <formula>"欠"</formula>
    </cfRule>
  </conditionalFormatting>
  <conditionalFormatting sqref="T38:T39">
    <cfRule type="containsText" dxfId="0" priority="28" operator="between" text="欠">
      <formula>NOT(ISERROR(SEARCH("欠",T38)))</formula>
    </cfRule>
    <cfRule type="cellIs" dxfId="1" priority="29" operator="equal">
      <formula>"欠"</formula>
    </cfRule>
  </conditionalFormatting>
  <conditionalFormatting sqref="T42:T43">
    <cfRule type="containsText" dxfId="0" priority="6" operator="between" text="欠">
      <formula>NOT(ISERROR(SEARCH("欠",T42)))</formula>
    </cfRule>
    <cfRule type="cellIs" dxfId="1" priority="7" operator="equal">
      <formula>"欠"</formula>
    </cfRule>
  </conditionalFormatting>
  <conditionalFormatting sqref="R1:T3">
    <cfRule type="cellIs" dxfId="1" priority="544" operator="equal">
      <formula>"欠"</formula>
    </cfRule>
  </conditionalFormatting>
  <conditionalFormatting sqref="R4:T5 R6">
    <cfRule type="cellIs" dxfId="1" priority="543" operator="equal">
      <formula>"欠"</formula>
    </cfRule>
  </conditionalFormatting>
  <conditionalFormatting sqref="S7:T13 S14">
    <cfRule type="containsText" dxfId="0" priority="145" operator="between" text="欠">
      <formula>NOT(ISERROR(SEARCH("欠",S7)))</formula>
    </cfRule>
  </conditionalFormatting>
  <conditionalFormatting sqref="S7 S13:S14">
    <cfRule type="cellIs" dxfId="1" priority="144" operator="equal">
      <formula>"欠"</formula>
    </cfRule>
  </conditionalFormatting>
  <conditionalFormatting sqref="T7 T13">
    <cfRule type="cellIs" dxfId="1" priority="143" operator="equal">
      <formula>"欠"</formula>
    </cfRule>
  </conditionalFormatting>
  <conditionalFormatting sqref="S27:S34 S37 S42:S43">
    <cfRule type="containsText" dxfId="0" priority="56" operator="between" text="欠">
      <formula>NOT(ISERROR(SEARCH("欠",S27)))</formula>
    </cfRule>
    <cfRule type="cellIs" dxfId="1" priority="57" operator="equal">
      <formula>"欠"</formula>
    </cfRule>
  </conditionalFormatting>
  <conditionalFormatting sqref="R44:T46">
    <cfRule type="cellIs" dxfId="1" priority="242" operator="equal">
      <formula>"欠"</formula>
    </cfRule>
  </conditionalFormatting>
  <dataValidations count="2">
    <dataValidation type="list" allowBlank="1" showInputMessage="1" showErrorMessage="1" sqref="S6:S14">
      <formula1>"有,无"</formula1>
    </dataValidation>
    <dataValidation type="list" allowBlank="1" showInputMessage="1" showErrorMessage="1" sqref="AE4:AE47">
      <formula1>"无BOM,已入,#"</formula1>
    </dataValidation>
  </dataValidation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BU26"/>
  <sheetViews>
    <sheetView showGridLines="0" tabSelected="1" zoomScale="60" zoomScaleNormal="60" workbookViewId="0">
      <pane xSplit="21" topLeftCell="V1" activePane="topRight" state="frozenSplit"/>
      <selection/>
      <selection pane="topRight" activeCell="T8" sqref="T8"/>
    </sheetView>
  </sheetViews>
  <sheetFormatPr defaultColWidth="8.96666666666667" defaultRowHeight="15.75"/>
  <cols>
    <col min="1" max="1" width="11.4" style="378" customWidth="1"/>
    <col min="2" max="2" width="11.5583333333333" style="379" customWidth="1"/>
    <col min="3" max="3" width="8.06666666666667" style="380" customWidth="1"/>
    <col min="4" max="4" width="12.5" style="379" customWidth="1"/>
    <col min="5" max="5" width="9.25833333333333" style="379" customWidth="1"/>
    <col min="6" max="6" width="9.01666666666667" style="381" customWidth="1"/>
    <col min="7" max="7" width="16.4" style="380" customWidth="1"/>
    <col min="8" max="8" width="18.2833333333333" style="380" customWidth="1"/>
    <col min="9" max="9" width="9.25833333333333" style="380" customWidth="1"/>
    <col min="10" max="10" width="8.19166666666667" style="380" customWidth="1"/>
    <col min="11" max="11" width="9.225" style="380" customWidth="1"/>
    <col min="12" max="12" width="6.19166666666667" style="380" customWidth="1"/>
    <col min="13" max="13" width="13.75" style="380" customWidth="1"/>
    <col min="14" max="14" width="13.9916666666667" style="380" customWidth="1"/>
    <col min="15" max="15" width="10.6333333333333" style="380" customWidth="1"/>
    <col min="16" max="16" width="13.75" style="380" customWidth="1"/>
    <col min="17" max="17" width="9.38333333333333" style="380" customWidth="1"/>
    <col min="18" max="19" width="8.06666666666667" style="380" customWidth="1"/>
    <col min="20" max="20" width="8.5" style="380" customWidth="1"/>
    <col min="21" max="21" width="32.6666666666667" style="380" customWidth="1"/>
    <col min="22" max="22" width="10.1583333333333" style="380" customWidth="1"/>
    <col min="23" max="23" width="10.3083333333333" style="380" customWidth="1"/>
    <col min="24" max="24" width="11.875" style="380" customWidth="1"/>
    <col min="25" max="25" width="13.5333333333333" style="380" customWidth="1"/>
    <col min="26" max="26" width="8.06666666666667" style="382" customWidth="1"/>
    <col min="27" max="27" width="5.93333333333333" style="380" customWidth="1"/>
    <col min="28" max="28" width="5.15833333333333" style="380" customWidth="1"/>
    <col min="29" max="29" width="7.025" style="383" customWidth="1"/>
    <col min="30" max="30" width="14.1166666666667" style="379" customWidth="1"/>
    <col min="31" max="31" width="9.125" style="380" customWidth="1"/>
    <col min="32" max="32" width="8.525" style="383" customWidth="1"/>
    <col min="33" max="33" width="8.44166666666667" style="380" customWidth="1"/>
    <col min="34" max="34" width="7.25" style="380" customWidth="1"/>
    <col min="35" max="35" width="8.44166666666667" style="380" customWidth="1"/>
    <col min="36" max="36" width="9.06666666666667" style="380" customWidth="1"/>
    <col min="37" max="44" width="10.2666666666667" style="380" customWidth="1"/>
    <col min="45" max="49" width="10.0666666666667" style="380" customWidth="1"/>
    <col min="50" max="51" width="8.525" style="383" customWidth="1"/>
    <col min="52" max="52" width="4.55833333333333" style="380" customWidth="1"/>
    <col min="53" max="53" width="8.375" style="380" customWidth="1"/>
    <col min="54" max="54" width="9.2" style="380" customWidth="1"/>
    <col min="55" max="55" width="11.0166666666667" style="380" customWidth="1"/>
    <col min="56" max="56" width="8.75" style="380" customWidth="1"/>
    <col min="57" max="57" width="8.375" style="380" customWidth="1"/>
    <col min="58" max="59" width="8.75" style="380" customWidth="1"/>
    <col min="60" max="60" width="9.2" style="380" customWidth="1"/>
    <col min="61" max="61" width="10.2416666666667" style="380" customWidth="1"/>
    <col min="62" max="62" width="8.96666666666667" style="380"/>
    <col min="63" max="71" width="15.4583333333333" style="380" customWidth="1"/>
    <col min="72" max="72" width="8.96666666666667" style="380"/>
    <col min="73" max="73" width="9.44166666666667" style="380"/>
    <col min="74" max="16384" width="8.96666666666667" style="380"/>
  </cols>
  <sheetData>
    <row r="1" s="371" customFormat="1" ht="37" customHeight="1" spans="1:52">
      <c r="A1" s="384" t="s">
        <v>0</v>
      </c>
      <c r="B1" s="385"/>
      <c r="C1" s="386"/>
      <c r="D1" s="385"/>
      <c r="E1" s="385"/>
      <c r="F1" s="387"/>
      <c r="G1" s="385"/>
      <c r="H1" s="385"/>
      <c r="I1" s="431" t="s">
        <v>1</v>
      </c>
      <c r="J1" s="432"/>
      <c r="K1" s="432"/>
      <c r="L1" s="432"/>
      <c r="M1" s="432"/>
      <c r="N1" s="432"/>
      <c r="O1" s="433"/>
      <c r="P1" s="386"/>
      <c r="Q1" s="386"/>
      <c r="R1" s="432"/>
      <c r="S1" s="432"/>
      <c r="T1" s="461"/>
      <c r="U1" s="462"/>
      <c r="V1" s="385"/>
      <c r="W1" s="432"/>
      <c r="X1" s="432"/>
      <c r="Y1" s="433"/>
      <c r="Z1" s="462"/>
      <c r="AA1" s="461"/>
      <c r="AB1" s="432"/>
      <c r="AC1" s="492"/>
      <c r="AD1" s="385"/>
      <c r="AE1" s="433"/>
      <c r="AF1" s="492"/>
      <c r="AG1" s="386"/>
      <c r="AH1" s="386"/>
      <c r="AI1" s="386"/>
      <c r="AJ1" s="522" t="s">
        <v>2</v>
      </c>
      <c r="AK1" s="386"/>
      <c r="AL1" s="523" t="s">
        <v>3</v>
      </c>
      <c r="AM1" s="386"/>
      <c r="AN1" s="386"/>
      <c r="AO1" s="386"/>
      <c r="AP1" s="386"/>
      <c r="AQ1" s="386"/>
      <c r="AR1" s="523" t="s">
        <v>4</v>
      </c>
      <c r="AS1" s="386"/>
      <c r="AT1" s="386"/>
      <c r="AU1" s="386"/>
      <c r="AV1" s="386"/>
      <c r="AW1" s="386"/>
      <c r="AX1" s="492"/>
      <c r="AY1" s="492"/>
      <c r="AZ1" s="546"/>
    </row>
    <row r="2" s="372" customFormat="1" ht="47.25" spans="1:71">
      <c r="A2" s="388"/>
      <c r="B2" s="389"/>
      <c r="C2" s="390"/>
      <c r="D2" s="391"/>
      <c r="E2" s="391"/>
      <c r="F2" s="392"/>
      <c r="G2" s="393"/>
      <c r="H2" s="394"/>
      <c r="I2" s="434" t="s">
        <v>5</v>
      </c>
      <c r="J2" s="435"/>
      <c r="K2" s="435"/>
      <c r="L2" s="435"/>
      <c r="M2" s="435"/>
      <c r="N2" s="435"/>
      <c r="O2" s="436"/>
      <c r="P2" s="390"/>
      <c r="Q2" s="390"/>
      <c r="R2" s="435"/>
      <c r="S2" s="435"/>
      <c r="T2" s="436"/>
      <c r="U2" s="462"/>
      <c r="V2" s="391"/>
      <c r="W2" s="435"/>
      <c r="X2" s="463"/>
      <c r="Y2" s="493"/>
      <c r="Z2" s="493"/>
      <c r="AA2" s="493"/>
      <c r="AB2" s="435"/>
      <c r="AC2" s="494"/>
      <c r="AD2" s="495"/>
      <c r="AE2" s="493"/>
      <c r="AF2" s="494"/>
      <c r="AG2" s="524" t="s">
        <v>6</v>
      </c>
      <c r="AH2" s="524"/>
      <c r="AI2" s="524" t="s">
        <v>7</v>
      </c>
      <c r="AJ2" s="525" t="s">
        <v>8</v>
      </c>
      <c r="AK2" s="525" t="s">
        <v>9</v>
      </c>
      <c r="AL2" s="526" t="s">
        <v>10</v>
      </c>
      <c r="AM2" s="527"/>
      <c r="AN2" s="526" t="s">
        <v>11</v>
      </c>
      <c r="AO2" s="527"/>
      <c r="AP2" s="527" t="s">
        <v>12</v>
      </c>
      <c r="AQ2" s="525" t="s">
        <v>13</v>
      </c>
      <c r="AR2" s="525"/>
      <c r="AS2" s="525"/>
      <c r="AT2" s="525" t="s">
        <v>14</v>
      </c>
      <c r="AU2" s="525"/>
      <c r="AV2" s="525"/>
      <c r="AW2" s="525" t="s">
        <v>15</v>
      </c>
      <c r="AX2" s="547" t="s">
        <v>16</v>
      </c>
      <c r="AY2" s="548"/>
      <c r="AZ2" s="549" t="s">
        <v>17</v>
      </c>
      <c r="BA2" s="550">
        <v>0.125</v>
      </c>
      <c r="BB2" s="550">
        <v>0.104166666666667</v>
      </c>
      <c r="BC2" s="550">
        <v>0.0208333333333333</v>
      </c>
      <c r="BD2" s="550">
        <v>0.125</v>
      </c>
      <c r="BE2" s="550">
        <v>0.125</v>
      </c>
      <c r="BF2" s="550">
        <v>0.125</v>
      </c>
      <c r="BG2" s="550">
        <v>0.125</v>
      </c>
      <c r="BH2" s="550">
        <v>0.125</v>
      </c>
      <c r="BI2" s="550">
        <v>0.125</v>
      </c>
      <c r="BJ2" s="561" t="s">
        <v>18</v>
      </c>
      <c r="BK2" s="562">
        <f>'77489 77593生产MA'!E15-BA15-BA17-'77489 77593生产MA'!I29-BA19</f>
        <v>1297.75</v>
      </c>
      <c r="BL2" s="562">
        <f>'77489 77593生产MA'!F15-BB15-BB17-'77489 77593生产MA'!I30-'77489 77593生产MA'!I31-'77489 77593生产MA'!J33-'77489 77593生产MA'!K33-'77489 77593生产MA'!J35-'77489 77593生产MA'!K35-BB19</f>
        <v>1257.95833333317</v>
      </c>
      <c r="BM2" s="562">
        <f>'77489 77593生产MA'!G15-BD17-BD15-BD19</f>
        <v>1310.75</v>
      </c>
      <c r="BN2" s="562">
        <f>'77489 77593生产MA'!H15-BC17-BC15-BC19</f>
        <v>126.791666666646</v>
      </c>
      <c r="BO2" s="562">
        <f>'77489 77593生产MA'!I15-BE15-BE17-'77489 77593生产MA'!J34-'77489 77593生产MA'!K34-BE19</f>
        <v>-567.25</v>
      </c>
      <c r="BP2" s="562">
        <f>'77489 77593生产MA'!J15-BF15-BF17-BF19</f>
        <v>1310.75</v>
      </c>
      <c r="BQ2" s="562">
        <f>'77489 77593生产MA'!K15-BG15-BG17-BG19</f>
        <v>1310.75</v>
      </c>
      <c r="BR2" s="562">
        <f>'77489 77593生产MA'!L15-BH15-BH17-'77489 77593生产MA'!K32-'77489 77593生产MA'!J32-BH19</f>
        <v>1710.75</v>
      </c>
      <c r="BS2" s="562">
        <f>'77489 77593生产MA'!M15-BI15-BI17-BI19</f>
        <v>1310.75</v>
      </c>
    </row>
    <row r="3" s="373" customFormat="1" ht="60" customHeight="1" spans="1:71">
      <c r="A3" s="395" t="s">
        <v>19</v>
      </c>
      <c r="B3" s="396" t="s">
        <v>20</v>
      </c>
      <c r="C3" s="396" t="s">
        <v>21</v>
      </c>
      <c r="D3" s="396" t="s">
        <v>22</v>
      </c>
      <c r="E3" s="396" t="s">
        <v>23</v>
      </c>
      <c r="F3" s="396" t="s">
        <v>24</v>
      </c>
      <c r="G3" s="396" t="s">
        <v>25</v>
      </c>
      <c r="H3" s="397" t="s">
        <v>26</v>
      </c>
      <c r="I3" s="437" t="s">
        <v>27</v>
      </c>
      <c r="J3" s="397" t="s">
        <v>28</v>
      </c>
      <c r="K3" s="438" t="s">
        <v>29</v>
      </c>
      <c r="L3" s="396" t="s">
        <v>30</v>
      </c>
      <c r="M3" s="439" t="s">
        <v>31</v>
      </c>
      <c r="N3" s="439" t="s">
        <v>32</v>
      </c>
      <c r="O3" s="440" t="s">
        <v>33</v>
      </c>
      <c r="P3" s="438" t="s">
        <v>34</v>
      </c>
      <c r="Q3" s="438" t="s">
        <v>35</v>
      </c>
      <c r="R3" s="396" t="s">
        <v>36</v>
      </c>
      <c r="S3" s="438" t="s">
        <v>37</v>
      </c>
      <c r="T3" s="464" t="s">
        <v>38</v>
      </c>
      <c r="U3" s="465" t="s">
        <v>39</v>
      </c>
      <c r="V3" s="466" t="s">
        <v>40</v>
      </c>
      <c r="W3" s="396" t="s">
        <v>41</v>
      </c>
      <c r="X3" s="467" t="s">
        <v>42</v>
      </c>
      <c r="Y3" s="496" t="s">
        <v>43</v>
      </c>
      <c r="Z3" s="497" t="s">
        <v>44</v>
      </c>
      <c r="AA3" s="497" t="s">
        <v>45</v>
      </c>
      <c r="AB3" s="498" t="s">
        <v>46</v>
      </c>
      <c r="AC3" s="497" t="s">
        <v>47</v>
      </c>
      <c r="AD3" s="499" t="s">
        <v>48</v>
      </c>
      <c r="AE3" s="500" t="s">
        <v>47</v>
      </c>
      <c r="AF3" s="497" t="s">
        <v>49</v>
      </c>
      <c r="AG3" s="528" t="s">
        <v>50</v>
      </c>
      <c r="AH3" s="528" t="s">
        <v>51</v>
      </c>
      <c r="AI3" s="528" t="s">
        <v>52</v>
      </c>
      <c r="AJ3" s="529" t="s">
        <v>50</v>
      </c>
      <c r="AK3" s="529"/>
      <c r="AL3" s="529" t="s">
        <v>50</v>
      </c>
      <c r="AM3" s="529" t="s">
        <v>51</v>
      </c>
      <c r="AN3" s="529" t="s">
        <v>50</v>
      </c>
      <c r="AO3" s="529" t="s">
        <v>51</v>
      </c>
      <c r="AP3" s="545" t="s">
        <v>53</v>
      </c>
      <c r="AQ3" s="529" t="s">
        <v>51</v>
      </c>
      <c r="AR3" s="529" t="s">
        <v>50</v>
      </c>
      <c r="AS3" s="525" t="s">
        <v>9</v>
      </c>
      <c r="AT3" s="529" t="s">
        <v>54</v>
      </c>
      <c r="AU3" s="529" t="s">
        <v>55</v>
      </c>
      <c r="AV3" s="529" t="s">
        <v>56</v>
      </c>
      <c r="AW3" s="529" t="s">
        <v>57</v>
      </c>
      <c r="AX3" s="497" t="s">
        <v>58</v>
      </c>
      <c r="AY3" s="497" t="s">
        <v>59</v>
      </c>
      <c r="AZ3" s="551"/>
      <c r="BA3" s="438" t="s">
        <v>60</v>
      </c>
      <c r="BB3" s="396" t="s">
        <v>61</v>
      </c>
      <c r="BC3" s="438" t="s">
        <v>62</v>
      </c>
      <c r="BD3" s="438" t="s">
        <v>63</v>
      </c>
      <c r="BE3" s="438" t="s">
        <v>64</v>
      </c>
      <c r="BF3" s="438" t="s">
        <v>65</v>
      </c>
      <c r="BG3" s="438" t="s">
        <v>66</v>
      </c>
      <c r="BH3" s="438" t="s">
        <v>67</v>
      </c>
      <c r="BI3" s="438" t="s">
        <v>68</v>
      </c>
      <c r="BJ3" s="563"/>
      <c r="BK3" s="564" t="s">
        <v>60</v>
      </c>
      <c r="BL3" s="564" t="s">
        <v>61</v>
      </c>
      <c r="BM3" s="564" t="s">
        <v>63</v>
      </c>
      <c r="BN3" s="564" t="s">
        <v>62</v>
      </c>
      <c r="BO3" s="564" t="s">
        <v>64</v>
      </c>
      <c r="BP3" s="564" t="s">
        <v>65</v>
      </c>
      <c r="BQ3" s="564" t="s">
        <v>66</v>
      </c>
      <c r="BR3" s="564" t="s">
        <v>67</v>
      </c>
      <c r="BS3" s="564" t="s">
        <v>68</v>
      </c>
    </row>
    <row r="4" s="374" customFormat="1" ht="30" customHeight="1" spans="1:71">
      <c r="A4" s="398">
        <v>46008</v>
      </c>
      <c r="B4" s="399" t="s">
        <v>292</v>
      </c>
      <c r="C4" s="400" t="s">
        <v>118</v>
      </c>
      <c r="D4" s="401">
        <v>4500188454</v>
      </c>
      <c r="E4" s="402" t="s">
        <v>327</v>
      </c>
      <c r="F4" s="401" t="s">
        <v>328</v>
      </c>
      <c r="G4" s="403" t="s">
        <v>84</v>
      </c>
      <c r="H4" s="404" t="s">
        <v>85</v>
      </c>
      <c r="I4" s="441">
        <v>1820</v>
      </c>
      <c r="J4" s="442">
        <v>0</v>
      </c>
      <c r="K4" s="442">
        <v>52</v>
      </c>
      <c r="L4" s="442">
        <f>I4/K4</f>
        <v>35</v>
      </c>
      <c r="M4" s="443">
        <v>46045</v>
      </c>
      <c r="N4" s="443">
        <v>46042</v>
      </c>
      <c r="O4" s="444"/>
      <c r="P4" s="444" t="s">
        <v>74</v>
      </c>
      <c r="Q4" s="444" t="s">
        <v>344</v>
      </c>
      <c r="R4" s="468">
        <v>46008</v>
      </c>
      <c r="S4" s="468" t="s">
        <v>125</v>
      </c>
      <c r="T4" s="469" t="s">
        <v>329</v>
      </c>
      <c r="U4" s="470" t="s">
        <v>297</v>
      </c>
      <c r="V4" s="471" t="s">
        <v>330</v>
      </c>
      <c r="W4" s="472">
        <v>0.5759</v>
      </c>
      <c r="X4" s="473">
        <f>W4*I4</f>
        <v>1048.138</v>
      </c>
      <c r="Y4" s="501"/>
      <c r="Z4" s="502">
        <v>1820</v>
      </c>
      <c r="AA4" s="502"/>
      <c r="AB4" s="503" t="s">
        <v>345</v>
      </c>
      <c r="AC4" s="503"/>
      <c r="AD4" s="403" t="s">
        <v>84</v>
      </c>
      <c r="AE4" s="504" t="s">
        <v>78</v>
      </c>
      <c r="AF4" s="505">
        <f t="shared" ref="AF4:AF7" si="0">I4</f>
        <v>1820</v>
      </c>
      <c r="AG4" s="530">
        <f t="shared" ref="AG4:AG7" si="1">AF4</f>
        <v>1820</v>
      </c>
      <c r="AH4" s="531"/>
      <c r="AI4" s="531">
        <f t="shared" ref="AI4:AI7" si="2">I4</f>
        <v>1820</v>
      </c>
      <c r="AJ4" s="532"/>
      <c r="AK4" s="532"/>
      <c r="AL4" s="533"/>
      <c r="AM4" s="533"/>
      <c r="AN4" s="532">
        <f>I4/13</f>
        <v>140</v>
      </c>
      <c r="AO4" s="533"/>
      <c r="AP4" s="533"/>
      <c r="AQ4" s="533"/>
      <c r="AR4" s="533"/>
      <c r="AS4" s="533"/>
      <c r="AT4" s="533"/>
      <c r="AU4" s="533"/>
      <c r="AV4" s="533"/>
      <c r="AW4" s="533"/>
      <c r="AX4" s="552">
        <f>I4</f>
        <v>1820</v>
      </c>
      <c r="AY4" s="552"/>
      <c r="AZ4" s="533"/>
      <c r="BA4" s="553">
        <f>I4*$BA$2</f>
        <v>227.5</v>
      </c>
      <c r="BB4" s="553">
        <f>I4*$BB$2</f>
        <v>189.583333333334</v>
      </c>
      <c r="BC4" s="553">
        <f>I4*$BC$2</f>
        <v>37.9166666666666</v>
      </c>
      <c r="BD4" s="553">
        <f>I4*$BD$2</f>
        <v>227.5</v>
      </c>
      <c r="BE4" s="553">
        <f>I4*$BE$2</f>
        <v>227.5</v>
      </c>
      <c r="BF4" s="553">
        <f>I4*$BF$2</f>
        <v>227.5</v>
      </c>
      <c r="BG4" s="553">
        <f>I4*$BG$2</f>
        <v>227.5</v>
      </c>
      <c r="BH4" s="553">
        <f>I4*$BH$2</f>
        <v>227.5</v>
      </c>
      <c r="BI4" s="553">
        <f>I4*$BI$2</f>
        <v>227.5</v>
      </c>
      <c r="BK4" s="565">
        <f>BK2-BA4</f>
        <v>1070.25</v>
      </c>
      <c r="BL4" s="565">
        <f>BL2-BB4</f>
        <v>1068.37499999983</v>
      </c>
      <c r="BM4" s="565">
        <f>BM2-BD4</f>
        <v>1083.25</v>
      </c>
      <c r="BN4" s="565">
        <f>BN2-BC4</f>
        <v>88.8749999999795</v>
      </c>
      <c r="BO4" s="565">
        <f t="shared" ref="BM4:BS4" si="3">BO2-BE4</f>
        <v>-794.75</v>
      </c>
      <c r="BP4" s="565">
        <f t="shared" si="3"/>
        <v>1083.25</v>
      </c>
      <c r="BQ4" s="565">
        <f t="shared" si="3"/>
        <v>1083.25</v>
      </c>
      <c r="BR4" s="565">
        <f t="shared" si="3"/>
        <v>1483.25</v>
      </c>
      <c r="BS4" s="565">
        <f t="shared" si="3"/>
        <v>1083.25</v>
      </c>
    </row>
    <row r="5" s="374" customFormat="1" ht="30" customHeight="1" spans="1:71">
      <c r="A5" s="398">
        <v>46008</v>
      </c>
      <c r="B5" s="399" t="s">
        <v>284</v>
      </c>
      <c r="C5" s="400" t="s">
        <v>285</v>
      </c>
      <c r="D5" s="401">
        <v>4500189203</v>
      </c>
      <c r="E5" s="402"/>
      <c r="F5" s="401" t="s">
        <v>331</v>
      </c>
      <c r="G5" s="403" t="s">
        <v>162</v>
      </c>
      <c r="H5" s="404" t="s">
        <v>103</v>
      </c>
      <c r="I5" s="441">
        <v>672</v>
      </c>
      <c r="J5" s="442">
        <v>0</v>
      </c>
      <c r="K5" s="442">
        <v>48</v>
      </c>
      <c r="L5" s="442">
        <f>I5/K5</f>
        <v>14</v>
      </c>
      <c r="M5" s="445">
        <v>46052</v>
      </c>
      <c r="N5" s="445">
        <v>46048</v>
      </c>
      <c r="O5" s="444"/>
      <c r="P5" s="444" t="s">
        <v>74</v>
      </c>
      <c r="Q5" s="444" t="s">
        <v>346</v>
      </c>
      <c r="R5" s="444">
        <v>46028</v>
      </c>
      <c r="S5" s="444" t="s">
        <v>75</v>
      </c>
      <c r="T5" s="444" t="s">
        <v>347</v>
      </c>
      <c r="U5" s="470" t="s">
        <v>334</v>
      </c>
      <c r="V5" s="471" t="s">
        <v>290</v>
      </c>
      <c r="W5" s="474">
        <v>0.9931</v>
      </c>
      <c r="X5" s="473">
        <f>W5*I5</f>
        <v>667.3632</v>
      </c>
      <c r="Y5" s="501"/>
      <c r="Z5" s="502">
        <v>672</v>
      </c>
      <c r="AA5" s="502"/>
      <c r="AB5" s="503" t="s">
        <v>345</v>
      </c>
      <c r="AC5" s="503"/>
      <c r="AD5" s="506" t="s">
        <v>209</v>
      </c>
      <c r="AE5" s="504" t="s">
        <v>78</v>
      </c>
      <c r="AF5" s="505">
        <f t="shared" si="0"/>
        <v>672</v>
      </c>
      <c r="AG5" s="531"/>
      <c r="AH5" s="531">
        <f>I5</f>
        <v>672</v>
      </c>
      <c r="AI5" s="531">
        <f t="shared" si="2"/>
        <v>672</v>
      </c>
      <c r="AJ5" s="532"/>
      <c r="AK5" s="532"/>
      <c r="AL5" s="533"/>
      <c r="AM5" s="533">
        <f>I5/24</f>
        <v>28</v>
      </c>
      <c r="AN5" s="533"/>
      <c r="AO5" s="533"/>
      <c r="AP5" s="533"/>
      <c r="AQ5" s="533"/>
      <c r="AR5" s="533"/>
      <c r="AS5" s="533"/>
      <c r="AT5" s="533"/>
      <c r="AU5" s="533"/>
      <c r="AV5" s="533"/>
      <c r="AW5" s="533"/>
      <c r="AX5" s="552">
        <f>I5</f>
        <v>672</v>
      </c>
      <c r="AY5" s="552"/>
      <c r="AZ5" s="533"/>
      <c r="BA5" s="553">
        <f>I5*$BA$2</f>
        <v>84</v>
      </c>
      <c r="BB5" s="553">
        <f>I5*$BB$2</f>
        <v>70.0000000000002</v>
      </c>
      <c r="BC5" s="553">
        <f>I5*$BC$2</f>
        <v>14</v>
      </c>
      <c r="BD5" s="553">
        <f>I5*$BD$2</f>
        <v>84</v>
      </c>
      <c r="BE5" s="553">
        <f>I5*$BE$2</f>
        <v>84</v>
      </c>
      <c r="BF5" s="553">
        <f>I5*$BF$2</f>
        <v>84</v>
      </c>
      <c r="BG5" s="553">
        <f>I5*$BG$2</f>
        <v>84</v>
      </c>
      <c r="BH5" s="553">
        <f>I5*$BH$2</f>
        <v>84</v>
      </c>
      <c r="BI5" s="553">
        <f>I5*$BI$2</f>
        <v>84</v>
      </c>
      <c r="BK5" s="565">
        <f>BK4-BA5</f>
        <v>986.25</v>
      </c>
      <c r="BL5" s="565">
        <f t="shared" ref="BL5:BS5" si="4">BL4-BB5</f>
        <v>998.374999999834</v>
      </c>
      <c r="BM5" s="565">
        <f>BM4-BD5</f>
        <v>999.25</v>
      </c>
      <c r="BN5" s="565">
        <f>BN4-BC5</f>
        <v>74.8749999999795</v>
      </c>
      <c r="BO5" s="565">
        <f t="shared" si="4"/>
        <v>-878.75</v>
      </c>
      <c r="BP5" s="565">
        <f t="shared" si="4"/>
        <v>999.25</v>
      </c>
      <c r="BQ5" s="565">
        <f t="shared" si="4"/>
        <v>999.25</v>
      </c>
      <c r="BR5" s="565">
        <f t="shared" si="4"/>
        <v>1399.25</v>
      </c>
      <c r="BS5" s="565">
        <f t="shared" si="4"/>
        <v>999.25</v>
      </c>
    </row>
    <row r="6" s="375" customFormat="1" ht="30" customHeight="1" spans="1:71">
      <c r="A6" s="405">
        <v>46027</v>
      </c>
      <c r="B6" s="406" t="s">
        <v>335</v>
      </c>
      <c r="C6" s="407" t="s">
        <v>336</v>
      </c>
      <c r="D6" s="408">
        <v>4500190681</v>
      </c>
      <c r="E6" s="409"/>
      <c r="F6" s="408" t="s">
        <v>337</v>
      </c>
      <c r="G6" s="410" t="s">
        <v>162</v>
      </c>
      <c r="H6" s="411" t="s">
        <v>103</v>
      </c>
      <c r="I6" s="446">
        <v>288</v>
      </c>
      <c r="J6" s="447">
        <v>0</v>
      </c>
      <c r="K6" s="447">
        <v>48</v>
      </c>
      <c r="L6" s="447">
        <f>I6/K6</f>
        <v>6</v>
      </c>
      <c r="M6" s="448">
        <v>46057</v>
      </c>
      <c r="N6" s="448">
        <f>M6-4</f>
        <v>46053</v>
      </c>
      <c r="O6" s="449"/>
      <c r="P6" s="444" t="s">
        <v>74</v>
      </c>
      <c r="Q6" s="449" t="s">
        <v>348</v>
      </c>
      <c r="R6" s="449">
        <v>46027</v>
      </c>
      <c r="S6" s="449" t="s">
        <v>75</v>
      </c>
      <c r="T6" s="449" t="s">
        <v>75</v>
      </c>
      <c r="U6" s="475" t="s">
        <v>338</v>
      </c>
      <c r="V6" s="476" t="s">
        <v>339</v>
      </c>
      <c r="W6" s="477">
        <v>0.9747</v>
      </c>
      <c r="X6" s="478">
        <f>W6*I6</f>
        <v>280.7136</v>
      </c>
      <c r="Y6" s="507"/>
      <c r="Z6" s="508">
        <f>240+48</f>
        <v>288</v>
      </c>
      <c r="AA6" s="508"/>
      <c r="AB6" s="448"/>
      <c r="AC6" s="448"/>
      <c r="AD6" s="509" t="s">
        <v>162</v>
      </c>
      <c r="AE6" s="510" t="s">
        <v>78</v>
      </c>
      <c r="AF6" s="511">
        <f t="shared" si="0"/>
        <v>288</v>
      </c>
      <c r="AG6" s="534">
        <f t="shared" si="1"/>
        <v>288</v>
      </c>
      <c r="AH6" s="535"/>
      <c r="AI6" s="535">
        <f t="shared" si="2"/>
        <v>288</v>
      </c>
      <c r="AJ6" s="536"/>
      <c r="AK6" s="536"/>
      <c r="AL6" s="537">
        <f>I6/24</f>
        <v>12</v>
      </c>
      <c r="AM6" s="537"/>
      <c r="AN6" s="537"/>
      <c r="AO6" s="537"/>
      <c r="AP6" s="537"/>
      <c r="AQ6" s="537"/>
      <c r="AR6" s="537"/>
      <c r="AS6" s="537"/>
      <c r="AT6" s="537"/>
      <c r="AU6" s="537"/>
      <c r="AV6" s="537"/>
      <c r="AW6" s="537"/>
      <c r="AX6" s="554">
        <f>I6</f>
        <v>288</v>
      </c>
      <c r="AY6" s="554"/>
      <c r="AZ6" s="537"/>
      <c r="BA6" s="555">
        <f>I6*$BA$2</f>
        <v>36</v>
      </c>
      <c r="BB6" s="555">
        <f>I6*$BB$2</f>
        <v>30.0000000000001</v>
      </c>
      <c r="BC6" s="555">
        <f>I6*$BC$2</f>
        <v>5.99999999999999</v>
      </c>
      <c r="BD6" s="555">
        <f>I6*$BD$2</f>
        <v>36</v>
      </c>
      <c r="BE6" s="555">
        <f>I6*$BE$2</f>
        <v>36</v>
      </c>
      <c r="BF6" s="555">
        <f>I6*$BF$2</f>
        <v>36</v>
      </c>
      <c r="BG6" s="555">
        <f>I6*$BG$2</f>
        <v>36</v>
      </c>
      <c r="BH6" s="555">
        <f>I6*$BH$2</f>
        <v>36</v>
      </c>
      <c r="BI6" s="555">
        <f>I6*$BI$2</f>
        <v>36</v>
      </c>
      <c r="BK6" s="566">
        <f>BK5-BA6</f>
        <v>950.25</v>
      </c>
      <c r="BL6" s="566">
        <f>BL5-BB6</f>
        <v>968.374999999834</v>
      </c>
      <c r="BM6" s="566">
        <f>BM5-BD6</f>
        <v>963.25</v>
      </c>
      <c r="BN6" s="566">
        <f>BN5-BC6</f>
        <v>68.8749999999795</v>
      </c>
      <c r="BO6" s="566">
        <f>BO5-BE6</f>
        <v>-914.75</v>
      </c>
      <c r="BP6" s="566">
        <f>BP5-BF6</f>
        <v>963.25</v>
      </c>
      <c r="BQ6" s="566">
        <f>BQ5-BG6</f>
        <v>963.25</v>
      </c>
      <c r="BR6" s="566">
        <f>BR5-BH6</f>
        <v>1363.25</v>
      </c>
      <c r="BS6" s="566">
        <f>BS5-BI6</f>
        <v>963.25</v>
      </c>
    </row>
    <row r="7" s="376" customFormat="1" ht="30" customHeight="1" spans="1:71">
      <c r="A7" s="412">
        <v>46055</v>
      </c>
      <c r="B7" s="413" t="s">
        <v>292</v>
      </c>
      <c r="C7" s="414" t="s">
        <v>118</v>
      </c>
      <c r="D7" s="415">
        <v>4500192693</v>
      </c>
      <c r="E7" s="416" t="s">
        <v>349</v>
      </c>
      <c r="F7" s="415" t="s">
        <v>350</v>
      </c>
      <c r="G7" s="417" t="s">
        <v>84</v>
      </c>
      <c r="H7" s="418" t="s">
        <v>85</v>
      </c>
      <c r="I7" s="450">
        <v>3380</v>
      </c>
      <c r="J7" s="451">
        <v>0</v>
      </c>
      <c r="K7" s="451">
        <v>52</v>
      </c>
      <c r="L7" s="451">
        <f>I7/K7</f>
        <v>65</v>
      </c>
      <c r="M7" s="452">
        <v>46115</v>
      </c>
      <c r="N7" s="452">
        <v>46111</v>
      </c>
      <c r="O7" s="453"/>
      <c r="P7" s="453"/>
      <c r="Q7" s="453"/>
      <c r="R7" s="479">
        <v>46059</v>
      </c>
      <c r="S7" s="479" t="s">
        <v>125</v>
      </c>
      <c r="T7" s="480" t="s">
        <v>351</v>
      </c>
      <c r="U7" s="481" t="s">
        <v>352</v>
      </c>
      <c r="V7" s="482" t="s">
        <v>330</v>
      </c>
      <c r="W7" s="483">
        <v>0.5701</v>
      </c>
      <c r="X7" s="484">
        <f>W7*I7</f>
        <v>1926.938</v>
      </c>
      <c r="Y7" s="512"/>
      <c r="Z7" s="513"/>
      <c r="AA7" s="513"/>
      <c r="AB7" s="452"/>
      <c r="AC7" s="452"/>
      <c r="AD7" s="417"/>
      <c r="AE7" s="514"/>
      <c r="AF7" s="515">
        <f t="shared" si="0"/>
        <v>3380</v>
      </c>
      <c r="AG7" s="538">
        <f t="shared" si="1"/>
        <v>3380</v>
      </c>
      <c r="AH7" s="539"/>
      <c r="AI7" s="539">
        <f t="shared" si="2"/>
        <v>3380</v>
      </c>
      <c r="AJ7" s="540"/>
      <c r="AK7" s="540"/>
      <c r="AL7" s="541"/>
      <c r="AM7" s="541"/>
      <c r="AN7" s="540">
        <f>I7/13</f>
        <v>260</v>
      </c>
      <c r="AO7" s="541"/>
      <c r="AP7" s="541"/>
      <c r="AQ7" s="541"/>
      <c r="AR7" s="541"/>
      <c r="AS7" s="541"/>
      <c r="AT7" s="541"/>
      <c r="AU7" s="541"/>
      <c r="AV7" s="541"/>
      <c r="AW7" s="541"/>
      <c r="AX7" s="556">
        <f>I7</f>
        <v>3380</v>
      </c>
      <c r="AY7" s="556"/>
      <c r="AZ7" s="541"/>
      <c r="BA7" s="557">
        <f>I7*$BA$2</f>
        <v>422.5</v>
      </c>
      <c r="BB7" s="557">
        <f>I7*$BB$2</f>
        <v>352.083333333334</v>
      </c>
      <c r="BC7" s="557">
        <f>I7*$BC$2</f>
        <v>70.4166666666666</v>
      </c>
      <c r="BD7" s="557">
        <f>I7*$BD$2</f>
        <v>422.5</v>
      </c>
      <c r="BE7" s="557">
        <f>I7*$BE$2</f>
        <v>422.5</v>
      </c>
      <c r="BF7" s="557">
        <f>I7*$BF$2</f>
        <v>422.5</v>
      </c>
      <c r="BG7" s="557">
        <f>I7*$BG$2</f>
        <v>422.5</v>
      </c>
      <c r="BH7" s="557">
        <f>I7*$BH$2</f>
        <v>422.5</v>
      </c>
      <c r="BI7" s="557">
        <f>I7*$BI$2</f>
        <v>422.5</v>
      </c>
      <c r="BK7" s="566">
        <f>BK6-BA7</f>
        <v>527.75</v>
      </c>
      <c r="BL7" s="566">
        <f>BL6-BB7</f>
        <v>616.2916666665</v>
      </c>
      <c r="BM7" s="566">
        <f>BM6-BD7</f>
        <v>540.75</v>
      </c>
      <c r="BN7" s="566">
        <f>BN6-BC7</f>
        <v>-1.54166666668706</v>
      </c>
      <c r="BO7" s="566">
        <f>BO6-BE7</f>
        <v>-1337.25</v>
      </c>
      <c r="BP7" s="566">
        <f>BP6-BF7</f>
        <v>540.75</v>
      </c>
      <c r="BQ7" s="566">
        <f>BQ6-BG7</f>
        <v>540.75</v>
      </c>
      <c r="BR7" s="566">
        <f>BR6-BH7</f>
        <v>940.75</v>
      </c>
      <c r="BS7" s="566">
        <f>BS6-BI7</f>
        <v>540.75</v>
      </c>
    </row>
    <row r="8" s="377" customFormat="1" ht="30" customHeight="1" spans="1:71">
      <c r="A8" s="419"/>
      <c r="B8" s="420"/>
      <c r="C8" s="421"/>
      <c r="D8" s="422"/>
      <c r="E8" s="423"/>
      <c r="F8" s="424"/>
      <c r="G8" s="425"/>
      <c r="H8" s="418"/>
      <c r="I8" s="454"/>
      <c r="J8" s="454"/>
      <c r="K8" s="455"/>
      <c r="L8" s="454"/>
      <c r="M8" s="456"/>
      <c r="N8" s="457"/>
      <c r="O8" s="458"/>
      <c r="P8" s="459"/>
      <c r="Q8" s="458"/>
      <c r="R8" s="485"/>
      <c r="S8" s="485"/>
      <c r="T8" s="485"/>
      <c r="U8" s="486"/>
      <c r="V8" s="487"/>
      <c r="W8" s="488"/>
      <c r="X8" s="489"/>
      <c r="Y8" s="516"/>
      <c r="Z8" s="517"/>
      <c r="AA8" s="517"/>
      <c r="AB8" s="460"/>
      <c r="AC8" s="460"/>
      <c r="AD8" s="424"/>
      <c r="AE8" s="516"/>
      <c r="AF8" s="518"/>
      <c r="AG8" s="542"/>
      <c r="AH8" s="542"/>
      <c r="AI8" s="542"/>
      <c r="AJ8" s="543"/>
      <c r="AK8" s="543"/>
      <c r="AL8" s="543"/>
      <c r="AM8" s="543"/>
      <c r="AN8" s="543"/>
      <c r="AO8" s="543"/>
      <c r="AP8" s="543"/>
      <c r="AQ8" s="543"/>
      <c r="AR8" s="543"/>
      <c r="AS8" s="543"/>
      <c r="AT8" s="543"/>
      <c r="AU8" s="543"/>
      <c r="AV8" s="543"/>
      <c r="AW8" s="543"/>
      <c r="AX8" s="518"/>
      <c r="AY8" s="518"/>
      <c r="AZ8" s="543"/>
      <c r="BA8" s="558"/>
      <c r="BB8" s="558"/>
      <c r="BC8" s="558"/>
      <c r="BD8" s="558"/>
      <c r="BE8" s="558"/>
      <c r="BF8" s="558"/>
      <c r="BG8" s="558"/>
      <c r="BH8" s="558"/>
      <c r="BI8" s="558"/>
      <c r="BK8" s="567"/>
      <c r="BL8" s="567"/>
      <c r="BM8" s="567"/>
      <c r="BN8" s="567"/>
      <c r="BO8" s="567"/>
      <c r="BP8" s="567"/>
      <c r="BQ8" s="567"/>
      <c r="BR8" s="567"/>
      <c r="BS8" s="567"/>
    </row>
    <row r="9" s="377" customFormat="1" ht="30" customHeight="1" spans="1:71">
      <c r="A9" s="419"/>
      <c r="B9" s="420"/>
      <c r="C9" s="421"/>
      <c r="D9" s="422"/>
      <c r="E9" s="423"/>
      <c r="F9" s="424"/>
      <c r="G9" s="426"/>
      <c r="H9" s="427"/>
      <c r="I9" s="455"/>
      <c r="J9" s="455"/>
      <c r="K9" s="455"/>
      <c r="L9" s="454"/>
      <c r="M9" s="460"/>
      <c r="N9" s="460"/>
      <c r="O9" s="458"/>
      <c r="P9" s="458"/>
      <c r="Q9" s="458"/>
      <c r="R9" s="485"/>
      <c r="S9" s="485"/>
      <c r="T9" s="485"/>
      <c r="U9" s="486"/>
      <c r="V9" s="487"/>
      <c r="W9" s="488"/>
      <c r="X9" s="489"/>
      <c r="Y9" s="516"/>
      <c r="Z9" s="517"/>
      <c r="AA9" s="517"/>
      <c r="AB9" s="460"/>
      <c r="AC9" s="460"/>
      <c r="AD9" s="424"/>
      <c r="AE9" s="516"/>
      <c r="AF9" s="518"/>
      <c r="AG9" s="542"/>
      <c r="AH9" s="542"/>
      <c r="AI9" s="542"/>
      <c r="AJ9" s="543"/>
      <c r="AK9" s="543"/>
      <c r="AL9" s="543"/>
      <c r="AM9" s="543"/>
      <c r="AN9" s="543"/>
      <c r="AO9" s="543"/>
      <c r="AP9" s="543"/>
      <c r="AQ9" s="543"/>
      <c r="AR9" s="543"/>
      <c r="AS9" s="543"/>
      <c r="AT9" s="543"/>
      <c r="AU9" s="543"/>
      <c r="AV9" s="543"/>
      <c r="AW9" s="543"/>
      <c r="AX9" s="518"/>
      <c r="AY9" s="518"/>
      <c r="AZ9" s="543"/>
      <c r="BA9" s="558"/>
      <c r="BB9" s="558"/>
      <c r="BC9" s="558"/>
      <c r="BD9" s="558"/>
      <c r="BE9" s="558"/>
      <c r="BF9" s="558"/>
      <c r="BG9" s="558"/>
      <c r="BH9" s="558"/>
      <c r="BI9" s="558"/>
      <c r="BK9" s="567"/>
      <c r="BL9" s="567"/>
      <c r="BM9" s="567"/>
      <c r="BN9" s="567"/>
      <c r="BO9" s="567"/>
      <c r="BP9" s="567"/>
      <c r="BQ9" s="567"/>
      <c r="BR9" s="567"/>
      <c r="BS9" s="567"/>
    </row>
    <row r="10" s="377" customFormat="1" ht="30" customHeight="1" spans="1:71">
      <c r="A10" s="419"/>
      <c r="B10" s="420"/>
      <c r="C10" s="428"/>
      <c r="D10" s="422"/>
      <c r="E10" s="424"/>
      <c r="F10" s="424"/>
      <c r="G10" s="425"/>
      <c r="H10" s="427"/>
      <c r="I10" s="455"/>
      <c r="J10" s="454"/>
      <c r="K10" s="454"/>
      <c r="L10" s="454"/>
      <c r="M10" s="460"/>
      <c r="N10" s="460"/>
      <c r="O10" s="458"/>
      <c r="P10" s="458"/>
      <c r="Q10" s="458"/>
      <c r="R10" s="485"/>
      <c r="S10" s="485"/>
      <c r="T10" s="485"/>
      <c r="U10" s="486"/>
      <c r="V10" s="487"/>
      <c r="W10" s="488"/>
      <c r="X10" s="489"/>
      <c r="Y10" s="516"/>
      <c r="Z10" s="517"/>
      <c r="AA10" s="517"/>
      <c r="AB10" s="460"/>
      <c r="AC10" s="460"/>
      <c r="AD10" s="424"/>
      <c r="AE10" s="516"/>
      <c r="AF10" s="518"/>
      <c r="AG10" s="542"/>
      <c r="AH10" s="542"/>
      <c r="AI10" s="542"/>
      <c r="AJ10" s="543"/>
      <c r="AK10" s="543"/>
      <c r="AL10" s="543"/>
      <c r="AM10" s="543"/>
      <c r="AN10" s="543"/>
      <c r="AO10" s="543"/>
      <c r="AP10" s="543"/>
      <c r="AQ10" s="543"/>
      <c r="AR10" s="543"/>
      <c r="AS10" s="543"/>
      <c r="AT10" s="543"/>
      <c r="AU10" s="543"/>
      <c r="AV10" s="543"/>
      <c r="AW10" s="543"/>
      <c r="AX10" s="518"/>
      <c r="AY10" s="518"/>
      <c r="AZ10" s="543"/>
      <c r="BA10" s="558"/>
      <c r="BB10" s="558"/>
      <c r="BC10" s="558"/>
      <c r="BD10" s="558"/>
      <c r="BE10" s="558"/>
      <c r="BF10" s="558"/>
      <c r="BG10" s="558"/>
      <c r="BH10" s="558"/>
      <c r="BI10" s="558"/>
      <c r="BK10" s="567"/>
      <c r="BL10" s="567"/>
      <c r="BM10" s="567"/>
      <c r="BN10" s="567"/>
      <c r="BO10" s="567"/>
      <c r="BP10" s="567"/>
      <c r="BQ10" s="567"/>
      <c r="BR10" s="567"/>
      <c r="BS10" s="567"/>
    </row>
    <row r="11" s="377" customFormat="1" ht="30" customHeight="1" spans="1:71">
      <c r="A11" s="419"/>
      <c r="B11" s="420"/>
      <c r="C11" s="428"/>
      <c r="D11" s="422"/>
      <c r="E11" s="424"/>
      <c r="F11" s="424"/>
      <c r="G11" s="426"/>
      <c r="H11" s="420"/>
      <c r="I11" s="454"/>
      <c r="J11" s="454"/>
      <c r="K11" s="454"/>
      <c r="L11" s="454"/>
      <c r="M11" s="460"/>
      <c r="N11" s="460"/>
      <c r="O11" s="458"/>
      <c r="P11" s="458"/>
      <c r="Q11" s="458"/>
      <c r="R11" s="458"/>
      <c r="S11" s="458"/>
      <c r="T11" s="458"/>
      <c r="U11" s="490"/>
      <c r="V11" s="487"/>
      <c r="W11" s="488"/>
      <c r="X11" s="489"/>
      <c r="Y11" s="516"/>
      <c r="Z11" s="517"/>
      <c r="AA11" s="517"/>
      <c r="AB11" s="460"/>
      <c r="AC11" s="460"/>
      <c r="AD11" s="424"/>
      <c r="AE11" s="516"/>
      <c r="AF11" s="518"/>
      <c r="AG11" s="542"/>
      <c r="AH11" s="542"/>
      <c r="AI11" s="542"/>
      <c r="AJ11" s="543"/>
      <c r="AK11" s="543"/>
      <c r="AL11" s="543"/>
      <c r="AM11" s="543"/>
      <c r="AN11" s="543"/>
      <c r="AO11" s="543"/>
      <c r="AP11" s="543"/>
      <c r="AQ11" s="543"/>
      <c r="AR11" s="543"/>
      <c r="AS11" s="543"/>
      <c r="AT11" s="543"/>
      <c r="AU11" s="543"/>
      <c r="AV11" s="543"/>
      <c r="AW11" s="543"/>
      <c r="AX11" s="518"/>
      <c r="AY11" s="518"/>
      <c r="AZ11" s="543"/>
      <c r="BA11" s="558"/>
      <c r="BB11" s="558"/>
      <c r="BC11" s="558"/>
      <c r="BD11" s="558"/>
      <c r="BE11" s="558"/>
      <c r="BF11" s="558"/>
      <c r="BG11" s="558"/>
      <c r="BH11" s="558"/>
      <c r="BI11" s="558"/>
      <c r="BK11" s="567"/>
      <c r="BL11" s="567"/>
      <c r="BM11" s="567"/>
      <c r="BN11" s="567"/>
      <c r="BO11" s="567"/>
      <c r="BP11" s="567"/>
      <c r="BQ11" s="567"/>
      <c r="BR11" s="567"/>
      <c r="BS11" s="567"/>
    </row>
    <row r="12" spans="73:73">
      <c r="BU12" s="377"/>
    </row>
    <row r="13" spans="9:73">
      <c r="I13" s="430"/>
      <c r="X13" s="430">
        <f>SUM(X4:X12)*7.75</f>
        <v>30404.4342</v>
      </c>
      <c r="AF13" s="519">
        <f>SUM(AF4:AF12)+AF15+AF17+AF19</f>
        <v>652778</v>
      </c>
      <c r="AG13" s="519">
        <f t="shared" ref="AG13:BI13" si="5">SUM(AG4:AG12)+AG15+AG17+AG19</f>
        <v>574657</v>
      </c>
      <c r="AH13" s="519">
        <f t="shared" si="5"/>
        <v>77881</v>
      </c>
      <c r="AI13" s="519">
        <f t="shared" si="5"/>
        <v>652538</v>
      </c>
      <c r="AJ13" s="519">
        <f t="shared" si="5"/>
        <v>500</v>
      </c>
      <c r="AK13" s="519">
        <f t="shared" si="5"/>
        <v>500</v>
      </c>
      <c r="AL13" s="519">
        <f t="shared" si="5"/>
        <v>6096</v>
      </c>
      <c r="AM13" s="519">
        <f t="shared" si="5"/>
        <v>1494</v>
      </c>
      <c r="AN13" s="519">
        <f t="shared" si="5"/>
        <v>5120</v>
      </c>
      <c r="AO13" s="519">
        <f t="shared" si="5"/>
        <v>725</v>
      </c>
      <c r="AP13" s="519">
        <f t="shared" si="5"/>
        <v>26521</v>
      </c>
      <c r="AQ13" s="519">
        <f t="shared" si="5"/>
        <v>300</v>
      </c>
      <c r="AR13" s="519">
        <f t="shared" si="5"/>
        <v>0</v>
      </c>
      <c r="AS13" s="519">
        <f t="shared" si="5"/>
        <v>300</v>
      </c>
      <c r="AT13" s="519">
        <f t="shared" si="5"/>
        <v>9192</v>
      </c>
      <c r="AU13" s="519">
        <f t="shared" si="5"/>
        <v>5760</v>
      </c>
      <c r="AV13" s="519">
        <f t="shared" si="5"/>
        <v>3432</v>
      </c>
      <c r="AW13" s="519">
        <f t="shared" si="5"/>
        <v>6233</v>
      </c>
      <c r="AX13" s="519">
        <f t="shared" si="5"/>
        <v>865352</v>
      </c>
      <c r="AY13" s="519">
        <f t="shared" si="5"/>
        <v>31322</v>
      </c>
      <c r="AZ13" s="519">
        <f t="shared" si="5"/>
        <v>0</v>
      </c>
      <c r="BA13" s="519">
        <f t="shared" si="5"/>
        <v>144459.25</v>
      </c>
      <c r="BB13" s="519">
        <f t="shared" si="5"/>
        <v>120401.041666667</v>
      </c>
      <c r="BC13" s="519">
        <f t="shared" si="5"/>
        <v>24168.2083333333</v>
      </c>
      <c r="BD13" s="519">
        <f t="shared" si="5"/>
        <v>144459.25</v>
      </c>
      <c r="BE13" s="519">
        <f t="shared" si="5"/>
        <v>144459.25</v>
      </c>
      <c r="BF13" s="519">
        <f t="shared" si="5"/>
        <v>144459.25</v>
      </c>
      <c r="BG13" s="519">
        <f t="shared" si="5"/>
        <v>144459.25</v>
      </c>
      <c r="BH13" s="519">
        <f t="shared" si="5"/>
        <v>144459.25</v>
      </c>
      <c r="BI13" s="519">
        <f t="shared" si="5"/>
        <v>144459.25</v>
      </c>
      <c r="BU13" s="377"/>
    </row>
    <row r="14" spans="8:73">
      <c r="H14" s="429" t="s">
        <v>353</v>
      </c>
      <c r="BK14" s="568">
        <f>MIN(BK4:BK11)</f>
        <v>527.75</v>
      </c>
      <c r="BL14" s="568">
        <f t="shared" ref="BK14:BS14" si="6">MIN(BL4:BL11)</f>
        <v>616.2916666665</v>
      </c>
      <c r="BM14" s="568">
        <f t="shared" si="6"/>
        <v>540.75</v>
      </c>
      <c r="BN14" s="568">
        <f t="shared" si="6"/>
        <v>-1.54166666668706</v>
      </c>
      <c r="BO14" s="568">
        <f t="shared" si="6"/>
        <v>-1337.25</v>
      </c>
      <c r="BP14" s="568">
        <f t="shared" si="6"/>
        <v>540.75</v>
      </c>
      <c r="BQ14" s="568">
        <f t="shared" si="6"/>
        <v>540.75</v>
      </c>
      <c r="BR14" s="568">
        <f t="shared" si="6"/>
        <v>940.75</v>
      </c>
      <c r="BS14" s="568">
        <f t="shared" si="6"/>
        <v>540.75</v>
      </c>
      <c r="BU14" s="377"/>
    </row>
    <row r="15" spans="8:73">
      <c r="H15" s="430">
        <f>SUM(AF4:AF10)</f>
        <v>6160</v>
      </c>
      <c r="X15" s="491"/>
      <c r="AE15" s="520" t="s">
        <v>341</v>
      </c>
      <c r="AF15" s="520"/>
      <c r="AG15" s="520"/>
      <c r="AH15" s="520"/>
      <c r="AI15" s="520"/>
      <c r="AJ15" s="520"/>
      <c r="AK15" s="520"/>
      <c r="AL15" s="520"/>
      <c r="AM15" s="520"/>
      <c r="AN15" s="520"/>
      <c r="AO15" s="520"/>
      <c r="AP15" s="520"/>
      <c r="AQ15" s="520"/>
      <c r="AR15" s="520"/>
      <c r="AS15" s="520"/>
      <c r="AT15" s="520"/>
      <c r="AU15" s="520"/>
      <c r="AV15" s="520"/>
      <c r="AW15" s="520"/>
      <c r="AX15" s="520">
        <v>0</v>
      </c>
      <c r="AY15" s="520">
        <v>4068</v>
      </c>
      <c r="AZ15" s="521"/>
      <c r="BA15" s="521">
        <v>30159</v>
      </c>
      <c r="BB15" s="521">
        <v>25142.5</v>
      </c>
      <c r="BC15" s="521">
        <v>5076.5</v>
      </c>
      <c r="BD15" s="521">
        <v>30159</v>
      </c>
      <c r="BE15" s="521">
        <v>30159</v>
      </c>
      <c r="BF15" s="521">
        <v>30159</v>
      </c>
      <c r="BG15" s="521">
        <v>30159</v>
      </c>
      <c r="BH15" s="521">
        <v>30159</v>
      </c>
      <c r="BI15" s="521">
        <v>30159</v>
      </c>
      <c r="BU15" s="377"/>
    </row>
    <row r="16" spans="24:73">
      <c r="X16" s="380" t="e">
        <f>SUM(#REF!)*7.75</f>
        <v>#REF!</v>
      </c>
      <c r="BU16" s="377"/>
    </row>
    <row r="17" spans="31:73">
      <c r="AE17" s="520" t="s">
        <v>342</v>
      </c>
      <c r="AF17" s="521">
        <v>558379</v>
      </c>
      <c r="AG17" s="519">
        <v>523596</v>
      </c>
      <c r="AH17" s="519">
        <v>34783</v>
      </c>
      <c r="AI17" s="519">
        <v>558379</v>
      </c>
      <c r="AJ17" s="519">
        <v>368</v>
      </c>
      <c r="AK17" s="519">
        <v>368</v>
      </c>
      <c r="AL17" s="519">
        <v>5390</v>
      </c>
      <c r="AM17" s="519">
        <v>922</v>
      </c>
      <c r="AN17" s="519">
        <v>3615</v>
      </c>
      <c r="AO17" s="519">
        <v>485</v>
      </c>
      <c r="AP17" s="519">
        <v>23814</v>
      </c>
      <c r="AQ17" s="519">
        <v>73</v>
      </c>
      <c r="AR17" s="519">
        <v>0</v>
      </c>
      <c r="AS17" s="519">
        <v>73</v>
      </c>
      <c r="AT17" s="519">
        <v>8184</v>
      </c>
      <c r="AU17" s="519">
        <v>4752</v>
      </c>
      <c r="AV17" s="519">
        <v>3432</v>
      </c>
      <c r="AW17" s="519">
        <v>6233</v>
      </c>
      <c r="AX17" s="521">
        <v>779929</v>
      </c>
      <c r="AY17" s="521">
        <v>18278</v>
      </c>
      <c r="AZ17" s="519"/>
      <c r="BA17" s="519">
        <v>102500.375</v>
      </c>
      <c r="BB17" s="519">
        <v>85425.3125000003</v>
      </c>
      <c r="BC17" s="519">
        <v>17125.0625</v>
      </c>
      <c r="BD17" s="519">
        <v>102500.375</v>
      </c>
      <c r="BE17" s="519">
        <v>102500.375</v>
      </c>
      <c r="BF17" s="519">
        <v>102500.375</v>
      </c>
      <c r="BG17" s="519">
        <v>102500.375</v>
      </c>
      <c r="BH17" s="519">
        <v>102500.375</v>
      </c>
      <c r="BI17" s="519">
        <v>102500.375</v>
      </c>
      <c r="BK17" s="569">
        <f>BK14-'77489 77593生产MA'!E17</f>
        <v>-422.5</v>
      </c>
      <c r="BL17" s="569">
        <f>BL14-'77489 77593生产MA'!F17</f>
        <v>-352.08333333334</v>
      </c>
      <c r="BM17" s="569">
        <f>BM14-'77489 77593生产MA'!G17</f>
        <v>-422.5</v>
      </c>
      <c r="BN17" s="569">
        <f>BN14-'77489 77593生产MA'!H17</f>
        <v>-70.4166666666689</v>
      </c>
      <c r="BO17" s="569">
        <f>BO14-'77489 77593生产MA'!I17</f>
        <v>-422.5</v>
      </c>
      <c r="BP17" s="569">
        <f>BP14-'77489 77593生产MA'!J17</f>
        <v>-422.5</v>
      </c>
      <c r="BQ17" s="569">
        <f>BQ14-'77489 77593生产MA'!K17</f>
        <v>-422.5</v>
      </c>
      <c r="BR17" s="569">
        <f>BR14-'77489 77593生产MA'!L17</f>
        <v>-422.5</v>
      </c>
      <c r="BS17" s="569">
        <f>BS14-'77489 77593生产MA'!M17</f>
        <v>-422.5</v>
      </c>
      <c r="BU17" s="377"/>
    </row>
    <row r="19" spans="31:73">
      <c r="AE19" s="520" t="s">
        <v>354</v>
      </c>
      <c r="AF19" s="521">
        <v>88239</v>
      </c>
      <c r="AG19" s="519">
        <v>45573</v>
      </c>
      <c r="AH19" s="519">
        <v>42426</v>
      </c>
      <c r="AI19" s="519">
        <v>87999</v>
      </c>
      <c r="AJ19" s="519">
        <v>132</v>
      </c>
      <c r="AK19" s="519">
        <v>132</v>
      </c>
      <c r="AL19" s="519">
        <v>694</v>
      </c>
      <c r="AM19" s="519">
        <v>544</v>
      </c>
      <c r="AN19" s="519">
        <v>1105</v>
      </c>
      <c r="AO19" s="519">
        <v>240</v>
      </c>
      <c r="AP19" s="519">
        <v>2707</v>
      </c>
      <c r="AQ19" s="519">
        <v>227</v>
      </c>
      <c r="AR19" s="519">
        <v>0</v>
      </c>
      <c r="AS19" s="519">
        <v>227</v>
      </c>
      <c r="AT19" s="519">
        <v>1008</v>
      </c>
      <c r="AU19" s="519">
        <v>1008</v>
      </c>
      <c r="AV19" s="519">
        <v>0</v>
      </c>
      <c r="AW19" s="519">
        <v>0</v>
      </c>
      <c r="AX19" s="521">
        <v>79263</v>
      </c>
      <c r="AY19" s="521">
        <v>8976</v>
      </c>
      <c r="AZ19" s="519">
        <v>0</v>
      </c>
      <c r="BA19" s="519">
        <v>11029.875</v>
      </c>
      <c r="BB19" s="519">
        <v>9191.56250000003</v>
      </c>
      <c r="BC19" s="519">
        <v>1838.3125</v>
      </c>
      <c r="BD19" s="519">
        <v>11029.875</v>
      </c>
      <c r="BE19" s="519">
        <v>11029.875</v>
      </c>
      <c r="BF19" s="519">
        <v>11029.875</v>
      </c>
      <c r="BG19" s="519">
        <v>11029.875</v>
      </c>
      <c r="BH19" s="519">
        <v>11029.875</v>
      </c>
      <c r="BI19" s="519">
        <v>11029.875</v>
      </c>
      <c r="BK19" s="569"/>
      <c r="BL19" s="569"/>
      <c r="BM19" s="569"/>
      <c r="BN19" s="569"/>
      <c r="BO19" s="569"/>
      <c r="BP19" s="569"/>
      <c r="BQ19" s="569"/>
      <c r="BR19" s="569"/>
      <c r="BS19" s="569"/>
      <c r="BU19" s="377"/>
    </row>
    <row r="20" spans="36:61">
      <c r="AJ20" s="544">
        <f>SUM(AJ4:AJ11)</f>
        <v>0</v>
      </c>
      <c r="AL20" s="544">
        <f>SUM(AL4:AL11)</f>
        <v>12</v>
      </c>
      <c r="AM20" s="544">
        <f>SUM(AM4:AM11)</f>
        <v>28</v>
      </c>
      <c r="AQ20" s="544">
        <f>SUM(AQ4:AQ11)</f>
        <v>0</v>
      </c>
      <c r="AR20" s="544">
        <f>SUM(AR4:AR11)</f>
        <v>0</v>
      </c>
      <c r="BA20" s="559">
        <f t="shared" ref="BA20:BI20" si="7">SUM(BA4:BA9)</f>
        <v>770</v>
      </c>
      <c r="BB20" s="559">
        <f t="shared" si="7"/>
        <v>641.666666666669</v>
      </c>
      <c r="BC20" s="559">
        <f t="shared" si="7"/>
        <v>128.333333333333</v>
      </c>
      <c r="BD20" s="559">
        <f t="shared" si="7"/>
        <v>770</v>
      </c>
      <c r="BE20" s="559">
        <f t="shared" si="7"/>
        <v>770</v>
      </c>
      <c r="BF20" s="559">
        <f t="shared" si="7"/>
        <v>770</v>
      </c>
      <c r="BG20" s="559">
        <f t="shared" si="7"/>
        <v>770</v>
      </c>
      <c r="BH20" s="559">
        <f t="shared" si="7"/>
        <v>770</v>
      </c>
      <c r="BI20" s="559">
        <f t="shared" si="7"/>
        <v>770</v>
      </c>
    </row>
    <row r="23" spans="53:61">
      <c r="BA23" s="560"/>
      <c r="BB23" s="560"/>
      <c r="BC23" s="560"/>
      <c r="BD23" s="560"/>
      <c r="BE23" s="560"/>
      <c r="BF23" s="560"/>
      <c r="BG23" s="560"/>
      <c r="BH23" s="560"/>
      <c r="BI23" s="560"/>
    </row>
    <row r="26" spans="33:61">
      <c r="AG26" s="383"/>
      <c r="AH26" s="383"/>
      <c r="AI26" s="383"/>
      <c r="AJ26" s="383"/>
      <c r="AK26" s="383"/>
      <c r="AL26" s="383"/>
      <c r="AM26" s="383"/>
      <c r="AN26" s="383"/>
      <c r="AO26" s="383"/>
      <c r="AP26" s="383"/>
      <c r="AQ26" s="383"/>
      <c r="AR26" s="383"/>
      <c r="AS26" s="383"/>
      <c r="AT26" s="383"/>
      <c r="AU26" s="383"/>
      <c r="AV26" s="383"/>
      <c r="AW26" s="383"/>
      <c r="AZ26" s="383"/>
      <c r="BA26" s="383"/>
      <c r="BB26" s="383"/>
      <c r="BC26" s="383"/>
      <c r="BD26" s="383"/>
      <c r="BE26" s="383"/>
      <c r="BF26" s="383"/>
      <c r="BG26" s="383"/>
      <c r="BH26" s="383"/>
      <c r="BI26" s="383"/>
    </row>
  </sheetData>
  <sheetProtection selectLockedCells="1" autoFilter="0"/>
  <autoFilter ref="A3:BU7">
    <extLst/>
  </autoFilter>
  <mergeCells count="7">
    <mergeCell ref="A2:B2"/>
    <mergeCell ref="AG2:AH2"/>
    <mergeCell ref="AL2:AM2"/>
    <mergeCell ref="AN2:AO2"/>
    <mergeCell ref="AQ2:AS2"/>
    <mergeCell ref="AT2:AV2"/>
    <mergeCell ref="AX2:AY2"/>
  </mergeCells>
  <conditionalFormatting sqref="R4">
    <cfRule type="containsText" dxfId="0" priority="18" operator="between" text="欠">
      <formula>NOT(ISERROR(SEARCH("欠",R4)))</formula>
    </cfRule>
    <cfRule type="cellIs" dxfId="1" priority="19" operator="equal">
      <formula>"欠"</formula>
    </cfRule>
  </conditionalFormatting>
  <conditionalFormatting sqref="S4">
    <cfRule type="containsText" dxfId="0" priority="13" operator="between" text="欠">
      <formula>NOT(ISERROR(SEARCH("欠",S4)))</formula>
    </cfRule>
  </conditionalFormatting>
  <conditionalFormatting sqref="T4">
    <cfRule type="containsText" dxfId="0" priority="11" operator="between" text="欠">
      <formula>NOT(ISERROR(SEARCH("欠",T4)))</formula>
    </cfRule>
    <cfRule type="cellIs" dxfId="1" priority="12" operator="equal">
      <formula>"欠"</formula>
    </cfRule>
  </conditionalFormatting>
  <conditionalFormatting sqref="R7">
    <cfRule type="cellIs" dxfId="1" priority="2" operator="equal">
      <formula>"欠"</formula>
    </cfRule>
    <cfRule type="containsText" dxfId="0" priority="1" operator="between" text="欠">
      <formula>NOT(ISERROR(SEARCH("欠",R7)))</formula>
    </cfRule>
  </conditionalFormatting>
  <conditionalFormatting sqref="S7">
    <cfRule type="containsText" dxfId="0" priority="3" operator="between" text="欠">
      <formula>NOT(ISERROR(SEARCH("欠",S7)))</formula>
    </cfRule>
  </conditionalFormatting>
  <conditionalFormatting sqref="T7">
    <cfRule type="cellIs" dxfId="1" priority="5" operator="equal">
      <formula>"欠"</formula>
    </cfRule>
    <cfRule type="containsText" dxfId="0" priority="4" operator="between" text="欠">
      <formula>NOT(ISERROR(SEARCH("欠",T7)))</formula>
    </cfRule>
  </conditionalFormatting>
  <conditionalFormatting sqref="R11:T11">
    <cfRule type="cellIs" dxfId="1" priority="87" operator="equal">
      <formula>"欠"</formula>
    </cfRule>
  </conditionalFormatting>
  <conditionalFormatting sqref="R5:R6">
    <cfRule type="containsText" dxfId="0" priority="14" operator="between" text="欠">
      <formula>NOT(ISERROR(SEARCH("欠",R5)))</formula>
    </cfRule>
    <cfRule type="cellIs" dxfId="1" priority="15" operator="equal">
      <formula>"欠"</formula>
    </cfRule>
  </conditionalFormatting>
  <conditionalFormatting sqref="S5:S6">
    <cfRule type="containsText" dxfId="0" priority="46" operator="between" text="欠">
      <formula>NOT(ISERROR(SEARCH("欠",S5)))</formula>
    </cfRule>
    <cfRule type="cellIs" dxfId="1" priority="47" operator="equal">
      <formula>"欠"</formula>
    </cfRule>
  </conditionalFormatting>
  <conditionalFormatting sqref="T5:T6">
    <cfRule type="containsText" dxfId="0" priority="16" operator="between" text="欠">
      <formula>NOT(ISERROR(SEARCH("欠",T5)))</formula>
    </cfRule>
    <cfRule type="cellIs" dxfId="1" priority="17" operator="equal">
      <formula>"欠"</formula>
    </cfRule>
  </conditionalFormatting>
  <conditionalFormatting sqref="R1:T3">
    <cfRule type="cellIs" dxfId="1" priority="89" operator="equal">
      <formula>"欠"</formula>
    </cfRule>
  </conditionalFormatting>
  <conditionalFormatting sqref="R8:T10">
    <cfRule type="cellIs" dxfId="1" priority="86" operator="equal">
      <formula>"欠"</formula>
    </cfRule>
  </conditionalFormatting>
  <dataValidations count="1">
    <dataValidation type="list" allowBlank="1" showInputMessage="1" showErrorMessage="1" sqref="AE4:AE11">
      <formula1>"无BOM,已入,#"</formula1>
    </dataValidation>
  </dataValidations>
  <pageMargins left="0.75" right="0.75" top="1" bottom="1" header="0.5" footer="0.5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6"/>
  <sheetViews>
    <sheetView zoomScale="80" zoomScaleNormal="80" workbookViewId="0">
      <selection activeCell="J30" sqref="J30"/>
    </sheetView>
  </sheetViews>
  <sheetFormatPr defaultColWidth="8.96666666666667" defaultRowHeight="15.75"/>
  <cols>
    <col min="1" max="1" width="14.3833333333333" customWidth="1"/>
    <col min="2" max="2" width="15.1333333333333" customWidth="1"/>
    <col min="3" max="3" width="12.0416666666667" customWidth="1"/>
    <col min="4" max="4" width="10.6" customWidth="1"/>
    <col min="5" max="5" width="11.6333333333333" customWidth="1"/>
    <col min="6" max="6" width="11.875" customWidth="1"/>
    <col min="7" max="7" width="13.45" customWidth="1"/>
    <col min="8" max="8" width="16.8083333333333" customWidth="1"/>
    <col min="9" max="9" width="14.15" customWidth="1"/>
    <col min="10" max="10" width="14.0083333333333" customWidth="1"/>
    <col min="11" max="11" width="13.5166666666667" customWidth="1"/>
    <col min="12" max="12" width="10.7083333333333" customWidth="1"/>
    <col min="13" max="13" width="13.825" customWidth="1"/>
    <col min="14" max="18" width="9.8" customWidth="1"/>
    <col min="19" max="19" width="12.6" customWidth="1"/>
    <col min="20" max="20" width="16.5666666666667" customWidth="1"/>
  </cols>
  <sheetData>
    <row r="1" customFormat="1" ht="20.25" spans="1:18">
      <c r="A1" s="340" t="s">
        <v>355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</row>
    <row r="2" s="338" customFormat="1" ht="58" customHeight="1" spans="1:20">
      <c r="A2" s="342" t="s">
        <v>356</v>
      </c>
      <c r="B2" s="342" t="s">
        <v>357</v>
      </c>
      <c r="C2" s="342" t="s">
        <v>358</v>
      </c>
      <c r="D2" s="342" t="s">
        <v>359</v>
      </c>
      <c r="E2" s="342" t="s">
        <v>60</v>
      </c>
      <c r="F2" s="342" t="s">
        <v>61</v>
      </c>
      <c r="G2" s="342" t="s">
        <v>63</v>
      </c>
      <c r="H2" s="342" t="s">
        <v>62</v>
      </c>
      <c r="I2" s="342" t="s">
        <v>64</v>
      </c>
      <c r="J2" s="342" t="s">
        <v>65</v>
      </c>
      <c r="K2" s="342" t="s">
        <v>66</v>
      </c>
      <c r="L2" s="342" t="s">
        <v>67</v>
      </c>
      <c r="M2" s="342" t="s">
        <v>68</v>
      </c>
      <c r="N2" s="362" t="s">
        <v>360</v>
      </c>
      <c r="O2" s="362" t="s">
        <v>361</v>
      </c>
      <c r="P2" s="362" t="s">
        <v>362</v>
      </c>
      <c r="Q2" s="365" t="s">
        <v>363</v>
      </c>
      <c r="R2" s="365" t="s">
        <v>364</v>
      </c>
      <c r="S2" s="366" t="s">
        <v>365</v>
      </c>
      <c r="T2" s="367" t="s">
        <v>366</v>
      </c>
    </row>
    <row r="3" s="339" customFormat="1" spans="1:20">
      <c r="A3" s="343" t="s">
        <v>367</v>
      </c>
      <c r="B3" s="344">
        <v>45095</v>
      </c>
      <c r="C3" s="343">
        <v>160000</v>
      </c>
      <c r="D3" s="343"/>
      <c r="E3" s="345">
        <v>20000</v>
      </c>
      <c r="F3" s="345">
        <v>16666.6666666667</v>
      </c>
      <c r="G3" s="345">
        <v>20000</v>
      </c>
      <c r="H3" s="345">
        <v>3333.33333333333</v>
      </c>
      <c r="I3" s="345">
        <v>20000</v>
      </c>
      <c r="J3" s="345">
        <v>20000</v>
      </c>
      <c r="K3" s="345">
        <v>20000</v>
      </c>
      <c r="L3" s="345">
        <v>20000</v>
      </c>
      <c r="M3" s="345">
        <v>20000</v>
      </c>
      <c r="N3" s="343">
        <f>SUM(E3:M3)</f>
        <v>160000</v>
      </c>
      <c r="O3" s="343">
        <v>110000</v>
      </c>
      <c r="P3" s="343"/>
      <c r="Q3" s="343"/>
      <c r="R3" s="343"/>
      <c r="S3" s="368">
        <v>45145</v>
      </c>
      <c r="T3" s="339" t="s">
        <v>368</v>
      </c>
    </row>
    <row r="4" s="339" customFormat="1" spans="1:20">
      <c r="A4" s="343" t="s">
        <v>367</v>
      </c>
      <c r="B4" s="344">
        <v>45095</v>
      </c>
      <c r="C4" s="343"/>
      <c r="D4" s="343"/>
      <c r="E4" s="345"/>
      <c r="F4" s="345"/>
      <c r="G4" s="345"/>
      <c r="H4" s="345"/>
      <c r="I4" s="345"/>
      <c r="J4" s="345"/>
      <c r="K4" s="345"/>
      <c r="L4" s="345"/>
      <c r="M4" s="345"/>
      <c r="N4" s="343"/>
      <c r="O4" s="343">
        <v>50000</v>
      </c>
      <c r="P4" s="343"/>
      <c r="Q4" s="343"/>
      <c r="R4" s="343"/>
      <c r="S4" s="368" t="s">
        <v>369</v>
      </c>
      <c r="T4" s="339" t="s">
        <v>368</v>
      </c>
    </row>
    <row r="5" s="339" customFormat="1" spans="1:20">
      <c r="A5" s="343" t="s">
        <v>370</v>
      </c>
      <c r="B5" s="344">
        <v>45196</v>
      </c>
      <c r="C5" s="343">
        <v>160000</v>
      </c>
      <c r="D5" s="343"/>
      <c r="E5" s="345">
        <v>20000</v>
      </c>
      <c r="F5" s="345">
        <v>16666.6666666667</v>
      </c>
      <c r="G5" s="345">
        <v>20000</v>
      </c>
      <c r="H5" s="345">
        <v>3333.33333333333</v>
      </c>
      <c r="I5" s="345">
        <v>20000</v>
      </c>
      <c r="J5" s="345">
        <v>20000</v>
      </c>
      <c r="K5" s="345">
        <v>20000</v>
      </c>
      <c r="L5" s="345">
        <v>20000</v>
      </c>
      <c r="M5" s="345">
        <v>20000</v>
      </c>
      <c r="N5" s="343">
        <f t="shared" ref="N5:N14" si="0">SUM(E5:M5)</f>
        <v>160000</v>
      </c>
      <c r="O5" s="343">
        <v>85000</v>
      </c>
      <c r="P5" s="343">
        <v>15000</v>
      </c>
      <c r="Q5" s="343"/>
      <c r="R5" s="343">
        <v>60000</v>
      </c>
      <c r="S5" s="368">
        <v>45246</v>
      </c>
      <c r="T5" s="339" t="s">
        <v>368</v>
      </c>
    </row>
    <row r="6" s="339" customFormat="1" spans="1:20">
      <c r="A6" s="343" t="s">
        <v>371</v>
      </c>
      <c r="B6" s="344">
        <v>45268</v>
      </c>
      <c r="C6" s="343">
        <v>100000</v>
      </c>
      <c r="D6" s="343"/>
      <c r="E6" s="345">
        <v>25000</v>
      </c>
      <c r="F6" s="345">
        <v>20833.3333333333</v>
      </c>
      <c r="G6" s="345">
        <v>25000</v>
      </c>
      <c r="H6" s="345">
        <v>4166.66666666667</v>
      </c>
      <c r="I6" s="345">
        <v>25000</v>
      </c>
      <c r="J6" s="345">
        <v>25000</v>
      </c>
      <c r="K6" s="345">
        <v>25000</v>
      </c>
      <c r="L6" s="345">
        <v>25000</v>
      </c>
      <c r="M6" s="345">
        <v>25000</v>
      </c>
      <c r="N6" s="343">
        <f t="shared" si="0"/>
        <v>200000</v>
      </c>
      <c r="O6" s="343"/>
      <c r="P6" s="343"/>
      <c r="Q6" s="343">
        <v>15000</v>
      </c>
      <c r="R6" s="343">
        <v>100000</v>
      </c>
      <c r="S6" s="368">
        <v>45304</v>
      </c>
      <c r="T6" s="339" t="s">
        <v>368</v>
      </c>
    </row>
    <row r="7" s="339" customFormat="1" spans="1:20">
      <c r="A7" s="343" t="s">
        <v>371</v>
      </c>
      <c r="B7" s="344"/>
      <c r="C7" s="343"/>
      <c r="D7" s="343">
        <v>50000</v>
      </c>
      <c r="E7" s="345">
        <v>103</v>
      </c>
      <c r="F7" s="345">
        <v>700</v>
      </c>
      <c r="G7" s="345"/>
      <c r="H7" s="345"/>
      <c r="I7" s="345">
        <v>2000</v>
      </c>
      <c r="J7" s="345"/>
      <c r="K7" s="345"/>
      <c r="L7" s="345">
        <v>500</v>
      </c>
      <c r="M7" s="345"/>
      <c r="N7" s="343">
        <f t="shared" si="0"/>
        <v>3303</v>
      </c>
      <c r="O7" s="343"/>
      <c r="P7" s="343"/>
      <c r="Q7" s="343"/>
      <c r="R7" s="343"/>
      <c r="S7" s="368">
        <v>45304</v>
      </c>
      <c r="T7" s="339" t="s">
        <v>372</v>
      </c>
    </row>
    <row r="8" s="339" customFormat="1" spans="1:19">
      <c r="A8" s="343" t="s">
        <v>373</v>
      </c>
      <c r="B8" s="344">
        <v>45345</v>
      </c>
      <c r="C8" s="343">
        <v>100000</v>
      </c>
      <c r="D8" s="343">
        <v>110000</v>
      </c>
      <c r="E8" s="345">
        <v>20000</v>
      </c>
      <c r="F8" s="345">
        <v>16666.6666666667</v>
      </c>
      <c r="G8" s="345">
        <v>20000</v>
      </c>
      <c r="H8" s="345">
        <v>3333.33333333333</v>
      </c>
      <c r="I8" s="345">
        <v>20000</v>
      </c>
      <c r="J8" s="345">
        <v>20000</v>
      </c>
      <c r="K8" s="345">
        <v>20000</v>
      </c>
      <c r="L8" s="345">
        <v>20000</v>
      </c>
      <c r="M8" s="345">
        <v>20000</v>
      </c>
      <c r="N8" s="343">
        <f t="shared" si="0"/>
        <v>160000</v>
      </c>
      <c r="O8" s="343"/>
      <c r="P8" s="343"/>
      <c r="Q8" s="343">
        <v>20000</v>
      </c>
      <c r="R8" s="343">
        <f>135000+70000</f>
        <v>205000</v>
      </c>
      <c r="S8" s="368">
        <v>45381</v>
      </c>
    </row>
    <row r="9" s="339" customFormat="1" spans="1:19">
      <c r="A9" s="343" t="s">
        <v>374</v>
      </c>
      <c r="B9" s="344">
        <v>45407</v>
      </c>
      <c r="C9" s="343"/>
      <c r="D9" s="343">
        <v>160000</v>
      </c>
      <c r="E9" s="345">
        <v>20000</v>
      </c>
      <c r="F9" s="345">
        <v>16666.6666666667</v>
      </c>
      <c r="G9" s="345">
        <v>20000</v>
      </c>
      <c r="H9" s="345">
        <v>3333.33333333333</v>
      </c>
      <c r="I9" s="345">
        <v>20000</v>
      </c>
      <c r="J9" s="345">
        <v>20000</v>
      </c>
      <c r="K9" s="345">
        <v>20000</v>
      </c>
      <c r="L9" s="345">
        <v>20000</v>
      </c>
      <c r="M9" s="345">
        <v>20000</v>
      </c>
      <c r="N9" s="343">
        <f t="shared" si="0"/>
        <v>160000</v>
      </c>
      <c r="O9" s="343"/>
      <c r="P9" s="343"/>
      <c r="Q9" s="343"/>
      <c r="R9" s="343">
        <f>60000+120000</f>
        <v>180000</v>
      </c>
      <c r="S9" s="368">
        <v>45448</v>
      </c>
    </row>
    <row r="10" s="339" customFormat="1" spans="1:19">
      <c r="A10" s="346" t="s">
        <v>375</v>
      </c>
      <c r="B10" s="347">
        <v>45470</v>
      </c>
      <c r="C10" s="346"/>
      <c r="D10" s="346">
        <v>160000</v>
      </c>
      <c r="E10" s="348">
        <v>20000</v>
      </c>
      <c r="F10" s="348">
        <v>16666.6666666667</v>
      </c>
      <c r="G10" s="348">
        <v>20000</v>
      </c>
      <c r="H10" s="348">
        <v>3333.33333333333</v>
      </c>
      <c r="I10" s="348">
        <v>20000</v>
      </c>
      <c r="J10" s="348">
        <v>20000</v>
      </c>
      <c r="K10" s="348">
        <v>20000</v>
      </c>
      <c r="L10" s="348">
        <v>20000</v>
      </c>
      <c r="M10" s="348">
        <v>20000</v>
      </c>
      <c r="N10" s="346">
        <f t="shared" si="0"/>
        <v>160000</v>
      </c>
      <c r="O10" s="346"/>
      <c r="P10" s="346"/>
      <c r="Q10" s="346"/>
      <c r="R10" s="346">
        <v>100000</v>
      </c>
      <c r="S10" s="369">
        <v>45549</v>
      </c>
    </row>
    <row r="11" s="339" customFormat="1" spans="1:19">
      <c r="A11" s="346"/>
      <c r="B11" s="347">
        <v>45470</v>
      </c>
      <c r="C11" s="346"/>
      <c r="D11" s="346"/>
      <c r="E11" s="348"/>
      <c r="F11" s="348"/>
      <c r="G11" s="348"/>
      <c r="H11" s="348"/>
      <c r="I11" s="348">
        <v>700</v>
      </c>
      <c r="J11" s="348"/>
      <c r="K11" s="348"/>
      <c r="L11" s="348"/>
      <c r="M11" s="348"/>
      <c r="N11" s="346">
        <f t="shared" si="0"/>
        <v>700</v>
      </c>
      <c r="O11" s="346"/>
      <c r="P11" s="346"/>
      <c r="Q11" s="346"/>
      <c r="R11" s="346"/>
      <c r="S11" s="369"/>
    </row>
    <row r="12" s="339" customFormat="1" spans="1:19">
      <c r="A12" s="346" t="s">
        <v>376</v>
      </c>
      <c r="B12" s="347">
        <v>45532</v>
      </c>
      <c r="C12" s="346"/>
      <c r="D12" s="346">
        <v>160000</v>
      </c>
      <c r="E12" s="348">
        <v>20000</v>
      </c>
      <c r="F12" s="348">
        <v>16666.6666666667</v>
      </c>
      <c r="G12" s="348">
        <v>20000</v>
      </c>
      <c r="H12" s="348">
        <v>3333.33333333333</v>
      </c>
      <c r="I12" s="348">
        <v>20000</v>
      </c>
      <c r="J12" s="348">
        <v>20000</v>
      </c>
      <c r="K12" s="348">
        <v>20000</v>
      </c>
      <c r="L12" s="348">
        <v>20000</v>
      </c>
      <c r="M12" s="348">
        <v>20000</v>
      </c>
      <c r="N12" s="346">
        <f t="shared" si="0"/>
        <v>160000</v>
      </c>
      <c r="O12" s="346"/>
      <c r="P12" s="346"/>
      <c r="Q12" s="346"/>
      <c r="R12" s="346">
        <f>160000+60000</f>
        <v>220000</v>
      </c>
      <c r="S12" s="369">
        <v>45599</v>
      </c>
    </row>
    <row r="13" s="339" customFormat="1" spans="1:19">
      <c r="A13" s="346"/>
      <c r="B13" s="347"/>
      <c r="C13" s="346"/>
      <c r="D13" s="346"/>
      <c r="E13" s="348"/>
      <c r="F13" s="348">
        <v>500</v>
      </c>
      <c r="G13" s="348"/>
      <c r="H13" s="348"/>
      <c r="I13" s="348">
        <v>3000</v>
      </c>
      <c r="J13" s="348"/>
      <c r="K13" s="348"/>
      <c r="L13" s="348">
        <v>400</v>
      </c>
      <c r="M13" s="348"/>
      <c r="N13" s="346">
        <f t="shared" si="0"/>
        <v>3900</v>
      </c>
      <c r="O13" s="346"/>
      <c r="P13" s="346"/>
      <c r="Q13" s="346"/>
      <c r="R13" s="346"/>
      <c r="S13" s="369"/>
    </row>
    <row r="14" spans="1:19">
      <c r="A14" s="349"/>
      <c r="B14" s="350"/>
      <c r="C14" s="349"/>
      <c r="D14" s="349"/>
      <c r="E14" s="351"/>
      <c r="F14" s="351"/>
      <c r="G14" s="351"/>
      <c r="H14" s="351"/>
      <c r="I14" s="351"/>
      <c r="J14" s="351"/>
      <c r="K14" s="351"/>
      <c r="L14" s="351"/>
      <c r="M14" s="351"/>
      <c r="N14" s="343">
        <f t="shared" si="0"/>
        <v>0</v>
      </c>
      <c r="O14" s="343"/>
      <c r="P14" s="343"/>
      <c r="Q14" s="343"/>
      <c r="R14" s="343"/>
      <c r="S14" s="370"/>
    </row>
    <row r="15" spans="1:19">
      <c r="A15" s="352"/>
      <c r="B15" s="353" t="s">
        <v>377</v>
      </c>
      <c r="C15" s="352">
        <f>SUM(C3:C14)</f>
        <v>520000</v>
      </c>
      <c r="D15" s="352">
        <f>SUM(D3:D14)</f>
        <v>640000</v>
      </c>
      <c r="E15" s="354">
        <f t="shared" ref="E15:R15" si="1">SUM(E3:E14)</f>
        <v>145103</v>
      </c>
      <c r="F15" s="354">
        <f t="shared" si="1"/>
        <v>122033.333333334</v>
      </c>
      <c r="G15" s="354">
        <f t="shared" si="1"/>
        <v>145000</v>
      </c>
      <c r="H15" s="354">
        <f t="shared" si="1"/>
        <v>24166.6666666666</v>
      </c>
      <c r="I15" s="354">
        <f t="shared" si="1"/>
        <v>150700</v>
      </c>
      <c r="J15" s="354">
        <f t="shared" si="1"/>
        <v>145000</v>
      </c>
      <c r="K15" s="354">
        <f t="shared" si="1"/>
        <v>145000</v>
      </c>
      <c r="L15" s="354">
        <f t="shared" si="1"/>
        <v>145900</v>
      </c>
      <c r="M15" s="354">
        <f t="shared" si="1"/>
        <v>145000</v>
      </c>
      <c r="N15" s="354">
        <f t="shared" si="1"/>
        <v>1167903</v>
      </c>
      <c r="O15" s="354">
        <f t="shared" si="1"/>
        <v>245000</v>
      </c>
      <c r="P15" s="354">
        <f t="shared" si="1"/>
        <v>15000</v>
      </c>
      <c r="Q15" s="354">
        <f t="shared" si="1"/>
        <v>35000</v>
      </c>
      <c r="R15" s="354">
        <f t="shared" si="1"/>
        <v>865000</v>
      </c>
      <c r="S15" s="354"/>
    </row>
    <row r="16" spans="1:19">
      <c r="A16" s="352"/>
      <c r="B16" s="355" t="s">
        <v>378</v>
      </c>
      <c r="C16" s="356">
        <v>503096</v>
      </c>
      <c r="D16" s="356">
        <f>'77593旧排期'!AF49</f>
        <v>649110</v>
      </c>
      <c r="E16" s="356">
        <f>'77593旧排期'!BA49+I29</f>
        <v>144152.75</v>
      </c>
      <c r="F16" s="356">
        <f>'77593旧排期'!BB49+I30+J33+J35+K33+K35+I31</f>
        <v>121064.958333334</v>
      </c>
      <c r="G16" s="356">
        <f>'77593旧排期'!BD49</f>
        <v>144036.75</v>
      </c>
      <c r="H16" s="356">
        <f>'77593旧排期'!BC49</f>
        <v>24097.7916666667</v>
      </c>
      <c r="I16" s="356">
        <f>'77593旧排期'!BE49+J34+K34</f>
        <v>151614.75</v>
      </c>
      <c r="J16" s="356">
        <f>'77593旧排期'!BF49</f>
        <v>144036.75</v>
      </c>
      <c r="K16" s="356">
        <f>'77593旧排期'!BG49</f>
        <v>144036.75</v>
      </c>
      <c r="L16" s="356">
        <f>'77593旧排期'!BH49+J32+K32</f>
        <v>144536.75</v>
      </c>
      <c r="M16" s="356">
        <f>'77593旧排期'!BI49</f>
        <v>144036.75</v>
      </c>
      <c r="N16" s="356">
        <f>SUM(E16:M16)</f>
        <v>1161614</v>
      </c>
      <c r="O16" s="356">
        <v>244996</v>
      </c>
      <c r="P16" s="356">
        <v>14720</v>
      </c>
      <c r="Q16" s="356">
        <f>'77593旧排期'!AY49</f>
        <v>31322</v>
      </c>
      <c r="R16" s="356">
        <f>'77593旧排期'!AX49</f>
        <v>861684</v>
      </c>
      <c r="S16" s="352"/>
    </row>
    <row r="17" spans="1:19">
      <c r="A17" s="352"/>
      <c r="B17" s="353" t="s">
        <v>379</v>
      </c>
      <c r="C17" s="356">
        <f>C15-C16</f>
        <v>16904</v>
      </c>
      <c r="D17" s="356">
        <f>D15-D16</f>
        <v>-9110</v>
      </c>
      <c r="E17" s="356">
        <f t="shared" ref="E17:S17" si="2">E15-E16</f>
        <v>950.25</v>
      </c>
      <c r="F17" s="356">
        <f t="shared" si="2"/>
        <v>968.37499999984</v>
      </c>
      <c r="G17" s="356">
        <f t="shared" si="2"/>
        <v>963.25</v>
      </c>
      <c r="H17" s="356">
        <f t="shared" si="2"/>
        <v>68.8749999999818</v>
      </c>
      <c r="I17" s="356">
        <f t="shared" si="2"/>
        <v>-914.75</v>
      </c>
      <c r="J17" s="356">
        <f t="shared" si="2"/>
        <v>963.25</v>
      </c>
      <c r="K17" s="356">
        <f t="shared" si="2"/>
        <v>963.25</v>
      </c>
      <c r="L17" s="356">
        <f t="shared" si="2"/>
        <v>1363.25</v>
      </c>
      <c r="M17" s="356">
        <f t="shared" si="2"/>
        <v>963.25</v>
      </c>
      <c r="N17" s="356">
        <f t="shared" si="2"/>
        <v>6288.99999999953</v>
      </c>
      <c r="O17" s="356">
        <f t="shared" si="2"/>
        <v>4</v>
      </c>
      <c r="P17" s="356">
        <f t="shared" si="2"/>
        <v>280</v>
      </c>
      <c r="Q17" s="356">
        <f t="shared" si="2"/>
        <v>3678</v>
      </c>
      <c r="R17" s="356">
        <f t="shared" si="2"/>
        <v>3316</v>
      </c>
      <c r="S17" s="356"/>
    </row>
    <row r="18" spans="3:13">
      <c r="C18" s="273" t="s">
        <v>380</v>
      </c>
      <c r="E18" s="357"/>
      <c r="F18" s="357"/>
      <c r="G18" s="357"/>
      <c r="H18" s="357"/>
      <c r="I18" s="357"/>
      <c r="J18" s="357"/>
      <c r="K18" s="357"/>
      <c r="L18" s="357"/>
      <c r="M18" s="357"/>
    </row>
    <row r="19" spans="4:16">
      <c r="D19" t="s">
        <v>381</v>
      </c>
      <c r="E19" s="336">
        <v>1740</v>
      </c>
      <c r="F19" s="336">
        <v>1640</v>
      </c>
      <c r="G19" s="336">
        <v>2640</v>
      </c>
      <c r="H19" s="336">
        <v>440</v>
      </c>
      <c r="I19" s="336">
        <v>2240</v>
      </c>
      <c r="J19" s="336">
        <v>2240</v>
      </c>
      <c r="K19" s="336">
        <v>2640</v>
      </c>
      <c r="L19" s="336">
        <v>2540</v>
      </c>
      <c r="M19" s="336">
        <v>2640</v>
      </c>
      <c r="N19" t="s">
        <v>382</v>
      </c>
      <c r="P19" s="363">
        <f>O15+P15+Q15+R15</f>
        <v>1160000</v>
      </c>
    </row>
    <row r="20" spans="16:16">
      <c r="P20" s="363"/>
    </row>
    <row r="21" spans="6:16">
      <c r="F21" s="358" t="s">
        <v>383</v>
      </c>
      <c r="G21" s="358">
        <f>SUM(E19:M19)</f>
        <v>18760</v>
      </c>
      <c r="N21" t="s">
        <v>384</v>
      </c>
      <c r="P21" s="363">
        <f>N15-P19</f>
        <v>7903</v>
      </c>
    </row>
    <row r="22" spans="5:13">
      <c r="E22" s="359">
        <v>0.125</v>
      </c>
      <c r="F22" s="359">
        <v>0.104166666666667</v>
      </c>
      <c r="G22" s="359">
        <v>0.125</v>
      </c>
      <c r="H22" s="359">
        <v>0.0208333333333333</v>
      </c>
      <c r="I22" s="359">
        <v>0.125</v>
      </c>
      <c r="J22" s="359">
        <v>0.125</v>
      </c>
      <c r="K22" s="359">
        <v>0.125</v>
      </c>
      <c r="L22" s="359">
        <v>0.125</v>
      </c>
      <c r="M22" s="359">
        <v>0.125</v>
      </c>
    </row>
    <row r="23" spans="3:13">
      <c r="C23" t="s">
        <v>385</v>
      </c>
      <c r="D23" s="336">
        <v>13900</v>
      </c>
      <c r="E23" s="360">
        <f>$D$23*E22</f>
        <v>1737.5</v>
      </c>
      <c r="F23" s="360">
        <f t="shared" ref="F23:M23" si="3">$D$23*F22</f>
        <v>1447.91666666667</v>
      </c>
      <c r="G23" s="360">
        <f t="shared" si="3"/>
        <v>1737.5</v>
      </c>
      <c r="H23" s="360">
        <f t="shared" si="3"/>
        <v>289.583333333333</v>
      </c>
      <c r="I23" s="360">
        <f t="shared" si="3"/>
        <v>1737.5</v>
      </c>
      <c r="J23" s="360">
        <f t="shared" si="3"/>
        <v>1737.5</v>
      </c>
      <c r="K23" s="360">
        <f t="shared" si="3"/>
        <v>1737.5</v>
      </c>
      <c r="L23" s="360">
        <f t="shared" si="3"/>
        <v>1737.5</v>
      </c>
      <c r="M23" s="360">
        <f t="shared" si="3"/>
        <v>1737.5</v>
      </c>
    </row>
    <row r="24" spans="5:13">
      <c r="E24" s="360"/>
      <c r="F24" s="360"/>
      <c r="G24" s="360"/>
      <c r="H24" s="360"/>
      <c r="I24" s="360"/>
      <c r="J24" s="360"/>
      <c r="K24" s="360"/>
      <c r="L24" s="360"/>
      <c r="M24" s="360"/>
    </row>
    <row r="25" spans="5:13">
      <c r="E25" s="360">
        <f>E23-E19</f>
        <v>-2.5</v>
      </c>
      <c r="F25" s="360">
        <f t="shared" ref="F25:M25" si="4">F23-F19</f>
        <v>-192.083333333329</v>
      </c>
      <c r="G25" s="360">
        <f t="shared" si="4"/>
        <v>-902.5</v>
      </c>
      <c r="H25" s="360">
        <f t="shared" si="4"/>
        <v>-150.416666666667</v>
      </c>
      <c r="I25" s="360">
        <f t="shared" si="4"/>
        <v>-502.5</v>
      </c>
      <c r="J25" s="360">
        <f t="shared" si="4"/>
        <v>-502.5</v>
      </c>
      <c r="K25" s="360">
        <f t="shared" si="4"/>
        <v>-902.5</v>
      </c>
      <c r="L25" s="360">
        <f t="shared" si="4"/>
        <v>-802.5</v>
      </c>
      <c r="M25" s="360">
        <f t="shared" si="4"/>
        <v>-902.5</v>
      </c>
    </row>
    <row r="26" spans="5:13">
      <c r="E26" s="360"/>
      <c r="F26" s="360"/>
      <c r="G26" s="360"/>
      <c r="H26" s="360"/>
      <c r="I26" s="360"/>
      <c r="J26" s="360"/>
      <c r="K26" s="360"/>
      <c r="L26" s="360"/>
      <c r="M26" s="360"/>
    </row>
    <row r="27" spans="7:11">
      <c r="G27" s="349" t="s">
        <v>386</v>
      </c>
      <c r="H27" s="349"/>
      <c r="I27" s="349"/>
      <c r="J27" s="349"/>
      <c r="K27" s="349"/>
    </row>
    <row r="28" spans="7:11">
      <c r="G28" s="349" t="s">
        <v>387</v>
      </c>
      <c r="H28" s="349" t="s">
        <v>388</v>
      </c>
      <c r="I28" s="349" t="s">
        <v>389</v>
      </c>
      <c r="J28" s="349" t="s">
        <v>342</v>
      </c>
      <c r="K28" s="346" t="s">
        <v>390</v>
      </c>
    </row>
    <row r="29" spans="7:11">
      <c r="G29" s="361" t="s">
        <v>391</v>
      </c>
      <c r="H29" s="361" t="s">
        <v>392</v>
      </c>
      <c r="I29" s="361">
        <v>116</v>
      </c>
      <c r="J29" s="361"/>
      <c r="K29" s="361"/>
    </row>
    <row r="30" spans="7:11">
      <c r="G30" s="361"/>
      <c r="H30" s="361" t="s">
        <v>393</v>
      </c>
      <c r="I30" s="361">
        <v>116</v>
      </c>
      <c r="J30" s="361"/>
      <c r="K30" s="361"/>
    </row>
    <row r="31" spans="7:11">
      <c r="G31" s="361" t="s">
        <v>394</v>
      </c>
      <c r="H31" s="361" t="s">
        <v>4</v>
      </c>
      <c r="I31" s="361">
        <v>100</v>
      </c>
      <c r="J31" s="361"/>
      <c r="K31" s="361"/>
    </row>
    <row r="32" spans="7:11">
      <c r="G32" s="349" t="s">
        <v>395</v>
      </c>
      <c r="H32" s="349" t="s">
        <v>396</v>
      </c>
      <c r="I32" s="349"/>
      <c r="J32" s="349">
        <v>368</v>
      </c>
      <c r="K32" s="349">
        <f>'77593旧排期'!AJ56</f>
        <v>132</v>
      </c>
    </row>
    <row r="33" spans="7:11">
      <c r="G33" s="349"/>
      <c r="H33" s="349" t="s">
        <v>4</v>
      </c>
      <c r="I33" s="349"/>
      <c r="J33" s="349">
        <v>368</v>
      </c>
      <c r="K33" s="349">
        <f>K32</f>
        <v>132</v>
      </c>
    </row>
    <row r="34" spans="7:11">
      <c r="G34" s="349" t="s">
        <v>10</v>
      </c>
      <c r="H34" s="349" t="s">
        <v>3</v>
      </c>
      <c r="I34" s="349"/>
      <c r="J34" s="349">
        <v>6312</v>
      </c>
      <c r="K34" s="349">
        <f>'77593旧排期'!AL56+'77593旧排期'!AM56</f>
        <v>1266</v>
      </c>
    </row>
    <row r="35" spans="7:11">
      <c r="G35" s="349" t="s">
        <v>397</v>
      </c>
      <c r="H35" s="349" t="s">
        <v>4</v>
      </c>
      <c r="I35" s="349"/>
      <c r="J35" s="349">
        <v>73</v>
      </c>
      <c r="K35" s="349">
        <f>'77593旧排期'!AR56+'77593旧排期'!AQ56</f>
        <v>227</v>
      </c>
    </row>
    <row r="36" spans="7:13">
      <c r="G36" s="346" t="s">
        <v>398</v>
      </c>
      <c r="H36" s="346"/>
      <c r="I36" s="346">
        <f t="shared" ref="I36:K36" si="5">SUM(I29:I35)</f>
        <v>332</v>
      </c>
      <c r="J36" s="346">
        <f t="shared" si="5"/>
        <v>7121</v>
      </c>
      <c r="K36" s="346">
        <f t="shared" si="5"/>
        <v>1757</v>
      </c>
      <c r="M36" s="364">
        <f>SUM(I36:K36)</f>
        <v>9210</v>
      </c>
    </row>
  </sheetData>
  <mergeCells count="5">
    <mergeCell ref="A1:N1"/>
    <mergeCell ref="G27:K27"/>
    <mergeCell ref="G36:H36"/>
    <mergeCell ref="G29:G30"/>
    <mergeCell ref="G32:G33"/>
  </mergeCells>
  <conditionalFormatting sqref="C17:S17">
    <cfRule type="cellIs" dxfId="1" priority="2" operator="lessThan">
      <formula>0</formula>
    </cfRule>
  </conditionalFormatting>
  <conditionalFormatting sqref="E25:M25">
    <cfRule type="cellIs" dxfId="1" priority="1" operator="lessThan">
      <formula>0</formula>
    </cfRule>
  </conditionalFormatting>
  <pageMargins left="0.75" right="0.75" top="1" bottom="1" header="0.5" footer="0.5"/>
  <pageSetup paperSize="9" orientation="portrait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83"/>
  <sheetViews>
    <sheetView zoomScale="70" zoomScaleNormal="70" topLeftCell="X1" workbookViewId="0">
      <pane xSplit="7" ySplit="3" topLeftCell="AE65" activePane="bottomRight" state="frozen"/>
      <selection/>
      <selection pane="topRight"/>
      <selection pane="bottomLeft"/>
      <selection pane="bottomRight" activeCell="AG84" sqref="AG84"/>
    </sheetView>
  </sheetViews>
  <sheetFormatPr defaultColWidth="9" defaultRowHeight="15.75"/>
  <cols>
    <col min="1" max="1" width="11.1" style="272" customWidth="1"/>
    <col min="2" max="2" width="11.9833333333333" style="272" customWidth="1"/>
    <col min="3" max="3" width="11.4416666666667" style="272" customWidth="1"/>
    <col min="4" max="4" width="14.2916666666667" style="272" customWidth="1"/>
    <col min="5" max="6" width="9.375" style="270" customWidth="1"/>
    <col min="7" max="7" width="12.6916666666667" style="270" customWidth="1"/>
    <col min="8" max="8" width="10.8333333333333" style="270" customWidth="1"/>
    <col min="9" max="11" width="8.325" style="270" customWidth="1"/>
    <col min="12" max="15" width="8.325" style="273" customWidth="1"/>
    <col min="16" max="20" width="9" style="273" customWidth="1"/>
    <col min="21" max="21" width="3.50833333333333" style="273" customWidth="1"/>
    <col min="22" max="22" width="49.5" style="270" customWidth="1"/>
    <col min="23" max="23" width="9" style="270"/>
    <col min="24" max="25" width="10.1916666666667" style="270" customWidth="1"/>
    <col min="26" max="26" width="12.1916666666667" style="270" customWidth="1"/>
    <col min="27" max="27" width="13.6916666666667" style="270" customWidth="1"/>
    <col min="28" max="29" width="9" style="270"/>
    <col min="30" max="30" width="10.1916666666667" style="270" customWidth="1"/>
    <col min="31" max="47" width="9" style="270"/>
    <col min="48" max="48" width="52.5" style="270" customWidth="1"/>
    <col min="49" max="16384" width="9" style="270"/>
  </cols>
  <sheetData>
    <row r="1" s="270" customFormat="1" ht="36" customHeight="1" spans="1:48">
      <c r="A1" s="274" t="s">
        <v>399</v>
      </c>
      <c r="B1" s="274"/>
      <c r="C1" s="274"/>
      <c r="D1" s="274"/>
      <c r="E1" s="275"/>
      <c r="F1" s="275"/>
      <c r="G1" s="275"/>
      <c r="H1" s="275"/>
      <c r="I1" s="275"/>
      <c r="J1" s="275"/>
      <c r="K1" s="275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275"/>
      <c r="X1" s="274" t="s">
        <v>400</v>
      </c>
      <c r="Y1" s="274"/>
      <c r="Z1" s="274"/>
      <c r="AA1" s="274"/>
      <c r="AB1" s="275"/>
      <c r="AC1" s="275"/>
      <c r="AD1" s="275"/>
      <c r="AE1" s="275"/>
      <c r="AF1" s="275"/>
      <c r="AG1" s="275"/>
      <c r="AH1" s="275"/>
      <c r="AI1" s="275"/>
      <c r="AJ1" s="275"/>
      <c r="AK1" s="275"/>
      <c r="AL1" s="275"/>
      <c r="AM1" s="275"/>
      <c r="AN1" s="275"/>
      <c r="AO1" s="275"/>
      <c r="AP1" s="275"/>
      <c r="AQ1" s="275"/>
      <c r="AR1" s="275"/>
      <c r="AS1" s="275"/>
      <c r="AT1" s="275"/>
      <c r="AU1" s="300"/>
      <c r="AV1" s="275"/>
    </row>
    <row r="2" s="270" customFormat="1" ht="35" customHeight="1" spans="1:48">
      <c r="A2" s="276" t="s">
        <v>401</v>
      </c>
      <c r="B2" s="277" t="s">
        <v>402</v>
      </c>
      <c r="C2" s="278" t="s">
        <v>403</v>
      </c>
      <c r="D2" s="279" t="s">
        <v>404</v>
      </c>
      <c r="E2" s="277" t="s">
        <v>405</v>
      </c>
      <c r="F2" s="280" t="s">
        <v>406</v>
      </c>
      <c r="G2" s="281" t="s">
        <v>407</v>
      </c>
      <c r="H2" s="282" t="s">
        <v>408</v>
      </c>
      <c r="I2" s="282"/>
      <c r="J2" s="301" t="s">
        <v>409</v>
      </c>
      <c r="K2" s="302" t="s">
        <v>410</v>
      </c>
      <c r="L2" s="303"/>
      <c r="M2" s="302" t="s">
        <v>411</v>
      </c>
      <c r="N2" s="303"/>
      <c r="O2" s="304" t="s">
        <v>412</v>
      </c>
      <c r="P2" s="304"/>
      <c r="Q2" s="303"/>
      <c r="R2" s="306"/>
      <c r="S2" s="304" t="s">
        <v>413</v>
      </c>
      <c r="T2" s="303"/>
      <c r="U2" s="307"/>
      <c r="V2" s="308"/>
      <c r="X2" s="276" t="s">
        <v>401</v>
      </c>
      <c r="Y2" s="277" t="s">
        <v>402</v>
      </c>
      <c r="Z2" s="278" t="s">
        <v>403</v>
      </c>
      <c r="AA2" s="279" t="s">
        <v>404</v>
      </c>
      <c r="AB2" s="277" t="s">
        <v>405</v>
      </c>
      <c r="AC2" s="280" t="s">
        <v>406</v>
      </c>
      <c r="AD2" s="281" t="s">
        <v>407</v>
      </c>
      <c r="AE2" s="282" t="s">
        <v>408</v>
      </c>
      <c r="AF2" s="282"/>
      <c r="AG2" s="301" t="s">
        <v>409</v>
      </c>
      <c r="AH2" s="301" t="s">
        <v>8</v>
      </c>
      <c r="AI2" s="317"/>
      <c r="AJ2" s="301" t="s">
        <v>13</v>
      </c>
      <c r="AK2" s="317"/>
      <c r="AL2" s="317"/>
      <c r="AM2" s="301" t="s">
        <v>414</v>
      </c>
      <c r="AN2" s="317"/>
      <c r="AO2" s="282" t="s">
        <v>415</v>
      </c>
      <c r="AP2" s="282"/>
      <c r="AQ2" s="282" t="s">
        <v>416</v>
      </c>
      <c r="AR2" s="317" t="s">
        <v>417</v>
      </c>
      <c r="AS2" s="317"/>
      <c r="AT2" s="317"/>
      <c r="AU2" s="307"/>
      <c r="AV2" s="308"/>
    </row>
    <row r="3" s="270" customFormat="1" ht="35" customHeight="1" spans="1:48">
      <c r="A3" s="276"/>
      <c r="B3" s="283"/>
      <c r="C3" s="284"/>
      <c r="D3" s="285"/>
      <c r="E3" s="283"/>
      <c r="F3" s="286"/>
      <c r="G3" s="287"/>
      <c r="H3" s="288" t="s">
        <v>418</v>
      </c>
      <c r="I3" s="288" t="s">
        <v>419</v>
      </c>
      <c r="J3" s="288" t="s">
        <v>420</v>
      </c>
      <c r="K3" s="305" t="s">
        <v>50</v>
      </c>
      <c r="L3" s="305" t="s">
        <v>51</v>
      </c>
      <c r="M3" s="305" t="s">
        <v>50</v>
      </c>
      <c r="N3" s="305" t="s">
        <v>51</v>
      </c>
      <c r="O3" s="305" t="s">
        <v>421</v>
      </c>
      <c r="P3" s="305" t="s">
        <v>422</v>
      </c>
      <c r="Q3" s="305" t="s">
        <v>423</v>
      </c>
      <c r="R3" s="305" t="s">
        <v>424</v>
      </c>
      <c r="S3" s="305" t="s">
        <v>50</v>
      </c>
      <c r="T3" s="305" t="s">
        <v>425</v>
      </c>
      <c r="U3" s="309"/>
      <c r="V3" s="310" t="s">
        <v>39</v>
      </c>
      <c r="X3" s="276"/>
      <c r="Y3" s="283"/>
      <c r="Z3" s="284"/>
      <c r="AA3" s="285"/>
      <c r="AB3" s="283"/>
      <c r="AC3" s="286"/>
      <c r="AD3" s="287"/>
      <c r="AE3" s="288" t="s">
        <v>418</v>
      </c>
      <c r="AF3" s="288" t="s">
        <v>419</v>
      </c>
      <c r="AG3" s="288" t="s">
        <v>420</v>
      </c>
      <c r="AH3" s="288" t="s">
        <v>50</v>
      </c>
      <c r="AI3" s="318" t="s">
        <v>425</v>
      </c>
      <c r="AJ3" s="288" t="s">
        <v>50</v>
      </c>
      <c r="AK3" s="288" t="s">
        <v>51</v>
      </c>
      <c r="AL3" s="318" t="s">
        <v>425</v>
      </c>
      <c r="AM3" s="288" t="s">
        <v>50</v>
      </c>
      <c r="AN3" s="288" t="s">
        <v>51</v>
      </c>
      <c r="AO3" s="288" t="s">
        <v>50</v>
      </c>
      <c r="AP3" s="288" t="s">
        <v>51</v>
      </c>
      <c r="AQ3" s="288" t="s">
        <v>426</v>
      </c>
      <c r="AR3" s="318" t="s">
        <v>54</v>
      </c>
      <c r="AS3" s="318" t="s">
        <v>427</v>
      </c>
      <c r="AT3" s="318" t="s">
        <v>428</v>
      </c>
      <c r="AU3" s="309"/>
      <c r="AV3" s="310" t="s">
        <v>39</v>
      </c>
    </row>
    <row r="4" s="271" customFormat="1" ht="22" customHeight="1" spans="1:48">
      <c r="A4" s="289">
        <v>45142</v>
      </c>
      <c r="B4" s="290" t="s">
        <v>429</v>
      </c>
      <c r="C4" s="290">
        <v>77489</v>
      </c>
      <c r="D4" s="291" t="s">
        <v>430</v>
      </c>
      <c r="E4" s="292">
        <v>70000</v>
      </c>
      <c r="F4" s="292" t="s">
        <v>431</v>
      </c>
      <c r="G4" s="292" t="s">
        <v>432</v>
      </c>
      <c r="H4" s="292">
        <f>E4</f>
        <v>70000</v>
      </c>
      <c r="I4" s="292"/>
      <c r="J4" s="292"/>
      <c r="K4" s="292"/>
      <c r="L4" s="292"/>
      <c r="M4" s="292"/>
      <c r="N4" s="292"/>
      <c r="O4" s="292"/>
      <c r="P4" s="292"/>
      <c r="Q4" s="292"/>
      <c r="R4" s="292"/>
      <c r="S4" s="292"/>
      <c r="T4" s="292"/>
      <c r="U4" s="292"/>
      <c r="V4" s="311"/>
      <c r="X4" s="289">
        <v>45302</v>
      </c>
      <c r="Y4" s="290">
        <v>1000018190</v>
      </c>
      <c r="Z4" s="290">
        <v>77593</v>
      </c>
      <c r="AA4" s="291" t="s">
        <v>433</v>
      </c>
      <c r="AB4" s="292">
        <v>30000</v>
      </c>
      <c r="AC4" s="292" t="s">
        <v>434</v>
      </c>
      <c r="AD4" s="292" t="s">
        <v>432</v>
      </c>
      <c r="AE4" s="292"/>
      <c r="AF4" s="292"/>
      <c r="AG4" s="292">
        <f>AB4</f>
        <v>30000</v>
      </c>
      <c r="AH4" s="292"/>
      <c r="AI4" s="292"/>
      <c r="AJ4" s="292"/>
      <c r="AK4" s="292"/>
      <c r="AL4" s="292"/>
      <c r="AM4" s="292"/>
      <c r="AN4" s="292"/>
      <c r="AO4" s="292"/>
      <c r="AP4" s="292"/>
      <c r="AQ4" s="292"/>
      <c r="AR4" s="292"/>
      <c r="AS4" s="292"/>
      <c r="AT4" s="292"/>
      <c r="AU4" s="292"/>
      <c r="AV4" s="311" t="s">
        <v>435</v>
      </c>
    </row>
    <row r="5" s="271" customFormat="1" ht="22" customHeight="1" spans="1:48">
      <c r="A5" s="289">
        <v>45142</v>
      </c>
      <c r="B5" s="290" t="s">
        <v>436</v>
      </c>
      <c r="C5" s="290">
        <v>77489</v>
      </c>
      <c r="D5" s="291" t="s">
        <v>433</v>
      </c>
      <c r="E5" s="292">
        <v>70000</v>
      </c>
      <c r="F5" s="292" t="s">
        <v>437</v>
      </c>
      <c r="G5" s="292" t="s">
        <v>432</v>
      </c>
      <c r="H5" s="292"/>
      <c r="I5" s="292"/>
      <c r="J5" s="292">
        <f>E5</f>
        <v>70000</v>
      </c>
      <c r="K5" s="292"/>
      <c r="L5" s="296"/>
      <c r="M5" s="292"/>
      <c r="N5" s="296"/>
      <c r="O5" s="296"/>
      <c r="P5" s="296"/>
      <c r="Q5" s="296"/>
      <c r="R5" s="296"/>
      <c r="S5" s="296"/>
      <c r="T5" s="296"/>
      <c r="U5" s="292"/>
      <c r="V5" s="292" t="s">
        <v>435</v>
      </c>
      <c r="X5" s="289">
        <v>45302</v>
      </c>
      <c r="Y5" s="290">
        <v>1000018192</v>
      </c>
      <c r="Z5" s="290">
        <v>77593</v>
      </c>
      <c r="AA5" s="291" t="s">
        <v>430</v>
      </c>
      <c r="AB5" s="292">
        <v>30000</v>
      </c>
      <c r="AC5" s="292" t="s">
        <v>438</v>
      </c>
      <c r="AD5" s="292" t="s">
        <v>432</v>
      </c>
      <c r="AE5" s="292">
        <f>AB5</f>
        <v>30000</v>
      </c>
      <c r="AF5" s="292"/>
      <c r="AG5" s="292"/>
      <c r="AH5" s="292"/>
      <c r="AI5" s="292"/>
      <c r="AJ5" s="292"/>
      <c r="AK5" s="292"/>
      <c r="AL5" s="292"/>
      <c r="AM5" s="292"/>
      <c r="AN5" s="292"/>
      <c r="AO5" s="292"/>
      <c r="AP5" s="292"/>
      <c r="AQ5" s="292"/>
      <c r="AR5" s="292"/>
      <c r="AS5" s="292"/>
      <c r="AT5" s="292"/>
      <c r="AU5" s="292"/>
      <c r="AV5" s="292"/>
    </row>
    <row r="6" s="271" customFormat="1" ht="22" customHeight="1" spans="1:48">
      <c r="A6" s="289">
        <v>45142</v>
      </c>
      <c r="B6" s="290" t="s">
        <v>439</v>
      </c>
      <c r="C6" s="290" t="s">
        <v>440</v>
      </c>
      <c r="D6" s="291" t="s">
        <v>441</v>
      </c>
      <c r="E6" s="292">
        <v>1000</v>
      </c>
      <c r="F6" s="292" t="s">
        <v>431</v>
      </c>
      <c r="G6" s="292" t="s">
        <v>432</v>
      </c>
      <c r="H6" s="292"/>
      <c r="I6" s="292"/>
      <c r="J6" s="292"/>
      <c r="K6" s="292"/>
      <c r="L6" s="296"/>
      <c r="M6" s="292">
        <f>E6</f>
        <v>1000</v>
      </c>
      <c r="N6" s="296"/>
      <c r="O6" s="296"/>
      <c r="P6" s="296"/>
      <c r="Q6" s="296"/>
      <c r="R6" s="296"/>
      <c r="S6" s="296"/>
      <c r="T6" s="296"/>
      <c r="U6" s="292"/>
      <c r="V6" s="292"/>
      <c r="X6" s="289">
        <v>45352</v>
      </c>
      <c r="Y6" s="290">
        <v>1000018720</v>
      </c>
      <c r="Z6" s="290" t="s">
        <v>10</v>
      </c>
      <c r="AA6" s="291" t="s">
        <v>442</v>
      </c>
      <c r="AB6" s="292">
        <v>748</v>
      </c>
      <c r="AC6" s="292" t="s">
        <v>438</v>
      </c>
      <c r="AD6" s="292" t="s">
        <v>432</v>
      </c>
      <c r="AE6" s="292"/>
      <c r="AF6" s="292"/>
      <c r="AG6" s="292"/>
      <c r="AH6" s="292"/>
      <c r="AI6" s="292"/>
      <c r="AJ6" s="292"/>
      <c r="AK6" s="292"/>
      <c r="AL6" s="292"/>
      <c r="AM6" s="292">
        <f>AB6</f>
        <v>748</v>
      </c>
      <c r="AN6" s="292"/>
      <c r="AO6" s="292"/>
      <c r="AP6" s="292"/>
      <c r="AQ6" s="292"/>
      <c r="AR6" s="292"/>
      <c r="AS6" s="292"/>
      <c r="AT6" s="292"/>
      <c r="AU6" s="292"/>
      <c r="AV6" s="292"/>
    </row>
    <row r="7" s="271" customFormat="1" ht="22" customHeight="1" spans="1:48">
      <c r="A7" s="289">
        <v>45148</v>
      </c>
      <c r="B7" s="290" t="s">
        <v>443</v>
      </c>
      <c r="C7" s="290" t="s">
        <v>444</v>
      </c>
      <c r="D7" s="290" t="s">
        <v>442</v>
      </c>
      <c r="E7" s="292">
        <v>1000</v>
      </c>
      <c r="F7" s="292" t="s">
        <v>431</v>
      </c>
      <c r="G7" s="292" t="s">
        <v>432</v>
      </c>
      <c r="H7" s="293"/>
      <c r="I7" s="292"/>
      <c r="J7" s="292"/>
      <c r="K7" s="292">
        <f>E7</f>
        <v>1000</v>
      </c>
      <c r="L7" s="296"/>
      <c r="M7" s="292"/>
      <c r="N7" s="296"/>
      <c r="O7" s="296"/>
      <c r="P7" s="296"/>
      <c r="Q7" s="296"/>
      <c r="R7" s="296"/>
      <c r="S7" s="296"/>
      <c r="T7" s="296"/>
      <c r="U7" s="292"/>
      <c r="V7" s="292"/>
      <c r="X7" s="289">
        <v>45358</v>
      </c>
      <c r="Y7" s="290">
        <v>1000018817</v>
      </c>
      <c r="Z7" s="290">
        <v>77614</v>
      </c>
      <c r="AA7" s="290" t="s">
        <v>445</v>
      </c>
      <c r="AB7" s="292">
        <v>2280</v>
      </c>
      <c r="AC7" s="292" t="s">
        <v>57</v>
      </c>
      <c r="AD7" s="292"/>
      <c r="AE7" s="293"/>
      <c r="AF7" s="292"/>
      <c r="AG7" s="292"/>
      <c r="AH7" s="292"/>
      <c r="AI7" s="292"/>
      <c r="AJ7" s="292"/>
      <c r="AK7" s="292"/>
      <c r="AL7" s="292"/>
      <c r="AM7" s="292"/>
      <c r="AN7" s="292"/>
      <c r="AO7" s="292"/>
      <c r="AP7" s="292"/>
      <c r="AQ7" s="292"/>
      <c r="AR7" s="292">
        <f>AB7</f>
        <v>2280</v>
      </c>
      <c r="AS7" s="292"/>
      <c r="AT7" s="292"/>
      <c r="AU7" s="292"/>
      <c r="AV7" s="319" t="s">
        <v>446</v>
      </c>
    </row>
    <row r="8" s="271" customFormat="1" ht="22" customHeight="1" spans="1:48">
      <c r="A8" s="289">
        <v>45161</v>
      </c>
      <c r="B8" s="290" t="s">
        <v>447</v>
      </c>
      <c r="C8" s="290" t="s">
        <v>444</v>
      </c>
      <c r="D8" s="290" t="s">
        <v>442</v>
      </c>
      <c r="E8" s="292">
        <v>500</v>
      </c>
      <c r="F8" s="292" t="s">
        <v>431</v>
      </c>
      <c r="G8" s="292" t="s">
        <v>432</v>
      </c>
      <c r="H8" s="293"/>
      <c r="I8" s="292"/>
      <c r="J8" s="292"/>
      <c r="K8" s="292">
        <f>E8</f>
        <v>500</v>
      </c>
      <c r="L8" s="296"/>
      <c r="M8" s="292"/>
      <c r="N8" s="296"/>
      <c r="O8" s="296"/>
      <c r="P8" s="296"/>
      <c r="Q8" s="296"/>
      <c r="R8" s="296"/>
      <c r="S8" s="296"/>
      <c r="T8" s="296"/>
      <c r="U8" s="292"/>
      <c r="V8" s="292"/>
      <c r="X8" s="289">
        <v>45358</v>
      </c>
      <c r="Y8" s="290">
        <v>1000018818</v>
      </c>
      <c r="Z8" s="290">
        <v>77614</v>
      </c>
      <c r="AA8" s="290" t="s">
        <v>448</v>
      </c>
      <c r="AB8" s="292">
        <v>2280</v>
      </c>
      <c r="AC8" s="292" t="s">
        <v>438</v>
      </c>
      <c r="AD8" s="292"/>
      <c r="AE8" s="293"/>
      <c r="AF8" s="292"/>
      <c r="AG8" s="292"/>
      <c r="AH8" s="292"/>
      <c r="AI8" s="292"/>
      <c r="AJ8" s="292"/>
      <c r="AK8" s="292"/>
      <c r="AL8" s="292"/>
      <c r="AM8" s="292"/>
      <c r="AN8" s="292"/>
      <c r="AO8" s="292"/>
      <c r="AP8" s="292"/>
      <c r="AQ8" s="292"/>
      <c r="AR8" s="292"/>
      <c r="AS8" s="292">
        <f>AB8</f>
        <v>2280</v>
      </c>
      <c r="AT8" s="292"/>
      <c r="AU8" s="292"/>
      <c r="AV8" s="319" t="s">
        <v>446</v>
      </c>
    </row>
    <row r="9" s="271" customFormat="1" ht="22" customHeight="1" spans="1:48">
      <c r="A9" s="289">
        <v>45161</v>
      </c>
      <c r="B9" s="290" t="s">
        <v>449</v>
      </c>
      <c r="C9" s="290" t="s">
        <v>450</v>
      </c>
      <c r="D9" s="290" t="s">
        <v>451</v>
      </c>
      <c r="E9" s="292">
        <v>300</v>
      </c>
      <c r="F9" s="292" t="s">
        <v>431</v>
      </c>
      <c r="G9" s="292" t="s">
        <v>432</v>
      </c>
      <c r="H9" s="293"/>
      <c r="I9" s="292"/>
      <c r="J9" s="292"/>
      <c r="K9" s="292"/>
      <c r="L9" s="296"/>
      <c r="M9" s="292"/>
      <c r="N9" s="296"/>
      <c r="O9" s="296"/>
      <c r="P9" s="296"/>
      <c r="Q9" s="296"/>
      <c r="R9" s="296"/>
      <c r="S9" s="292">
        <f>E9</f>
        <v>300</v>
      </c>
      <c r="T9" s="296"/>
      <c r="U9" s="292"/>
      <c r="V9" s="312"/>
      <c r="X9" s="289">
        <v>45358</v>
      </c>
      <c r="Y9" s="290">
        <v>1000018819</v>
      </c>
      <c r="Z9" s="290">
        <v>77614</v>
      </c>
      <c r="AA9" s="290" t="s">
        <v>452</v>
      </c>
      <c r="AB9" s="292">
        <v>2280</v>
      </c>
      <c r="AC9" s="292" t="s">
        <v>57</v>
      </c>
      <c r="AD9" s="292"/>
      <c r="AE9" s="293"/>
      <c r="AF9" s="292"/>
      <c r="AG9" s="292"/>
      <c r="AH9" s="292"/>
      <c r="AI9" s="292"/>
      <c r="AJ9" s="292"/>
      <c r="AK9" s="292"/>
      <c r="AL9" s="292"/>
      <c r="AM9" s="292"/>
      <c r="AN9" s="292"/>
      <c r="AO9" s="292"/>
      <c r="AP9" s="292"/>
      <c r="AQ9" s="292"/>
      <c r="AR9" s="292"/>
      <c r="AS9" s="292"/>
      <c r="AT9" s="292"/>
      <c r="AU9" s="292"/>
      <c r="AV9" s="319" t="s">
        <v>446</v>
      </c>
    </row>
    <row r="10" s="271" customFormat="1" ht="22" customHeight="1" spans="1:48">
      <c r="A10" s="289">
        <v>45161</v>
      </c>
      <c r="B10" s="290">
        <v>1000016132</v>
      </c>
      <c r="C10" s="290" t="s">
        <v>453</v>
      </c>
      <c r="D10" s="290" t="s">
        <v>454</v>
      </c>
      <c r="E10" s="292">
        <v>200</v>
      </c>
      <c r="F10" s="292" t="s">
        <v>431</v>
      </c>
      <c r="G10" s="292" t="s">
        <v>432</v>
      </c>
      <c r="H10" s="292"/>
      <c r="I10" s="292"/>
      <c r="J10" s="292"/>
      <c r="K10" s="292"/>
      <c r="L10" s="296"/>
      <c r="M10" s="292"/>
      <c r="N10" s="296"/>
      <c r="O10" s="296"/>
      <c r="P10" s="296"/>
      <c r="Q10" s="296"/>
      <c r="R10" s="296"/>
      <c r="S10" s="296"/>
      <c r="T10" s="292">
        <f>E10</f>
        <v>200</v>
      </c>
      <c r="U10" s="292"/>
      <c r="V10" s="312"/>
      <c r="X10" s="289">
        <v>45372</v>
      </c>
      <c r="Y10" s="290">
        <v>1000019034</v>
      </c>
      <c r="Z10" s="289" t="s">
        <v>11</v>
      </c>
      <c r="AA10" s="289" t="s">
        <v>455</v>
      </c>
      <c r="AB10" s="298">
        <v>500</v>
      </c>
      <c r="AC10" s="289" t="s">
        <v>438</v>
      </c>
      <c r="AD10" s="289" t="s">
        <v>432</v>
      </c>
      <c r="AE10" s="292"/>
      <c r="AF10" s="292"/>
      <c r="AG10" s="292"/>
      <c r="AH10" s="292"/>
      <c r="AI10" s="292"/>
      <c r="AJ10" s="292"/>
      <c r="AK10" s="292"/>
      <c r="AL10" s="292"/>
      <c r="AM10" s="292"/>
      <c r="AN10" s="292"/>
      <c r="AO10" s="292">
        <f>AB10</f>
        <v>500</v>
      </c>
      <c r="AP10" s="292"/>
      <c r="AQ10" s="292"/>
      <c r="AR10" s="292"/>
      <c r="AS10" s="292"/>
      <c r="AT10" s="292"/>
      <c r="AU10" s="292"/>
      <c r="AV10" s="312"/>
    </row>
    <row r="11" s="271" customFormat="1" ht="22" customHeight="1" spans="1:48">
      <c r="A11" s="289">
        <v>45196</v>
      </c>
      <c r="B11" s="290">
        <v>1000016557</v>
      </c>
      <c r="C11" s="290">
        <v>77489</v>
      </c>
      <c r="D11" s="290" t="s">
        <v>430</v>
      </c>
      <c r="E11" s="292">
        <v>90000</v>
      </c>
      <c r="F11" s="292" t="s">
        <v>431</v>
      </c>
      <c r="G11" s="292" t="s">
        <v>432</v>
      </c>
      <c r="H11" s="292">
        <f>E11</f>
        <v>90000</v>
      </c>
      <c r="I11" s="292"/>
      <c r="J11" s="292"/>
      <c r="K11" s="292"/>
      <c r="L11" s="296"/>
      <c r="M11" s="292"/>
      <c r="N11" s="296"/>
      <c r="O11" s="296"/>
      <c r="P11" s="296"/>
      <c r="Q11" s="296"/>
      <c r="R11" s="296"/>
      <c r="S11" s="296"/>
      <c r="T11" s="292"/>
      <c r="U11" s="292"/>
      <c r="V11" s="312"/>
      <c r="X11" s="289">
        <v>45383</v>
      </c>
      <c r="Y11" s="290">
        <v>1000019252</v>
      </c>
      <c r="Z11" s="290" t="s">
        <v>456</v>
      </c>
      <c r="AA11" s="289" t="s">
        <v>457</v>
      </c>
      <c r="AB11" s="314">
        <v>6143</v>
      </c>
      <c r="AC11" s="289" t="s">
        <v>438</v>
      </c>
      <c r="AD11" s="292" t="s">
        <v>458</v>
      </c>
      <c r="AE11" s="292"/>
      <c r="AF11" s="292"/>
      <c r="AG11" s="292"/>
      <c r="AH11" s="292"/>
      <c r="AI11" s="292"/>
      <c r="AJ11" s="292"/>
      <c r="AK11" s="292"/>
      <c r="AL11" s="292"/>
      <c r="AM11" s="292"/>
      <c r="AN11" s="292"/>
      <c r="AO11" s="292"/>
      <c r="AP11" s="292"/>
      <c r="AQ11" s="316">
        <v>6143</v>
      </c>
      <c r="AR11" s="292"/>
      <c r="AS11" s="292"/>
      <c r="AT11" s="292"/>
      <c r="AU11" s="292"/>
      <c r="AV11" s="667" t="s">
        <v>459</v>
      </c>
    </row>
    <row r="12" s="271" customFormat="1" ht="22" customHeight="1" spans="1:48">
      <c r="A12" s="289">
        <v>45196</v>
      </c>
      <c r="B12" s="290">
        <v>1000016561</v>
      </c>
      <c r="C12" s="290">
        <v>77489</v>
      </c>
      <c r="D12" s="290" t="s">
        <v>430</v>
      </c>
      <c r="E12" s="292">
        <v>10000</v>
      </c>
      <c r="F12" s="292" t="s">
        <v>460</v>
      </c>
      <c r="G12" s="292" t="s">
        <v>432</v>
      </c>
      <c r="H12" s="292"/>
      <c r="I12" s="292">
        <f>E12</f>
        <v>10000</v>
      </c>
      <c r="J12" s="292"/>
      <c r="K12" s="292"/>
      <c r="L12" s="296"/>
      <c r="M12" s="292"/>
      <c r="N12" s="296"/>
      <c r="O12" s="296"/>
      <c r="P12" s="296"/>
      <c r="Q12" s="296"/>
      <c r="R12" s="296"/>
      <c r="S12" s="296"/>
      <c r="T12" s="292"/>
      <c r="U12" s="292"/>
      <c r="V12" s="312"/>
      <c r="X12" s="289">
        <v>45392</v>
      </c>
      <c r="Y12" s="290">
        <v>1000019480</v>
      </c>
      <c r="Z12" s="290">
        <v>77614</v>
      </c>
      <c r="AA12" s="290" t="s">
        <v>445</v>
      </c>
      <c r="AB12" s="292">
        <v>1000</v>
      </c>
      <c r="AC12" s="292" t="s">
        <v>57</v>
      </c>
      <c r="AD12" s="292" t="s">
        <v>461</v>
      </c>
      <c r="AE12" s="292"/>
      <c r="AF12" s="292"/>
      <c r="AG12" s="292"/>
      <c r="AH12" s="292"/>
      <c r="AI12" s="292"/>
      <c r="AJ12" s="292"/>
      <c r="AK12" s="292"/>
      <c r="AL12" s="292"/>
      <c r="AM12" s="292"/>
      <c r="AN12" s="292"/>
      <c r="AO12" s="292"/>
      <c r="AP12" s="292"/>
      <c r="AQ12" s="292"/>
      <c r="AR12" s="292">
        <f>AB12</f>
        <v>1000</v>
      </c>
      <c r="AS12" s="292"/>
      <c r="AT12" s="292"/>
      <c r="AU12" s="292"/>
      <c r="AV12" s="668" t="s">
        <v>462</v>
      </c>
    </row>
    <row r="13" s="271" customFormat="1" ht="22" customHeight="1" spans="1:48">
      <c r="A13" s="289">
        <v>45196</v>
      </c>
      <c r="B13" s="290">
        <v>1000016558</v>
      </c>
      <c r="C13" s="290">
        <v>77489</v>
      </c>
      <c r="D13" s="290" t="s">
        <v>433</v>
      </c>
      <c r="E13" s="292">
        <v>100000</v>
      </c>
      <c r="F13" s="292" t="s">
        <v>437</v>
      </c>
      <c r="G13" s="292" t="s">
        <v>432</v>
      </c>
      <c r="H13" s="292"/>
      <c r="I13" s="292"/>
      <c r="J13" s="292">
        <f>E13</f>
        <v>100000</v>
      </c>
      <c r="K13" s="292"/>
      <c r="L13" s="296"/>
      <c r="M13" s="292"/>
      <c r="N13" s="296"/>
      <c r="O13" s="296"/>
      <c r="P13" s="296"/>
      <c r="Q13" s="296"/>
      <c r="R13" s="296"/>
      <c r="S13" s="296"/>
      <c r="T13" s="292"/>
      <c r="U13" s="292"/>
      <c r="V13" s="312" t="s">
        <v>435</v>
      </c>
      <c r="X13" s="289">
        <v>45392</v>
      </c>
      <c r="Y13" s="290">
        <v>1000019482</v>
      </c>
      <c r="Z13" s="290">
        <v>77614</v>
      </c>
      <c r="AA13" s="290" t="s">
        <v>448</v>
      </c>
      <c r="AB13" s="292">
        <v>1000</v>
      </c>
      <c r="AC13" s="292" t="s">
        <v>57</v>
      </c>
      <c r="AD13" s="292" t="s">
        <v>461</v>
      </c>
      <c r="AE13" s="292"/>
      <c r="AF13" s="292"/>
      <c r="AG13" s="292"/>
      <c r="AH13" s="292"/>
      <c r="AI13" s="292"/>
      <c r="AJ13" s="292"/>
      <c r="AK13" s="292"/>
      <c r="AL13" s="292"/>
      <c r="AM13" s="292"/>
      <c r="AN13" s="292"/>
      <c r="AO13" s="292"/>
      <c r="AP13" s="292"/>
      <c r="AQ13" s="292"/>
      <c r="AR13" s="292"/>
      <c r="AS13" s="292">
        <f>AB13</f>
        <v>1000</v>
      </c>
      <c r="AT13" s="292"/>
      <c r="AU13" s="292"/>
      <c r="AV13" s="668" t="s">
        <v>462</v>
      </c>
    </row>
    <row r="14" s="271" customFormat="1" ht="22" customHeight="1" spans="1:48">
      <c r="A14" s="289">
        <v>45196</v>
      </c>
      <c r="B14" s="290">
        <v>1000016559</v>
      </c>
      <c r="C14" s="290" t="s">
        <v>440</v>
      </c>
      <c r="D14" s="290" t="s">
        <v>441</v>
      </c>
      <c r="E14" s="292">
        <v>10000</v>
      </c>
      <c r="F14" s="292" t="s">
        <v>431</v>
      </c>
      <c r="G14" s="292" t="s">
        <v>432</v>
      </c>
      <c r="H14" s="292"/>
      <c r="I14" s="292"/>
      <c r="J14" s="292"/>
      <c r="K14" s="292"/>
      <c r="L14" s="296"/>
      <c r="M14" s="292">
        <f>E14</f>
        <v>10000</v>
      </c>
      <c r="N14" s="296"/>
      <c r="O14" s="296"/>
      <c r="P14" s="296"/>
      <c r="Q14" s="296"/>
      <c r="R14" s="296"/>
      <c r="S14" s="296"/>
      <c r="T14" s="292"/>
      <c r="U14" s="292"/>
      <c r="V14" s="312"/>
      <c r="X14" s="289">
        <v>45392</v>
      </c>
      <c r="Y14" s="290">
        <v>1000019483</v>
      </c>
      <c r="Z14" s="290">
        <v>77614</v>
      </c>
      <c r="AA14" s="290" t="s">
        <v>452</v>
      </c>
      <c r="AB14" s="292">
        <v>1000</v>
      </c>
      <c r="AC14" s="292" t="s">
        <v>57</v>
      </c>
      <c r="AD14" s="292" t="s">
        <v>461</v>
      </c>
      <c r="AE14" s="292"/>
      <c r="AF14" s="292"/>
      <c r="AG14" s="292"/>
      <c r="AH14" s="292"/>
      <c r="AI14" s="292"/>
      <c r="AJ14" s="292"/>
      <c r="AK14" s="292"/>
      <c r="AL14" s="292"/>
      <c r="AM14" s="292"/>
      <c r="AN14" s="292"/>
      <c r="AO14" s="292"/>
      <c r="AP14" s="292"/>
      <c r="AQ14" s="292"/>
      <c r="AR14" s="316">
        <v>152</v>
      </c>
      <c r="AS14" s="316">
        <v>152</v>
      </c>
      <c r="AT14" s="292"/>
      <c r="AU14" s="292"/>
      <c r="AV14" s="668" t="s">
        <v>463</v>
      </c>
    </row>
    <row r="15" s="271" customFormat="1" ht="22" customHeight="1" spans="1:48">
      <c r="A15" s="289">
        <v>45196</v>
      </c>
      <c r="B15" s="290">
        <v>1000016560</v>
      </c>
      <c r="C15" s="290" t="s">
        <v>440</v>
      </c>
      <c r="D15" s="290" t="s">
        <v>441</v>
      </c>
      <c r="E15" s="292">
        <v>500</v>
      </c>
      <c r="F15" s="292" t="s">
        <v>460</v>
      </c>
      <c r="G15" s="292" t="s">
        <v>432</v>
      </c>
      <c r="H15" s="292"/>
      <c r="I15" s="292"/>
      <c r="J15" s="292"/>
      <c r="K15" s="292"/>
      <c r="L15" s="296"/>
      <c r="M15" s="292"/>
      <c r="N15" s="292">
        <f>E15</f>
        <v>500</v>
      </c>
      <c r="O15" s="292"/>
      <c r="P15" s="296"/>
      <c r="Q15" s="296"/>
      <c r="R15" s="296"/>
      <c r="S15" s="296"/>
      <c r="T15" s="296"/>
      <c r="U15" s="292"/>
      <c r="V15" s="312"/>
      <c r="X15" s="289">
        <v>45394</v>
      </c>
      <c r="Y15" s="290">
        <v>1000019569</v>
      </c>
      <c r="Z15" s="290">
        <v>77593</v>
      </c>
      <c r="AA15" s="290" t="s">
        <v>433</v>
      </c>
      <c r="AB15" s="292">
        <v>100000</v>
      </c>
      <c r="AC15" s="292" t="s">
        <v>434</v>
      </c>
      <c r="AD15" s="292" t="s">
        <v>432</v>
      </c>
      <c r="AE15" s="292"/>
      <c r="AF15" s="292"/>
      <c r="AG15" s="292">
        <f>AB15</f>
        <v>100000</v>
      </c>
      <c r="AH15" s="292"/>
      <c r="AI15" s="292"/>
      <c r="AJ15" s="292"/>
      <c r="AK15" s="292"/>
      <c r="AL15" s="292"/>
      <c r="AM15" s="292"/>
      <c r="AN15" s="292"/>
      <c r="AO15" s="292"/>
      <c r="AP15" s="292"/>
      <c r="AQ15" s="292"/>
      <c r="AR15" s="292"/>
      <c r="AS15" s="292"/>
      <c r="AT15" s="292"/>
      <c r="AU15" s="292"/>
      <c r="AV15" s="312" t="s">
        <v>435</v>
      </c>
    </row>
    <row r="16" s="271" customFormat="1" ht="22" customHeight="1" spans="1:48">
      <c r="A16" s="289">
        <v>45231</v>
      </c>
      <c r="B16" s="290">
        <v>10000017007</v>
      </c>
      <c r="C16" s="290">
        <v>77489</v>
      </c>
      <c r="D16" s="290" t="s">
        <v>430</v>
      </c>
      <c r="E16" s="292">
        <v>80000</v>
      </c>
      <c r="F16" s="292" t="s">
        <v>431</v>
      </c>
      <c r="G16" s="292" t="s">
        <v>432</v>
      </c>
      <c r="H16" s="292">
        <f>E16</f>
        <v>80000</v>
      </c>
      <c r="I16" s="292"/>
      <c r="J16" s="292"/>
      <c r="K16" s="292"/>
      <c r="L16" s="296"/>
      <c r="M16" s="292"/>
      <c r="N16" s="292"/>
      <c r="O16" s="292"/>
      <c r="P16" s="296"/>
      <c r="Q16" s="296"/>
      <c r="R16" s="296"/>
      <c r="S16" s="296"/>
      <c r="T16" s="296"/>
      <c r="U16" s="292"/>
      <c r="V16" s="312"/>
      <c r="X16" s="289">
        <v>45394</v>
      </c>
      <c r="Y16" s="290">
        <v>1000019570</v>
      </c>
      <c r="Z16" s="290">
        <v>77593</v>
      </c>
      <c r="AA16" s="290" t="s">
        <v>430</v>
      </c>
      <c r="AB16" s="292">
        <v>70000</v>
      </c>
      <c r="AC16" s="292" t="s">
        <v>438</v>
      </c>
      <c r="AD16" s="292" t="s">
        <v>432</v>
      </c>
      <c r="AE16" s="292">
        <f>AB16</f>
        <v>70000</v>
      </c>
      <c r="AF16" s="292"/>
      <c r="AG16" s="292"/>
      <c r="AH16" s="292"/>
      <c r="AI16" s="292"/>
      <c r="AJ16" s="292"/>
      <c r="AK16" s="292"/>
      <c r="AL16" s="292"/>
      <c r="AM16" s="292"/>
      <c r="AN16" s="292"/>
      <c r="AO16" s="292"/>
      <c r="AP16" s="292"/>
      <c r="AQ16" s="292"/>
      <c r="AR16" s="292"/>
      <c r="AS16" s="292"/>
      <c r="AT16" s="292"/>
      <c r="AU16" s="292"/>
      <c r="AV16" s="312"/>
    </row>
    <row r="17" s="271" customFormat="1" ht="22" customHeight="1" spans="1:48">
      <c r="A17" s="289">
        <v>45231</v>
      </c>
      <c r="B17" s="290">
        <v>10000017008</v>
      </c>
      <c r="C17" s="290">
        <v>77489</v>
      </c>
      <c r="D17" s="290" t="s">
        <v>433</v>
      </c>
      <c r="E17" s="292">
        <v>85000</v>
      </c>
      <c r="F17" s="292" t="s">
        <v>437</v>
      </c>
      <c r="G17" s="292" t="s">
        <v>432</v>
      </c>
      <c r="H17" s="292"/>
      <c r="I17" s="292"/>
      <c r="J17" s="292">
        <f>E17</f>
        <v>85000</v>
      </c>
      <c r="K17" s="292"/>
      <c r="L17" s="296"/>
      <c r="M17" s="292"/>
      <c r="N17" s="292"/>
      <c r="O17" s="292"/>
      <c r="P17" s="296"/>
      <c r="Q17" s="296"/>
      <c r="R17" s="296"/>
      <c r="S17" s="296"/>
      <c r="T17" s="296"/>
      <c r="U17" s="292"/>
      <c r="V17" s="312" t="s">
        <v>435</v>
      </c>
      <c r="X17" s="289">
        <v>45394</v>
      </c>
      <c r="Y17" s="290">
        <v>1000019583</v>
      </c>
      <c r="Z17" s="290">
        <v>77593</v>
      </c>
      <c r="AA17" s="290" t="s">
        <v>430</v>
      </c>
      <c r="AB17" s="292">
        <v>30000</v>
      </c>
      <c r="AC17" s="292" t="s">
        <v>464</v>
      </c>
      <c r="AD17" s="292" t="s">
        <v>432</v>
      </c>
      <c r="AE17" s="292"/>
      <c r="AF17" s="292">
        <f>AB17</f>
        <v>30000</v>
      </c>
      <c r="AG17" s="292"/>
      <c r="AH17" s="292"/>
      <c r="AI17" s="292"/>
      <c r="AJ17" s="292"/>
      <c r="AK17" s="292"/>
      <c r="AL17" s="292"/>
      <c r="AM17" s="292"/>
      <c r="AN17" s="292"/>
      <c r="AO17" s="292"/>
      <c r="AP17" s="292"/>
      <c r="AQ17" s="292"/>
      <c r="AR17" s="292"/>
      <c r="AS17" s="292"/>
      <c r="AT17" s="292"/>
      <c r="AU17" s="292"/>
      <c r="AV17" s="312"/>
    </row>
    <row r="18" s="271" customFormat="1" ht="22" customHeight="1" spans="1:48">
      <c r="A18" s="289">
        <v>45231</v>
      </c>
      <c r="B18" s="290">
        <v>10000017009</v>
      </c>
      <c r="C18" s="290" t="s">
        <v>440</v>
      </c>
      <c r="D18" s="290" t="s">
        <v>441</v>
      </c>
      <c r="E18" s="292">
        <v>3000</v>
      </c>
      <c r="F18" s="292" t="s">
        <v>431</v>
      </c>
      <c r="G18" s="292" t="s">
        <v>432</v>
      </c>
      <c r="H18" s="292"/>
      <c r="I18" s="292"/>
      <c r="J18" s="292"/>
      <c r="K18" s="292"/>
      <c r="L18" s="296"/>
      <c r="M18" s="292">
        <f>E18</f>
        <v>3000</v>
      </c>
      <c r="N18" s="292"/>
      <c r="O18" s="292"/>
      <c r="P18" s="296"/>
      <c r="Q18" s="296"/>
      <c r="R18" s="296"/>
      <c r="S18" s="296"/>
      <c r="T18" s="296"/>
      <c r="U18" s="292"/>
      <c r="V18" s="312"/>
      <c r="X18" s="289">
        <v>45394</v>
      </c>
      <c r="Y18" s="290">
        <v>1000019571</v>
      </c>
      <c r="Z18" s="290" t="s">
        <v>10</v>
      </c>
      <c r="AA18" s="290" t="s">
        <v>442</v>
      </c>
      <c r="AB18" s="292">
        <v>500</v>
      </c>
      <c r="AC18" s="292" t="s">
        <v>438</v>
      </c>
      <c r="AD18" s="292" t="s">
        <v>432</v>
      </c>
      <c r="AE18" s="292"/>
      <c r="AF18" s="292"/>
      <c r="AG18" s="292"/>
      <c r="AH18" s="292"/>
      <c r="AI18" s="292"/>
      <c r="AJ18" s="292"/>
      <c r="AK18" s="292"/>
      <c r="AL18" s="292"/>
      <c r="AM18" s="292">
        <f>AB18</f>
        <v>500</v>
      </c>
      <c r="AN18" s="292"/>
      <c r="AO18" s="292"/>
      <c r="AP18" s="292"/>
      <c r="AQ18" s="292"/>
      <c r="AR18" s="292"/>
      <c r="AS18" s="292"/>
      <c r="AT18" s="292"/>
      <c r="AU18" s="292"/>
      <c r="AV18" s="312"/>
    </row>
    <row r="19" s="271" customFormat="1" ht="22" customHeight="1" spans="1:48">
      <c r="A19" s="289">
        <v>45231</v>
      </c>
      <c r="B19" s="290">
        <v>10000017010</v>
      </c>
      <c r="C19" s="290" t="s">
        <v>440</v>
      </c>
      <c r="D19" s="290" t="s">
        <v>441</v>
      </c>
      <c r="E19" s="292">
        <v>500</v>
      </c>
      <c r="F19" s="292" t="s">
        <v>460</v>
      </c>
      <c r="G19" s="292" t="s">
        <v>432</v>
      </c>
      <c r="H19" s="292"/>
      <c r="I19" s="292"/>
      <c r="J19" s="292"/>
      <c r="K19" s="292"/>
      <c r="L19" s="296"/>
      <c r="M19" s="292"/>
      <c r="N19" s="292">
        <f>E19</f>
        <v>500</v>
      </c>
      <c r="O19" s="292"/>
      <c r="P19" s="296"/>
      <c r="Q19" s="296"/>
      <c r="R19" s="296"/>
      <c r="S19" s="296"/>
      <c r="T19" s="296"/>
      <c r="U19" s="292"/>
      <c r="V19" s="312"/>
      <c r="X19" s="289">
        <v>45394</v>
      </c>
      <c r="Y19" s="290">
        <v>1000019584</v>
      </c>
      <c r="Z19" s="290" t="s">
        <v>10</v>
      </c>
      <c r="AA19" s="290" t="s">
        <v>442</v>
      </c>
      <c r="AB19" s="292">
        <v>500</v>
      </c>
      <c r="AC19" s="292" t="s">
        <v>464</v>
      </c>
      <c r="AD19" s="292" t="s">
        <v>432</v>
      </c>
      <c r="AE19" s="292"/>
      <c r="AF19" s="292"/>
      <c r="AG19" s="292"/>
      <c r="AH19" s="292"/>
      <c r="AI19" s="292"/>
      <c r="AJ19" s="292"/>
      <c r="AK19" s="292"/>
      <c r="AL19" s="292"/>
      <c r="AM19" s="292"/>
      <c r="AN19" s="292">
        <f>AB19</f>
        <v>500</v>
      </c>
      <c r="AO19" s="292"/>
      <c r="AP19" s="292"/>
      <c r="AQ19" s="292"/>
      <c r="AR19" s="292"/>
      <c r="AS19" s="292"/>
      <c r="AT19" s="292"/>
      <c r="AU19" s="292"/>
      <c r="AV19" s="312"/>
    </row>
    <row r="20" s="271" customFormat="1" ht="22" customHeight="1" spans="1:48">
      <c r="A20" s="289">
        <v>45231</v>
      </c>
      <c r="B20" s="290">
        <v>10000017011</v>
      </c>
      <c r="C20" s="290" t="s">
        <v>444</v>
      </c>
      <c r="D20" s="290" t="s">
        <v>442</v>
      </c>
      <c r="E20" s="292">
        <v>500</v>
      </c>
      <c r="F20" s="292" t="s">
        <v>431</v>
      </c>
      <c r="G20" s="292" t="s">
        <v>432</v>
      </c>
      <c r="H20" s="292"/>
      <c r="I20" s="292"/>
      <c r="J20" s="292"/>
      <c r="K20" s="292">
        <f>E20</f>
        <v>500</v>
      </c>
      <c r="L20" s="296"/>
      <c r="M20" s="292"/>
      <c r="N20" s="292"/>
      <c r="O20" s="292"/>
      <c r="P20" s="296"/>
      <c r="Q20" s="296"/>
      <c r="R20" s="296"/>
      <c r="S20" s="296"/>
      <c r="T20" s="296"/>
      <c r="U20" s="292"/>
      <c r="V20" s="312"/>
      <c r="X20" s="289">
        <v>45401</v>
      </c>
      <c r="Y20" s="290">
        <v>1000019689</v>
      </c>
      <c r="Z20" s="290">
        <v>77593</v>
      </c>
      <c r="AA20" s="290" t="s">
        <v>430</v>
      </c>
      <c r="AB20" s="292">
        <v>30000</v>
      </c>
      <c r="AC20" s="292" t="s">
        <v>438</v>
      </c>
      <c r="AD20" s="292" t="s">
        <v>432</v>
      </c>
      <c r="AE20" s="292">
        <f>AB20</f>
        <v>30000</v>
      </c>
      <c r="AF20" s="292"/>
      <c r="AG20" s="292"/>
      <c r="AH20" s="292"/>
      <c r="AI20" s="292"/>
      <c r="AJ20" s="292"/>
      <c r="AK20" s="292"/>
      <c r="AL20" s="292"/>
      <c r="AM20" s="292"/>
      <c r="AN20" s="292"/>
      <c r="AO20" s="292"/>
      <c r="AP20" s="292"/>
      <c r="AQ20" s="292"/>
      <c r="AR20" s="292"/>
      <c r="AS20" s="292"/>
      <c r="AT20" s="292"/>
      <c r="AU20" s="292"/>
      <c r="AV20" s="312"/>
    </row>
    <row r="21" s="271" customFormat="1" ht="22" customHeight="1" spans="1:48">
      <c r="A21" s="289">
        <v>45232</v>
      </c>
      <c r="B21" s="290">
        <v>1000017037</v>
      </c>
      <c r="C21" s="290">
        <v>77523</v>
      </c>
      <c r="D21" s="290" t="s">
        <v>465</v>
      </c>
      <c r="E21" s="292">
        <v>2608</v>
      </c>
      <c r="F21" s="292" t="s">
        <v>438</v>
      </c>
      <c r="G21" s="292" t="s">
        <v>466</v>
      </c>
      <c r="H21" s="292"/>
      <c r="I21" s="292"/>
      <c r="J21" s="292"/>
      <c r="K21" s="292"/>
      <c r="L21" s="296"/>
      <c r="M21" s="292"/>
      <c r="N21" s="292"/>
      <c r="O21" s="292"/>
      <c r="P21" s="296">
        <f>E21</f>
        <v>2608</v>
      </c>
      <c r="Q21" s="296"/>
      <c r="R21" s="296"/>
      <c r="S21" s="296"/>
      <c r="T21" s="296"/>
      <c r="U21" s="292"/>
      <c r="V21" s="312" t="s">
        <v>467</v>
      </c>
      <c r="X21" s="289">
        <v>45407</v>
      </c>
      <c r="Y21" s="290">
        <v>1000019840</v>
      </c>
      <c r="Z21" s="290" t="s">
        <v>456</v>
      </c>
      <c r="AA21" s="290" t="s">
        <v>468</v>
      </c>
      <c r="AB21" s="292">
        <v>500</v>
      </c>
      <c r="AC21" s="292" t="s">
        <v>469</v>
      </c>
      <c r="AD21" s="292" t="s">
        <v>458</v>
      </c>
      <c r="AE21" s="292"/>
      <c r="AF21" s="292"/>
      <c r="AG21" s="292"/>
      <c r="AH21" s="292"/>
      <c r="AI21" s="292"/>
      <c r="AJ21" s="292"/>
      <c r="AK21" s="292"/>
      <c r="AL21" s="292"/>
      <c r="AM21" s="292"/>
      <c r="AN21" s="292"/>
      <c r="AO21" s="292"/>
      <c r="AP21" s="292"/>
      <c r="AQ21" s="292">
        <f>AB21</f>
        <v>500</v>
      </c>
      <c r="AR21" s="292"/>
      <c r="AS21" s="292"/>
      <c r="AT21" s="292"/>
      <c r="AU21" s="292"/>
      <c r="AV21" s="312" t="s">
        <v>470</v>
      </c>
    </row>
    <row r="22" s="271" customFormat="1" ht="22" customHeight="1" spans="1:48">
      <c r="A22" s="289">
        <v>45232</v>
      </c>
      <c r="B22" s="290">
        <v>1000017038</v>
      </c>
      <c r="C22" s="290">
        <v>77523</v>
      </c>
      <c r="D22" s="290" t="s">
        <v>448</v>
      </c>
      <c r="E22" s="292">
        <v>2608</v>
      </c>
      <c r="F22" s="292" t="s">
        <v>438</v>
      </c>
      <c r="G22" s="292" t="s">
        <v>466</v>
      </c>
      <c r="H22" s="292"/>
      <c r="I22" s="292"/>
      <c r="J22" s="292"/>
      <c r="K22" s="292"/>
      <c r="L22" s="296"/>
      <c r="M22" s="292"/>
      <c r="N22" s="292"/>
      <c r="O22" s="292"/>
      <c r="P22" s="296"/>
      <c r="Q22" s="296">
        <f>E22</f>
        <v>2608</v>
      </c>
      <c r="R22" s="296"/>
      <c r="S22" s="296"/>
      <c r="T22" s="296"/>
      <c r="U22" s="292"/>
      <c r="V22" s="312" t="s">
        <v>467</v>
      </c>
      <c r="X22" s="289">
        <v>45419</v>
      </c>
      <c r="Y22" s="290">
        <v>1000020079</v>
      </c>
      <c r="Z22" s="290">
        <v>77593</v>
      </c>
      <c r="AA22" s="290" t="s">
        <v>433</v>
      </c>
      <c r="AB22" s="292">
        <v>50000</v>
      </c>
      <c r="AC22" s="292" t="s">
        <v>434</v>
      </c>
      <c r="AD22" s="292" t="s">
        <v>432</v>
      </c>
      <c r="AE22" s="292"/>
      <c r="AF22" s="292"/>
      <c r="AG22" s="292">
        <f>AB22</f>
        <v>50000</v>
      </c>
      <c r="AH22" s="292"/>
      <c r="AI22" s="292"/>
      <c r="AJ22" s="292"/>
      <c r="AK22" s="292"/>
      <c r="AL22" s="292"/>
      <c r="AM22" s="292"/>
      <c r="AN22" s="292"/>
      <c r="AO22" s="292"/>
      <c r="AP22" s="292"/>
      <c r="AQ22" s="292"/>
      <c r="AR22" s="292"/>
      <c r="AS22" s="292"/>
      <c r="AT22" s="292"/>
      <c r="AU22" s="292"/>
      <c r="AV22" s="312"/>
    </row>
    <row r="23" s="271" customFormat="1" ht="22" customHeight="1" spans="1:48">
      <c r="A23" s="294">
        <v>45232</v>
      </c>
      <c r="B23" s="295">
        <v>1000017039</v>
      </c>
      <c r="C23" s="295">
        <v>77523</v>
      </c>
      <c r="D23" s="295" t="s">
        <v>471</v>
      </c>
      <c r="E23" s="296">
        <v>2608</v>
      </c>
      <c r="F23" s="296" t="s">
        <v>438</v>
      </c>
      <c r="G23" s="296" t="s">
        <v>466</v>
      </c>
      <c r="H23" s="292"/>
      <c r="I23" s="292"/>
      <c r="J23" s="292"/>
      <c r="K23" s="292"/>
      <c r="L23" s="296"/>
      <c r="M23" s="292"/>
      <c r="N23" s="292"/>
      <c r="O23" s="292"/>
      <c r="P23" s="296"/>
      <c r="Q23" s="296"/>
      <c r="R23" s="296"/>
      <c r="S23" s="296"/>
      <c r="T23" s="296"/>
      <c r="U23" s="292"/>
      <c r="V23" s="312" t="s">
        <v>467</v>
      </c>
      <c r="X23" s="289">
        <v>45419</v>
      </c>
      <c r="Y23" s="290">
        <v>1000020080</v>
      </c>
      <c r="Z23" s="290">
        <v>77593</v>
      </c>
      <c r="AA23" s="290" t="s">
        <v>430</v>
      </c>
      <c r="AB23" s="292">
        <v>50000</v>
      </c>
      <c r="AC23" s="292" t="s">
        <v>438</v>
      </c>
      <c r="AD23" s="292" t="s">
        <v>432</v>
      </c>
      <c r="AE23" s="292">
        <f>AB23</f>
        <v>50000</v>
      </c>
      <c r="AF23" s="292"/>
      <c r="AG23" s="292"/>
      <c r="AH23" s="292"/>
      <c r="AI23" s="292"/>
      <c r="AJ23" s="292"/>
      <c r="AK23" s="292"/>
      <c r="AL23" s="292"/>
      <c r="AM23" s="292"/>
      <c r="AN23" s="292"/>
      <c r="AO23" s="292"/>
      <c r="AP23" s="292"/>
      <c r="AQ23" s="292"/>
      <c r="AR23" s="292"/>
      <c r="AS23" s="292"/>
      <c r="AT23" s="292"/>
      <c r="AU23" s="292"/>
      <c r="AV23" s="312"/>
    </row>
    <row r="24" s="271" customFormat="1" ht="22" customHeight="1" spans="1:48">
      <c r="A24" s="289">
        <v>45232</v>
      </c>
      <c r="B24" s="290" t="s">
        <v>472</v>
      </c>
      <c r="C24" s="290">
        <v>77523</v>
      </c>
      <c r="D24" s="290" t="s">
        <v>473</v>
      </c>
      <c r="E24" s="292">
        <v>5216</v>
      </c>
      <c r="F24" s="292" t="s">
        <v>438</v>
      </c>
      <c r="G24" s="292" t="s">
        <v>474</v>
      </c>
      <c r="H24" s="292"/>
      <c r="I24" s="292"/>
      <c r="J24" s="292"/>
      <c r="K24" s="292"/>
      <c r="L24" s="296"/>
      <c r="M24" s="292"/>
      <c r="N24" s="292"/>
      <c r="O24" s="292">
        <f>E24</f>
        <v>5216</v>
      </c>
      <c r="P24" s="296"/>
      <c r="Q24" s="296"/>
      <c r="R24" s="296"/>
      <c r="S24" s="296"/>
      <c r="T24" s="296"/>
      <c r="U24" s="292"/>
      <c r="V24" s="312" t="s">
        <v>467</v>
      </c>
      <c r="X24" s="289">
        <v>45419</v>
      </c>
      <c r="Y24" s="290">
        <v>1000020081</v>
      </c>
      <c r="Z24" s="290" t="s">
        <v>11</v>
      </c>
      <c r="AA24" s="290" t="s">
        <v>455</v>
      </c>
      <c r="AB24" s="292">
        <v>500</v>
      </c>
      <c r="AC24" s="292" t="s">
        <v>438</v>
      </c>
      <c r="AD24" s="292" t="s">
        <v>432</v>
      </c>
      <c r="AE24" s="292"/>
      <c r="AF24" s="292"/>
      <c r="AG24" s="292"/>
      <c r="AH24" s="292"/>
      <c r="AI24" s="292"/>
      <c r="AJ24" s="292"/>
      <c r="AK24" s="292"/>
      <c r="AL24" s="292"/>
      <c r="AM24" s="292"/>
      <c r="AN24" s="292"/>
      <c r="AO24" s="292">
        <f>AB24</f>
        <v>500</v>
      </c>
      <c r="AP24" s="292"/>
      <c r="AQ24" s="292"/>
      <c r="AR24" s="292"/>
      <c r="AS24" s="292"/>
      <c r="AT24" s="292"/>
      <c r="AU24" s="292"/>
      <c r="AV24" s="312"/>
    </row>
    <row r="25" s="271" customFormat="1" ht="22" customHeight="1" spans="1:48">
      <c r="A25" s="289">
        <v>45253</v>
      </c>
      <c r="B25" s="290">
        <v>1000017412</v>
      </c>
      <c r="C25" s="290">
        <v>77489</v>
      </c>
      <c r="D25" s="290" t="s">
        <v>430</v>
      </c>
      <c r="E25" s="292">
        <v>30000</v>
      </c>
      <c r="F25" s="292" t="s">
        <v>438</v>
      </c>
      <c r="G25" s="292" t="s">
        <v>432</v>
      </c>
      <c r="H25" s="292">
        <f>E25</f>
        <v>30000</v>
      </c>
      <c r="I25" s="292"/>
      <c r="J25" s="292"/>
      <c r="K25" s="292"/>
      <c r="L25" s="296"/>
      <c r="M25" s="292"/>
      <c r="N25" s="292"/>
      <c r="O25" s="292"/>
      <c r="P25" s="296"/>
      <c r="Q25" s="296"/>
      <c r="R25" s="296"/>
      <c r="S25" s="296"/>
      <c r="T25" s="296"/>
      <c r="U25" s="292"/>
      <c r="V25" s="312"/>
      <c r="X25" s="289">
        <v>45419</v>
      </c>
      <c r="Y25" s="290">
        <v>1000020104</v>
      </c>
      <c r="Z25" s="290" t="s">
        <v>11</v>
      </c>
      <c r="AA25" s="290" t="s">
        <v>455</v>
      </c>
      <c r="AB25" s="292">
        <v>500</v>
      </c>
      <c r="AC25" s="292" t="s">
        <v>464</v>
      </c>
      <c r="AD25" s="292" t="s">
        <v>432</v>
      </c>
      <c r="AE25" s="292"/>
      <c r="AF25" s="292"/>
      <c r="AG25" s="292"/>
      <c r="AH25" s="292"/>
      <c r="AI25" s="292"/>
      <c r="AJ25" s="292"/>
      <c r="AK25" s="292"/>
      <c r="AL25" s="292"/>
      <c r="AM25" s="292"/>
      <c r="AN25" s="292"/>
      <c r="AO25" s="292"/>
      <c r="AP25" s="292">
        <f>AB25</f>
        <v>500</v>
      </c>
      <c r="AQ25" s="292"/>
      <c r="AR25" s="292"/>
      <c r="AS25" s="292"/>
      <c r="AT25" s="292"/>
      <c r="AU25" s="292"/>
      <c r="AV25" s="312"/>
    </row>
    <row r="26" s="271" customFormat="1" ht="22" customHeight="1" spans="1:48">
      <c r="A26" s="289">
        <v>45253</v>
      </c>
      <c r="B26" s="290">
        <v>1000017413</v>
      </c>
      <c r="C26" s="290">
        <v>77489</v>
      </c>
      <c r="D26" s="290" t="s">
        <v>433</v>
      </c>
      <c r="E26" s="292">
        <v>30000</v>
      </c>
      <c r="F26" s="292" t="s">
        <v>434</v>
      </c>
      <c r="G26" s="292" t="s">
        <v>432</v>
      </c>
      <c r="H26" s="292"/>
      <c r="I26" s="292"/>
      <c r="J26" s="292">
        <f>E26</f>
        <v>30000</v>
      </c>
      <c r="K26" s="292"/>
      <c r="L26" s="296"/>
      <c r="M26" s="292"/>
      <c r="N26" s="292"/>
      <c r="O26" s="292"/>
      <c r="P26" s="296"/>
      <c r="Q26" s="296"/>
      <c r="R26" s="296"/>
      <c r="S26" s="296"/>
      <c r="T26" s="296"/>
      <c r="U26" s="292"/>
      <c r="V26" s="312" t="s">
        <v>435</v>
      </c>
      <c r="X26" s="289">
        <v>45446</v>
      </c>
      <c r="Y26" s="290" t="s">
        <v>475</v>
      </c>
      <c r="Z26" s="290">
        <v>77614</v>
      </c>
      <c r="AA26" s="290" t="s">
        <v>445</v>
      </c>
      <c r="AB26" s="292">
        <v>504</v>
      </c>
      <c r="AC26" s="292"/>
      <c r="AD26" s="292" t="s">
        <v>474</v>
      </c>
      <c r="AE26" s="292"/>
      <c r="AF26" s="292"/>
      <c r="AG26" s="292"/>
      <c r="AH26" s="292"/>
      <c r="AI26" s="292"/>
      <c r="AJ26" s="292"/>
      <c r="AK26" s="292"/>
      <c r="AL26" s="292"/>
      <c r="AM26" s="292"/>
      <c r="AN26" s="292"/>
      <c r="AO26" s="292"/>
      <c r="AP26" s="292"/>
      <c r="AQ26" s="292"/>
      <c r="AR26" s="292">
        <f>AB26</f>
        <v>504</v>
      </c>
      <c r="AS26" s="292"/>
      <c r="AT26" s="292"/>
      <c r="AU26" s="292"/>
      <c r="AV26" s="668" t="s">
        <v>476</v>
      </c>
    </row>
    <row r="27" s="271" customFormat="1" ht="22" customHeight="1" spans="1:48">
      <c r="A27" s="289">
        <v>45253</v>
      </c>
      <c r="B27" s="290">
        <v>1000017414</v>
      </c>
      <c r="C27" s="290" t="s">
        <v>440</v>
      </c>
      <c r="D27" s="290" t="s">
        <v>441</v>
      </c>
      <c r="E27" s="292">
        <v>1043</v>
      </c>
      <c r="F27" s="292" t="s">
        <v>438</v>
      </c>
      <c r="G27" s="292" t="s">
        <v>432</v>
      </c>
      <c r="H27" s="292"/>
      <c r="I27" s="292"/>
      <c r="J27" s="292"/>
      <c r="K27" s="292"/>
      <c r="L27" s="296"/>
      <c r="M27" s="292">
        <f>E27</f>
        <v>1043</v>
      </c>
      <c r="N27" s="292"/>
      <c r="O27" s="292"/>
      <c r="P27" s="296"/>
      <c r="Q27" s="296"/>
      <c r="R27" s="296"/>
      <c r="S27" s="296"/>
      <c r="T27" s="296"/>
      <c r="U27" s="292"/>
      <c r="V27" s="312"/>
      <c r="X27" s="289">
        <v>45446</v>
      </c>
      <c r="Y27" s="290" t="s">
        <v>475</v>
      </c>
      <c r="Z27" s="290">
        <v>77614</v>
      </c>
      <c r="AA27" s="290" t="s">
        <v>477</v>
      </c>
      <c r="AB27" s="292">
        <v>504</v>
      </c>
      <c r="AC27" s="292" t="s">
        <v>464</v>
      </c>
      <c r="AD27" s="292" t="s">
        <v>474</v>
      </c>
      <c r="AE27" s="292"/>
      <c r="AF27" s="292"/>
      <c r="AG27" s="292"/>
      <c r="AH27" s="292"/>
      <c r="AI27" s="292"/>
      <c r="AJ27" s="292"/>
      <c r="AK27" s="292"/>
      <c r="AL27" s="292"/>
      <c r="AM27" s="292"/>
      <c r="AN27" s="292"/>
      <c r="AO27" s="292"/>
      <c r="AP27" s="292"/>
      <c r="AQ27" s="292"/>
      <c r="AR27" s="292"/>
      <c r="AS27" s="292"/>
      <c r="AT27" s="292">
        <f>AB27</f>
        <v>504</v>
      </c>
      <c r="AU27" s="292"/>
      <c r="AV27" s="668" t="s">
        <v>476</v>
      </c>
    </row>
    <row r="28" s="271" customFormat="1" ht="22" customHeight="1" spans="1:48">
      <c r="A28" s="289">
        <v>45253</v>
      </c>
      <c r="B28" s="290">
        <v>1000017417</v>
      </c>
      <c r="C28" s="290" t="s">
        <v>444</v>
      </c>
      <c r="D28" s="290" t="s">
        <v>442</v>
      </c>
      <c r="E28" s="292">
        <v>500</v>
      </c>
      <c r="F28" s="292" t="s">
        <v>438</v>
      </c>
      <c r="G28" s="292" t="s">
        <v>432</v>
      </c>
      <c r="H28" s="292"/>
      <c r="I28" s="292"/>
      <c r="J28" s="292"/>
      <c r="K28" s="292">
        <f>E28</f>
        <v>500</v>
      </c>
      <c r="L28" s="296"/>
      <c r="M28" s="292"/>
      <c r="N28" s="292"/>
      <c r="O28" s="292"/>
      <c r="P28" s="296"/>
      <c r="Q28" s="296"/>
      <c r="R28" s="296"/>
      <c r="S28" s="296"/>
      <c r="T28" s="296"/>
      <c r="U28" s="292"/>
      <c r="V28" s="312"/>
      <c r="X28" s="289">
        <v>45446</v>
      </c>
      <c r="Y28" s="290" t="s">
        <v>475</v>
      </c>
      <c r="Z28" s="290">
        <v>77614</v>
      </c>
      <c r="AA28" s="290" t="s">
        <v>478</v>
      </c>
      <c r="AB28" s="292">
        <v>504</v>
      </c>
      <c r="AC28" s="292"/>
      <c r="AD28" s="292" t="s">
        <v>474</v>
      </c>
      <c r="AE28" s="292"/>
      <c r="AF28" s="292"/>
      <c r="AG28" s="292"/>
      <c r="AH28" s="292"/>
      <c r="AI28" s="292"/>
      <c r="AJ28" s="292"/>
      <c r="AK28" s="292"/>
      <c r="AL28" s="292"/>
      <c r="AM28" s="292"/>
      <c r="AN28" s="292"/>
      <c r="AO28" s="292"/>
      <c r="AP28" s="292"/>
      <c r="AQ28" s="292"/>
      <c r="AR28" s="292"/>
      <c r="AS28" s="292"/>
      <c r="AT28" s="292"/>
      <c r="AU28" s="292"/>
      <c r="AV28" s="668" t="s">
        <v>476</v>
      </c>
    </row>
    <row r="29" s="271" customFormat="1" ht="22" customHeight="1" spans="1:48">
      <c r="A29" s="289">
        <v>45253</v>
      </c>
      <c r="B29" s="290">
        <v>1000017416</v>
      </c>
      <c r="C29" s="290" t="s">
        <v>394</v>
      </c>
      <c r="D29" s="290" t="s">
        <v>451</v>
      </c>
      <c r="E29" s="292">
        <v>100</v>
      </c>
      <c r="F29" s="292" t="s">
        <v>438</v>
      </c>
      <c r="G29" s="292" t="s">
        <v>432</v>
      </c>
      <c r="H29" s="292"/>
      <c r="I29" s="292"/>
      <c r="J29" s="292"/>
      <c r="K29" s="292"/>
      <c r="L29" s="296"/>
      <c r="M29" s="292"/>
      <c r="N29" s="292"/>
      <c r="O29" s="292"/>
      <c r="P29" s="296"/>
      <c r="Q29" s="296"/>
      <c r="R29" s="296">
        <f>E29</f>
        <v>100</v>
      </c>
      <c r="S29" s="296"/>
      <c r="T29" s="296"/>
      <c r="U29" s="292"/>
      <c r="V29" s="312"/>
      <c r="X29" s="289">
        <v>45449</v>
      </c>
      <c r="Y29" s="290" t="s">
        <v>475</v>
      </c>
      <c r="Z29" s="290">
        <v>77614</v>
      </c>
      <c r="AA29" s="290" t="s">
        <v>452</v>
      </c>
      <c r="AB29" s="292">
        <v>1020</v>
      </c>
      <c r="AC29" s="292"/>
      <c r="AD29" s="292" t="s">
        <v>479</v>
      </c>
      <c r="AE29" s="292"/>
      <c r="AF29" s="292"/>
      <c r="AG29" s="292"/>
      <c r="AH29" s="292"/>
      <c r="AI29" s="292"/>
      <c r="AJ29" s="292"/>
      <c r="AK29" s="292"/>
      <c r="AL29" s="292"/>
      <c r="AM29" s="292"/>
      <c r="AN29" s="292"/>
      <c r="AO29" s="292"/>
      <c r="AP29" s="292"/>
      <c r="AQ29" s="292"/>
      <c r="AR29" s="292"/>
      <c r="AS29" s="292"/>
      <c r="AT29" s="292"/>
      <c r="AU29" s="292"/>
      <c r="AV29" s="668" t="s">
        <v>480</v>
      </c>
    </row>
    <row r="30" s="271" customFormat="1" ht="22" customHeight="1" spans="1:48">
      <c r="A30" s="289">
        <v>45257</v>
      </c>
      <c r="B30" s="290">
        <v>1000017461</v>
      </c>
      <c r="C30" s="290">
        <v>77523</v>
      </c>
      <c r="D30" s="291" t="s">
        <v>477</v>
      </c>
      <c r="E30" s="292">
        <v>2368</v>
      </c>
      <c r="F30" s="292" t="s">
        <v>438</v>
      </c>
      <c r="G30" s="292" t="s">
        <v>461</v>
      </c>
      <c r="H30" s="292"/>
      <c r="I30" s="292"/>
      <c r="J30" s="292"/>
      <c r="K30" s="292"/>
      <c r="L30" s="296"/>
      <c r="M30" s="292"/>
      <c r="N30" s="292"/>
      <c r="O30" s="292"/>
      <c r="P30" s="296"/>
      <c r="Q30" s="296">
        <f>E30</f>
        <v>2368</v>
      </c>
      <c r="R30" s="296"/>
      <c r="S30" s="296"/>
      <c r="T30" s="296"/>
      <c r="U30" s="292"/>
      <c r="V30" s="312" t="s">
        <v>481</v>
      </c>
      <c r="X30" s="289">
        <v>45449</v>
      </c>
      <c r="Y30" s="290" t="s">
        <v>475</v>
      </c>
      <c r="Z30" s="290">
        <v>77614</v>
      </c>
      <c r="AA30" s="291" t="s">
        <v>448</v>
      </c>
      <c r="AB30" s="292">
        <v>1020</v>
      </c>
      <c r="AC30" s="292" t="s">
        <v>438</v>
      </c>
      <c r="AD30" s="292" t="s">
        <v>479</v>
      </c>
      <c r="AE30" s="292"/>
      <c r="AF30" s="292"/>
      <c r="AG30" s="292"/>
      <c r="AH30" s="292"/>
      <c r="AI30" s="292"/>
      <c r="AJ30" s="292"/>
      <c r="AK30" s="292"/>
      <c r="AL30" s="292"/>
      <c r="AM30" s="292"/>
      <c r="AN30" s="292"/>
      <c r="AO30" s="292"/>
      <c r="AP30" s="292"/>
      <c r="AQ30" s="292"/>
      <c r="AR30" s="292"/>
      <c r="AS30" s="292"/>
      <c r="AT30" s="292">
        <f>AB30</f>
        <v>1020</v>
      </c>
      <c r="AU30" s="292"/>
      <c r="AV30" s="668" t="s">
        <v>480</v>
      </c>
    </row>
    <row r="31" s="271" customFormat="1" ht="22" customHeight="1" spans="1:48">
      <c r="A31" s="289">
        <v>45257</v>
      </c>
      <c r="B31" s="290">
        <v>1000017462</v>
      </c>
      <c r="C31" s="290">
        <v>77523</v>
      </c>
      <c r="D31" s="291" t="s">
        <v>445</v>
      </c>
      <c r="E31" s="292">
        <v>2368</v>
      </c>
      <c r="F31" s="297" t="s">
        <v>482</v>
      </c>
      <c r="G31" s="292" t="s">
        <v>461</v>
      </c>
      <c r="H31" s="292"/>
      <c r="I31" s="292"/>
      <c r="J31" s="292"/>
      <c r="K31" s="292"/>
      <c r="L31" s="296"/>
      <c r="M31" s="292"/>
      <c r="N31" s="292"/>
      <c r="O31" s="292"/>
      <c r="P31" s="296">
        <f>E31</f>
        <v>2368</v>
      </c>
      <c r="Q31" s="296"/>
      <c r="R31" s="296"/>
      <c r="S31" s="296"/>
      <c r="T31" s="296"/>
      <c r="U31" s="292"/>
      <c r="V31" s="312" t="s">
        <v>481</v>
      </c>
      <c r="X31" s="289">
        <v>45456</v>
      </c>
      <c r="Y31" s="290">
        <v>1000021039</v>
      </c>
      <c r="Z31" s="290">
        <v>77593</v>
      </c>
      <c r="AA31" s="291" t="s">
        <v>430</v>
      </c>
      <c r="AB31" s="292">
        <v>90000</v>
      </c>
      <c r="AC31" s="297" t="s">
        <v>438</v>
      </c>
      <c r="AD31" s="292" t="s">
        <v>432</v>
      </c>
      <c r="AE31" s="292">
        <f>AB31</f>
        <v>90000</v>
      </c>
      <c r="AF31" s="292"/>
      <c r="AG31" s="292"/>
      <c r="AH31" s="292"/>
      <c r="AI31" s="292"/>
      <c r="AJ31" s="292"/>
      <c r="AK31" s="292"/>
      <c r="AL31" s="292"/>
      <c r="AM31" s="292"/>
      <c r="AN31" s="292"/>
      <c r="AO31" s="292"/>
      <c r="AP31" s="292"/>
      <c r="AQ31" s="292"/>
      <c r="AR31" s="292"/>
      <c r="AS31" s="292"/>
      <c r="AT31" s="292"/>
      <c r="AU31" s="292"/>
      <c r="AV31" s="312"/>
    </row>
    <row r="32" s="271" customFormat="1" ht="22" customHeight="1" spans="1:48">
      <c r="A32" s="289">
        <v>45257</v>
      </c>
      <c r="B32" s="290">
        <v>1000017463</v>
      </c>
      <c r="C32" s="290">
        <v>77523</v>
      </c>
      <c r="D32" s="291" t="s">
        <v>483</v>
      </c>
      <c r="E32" s="292">
        <v>4736</v>
      </c>
      <c r="F32" s="297" t="s">
        <v>484</v>
      </c>
      <c r="G32" s="292" t="s">
        <v>461</v>
      </c>
      <c r="H32" s="292"/>
      <c r="I32" s="292"/>
      <c r="J32" s="292"/>
      <c r="K32" s="292"/>
      <c r="L32" s="296"/>
      <c r="M32" s="292"/>
      <c r="N32" s="292"/>
      <c r="O32" s="292">
        <f>E32</f>
        <v>4736</v>
      </c>
      <c r="P32" s="296"/>
      <c r="Q32" s="296"/>
      <c r="R32" s="296"/>
      <c r="S32" s="296"/>
      <c r="T32" s="296"/>
      <c r="U32" s="292"/>
      <c r="V32" s="312" t="s">
        <v>481</v>
      </c>
      <c r="X32" s="289">
        <v>45456</v>
      </c>
      <c r="Y32" s="290">
        <v>1000021040</v>
      </c>
      <c r="Z32" s="290">
        <v>77593</v>
      </c>
      <c r="AA32" s="291" t="s">
        <v>433</v>
      </c>
      <c r="AB32" s="292">
        <v>100000</v>
      </c>
      <c r="AC32" s="297" t="s">
        <v>434</v>
      </c>
      <c r="AD32" s="292" t="s">
        <v>432</v>
      </c>
      <c r="AE32" s="292"/>
      <c r="AF32" s="292"/>
      <c r="AG32" s="292">
        <f>AB32</f>
        <v>100000</v>
      </c>
      <c r="AH32" s="292"/>
      <c r="AI32" s="292"/>
      <c r="AJ32" s="292"/>
      <c r="AK32" s="292"/>
      <c r="AL32" s="292"/>
      <c r="AM32" s="292"/>
      <c r="AN32" s="292"/>
      <c r="AO32" s="292"/>
      <c r="AP32" s="292"/>
      <c r="AQ32" s="292"/>
      <c r="AR32" s="292"/>
      <c r="AS32" s="292"/>
      <c r="AT32" s="292"/>
      <c r="AU32" s="292"/>
      <c r="AV32" s="312"/>
    </row>
    <row r="33" s="271" customFormat="1" ht="22" customHeight="1" spans="1:48">
      <c r="A33" s="289">
        <v>45261</v>
      </c>
      <c r="B33" s="290">
        <v>1000017613</v>
      </c>
      <c r="C33" s="290" t="s">
        <v>440</v>
      </c>
      <c r="D33" s="290" t="s">
        <v>441</v>
      </c>
      <c r="E33" s="292">
        <v>2192</v>
      </c>
      <c r="F33" s="292" t="s">
        <v>438</v>
      </c>
      <c r="G33" s="292" t="s">
        <v>432</v>
      </c>
      <c r="H33" s="292"/>
      <c r="I33" s="292"/>
      <c r="J33" s="292"/>
      <c r="K33" s="292"/>
      <c r="L33" s="296"/>
      <c r="M33" s="292">
        <f>E33</f>
        <v>2192</v>
      </c>
      <c r="N33" s="292"/>
      <c r="O33" s="292"/>
      <c r="P33" s="296"/>
      <c r="Q33" s="296"/>
      <c r="R33" s="296"/>
      <c r="S33" s="296"/>
      <c r="T33" s="296"/>
      <c r="U33" s="292"/>
      <c r="V33" s="312"/>
      <c r="X33" s="289">
        <v>45456</v>
      </c>
      <c r="Y33" s="290">
        <v>1000021041</v>
      </c>
      <c r="Z33" s="290" t="s">
        <v>11</v>
      </c>
      <c r="AA33" s="290" t="s">
        <v>455</v>
      </c>
      <c r="AB33" s="292">
        <v>785</v>
      </c>
      <c r="AC33" s="292" t="s">
        <v>438</v>
      </c>
      <c r="AD33" s="292" t="s">
        <v>432</v>
      </c>
      <c r="AE33" s="292"/>
      <c r="AF33" s="292"/>
      <c r="AG33" s="292"/>
      <c r="AH33" s="292"/>
      <c r="AI33" s="292"/>
      <c r="AJ33" s="292"/>
      <c r="AK33" s="292"/>
      <c r="AL33" s="292"/>
      <c r="AM33" s="292"/>
      <c r="AN33" s="292"/>
      <c r="AO33" s="292">
        <f>AB33</f>
        <v>785</v>
      </c>
      <c r="AP33" s="292"/>
      <c r="AQ33" s="292"/>
      <c r="AR33" s="292"/>
      <c r="AS33" s="292"/>
      <c r="AT33" s="292"/>
      <c r="AU33" s="292"/>
      <c r="AV33" s="312"/>
    </row>
    <row r="34" s="271" customFormat="1" ht="22" customHeight="1" spans="1:48">
      <c r="A34" s="289">
        <v>45273</v>
      </c>
      <c r="B34" s="290">
        <v>1000017790</v>
      </c>
      <c r="C34" s="290">
        <v>77489</v>
      </c>
      <c r="D34" s="290" t="s">
        <v>433</v>
      </c>
      <c r="E34" s="292">
        <v>100000</v>
      </c>
      <c r="F34" s="292" t="s">
        <v>434</v>
      </c>
      <c r="G34" s="292" t="s">
        <v>432</v>
      </c>
      <c r="H34" s="292"/>
      <c r="I34" s="292"/>
      <c r="J34" s="292">
        <f>E34</f>
        <v>100000</v>
      </c>
      <c r="K34" s="292"/>
      <c r="L34" s="296"/>
      <c r="M34" s="292"/>
      <c r="N34" s="292"/>
      <c r="O34" s="292"/>
      <c r="P34" s="296"/>
      <c r="Q34" s="296"/>
      <c r="R34" s="296"/>
      <c r="S34" s="296"/>
      <c r="T34" s="296"/>
      <c r="U34" s="292"/>
      <c r="V34" s="312" t="s">
        <v>435</v>
      </c>
      <c r="X34" s="289">
        <v>45470</v>
      </c>
      <c r="Y34" s="290">
        <v>1000021339</v>
      </c>
      <c r="Z34" s="290">
        <v>77593</v>
      </c>
      <c r="AA34" s="290" t="s">
        <v>433</v>
      </c>
      <c r="AB34" s="292">
        <v>20000</v>
      </c>
      <c r="AC34" s="292" t="s">
        <v>434</v>
      </c>
      <c r="AD34" s="292" t="s">
        <v>432</v>
      </c>
      <c r="AE34" s="292"/>
      <c r="AF34" s="292"/>
      <c r="AG34" s="292">
        <f>AB34</f>
        <v>20000</v>
      </c>
      <c r="AH34" s="292"/>
      <c r="AI34" s="292"/>
      <c r="AJ34" s="292"/>
      <c r="AK34" s="292"/>
      <c r="AL34" s="292"/>
      <c r="AM34" s="292"/>
      <c r="AN34" s="292"/>
      <c r="AO34" s="292"/>
      <c r="AP34" s="292"/>
      <c r="AQ34" s="292"/>
      <c r="AR34" s="292"/>
      <c r="AS34" s="292"/>
      <c r="AT34" s="292"/>
      <c r="AU34" s="292"/>
      <c r="AV34" s="312"/>
    </row>
    <row r="35" s="271" customFormat="1" ht="22" customHeight="1" spans="1:48">
      <c r="A35" s="289">
        <v>45273</v>
      </c>
      <c r="B35" s="290">
        <v>1000017791</v>
      </c>
      <c r="C35" s="290">
        <v>77489</v>
      </c>
      <c r="D35" s="290" t="s">
        <v>430</v>
      </c>
      <c r="E35" s="292">
        <v>70000</v>
      </c>
      <c r="F35" s="292" t="s">
        <v>438</v>
      </c>
      <c r="G35" s="292" t="s">
        <v>432</v>
      </c>
      <c r="H35" s="292">
        <f>E35</f>
        <v>70000</v>
      </c>
      <c r="I35" s="292"/>
      <c r="J35" s="292"/>
      <c r="K35" s="292"/>
      <c r="L35" s="296"/>
      <c r="M35" s="292"/>
      <c r="N35" s="292"/>
      <c r="O35" s="292"/>
      <c r="P35" s="296"/>
      <c r="Q35" s="296"/>
      <c r="R35" s="296"/>
      <c r="S35" s="296"/>
      <c r="T35" s="296"/>
      <c r="U35" s="292"/>
      <c r="V35" s="312"/>
      <c r="X35" s="289">
        <v>45470</v>
      </c>
      <c r="Y35" s="290">
        <v>1000021340</v>
      </c>
      <c r="Z35" s="290">
        <v>77593</v>
      </c>
      <c r="AA35" s="290" t="s">
        <v>430</v>
      </c>
      <c r="AB35" s="292">
        <v>20000</v>
      </c>
      <c r="AC35" s="292" t="s">
        <v>438</v>
      </c>
      <c r="AD35" s="292" t="s">
        <v>432</v>
      </c>
      <c r="AE35" s="292">
        <f>AB35</f>
        <v>20000</v>
      </c>
      <c r="AF35" s="292"/>
      <c r="AG35" s="292"/>
      <c r="AH35" s="292"/>
      <c r="AI35" s="292"/>
      <c r="AJ35" s="292"/>
      <c r="AK35" s="292"/>
      <c r="AL35" s="292"/>
      <c r="AM35" s="292"/>
      <c r="AN35" s="292"/>
      <c r="AO35" s="292"/>
      <c r="AP35" s="292"/>
      <c r="AQ35" s="292"/>
      <c r="AR35" s="292"/>
      <c r="AS35" s="292"/>
      <c r="AT35" s="292"/>
      <c r="AU35" s="292"/>
      <c r="AV35" s="312"/>
    </row>
    <row r="36" s="271" customFormat="1" ht="22" customHeight="1" spans="1:48">
      <c r="A36" s="289">
        <v>45273</v>
      </c>
      <c r="B36" s="290">
        <v>1000017792</v>
      </c>
      <c r="C36" s="290">
        <v>77489</v>
      </c>
      <c r="D36" s="290" t="s">
        <v>430</v>
      </c>
      <c r="E36" s="292">
        <v>30000</v>
      </c>
      <c r="F36" s="292" t="s">
        <v>464</v>
      </c>
      <c r="G36" s="292" t="s">
        <v>432</v>
      </c>
      <c r="H36" s="292"/>
      <c r="I36" s="292">
        <f>E36</f>
        <v>30000</v>
      </c>
      <c r="J36" s="292"/>
      <c r="K36" s="292"/>
      <c r="L36" s="296"/>
      <c r="M36" s="292"/>
      <c r="N36" s="292"/>
      <c r="O36" s="292"/>
      <c r="P36" s="296"/>
      <c r="Q36" s="296"/>
      <c r="R36" s="296"/>
      <c r="S36" s="296"/>
      <c r="T36" s="296"/>
      <c r="U36" s="292"/>
      <c r="V36" s="312"/>
      <c r="X36" s="289">
        <v>45470</v>
      </c>
      <c r="Y36" s="290">
        <v>1000021341</v>
      </c>
      <c r="Z36" s="290" t="s">
        <v>11</v>
      </c>
      <c r="AA36" s="290" t="s">
        <v>455</v>
      </c>
      <c r="AB36" s="292">
        <v>500</v>
      </c>
      <c r="AC36" s="292" t="s">
        <v>438</v>
      </c>
      <c r="AD36" s="292" t="s">
        <v>432</v>
      </c>
      <c r="AE36" s="292"/>
      <c r="AF36" s="292"/>
      <c r="AG36" s="292"/>
      <c r="AH36" s="292"/>
      <c r="AI36" s="292"/>
      <c r="AJ36" s="292"/>
      <c r="AK36" s="292"/>
      <c r="AL36" s="292"/>
      <c r="AM36" s="292"/>
      <c r="AN36" s="292"/>
      <c r="AO36" s="292">
        <f>AB36</f>
        <v>500</v>
      </c>
      <c r="AP36" s="292"/>
      <c r="AQ36" s="292"/>
      <c r="AR36" s="292"/>
      <c r="AS36" s="292"/>
      <c r="AT36" s="292"/>
      <c r="AU36" s="292"/>
      <c r="AV36" s="312"/>
    </row>
    <row r="37" s="271" customFormat="1" ht="22" customHeight="1" spans="1:48">
      <c r="A37" s="289">
        <v>45273</v>
      </c>
      <c r="B37" s="290">
        <v>1000017793</v>
      </c>
      <c r="C37" s="290" t="s">
        <v>440</v>
      </c>
      <c r="D37" s="290" t="s">
        <v>441</v>
      </c>
      <c r="E37" s="292">
        <v>5586</v>
      </c>
      <c r="F37" s="292" t="s">
        <v>438</v>
      </c>
      <c r="G37" s="292" t="s">
        <v>432</v>
      </c>
      <c r="H37" s="292"/>
      <c r="I37" s="292"/>
      <c r="J37" s="292"/>
      <c r="K37" s="292"/>
      <c r="L37" s="296"/>
      <c r="M37" s="292">
        <f>E37</f>
        <v>5586</v>
      </c>
      <c r="N37" s="292"/>
      <c r="O37" s="292"/>
      <c r="P37" s="296"/>
      <c r="Q37" s="296"/>
      <c r="R37" s="296"/>
      <c r="S37" s="296"/>
      <c r="T37" s="296"/>
      <c r="U37" s="292"/>
      <c r="V37" s="312"/>
      <c r="X37" s="289">
        <v>45470</v>
      </c>
      <c r="Y37" s="290">
        <v>1000021342</v>
      </c>
      <c r="Z37" s="290" t="s">
        <v>10</v>
      </c>
      <c r="AA37" s="290" t="s">
        <v>442</v>
      </c>
      <c r="AB37" s="292">
        <v>500</v>
      </c>
      <c r="AC37" s="292" t="s">
        <v>438</v>
      </c>
      <c r="AD37" s="292" t="s">
        <v>432</v>
      </c>
      <c r="AE37" s="292"/>
      <c r="AF37" s="292"/>
      <c r="AG37" s="292"/>
      <c r="AH37" s="292"/>
      <c r="AI37" s="292"/>
      <c r="AJ37" s="292"/>
      <c r="AK37" s="292"/>
      <c r="AL37" s="292"/>
      <c r="AM37" s="292">
        <f>AB37</f>
        <v>500</v>
      </c>
      <c r="AN37" s="292"/>
      <c r="AO37" s="292"/>
      <c r="AP37" s="292"/>
      <c r="AQ37" s="292"/>
      <c r="AR37" s="292"/>
      <c r="AS37" s="292"/>
      <c r="AT37" s="292"/>
      <c r="AU37" s="292"/>
      <c r="AV37" s="312"/>
    </row>
    <row r="38" s="271" customFormat="1" ht="22" customHeight="1" spans="1:48">
      <c r="A38" s="289">
        <v>45273</v>
      </c>
      <c r="B38" s="290">
        <v>1000017803</v>
      </c>
      <c r="C38" s="290" t="s">
        <v>444</v>
      </c>
      <c r="D38" s="290" t="s">
        <v>442</v>
      </c>
      <c r="E38" s="292">
        <v>1256</v>
      </c>
      <c r="F38" s="292" t="s">
        <v>464</v>
      </c>
      <c r="G38" s="292" t="s">
        <v>432</v>
      </c>
      <c r="H38" s="292"/>
      <c r="I38" s="292"/>
      <c r="J38" s="292"/>
      <c r="K38" s="292"/>
      <c r="L38" s="292">
        <f>E38</f>
        <v>1256</v>
      </c>
      <c r="M38" s="292"/>
      <c r="N38" s="292"/>
      <c r="O38" s="292"/>
      <c r="P38" s="296"/>
      <c r="Q38" s="296"/>
      <c r="R38" s="296"/>
      <c r="S38" s="296"/>
      <c r="T38" s="296"/>
      <c r="U38" s="292"/>
      <c r="V38" s="312"/>
      <c r="X38" s="289">
        <v>45484</v>
      </c>
      <c r="Y38" s="290">
        <v>1000021796</v>
      </c>
      <c r="Z38" s="290">
        <v>77593</v>
      </c>
      <c r="AA38" s="290" t="s">
        <v>433</v>
      </c>
      <c r="AB38" s="292">
        <v>50000</v>
      </c>
      <c r="AC38" s="292" t="s">
        <v>434</v>
      </c>
      <c r="AD38" s="292" t="s">
        <v>432</v>
      </c>
      <c r="AE38" s="292"/>
      <c r="AF38" s="292"/>
      <c r="AG38" s="292">
        <f>AB38</f>
        <v>50000</v>
      </c>
      <c r="AH38" s="292"/>
      <c r="AI38" s="292"/>
      <c r="AJ38" s="292"/>
      <c r="AK38" s="292"/>
      <c r="AL38" s="292"/>
      <c r="AM38" s="292"/>
      <c r="AN38" s="292"/>
      <c r="AO38" s="292"/>
      <c r="AP38" s="292"/>
      <c r="AQ38" s="292"/>
      <c r="AR38" s="292"/>
      <c r="AS38" s="292"/>
      <c r="AT38" s="292"/>
      <c r="AU38" s="292"/>
      <c r="AV38" s="312"/>
    </row>
    <row r="39" s="271" customFormat="1" ht="22" customHeight="1" spans="1:48">
      <c r="A39" s="289">
        <v>45285</v>
      </c>
      <c r="B39" s="290">
        <v>1000017952</v>
      </c>
      <c r="C39" s="290" t="s">
        <v>444</v>
      </c>
      <c r="D39" s="290" t="s">
        <v>442</v>
      </c>
      <c r="E39" s="292">
        <v>55</v>
      </c>
      <c r="F39" s="292" t="s">
        <v>464</v>
      </c>
      <c r="G39" s="292" t="s">
        <v>432</v>
      </c>
      <c r="H39" s="292"/>
      <c r="I39" s="292"/>
      <c r="J39" s="292"/>
      <c r="K39" s="292"/>
      <c r="L39" s="292">
        <f>E39</f>
        <v>55</v>
      </c>
      <c r="M39" s="292"/>
      <c r="N39" s="292"/>
      <c r="O39" s="292"/>
      <c r="P39" s="296"/>
      <c r="Q39" s="296"/>
      <c r="R39" s="296"/>
      <c r="S39" s="296"/>
      <c r="T39" s="296"/>
      <c r="U39" s="292"/>
      <c r="V39" s="312" t="s">
        <v>485</v>
      </c>
      <c r="X39" s="289">
        <v>45484</v>
      </c>
      <c r="Y39" s="290">
        <v>1000021797</v>
      </c>
      <c r="Z39" s="290">
        <v>77593</v>
      </c>
      <c r="AA39" s="290" t="s">
        <v>430</v>
      </c>
      <c r="AB39" s="292">
        <v>50000</v>
      </c>
      <c r="AC39" s="292" t="s">
        <v>438</v>
      </c>
      <c r="AD39" s="292" t="s">
        <v>432</v>
      </c>
      <c r="AE39" s="292">
        <f>AB39</f>
        <v>50000</v>
      </c>
      <c r="AF39" s="292"/>
      <c r="AG39" s="292"/>
      <c r="AH39" s="292"/>
      <c r="AI39" s="292"/>
      <c r="AJ39" s="292"/>
      <c r="AK39" s="292"/>
      <c r="AL39" s="292"/>
      <c r="AM39" s="292"/>
      <c r="AN39" s="292"/>
      <c r="AO39" s="292"/>
      <c r="AP39" s="292"/>
      <c r="AQ39" s="292"/>
      <c r="AR39" s="292"/>
      <c r="AS39" s="292"/>
      <c r="AT39" s="292"/>
      <c r="AU39" s="292"/>
      <c r="AV39" s="312"/>
    </row>
    <row r="40" s="271" customFormat="1" ht="22" customHeight="1" spans="1:48">
      <c r="A40" s="289">
        <v>45286</v>
      </c>
      <c r="B40" s="290">
        <v>1000017988</v>
      </c>
      <c r="C40" s="291">
        <v>77523</v>
      </c>
      <c r="D40" s="291" t="s">
        <v>477</v>
      </c>
      <c r="E40" s="292">
        <v>624</v>
      </c>
      <c r="F40" s="292" t="s">
        <v>469</v>
      </c>
      <c r="G40" s="292" t="s">
        <v>461</v>
      </c>
      <c r="H40" s="292"/>
      <c r="I40" s="292"/>
      <c r="J40" s="292"/>
      <c r="K40" s="292"/>
      <c r="L40" s="292"/>
      <c r="M40" s="292"/>
      <c r="N40" s="292"/>
      <c r="O40" s="292"/>
      <c r="P40" s="292"/>
      <c r="Q40" s="292">
        <f>E40</f>
        <v>624</v>
      </c>
      <c r="R40" s="296"/>
      <c r="S40" s="296"/>
      <c r="T40" s="296"/>
      <c r="U40" s="292"/>
      <c r="V40" s="312" t="s">
        <v>486</v>
      </c>
      <c r="X40" s="289">
        <v>45484</v>
      </c>
      <c r="Y40" s="290">
        <v>1000021798</v>
      </c>
      <c r="Z40" s="290" t="s">
        <v>10</v>
      </c>
      <c r="AA40" s="290" t="s">
        <v>442</v>
      </c>
      <c r="AB40" s="292">
        <v>759</v>
      </c>
      <c r="AC40" s="292" t="s">
        <v>438</v>
      </c>
      <c r="AD40" s="292" t="s">
        <v>432</v>
      </c>
      <c r="AE40" s="292"/>
      <c r="AF40" s="292"/>
      <c r="AG40" s="292"/>
      <c r="AH40" s="292"/>
      <c r="AI40" s="292"/>
      <c r="AJ40" s="292"/>
      <c r="AK40" s="292"/>
      <c r="AL40" s="292"/>
      <c r="AM40" s="292">
        <f>AB40</f>
        <v>759</v>
      </c>
      <c r="AN40" s="292"/>
      <c r="AO40" s="292"/>
      <c r="AP40" s="292"/>
      <c r="AQ40" s="292"/>
      <c r="AR40" s="292"/>
      <c r="AS40" s="292"/>
      <c r="AT40" s="292"/>
      <c r="AU40" s="292"/>
      <c r="AV40" s="312"/>
    </row>
    <row r="41" s="271" customFormat="1" ht="22" customHeight="1" spans="1:48">
      <c r="A41" s="289">
        <v>45286</v>
      </c>
      <c r="B41" s="290">
        <v>1000017989</v>
      </c>
      <c r="C41" s="291">
        <v>77523</v>
      </c>
      <c r="D41" s="291" t="s">
        <v>445</v>
      </c>
      <c r="E41" s="292">
        <v>624</v>
      </c>
      <c r="F41" s="292" t="s">
        <v>469</v>
      </c>
      <c r="G41" s="292" t="s">
        <v>461</v>
      </c>
      <c r="H41" s="292"/>
      <c r="I41" s="292"/>
      <c r="J41" s="292"/>
      <c r="K41" s="292"/>
      <c r="L41" s="292"/>
      <c r="M41" s="292"/>
      <c r="N41" s="292"/>
      <c r="O41" s="292"/>
      <c r="P41" s="292">
        <f>E41</f>
        <v>624</v>
      </c>
      <c r="Q41" s="292"/>
      <c r="R41" s="296"/>
      <c r="S41" s="296"/>
      <c r="T41" s="296"/>
      <c r="U41" s="292"/>
      <c r="V41" s="312" t="s">
        <v>486</v>
      </c>
      <c r="X41" s="289">
        <v>45483</v>
      </c>
      <c r="Y41" s="290">
        <v>1000021712</v>
      </c>
      <c r="Z41" s="290">
        <v>77614</v>
      </c>
      <c r="AA41" s="290" t="s">
        <v>448</v>
      </c>
      <c r="AB41" s="292">
        <v>2052</v>
      </c>
      <c r="AC41" s="292" t="s">
        <v>464</v>
      </c>
      <c r="AD41" s="292" t="s">
        <v>479</v>
      </c>
      <c r="AE41" s="292"/>
      <c r="AF41" s="292"/>
      <c r="AG41" s="292"/>
      <c r="AH41" s="292"/>
      <c r="AI41" s="292"/>
      <c r="AJ41" s="292"/>
      <c r="AK41" s="292"/>
      <c r="AL41" s="292"/>
      <c r="AM41" s="292"/>
      <c r="AN41" s="292"/>
      <c r="AO41" s="292"/>
      <c r="AP41" s="292"/>
      <c r="AQ41" s="292"/>
      <c r="AR41" s="292"/>
      <c r="AS41" s="292"/>
      <c r="AT41" s="292"/>
      <c r="AU41" s="292"/>
      <c r="AV41" s="668" t="s">
        <v>487</v>
      </c>
    </row>
    <row r="42" s="271" customFormat="1" ht="22" customHeight="1" spans="1:48">
      <c r="A42" s="289">
        <v>45286</v>
      </c>
      <c r="B42" s="290">
        <v>1000017990</v>
      </c>
      <c r="C42" s="291" t="s">
        <v>488</v>
      </c>
      <c r="D42" s="291" t="s">
        <v>483</v>
      </c>
      <c r="E42" s="292">
        <v>1248</v>
      </c>
      <c r="F42" s="292" t="s">
        <v>469</v>
      </c>
      <c r="G42" s="292" t="s">
        <v>461</v>
      </c>
      <c r="H42" s="292"/>
      <c r="I42" s="292"/>
      <c r="J42" s="292"/>
      <c r="K42" s="292"/>
      <c r="L42" s="292"/>
      <c r="M42" s="292"/>
      <c r="N42" s="292"/>
      <c r="O42" s="292">
        <f>E42</f>
        <v>1248</v>
      </c>
      <c r="P42" s="296"/>
      <c r="Q42" s="296"/>
      <c r="R42" s="296"/>
      <c r="S42" s="296"/>
      <c r="T42" s="296"/>
      <c r="U42" s="292"/>
      <c r="V42" s="312" t="s">
        <v>486</v>
      </c>
      <c r="X42" s="289">
        <v>45483</v>
      </c>
      <c r="Y42" s="290">
        <v>1000021713</v>
      </c>
      <c r="Z42" s="290">
        <v>77614</v>
      </c>
      <c r="AA42" s="290" t="s">
        <v>445</v>
      </c>
      <c r="AB42" s="292">
        <v>2052</v>
      </c>
      <c r="AC42" s="292"/>
      <c r="AD42" s="292" t="s">
        <v>479</v>
      </c>
      <c r="AE42" s="292"/>
      <c r="AF42" s="292"/>
      <c r="AG42" s="292"/>
      <c r="AH42" s="292"/>
      <c r="AI42" s="292"/>
      <c r="AJ42" s="292"/>
      <c r="AK42" s="292"/>
      <c r="AL42" s="292"/>
      <c r="AM42" s="292"/>
      <c r="AN42" s="292"/>
      <c r="AO42" s="292"/>
      <c r="AP42" s="292"/>
      <c r="AQ42" s="292"/>
      <c r="AR42" s="292"/>
      <c r="AS42" s="292"/>
      <c r="AT42" s="292"/>
      <c r="AU42" s="292"/>
      <c r="AV42" s="668" t="s">
        <v>487</v>
      </c>
    </row>
    <row r="43" s="271" customFormat="1" ht="22" customHeight="1" spans="1:48">
      <c r="A43" s="289">
        <v>45306</v>
      </c>
      <c r="B43" s="291" t="s">
        <v>475</v>
      </c>
      <c r="C43" s="290">
        <v>77523</v>
      </c>
      <c r="D43" s="291" t="s">
        <v>477</v>
      </c>
      <c r="E43" s="292">
        <v>800</v>
      </c>
      <c r="F43" s="292" t="s">
        <v>469</v>
      </c>
      <c r="G43" s="292" t="s">
        <v>461</v>
      </c>
      <c r="H43" s="292"/>
      <c r="I43" s="292"/>
      <c r="J43" s="292"/>
      <c r="K43" s="292"/>
      <c r="L43" s="292"/>
      <c r="M43" s="292"/>
      <c r="N43" s="292"/>
      <c r="O43" s="292"/>
      <c r="P43" s="292"/>
      <c r="Q43" s="292">
        <f>E43</f>
        <v>800</v>
      </c>
      <c r="R43" s="296"/>
      <c r="S43" s="296"/>
      <c r="T43" s="296"/>
      <c r="U43" s="292"/>
      <c r="V43" s="312" t="s">
        <v>489</v>
      </c>
      <c r="X43" s="289">
        <v>45483</v>
      </c>
      <c r="Y43" s="290">
        <v>1000021714</v>
      </c>
      <c r="Z43" s="290">
        <v>77614</v>
      </c>
      <c r="AA43" s="290" t="s">
        <v>478</v>
      </c>
      <c r="AB43" s="292">
        <v>2052</v>
      </c>
      <c r="AC43" s="292"/>
      <c r="AD43" s="292" t="s">
        <v>479</v>
      </c>
      <c r="AE43" s="292"/>
      <c r="AF43" s="292"/>
      <c r="AG43" s="292"/>
      <c r="AH43" s="292"/>
      <c r="AI43" s="292"/>
      <c r="AJ43" s="292"/>
      <c r="AK43" s="292"/>
      <c r="AL43" s="292"/>
      <c r="AM43" s="292"/>
      <c r="AN43" s="292"/>
      <c r="AO43" s="292"/>
      <c r="AP43" s="292"/>
      <c r="AQ43" s="292"/>
      <c r="AR43" s="292"/>
      <c r="AS43" s="292"/>
      <c r="AT43" s="292"/>
      <c r="AU43" s="292"/>
      <c r="AV43" s="668" t="s">
        <v>487</v>
      </c>
    </row>
    <row r="44" s="271" customFormat="1" ht="22" customHeight="1" spans="1:48">
      <c r="A44" s="289">
        <v>45306</v>
      </c>
      <c r="B44" s="291" t="s">
        <v>475</v>
      </c>
      <c r="C44" s="290">
        <v>77523</v>
      </c>
      <c r="D44" s="291" t="s">
        <v>445</v>
      </c>
      <c r="E44" s="292">
        <v>800</v>
      </c>
      <c r="F44" s="292" t="s">
        <v>469</v>
      </c>
      <c r="G44" s="292" t="s">
        <v>461</v>
      </c>
      <c r="H44" s="292"/>
      <c r="I44" s="292"/>
      <c r="J44" s="292"/>
      <c r="K44" s="292"/>
      <c r="L44" s="292"/>
      <c r="M44" s="292"/>
      <c r="N44" s="292"/>
      <c r="O44" s="292"/>
      <c r="P44" s="292">
        <f>E44</f>
        <v>800</v>
      </c>
      <c r="Q44" s="292"/>
      <c r="R44" s="296"/>
      <c r="S44" s="296"/>
      <c r="T44" s="296"/>
      <c r="U44" s="292"/>
      <c r="V44" s="312" t="s">
        <v>489</v>
      </c>
      <c r="X44" s="289">
        <v>45490</v>
      </c>
      <c r="Y44" s="290">
        <v>1000021923</v>
      </c>
      <c r="Z44" s="290" t="s">
        <v>10</v>
      </c>
      <c r="AA44" s="290" t="s">
        <v>442</v>
      </c>
      <c r="AB44" s="292">
        <v>1176</v>
      </c>
      <c r="AC44" s="292" t="s">
        <v>438</v>
      </c>
      <c r="AD44" s="292" t="s">
        <v>432</v>
      </c>
      <c r="AE44" s="292"/>
      <c r="AF44" s="292"/>
      <c r="AG44" s="292"/>
      <c r="AH44" s="292"/>
      <c r="AI44" s="292"/>
      <c r="AJ44" s="292"/>
      <c r="AK44" s="292"/>
      <c r="AL44" s="292"/>
      <c r="AM44" s="292">
        <f>AB44</f>
        <v>1176</v>
      </c>
      <c r="AN44" s="292"/>
      <c r="AO44" s="292"/>
      <c r="AP44" s="292"/>
      <c r="AQ44" s="292"/>
      <c r="AR44" s="292"/>
      <c r="AS44" s="292"/>
      <c r="AT44" s="292"/>
      <c r="AU44" s="292"/>
      <c r="AV44" s="312"/>
    </row>
    <row r="45" s="271" customFormat="1" ht="22" customHeight="1" spans="1:48">
      <c r="A45" s="289">
        <v>45306</v>
      </c>
      <c r="B45" s="291" t="s">
        <v>475</v>
      </c>
      <c r="C45" s="290" t="s">
        <v>488</v>
      </c>
      <c r="D45" s="291" t="s">
        <v>483</v>
      </c>
      <c r="E45" s="292">
        <v>1600</v>
      </c>
      <c r="F45" s="292" t="s">
        <v>469</v>
      </c>
      <c r="G45" s="292" t="s">
        <v>461</v>
      </c>
      <c r="H45" s="292"/>
      <c r="I45" s="292"/>
      <c r="J45" s="292"/>
      <c r="K45" s="292"/>
      <c r="L45" s="292"/>
      <c r="M45" s="292"/>
      <c r="N45" s="292"/>
      <c r="O45" s="292">
        <f>E45</f>
        <v>1600</v>
      </c>
      <c r="P45" s="296"/>
      <c r="Q45" s="296"/>
      <c r="R45" s="296"/>
      <c r="S45" s="296"/>
      <c r="T45" s="296"/>
      <c r="U45" s="292"/>
      <c r="V45" s="312" t="s">
        <v>489</v>
      </c>
      <c r="X45" s="289">
        <v>45497</v>
      </c>
      <c r="Y45" s="290">
        <v>1000022084</v>
      </c>
      <c r="Z45" s="290">
        <v>77593</v>
      </c>
      <c r="AA45" s="290" t="s">
        <v>433</v>
      </c>
      <c r="AB45" s="292">
        <v>20000</v>
      </c>
      <c r="AC45" s="292" t="s">
        <v>434</v>
      </c>
      <c r="AD45" s="292" t="s">
        <v>432</v>
      </c>
      <c r="AE45" s="292"/>
      <c r="AF45" s="292"/>
      <c r="AG45" s="292">
        <f>AB45</f>
        <v>20000</v>
      </c>
      <c r="AH45" s="292"/>
      <c r="AI45" s="292"/>
      <c r="AJ45" s="292"/>
      <c r="AK45" s="292"/>
      <c r="AL45" s="292"/>
      <c r="AM45" s="292"/>
      <c r="AN45" s="292"/>
      <c r="AO45" s="292"/>
      <c r="AP45" s="292"/>
      <c r="AQ45" s="292"/>
      <c r="AR45" s="292"/>
      <c r="AS45" s="292"/>
      <c r="AT45" s="292"/>
      <c r="AU45" s="292"/>
      <c r="AV45" s="312"/>
    </row>
    <row r="46" s="271" customFormat="1" ht="22" customHeight="1" spans="1:48">
      <c r="A46" s="289">
        <v>45308</v>
      </c>
      <c r="B46" s="290">
        <v>1000018300</v>
      </c>
      <c r="C46" s="290">
        <v>77489</v>
      </c>
      <c r="D46" s="290" t="s">
        <v>433</v>
      </c>
      <c r="E46" s="292">
        <v>35000</v>
      </c>
      <c r="F46" s="292" t="s">
        <v>434</v>
      </c>
      <c r="G46" s="292" t="s">
        <v>432</v>
      </c>
      <c r="H46" s="292"/>
      <c r="I46" s="292"/>
      <c r="J46" s="292">
        <f>E46</f>
        <v>35000</v>
      </c>
      <c r="K46" s="292"/>
      <c r="L46" s="292"/>
      <c r="M46" s="292"/>
      <c r="N46" s="292"/>
      <c r="O46" s="292"/>
      <c r="P46" s="296"/>
      <c r="Q46" s="296"/>
      <c r="R46" s="296"/>
      <c r="S46" s="296"/>
      <c r="T46" s="296"/>
      <c r="U46" s="292"/>
      <c r="V46" s="312"/>
      <c r="X46" s="289">
        <v>45497</v>
      </c>
      <c r="Y46" s="290">
        <v>1000022085</v>
      </c>
      <c r="Z46" s="290">
        <v>77593</v>
      </c>
      <c r="AA46" s="290" t="s">
        <v>430</v>
      </c>
      <c r="AB46" s="292">
        <v>20000</v>
      </c>
      <c r="AC46" s="292" t="s">
        <v>438</v>
      </c>
      <c r="AD46" s="292" t="s">
        <v>432</v>
      </c>
      <c r="AE46" s="292">
        <f>AB46</f>
        <v>20000</v>
      </c>
      <c r="AF46" s="292"/>
      <c r="AG46" s="292"/>
      <c r="AH46" s="292"/>
      <c r="AI46" s="292"/>
      <c r="AJ46" s="292"/>
      <c r="AK46" s="292"/>
      <c r="AL46" s="292"/>
      <c r="AM46" s="292"/>
      <c r="AN46" s="292"/>
      <c r="AO46" s="292"/>
      <c r="AP46" s="292"/>
      <c r="AQ46" s="292"/>
      <c r="AR46" s="292"/>
      <c r="AS46" s="292"/>
      <c r="AT46" s="292"/>
      <c r="AU46" s="292"/>
      <c r="AV46" s="312"/>
    </row>
    <row r="47" s="271" customFormat="1" ht="22" customHeight="1" spans="1:48">
      <c r="A47" s="289">
        <v>45308</v>
      </c>
      <c r="B47" s="290">
        <v>1000018301</v>
      </c>
      <c r="C47" s="290">
        <v>77489</v>
      </c>
      <c r="D47" s="290" t="s">
        <v>430</v>
      </c>
      <c r="E47" s="292">
        <v>20000</v>
      </c>
      <c r="F47" s="292" t="s">
        <v>438</v>
      </c>
      <c r="G47" s="292" t="s">
        <v>432</v>
      </c>
      <c r="H47" s="292">
        <f>E47</f>
        <v>20000</v>
      </c>
      <c r="I47" s="292"/>
      <c r="J47" s="292"/>
      <c r="K47" s="292"/>
      <c r="L47" s="292"/>
      <c r="M47" s="292"/>
      <c r="N47" s="292"/>
      <c r="O47" s="292"/>
      <c r="P47" s="296"/>
      <c r="Q47" s="296"/>
      <c r="R47" s="296"/>
      <c r="S47" s="296"/>
      <c r="T47" s="296"/>
      <c r="U47" s="292"/>
      <c r="V47" s="312"/>
      <c r="X47" s="289">
        <v>45497</v>
      </c>
      <c r="Y47" s="290">
        <v>1000022086</v>
      </c>
      <c r="Z47" s="290" t="s">
        <v>11</v>
      </c>
      <c r="AA47" s="290" t="s">
        <v>455</v>
      </c>
      <c r="AB47" s="292">
        <v>500</v>
      </c>
      <c r="AC47" s="292" t="s">
        <v>438</v>
      </c>
      <c r="AD47" s="292" t="s">
        <v>432</v>
      </c>
      <c r="AE47" s="292"/>
      <c r="AF47" s="292"/>
      <c r="AG47" s="292"/>
      <c r="AH47" s="292"/>
      <c r="AI47" s="292"/>
      <c r="AJ47" s="292"/>
      <c r="AK47" s="292"/>
      <c r="AL47" s="292"/>
      <c r="AM47" s="292"/>
      <c r="AN47" s="292"/>
      <c r="AO47" s="292">
        <f>AB47</f>
        <v>500</v>
      </c>
      <c r="AP47" s="292"/>
      <c r="AQ47" s="292"/>
      <c r="AR47" s="292"/>
      <c r="AS47" s="292"/>
      <c r="AT47" s="292"/>
      <c r="AU47" s="292"/>
      <c r="AV47" s="312"/>
    </row>
    <row r="48" s="271" customFormat="1" ht="22" customHeight="1" spans="1:48">
      <c r="A48" s="289">
        <v>45308</v>
      </c>
      <c r="B48" s="290">
        <v>1000018302</v>
      </c>
      <c r="C48" s="290">
        <v>77489</v>
      </c>
      <c r="D48" s="290" t="s">
        <v>430</v>
      </c>
      <c r="E48" s="292">
        <v>1988</v>
      </c>
      <c r="F48" s="292" t="s">
        <v>464</v>
      </c>
      <c r="G48" s="292" t="s">
        <v>432</v>
      </c>
      <c r="H48" s="292"/>
      <c r="I48" s="292">
        <f>E48</f>
        <v>1988</v>
      </c>
      <c r="J48" s="292"/>
      <c r="K48" s="292"/>
      <c r="L48" s="292"/>
      <c r="M48" s="292"/>
      <c r="N48" s="292"/>
      <c r="O48" s="292"/>
      <c r="P48" s="296"/>
      <c r="Q48" s="296"/>
      <c r="R48" s="296"/>
      <c r="S48" s="296"/>
      <c r="T48" s="296"/>
      <c r="U48" s="292"/>
      <c r="V48" s="312"/>
      <c r="X48" s="289">
        <v>45497</v>
      </c>
      <c r="Y48" s="290">
        <v>1000022089</v>
      </c>
      <c r="Z48" s="290" t="s">
        <v>490</v>
      </c>
      <c r="AA48" s="290" t="s">
        <v>451</v>
      </c>
      <c r="AB48" s="292">
        <v>300</v>
      </c>
      <c r="AC48" s="292" t="s">
        <v>438</v>
      </c>
      <c r="AD48" s="292" t="s">
        <v>432</v>
      </c>
      <c r="AE48" s="292"/>
      <c r="AF48" s="292"/>
      <c r="AG48" s="292"/>
      <c r="AH48" s="292">
        <f>AB48</f>
        <v>300</v>
      </c>
      <c r="AI48" s="292"/>
      <c r="AJ48" s="292"/>
      <c r="AK48" s="292"/>
      <c r="AL48" s="292"/>
      <c r="AM48" s="292"/>
      <c r="AN48" s="292"/>
      <c r="AO48" s="292"/>
      <c r="AP48" s="292"/>
      <c r="AQ48" s="292"/>
      <c r="AR48" s="292"/>
      <c r="AS48" s="292"/>
      <c r="AT48" s="292"/>
      <c r="AU48" s="292"/>
      <c r="AV48" s="312"/>
    </row>
    <row r="49" s="271" customFormat="1" ht="22" customHeight="1" spans="1:48">
      <c r="A49" s="289">
        <v>45308</v>
      </c>
      <c r="B49" s="290">
        <v>1000018303</v>
      </c>
      <c r="C49" s="290" t="s">
        <v>444</v>
      </c>
      <c r="D49" s="290" t="s">
        <v>442</v>
      </c>
      <c r="E49" s="292">
        <v>107</v>
      </c>
      <c r="F49" s="292" t="s">
        <v>464</v>
      </c>
      <c r="G49" s="292" t="s">
        <v>432</v>
      </c>
      <c r="H49" s="292"/>
      <c r="I49" s="292"/>
      <c r="J49" s="292"/>
      <c r="K49" s="292"/>
      <c r="L49" s="292">
        <f>E49</f>
        <v>107</v>
      </c>
      <c r="M49" s="292"/>
      <c r="N49" s="292"/>
      <c r="O49" s="292"/>
      <c r="P49" s="296"/>
      <c r="Q49" s="296"/>
      <c r="R49" s="296"/>
      <c r="S49" s="296"/>
      <c r="T49" s="296"/>
      <c r="U49" s="292"/>
      <c r="V49" s="312"/>
      <c r="X49" s="289">
        <v>45497</v>
      </c>
      <c r="Y49" s="290">
        <v>1000022090</v>
      </c>
      <c r="Z49" s="290" t="s">
        <v>72</v>
      </c>
      <c r="AA49" s="290" t="s">
        <v>454</v>
      </c>
      <c r="AB49" s="292">
        <v>300</v>
      </c>
      <c r="AC49" s="292" t="s">
        <v>438</v>
      </c>
      <c r="AD49" s="292" t="s">
        <v>432</v>
      </c>
      <c r="AE49" s="292"/>
      <c r="AF49" s="292"/>
      <c r="AG49" s="292"/>
      <c r="AH49" s="292"/>
      <c r="AI49" s="292">
        <f>AB49</f>
        <v>300</v>
      </c>
      <c r="AJ49" s="292"/>
      <c r="AK49" s="292"/>
      <c r="AL49" s="292"/>
      <c r="AM49" s="292"/>
      <c r="AN49" s="292"/>
      <c r="AO49" s="292"/>
      <c r="AP49" s="292"/>
      <c r="AQ49" s="292"/>
      <c r="AR49" s="292"/>
      <c r="AS49" s="292"/>
      <c r="AT49" s="292"/>
      <c r="AU49" s="292"/>
      <c r="AV49" s="312" t="s">
        <v>491</v>
      </c>
    </row>
    <row r="50" s="271" customFormat="1" ht="22" customHeight="1" spans="1:48">
      <c r="A50" s="289" t="s">
        <v>492</v>
      </c>
      <c r="B50" s="289"/>
      <c r="C50" s="289"/>
      <c r="D50" s="289"/>
      <c r="E50" s="289"/>
      <c r="F50" s="289"/>
      <c r="G50" s="289"/>
      <c r="H50" s="292"/>
      <c r="I50" s="292">
        <v>15072</v>
      </c>
      <c r="J50" s="292"/>
      <c r="K50" s="292"/>
      <c r="L50" s="292"/>
      <c r="M50" s="292"/>
      <c r="N50" s="292"/>
      <c r="O50" s="292"/>
      <c r="P50" s="296"/>
      <c r="Q50" s="296"/>
      <c r="R50" s="296"/>
      <c r="S50" s="296"/>
      <c r="T50" s="296"/>
      <c r="U50" s="292"/>
      <c r="V50" s="312"/>
      <c r="X50" s="289">
        <v>45497</v>
      </c>
      <c r="Y50" s="290">
        <v>1000022091</v>
      </c>
      <c r="Z50" s="290" t="s">
        <v>493</v>
      </c>
      <c r="AA50" s="290" t="s">
        <v>451</v>
      </c>
      <c r="AB50" s="292">
        <v>300</v>
      </c>
      <c r="AC50" s="292" t="s">
        <v>464</v>
      </c>
      <c r="AD50" s="292" t="s">
        <v>432</v>
      </c>
      <c r="AE50" s="292"/>
      <c r="AF50" s="292"/>
      <c r="AG50" s="292"/>
      <c r="AH50" s="292"/>
      <c r="AI50" s="292"/>
      <c r="AJ50" s="292"/>
      <c r="AK50" s="292">
        <f>AB50</f>
        <v>300</v>
      </c>
      <c r="AL50" s="292"/>
      <c r="AM50" s="292"/>
      <c r="AN50" s="292"/>
      <c r="AO50" s="292"/>
      <c r="AP50" s="292"/>
      <c r="AQ50" s="292"/>
      <c r="AR50" s="292"/>
      <c r="AS50" s="292"/>
      <c r="AT50" s="292"/>
      <c r="AU50" s="292"/>
      <c r="AV50" s="312"/>
    </row>
    <row r="51" s="271" customFormat="1" ht="22" customHeight="1" spans="1:48">
      <c r="A51" s="289">
        <v>45372</v>
      </c>
      <c r="B51" s="290">
        <v>1000019028</v>
      </c>
      <c r="C51" s="290">
        <v>77489</v>
      </c>
      <c r="D51" s="289" t="s">
        <v>433</v>
      </c>
      <c r="E51" s="298">
        <v>30000</v>
      </c>
      <c r="F51" s="289" t="s">
        <v>434</v>
      </c>
      <c r="G51" s="289" t="s">
        <v>432</v>
      </c>
      <c r="H51" s="292"/>
      <c r="I51" s="292"/>
      <c r="J51" s="292">
        <f>E51</f>
        <v>30000</v>
      </c>
      <c r="K51" s="292"/>
      <c r="L51" s="292"/>
      <c r="M51" s="292"/>
      <c r="N51" s="292"/>
      <c r="O51" s="292"/>
      <c r="P51" s="296"/>
      <c r="Q51" s="296"/>
      <c r="R51" s="296"/>
      <c r="S51" s="296"/>
      <c r="T51" s="296"/>
      <c r="U51" s="292"/>
      <c r="V51" s="312"/>
      <c r="X51" s="289">
        <v>45497</v>
      </c>
      <c r="Y51" s="290">
        <v>1000022092</v>
      </c>
      <c r="Z51" s="290" t="s">
        <v>79</v>
      </c>
      <c r="AA51" s="290" t="s">
        <v>454</v>
      </c>
      <c r="AB51" s="292">
        <v>300</v>
      </c>
      <c r="AC51" s="292" t="s">
        <v>464</v>
      </c>
      <c r="AD51" s="292" t="s">
        <v>432</v>
      </c>
      <c r="AE51" s="292"/>
      <c r="AF51" s="292"/>
      <c r="AG51" s="292"/>
      <c r="AH51" s="292"/>
      <c r="AI51" s="292"/>
      <c r="AJ51" s="292"/>
      <c r="AK51" s="292"/>
      <c r="AL51" s="292">
        <f>AB51</f>
        <v>300</v>
      </c>
      <c r="AM51" s="292"/>
      <c r="AN51" s="292"/>
      <c r="AO51" s="292"/>
      <c r="AP51" s="292"/>
      <c r="AQ51" s="292"/>
      <c r="AR51" s="292"/>
      <c r="AS51" s="292"/>
      <c r="AT51" s="292"/>
      <c r="AU51" s="292"/>
      <c r="AV51" s="312" t="s">
        <v>491</v>
      </c>
    </row>
    <row r="52" s="271" customFormat="1" ht="22" customHeight="1" spans="1:48">
      <c r="A52" s="289">
        <v>45372</v>
      </c>
      <c r="B52" s="290">
        <v>1000019029</v>
      </c>
      <c r="C52" s="289" t="s">
        <v>440</v>
      </c>
      <c r="D52" s="289" t="s">
        <v>441</v>
      </c>
      <c r="E52" s="298">
        <v>500</v>
      </c>
      <c r="F52" s="289" t="s">
        <v>438</v>
      </c>
      <c r="G52" s="289" t="s">
        <v>432</v>
      </c>
      <c r="H52" s="292"/>
      <c r="I52" s="292"/>
      <c r="J52" s="292"/>
      <c r="K52" s="292"/>
      <c r="L52" s="292"/>
      <c r="M52" s="292">
        <f>E52</f>
        <v>500</v>
      </c>
      <c r="N52" s="292"/>
      <c r="O52" s="292"/>
      <c r="P52" s="296"/>
      <c r="Q52" s="296"/>
      <c r="R52" s="296"/>
      <c r="S52" s="296"/>
      <c r="T52" s="296"/>
      <c r="U52" s="292"/>
      <c r="V52" s="312"/>
      <c r="X52" s="289">
        <v>45523</v>
      </c>
      <c r="Y52" s="290">
        <v>1000022639</v>
      </c>
      <c r="Z52" s="290">
        <v>77593</v>
      </c>
      <c r="AA52" s="290" t="s">
        <v>433</v>
      </c>
      <c r="AB52" s="292">
        <v>20000</v>
      </c>
      <c r="AC52" s="292" t="s">
        <v>434</v>
      </c>
      <c r="AD52" s="292" t="s">
        <v>432</v>
      </c>
      <c r="AE52" s="292"/>
      <c r="AF52" s="292"/>
      <c r="AG52" s="292">
        <f>AB52</f>
        <v>20000</v>
      </c>
      <c r="AH52" s="292"/>
      <c r="AI52" s="292"/>
      <c r="AJ52" s="292"/>
      <c r="AK52" s="292"/>
      <c r="AL52" s="292"/>
      <c r="AM52" s="292"/>
      <c r="AN52" s="292"/>
      <c r="AO52" s="292"/>
      <c r="AP52" s="292"/>
      <c r="AQ52" s="292"/>
      <c r="AR52" s="292"/>
      <c r="AS52" s="292"/>
      <c r="AT52" s="292"/>
      <c r="AU52" s="292"/>
      <c r="AV52" s="312" t="s">
        <v>435</v>
      </c>
    </row>
    <row r="53" s="271" customFormat="1" ht="22" customHeight="1" spans="1:48">
      <c r="A53" s="289">
        <v>45401</v>
      </c>
      <c r="B53" s="290">
        <v>1000019686</v>
      </c>
      <c r="C53" s="289">
        <v>77489</v>
      </c>
      <c r="D53" s="289" t="s">
        <v>433</v>
      </c>
      <c r="E53" s="298">
        <v>20000</v>
      </c>
      <c r="F53" s="289" t="s">
        <v>434</v>
      </c>
      <c r="G53" s="289" t="s">
        <v>432</v>
      </c>
      <c r="H53" s="292"/>
      <c r="I53" s="292"/>
      <c r="J53" s="292">
        <f>E53</f>
        <v>20000</v>
      </c>
      <c r="K53" s="292"/>
      <c r="L53" s="292"/>
      <c r="M53" s="292"/>
      <c r="N53" s="292"/>
      <c r="O53" s="292"/>
      <c r="P53" s="296"/>
      <c r="Q53" s="296"/>
      <c r="R53" s="296"/>
      <c r="S53" s="296"/>
      <c r="T53" s="296"/>
      <c r="U53" s="292"/>
      <c r="V53" s="312"/>
      <c r="X53" s="289">
        <v>45523</v>
      </c>
      <c r="Y53" s="290">
        <v>1000022640</v>
      </c>
      <c r="Z53" s="290">
        <v>77593</v>
      </c>
      <c r="AA53" s="290" t="s">
        <v>430</v>
      </c>
      <c r="AB53" s="292">
        <v>20000</v>
      </c>
      <c r="AC53" s="292" t="s">
        <v>438</v>
      </c>
      <c r="AD53" s="292" t="s">
        <v>432</v>
      </c>
      <c r="AE53" s="292">
        <f>AB53</f>
        <v>20000</v>
      </c>
      <c r="AF53" s="292"/>
      <c r="AG53" s="292"/>
      <c r="AH53" s="292"/>
      <c r="AI53" s="292"/>
      <c r="AJ53" s="292"/>
      <c r="AK53" s="292"/>
      <c r="AL53" s="292"/>
      <c r="AM53" s="292"/>
      <c r="AN53" s="292"/>
      <c r="AO53" s="292"/>
      <c r="AP53" s="292"/>
      <c r="AQ53" s="292"/>
      <c r="AR53" s="292"/>
      <c r="AS53" s="292"/>
      <c r="AT53" s="292"/>
      <c r="AU53" s="292"/>
      <c r="AV53" s="312"/>
    </row>
    <row r="54" s="271" customFormat="1" ht="22" customHeight="1" spans="1:48">
      <c r="A54" s="289">
        <v>45401</v>
      </c>
      <c r="B54" s="290">
        <v>1000019687</v>
      </c>
      <c r="C54" s="289">
        <v>77489</v>
      </c>
      <c r="D54" s="289" t="s">
        <v>430</v>
      </c>
      <c r="E54" s="298">
        <v>20000</v>
      </c>
      <c r="F54" s="289" t="s">
        <v>438</v>
      </c>
      <c r="G54" s="289" t="s">
        <v>432</v>
      </c>
      <c r="H54" s="292">
        <f>E54</f>
        <v>20000</v>
      </c>
      <c r="I54" s="292"/>
      <c r="J54" s="292"/>
      <c r="K54" s="292"/>
      <c r="L54" s="292"/>
      <c r="M54" s="292"/>
      <c r="N54" s="292"/>
      <c r="O54" s="292"/>
      <c r="P54" s="296"/>
      <c r="Q54" s="296"/>
      <c r="R54" s="296"/>
      <c r="S54" s="296"/>
      <c r="T54" s="296"/>
      <c r="U54" s="292"/>
      <c r="V54" s="312"/>
      <c r="X54" s="289">
        <v>45545</v>
      </c>
      <c r="Y54" s="290">
        <v>1000023096</v>
      </c>
      <c r="Z54" s="290" t="s">
        <v>11</v>
      </c>
      <c r="AA54" s="290" t="s">
        <v>455</v>
      </c>
      <c r="AB54" s="292">
        <v>500</v>
      </c>
      <c r="AC54" s="292" t="s">
        <v>438</v>
      </c>
      <c r="AD54" s="292" t="s">
        <v>432</v>
      </c>
      <c r="AE54" s="292"/>
      <c r="AF54" s="292"/>
      <c r="AG54" s="292"/>
      <c r="AH54" s="292"/>
      <c r="AI54" s="292"/>
      <c r="AJ54" s="292"/>
      <c r="AK54" s="292"/>
      <c r="AL54" s="292"/>
      <c r="AM54" s="292"/>
      <c r="AN54" s="292"/>
      <c r="AO54" s="292">
        <f>AB54</f>
        <v>500</v>
      </c>
      <c r="AP54" s="292"/>
      <c r="AQ54" s="292"/>
      <c r="AR54" s="292"/>
      <c r="AS54" s="292"/>
      <c r="AT54" s="292"/>
      <c r="AU54" s="292"/>
      <c r="AV54" s="312"/>
    </row>
    <row r="55" s="271" customFormat="1" ht="22" customHeight="1" spans="1:48">
      <c r="A55" s="289">
        <v>45401</v>
      </c>
      <c r="B55" s="290">
        <v>1000019688</v>
      </c>
      <c r="C55" s="289" t="s">
        <v>440</v>
      </c>
      <c r="D55" s="289" t="s">
        <v>441</v>
      </c>
      <c r="E55" s="298">
        <v>1146</v>
      </c>
      <c r="F55" s="289" t="s">
        <v>438</v>
      </c>
      <c r="G55" s="289" t="s">
        <v>432</v>
      </c>
      <c r="H55" s="292"/>
      <c r="I55" s="292"/>
      <c r="J55" s="292"/>
      <c r="K55" s="292"/>
      <c r="L55" s="292"/>
      <c r="M55" s="292">
        <f>E55</f>
        <v>1146</v>
      </c>
      <c r="N55" s="292"/>
      <c r="O55" s="292"/>
      <c r="P55" s="296"/>
      <c r="Q55" s="296"/>
      <c r="R55" s="296"/>
      <c r="S55" s="296"/>
      <c r="T55" s="296"/>
      <c r="U55" s="292"/>
      <c r="V55" s="312"/>
      <c r="X55" s="289">
        <v>45545</v>
      </c>
      <c r="Y55" s="290">
        <v>1000023097</v>
      </c>
      <c r="Z55" s="290" t="s">
        <v>490</v>
      </c>
      <c r="AA55" s="290" t="s">
        <v>451</v>
      </c>
      <c r="AB55" s="292">
        <v>200</v>
      </c>
      <c r="AC55" s="292" t="s">
        <v>438</v>
      </c>
      <c r="AD55" s="292" t="s">
        <v>432</v>
      </c>
      <c r="AE55" s="292"/>
      <c r="AF55" s="292"/>
      <c r="AG55" s="292"/>
      <c r="AH55" s="292">
        <f>AB55</f>
        <v>200</v>
      </c>
      <c r="AI55" s="292"/>
      <c r="AJ55" s="292"/>
      <c r="AK55" s="292"/>
      <c r="AL55" s="292"/>
      <c r="AM55" s="292"/>
      <c r="AN55" s="292"/>
      <c r="AO55" s="292"/>
      <c r="AP55" s="292"/>
      <c r="AQ55" s="292"/>
      <c r="AR55" s="292"/>
      <c r="AS55" s="292"/>
      <c r="AT55" s="292"/>
      <c r="AU55" s="292"/>
      <c r="AV55" s="312"/>
    </row>
    <row r="56" s="271" customFormat="1" ht="22" customHeight="1" spans="1:48">
      <c r="A56" s="299"/>
      <c r="B56" s="299"/>
      <c r="C56" s="299"/>
      <c r="D56" s="299"/>
      <c r="E56" s="299"/>
      <c r="F56" s="299"/>
      <c r="G56" s="299"/>
      <c r="H56" s="292"/>
      <c r="I56" s="292"/>
      <c r="J56" s="292"/>
      <c r="K56" s="292"/>
      <c r="L56" s="292"/>
      <c r="M56" s="292"/>
      <c r="N56" s="292"/>
      <c r="O56" s="292"/>
      <c r="P56" s="296"/>
      <c r="Q56" s="296"/>
      <c r="R56" s="296"/>
      <c r="S56" s="296"/>
      <c r="T56" s="296"/>
      <c r="U56" s="292"/>
      <c r="V56" s="312"/>
      <c r="X56" s="289">
        <v>45545</v>
      </c>
      <c r="Y56" s="290">
        <v>1000023098</v>
      </c>
      <c r="Z56" s="290" t="s">
        <v>72</v>
      </c>
      <c r="AA56" s="290" t="s">
        <v>454</v>
      </c>
      <c r="AB56" s="292">
        <v>200</v>
      </c>
      <c r="AC56" s="292" t="s">
        <v>438</v>
      </c>
      <c r="AD56" s="292" t="s">
        <v>432</v>
      </c>
      <c r="AE56" s="292"/>
      <c r="AF56" s="292"/>
      <c r="AG56" s="292"/>
      <c r="AH56" s="292"/>
      <c r="AI56" s="292">
        <f>AB56</f>
        <v>200</v>
      </c>
      <c r="AJ56" s="292"/>
      <c r="AK56" s="292"/>
      <c r="AL56" s="292"/>
      <c r="AM56" s="292"/>
      <c r="AN56" s="292"/>
      <c r="AO56" s="292"/>
      <c r="AP56" s="292"/>
      <c r="AQ56" s="292"/>
      <c r="AR56" s="292"/>
      <c r="AS56" s="292"/>
      <c r="AT56" s="292"/>
      <c r="AU56" s="292"/>
      <c r="AV56" s="312"/>
    </row>
    <row r="57" s="271" customFormat="1" ht="22" customHeight="1" spans="1:48">
      <c r="A57" s="289"/>
      <c r="B57" s="289"/>
      <c r="C57" s="290"/>
      <c r="D57" s="289"/>
      <c r="E57" s="298"/>
      <c r="F57" s="289"/>
      <c r="G57" s="289"/>
      <c r="H57" s="292"/>
      <c r="I57" s="292"/>
      <c r="J57" s="292"/>
      <c r="K57" s="292"/>
      <c r="L57" s="292"/>
      <c r="M57" s="292"/>
      <c r="N57" s="292"/>
      <c r="O57" s="292"/>
      <c r="P57" s="296"/>
      <c r="Q57" s="296"/>
      <c r="R57" s="296"/>
      <c r="S57" s="296"/>
      <c r="T57" s="296"/>
      <c r="U57" s="292"/>
      <c r="V57" s="312"/>
      <c r="X57" s="289">
        <v>45554</v>
      </c>
      <c r="Y57" s="290">
        <v>1000023233</v>
      </c>
      <c r="Z57" s="290">
        <v>77593</v>
      </c>
      <c r="AA57" s="290" t="s">
        <v>433</v>
      </c>
      <c r="AB57" s="292">
        <v>100000</v>
      </c>
      <c r="AC57" s="292" t="s">
        <v>434</v>
      </c>
      <c r="AD57" s="292" t="s">
        <v>432</v>
      </c>
      <c r="AE57" s="292"/>
      <c r="AF57" s="292"/>
      <c r="AG57" s="292">
        <f>AB57</f>
        <v>100000</v>
      </c>
      <c r="AH57" s="292"/>
      <c r="AI57" s="292"/>
      <c r="AJ57" s="292"/>
      <c r="AK57" s="292"/>
      <c r="AL57" s="292"/>
      <c r="AM57" s="292"/>
      <c r="AN57" s="292"/>
      <c r="AO57" s="292"/>
      <c r="AP57" s="292"/>
      <c r="AQ57" s="292"/>
      <c r="AR57" s="292"/>
      <c r="AS57" s="292"/>
      <c r="AT57" s="292"/>
      <c r="AU57" s="292"/>
      <c r="AV57" s="312"/>
    </row>
    <row r="58" s="271" customFormat="1" ht="22" customHeight="1" spans="1:48">
      <c r="A58" s="289"/>
      <c r="B58" s="289"/>
      <c r="C58" s="289"/>
      <c r="D58" s="289"/>
      <c r="E58" s="298"/>
      <c r="F58" s="289"/>
      <c r="G58" s="289"/>
      <c r="H58" s="292"/>
      <c r="I58" s="292"/>
      <c r="J58" s="292"/>
      <c r="K58" s="292"/>
      <c r="L58" s="292"/>
      <c r="M58" s="292"/>
      <c r="N58" s="292"/>
      <c r="O58" s="292"/>
      <c r="P58" s="296"/>
      <c r="Q58" s="296"/>
      <c r="R58" s="296"/>
      <c r="S58" s="296"/>
      <c r="T58" s="296"/>
      <c r="U58" s="292"/>
      <c r="V58" s="312"/>
      <c r="X58" s="289">
        <v>45554</v>
      </c>
      <c r="Y58" s="290">
        <v>1000023234</v>
      </c>
      <c r="Z58" s="290">
        <v>77593</v>
      </c>
      <c r="AA58" s="290" t="s">
        <v>430</v>
      </c>
      <c r="AB58" s="292">
        <v>100000</v>
      </c>
      <c r="AC58" s="292" t="s">
        <v>438</v>
      </c>
      <c r="AD58" s="292" t="s">
        <v>432</v>
      </c>
      <c r="AE58" s="292">
        <f>AB58</f>
        <v>100000</v>
      </c>
      <c r="AF58" s="292"/>
      <c r="AG58" s="292"/>
      <c r="AH58" s="292"/>
      <c r="AI58" s="292"/>
      <c r="AJ58" s="292"/>
      <c r="AK58" s="292"/>
      <c r="AL58" s="292"/>
      <c r="AM58" s="292"/>
      <c r="AN58" s="292"/>
      <c r="AO58" s="292"/>
      <c r="AP58" s="292"/>
      <c r="AQ58" s="292"/>
      <c r="AR58" s="292"/>
      <c r="AS58" s="292"/>
      <c r="AT58" s="292"/>
      <c r="AU58" s="292"/>
      <c r="AV58" s="312"/>
    </row>
    <row r="59" s="271" customFormat="1" ht="22" customHeight="1" spans="1:48">
      <c r="A59" s="289"/>
      <c r="B59" s="289"/>
      <c r="C59" s="289"/>
      <c r="D59" s="289"/>
      <c r="E59" s="298"/>
      <c r="F59" s="289"/>
      <c r="G59" s="289"/>
      <c r="H59" s="292"/>
      <c r="I59" s="292"/>
      <c r="J59" s="292"/>
      <c r="K59" s="292"/>
      <c r="L59" s="292"/>
      <c r="M59" s="292"/>
      <c r="N59" s="292"/>
      <c r="O59" s="292"/>
      <c r="P59" s="296"/>
      <c r="Q59" s="296"/>
      <c r="R59" s="296"/>
      <c r="S59" s="296"/>
      <c r="T59" s="296"/>
      <c r="U59" s="292"/>
      <c r="V59" s="312"/>
      <c r="X59" s="289">
        <v>45560</v>
      </c>
      <c r="Y59" s="290">
        <v>1000023363</v>
      </c>
      <c r="Z59" s="290" t="s">
        <v>10</v>
      </c>
      <c r="AA59" s="290" t="s">
        <v>442</v>
      </c>
      <c r="AB59" s="292">
        <v>500</v>
      </c>
      <c r="AC59" s="292" t="s">
        <v>438</v>
      </c>
      <c r="AD59" s="292" t="s">
        <v>432</v>
      </c>
      <c r="AE59" s="292"/>
      <c r="AF59" s="292"/>
      <c r="AG59" s="292"/>
      <c r="AH59" s="292"/>
      <c r="AI59" s="292"/>
      <c r="AJ59" s="292"/>
      <c r="AK59" s="292"/>
      <c r="AL59" s="292"/>
      <c r="AM59" s="292">
        <f>AB59</f>
        <v>500</v>
      </c>
      <c r="AN59" s="292"/>
      <c r="AO59" s="292"/>
      <c r="AP59" s="292"/>
      <c r="AQ59" s="292"/>
      <c r="AR59" s="292"/>
      <c r="AS59" s="292"/>
      <c r="AT59" s="292"/>
      <c r="AU59" s="292"/>
      <c r="AV59" s="312"/>
    </row>
    <row r="60" s="271" customFormat="1" ht="22" customHeight="1" spans="1:48">
      <c r="A60" s="289"/>
      <c r="B60" s="289"/>
      <c r="C60" s="289"/>
      <c r="D60" s="289"/>
      <c r="E60" s="298"/>
      <c r="F60" s="289"/>
      <c r="G60" s="289"/>
      <c r="H60" s="292"/>
      <c r="I60" s="292"/>
      <c r="J60" s="292"/>
      <c r="K60" s="292"/>
      <c r="L60" s="292"/>
      <c r="M60" s="292"/>
      <c r="N60" s="292"/>
      <c r="O60" s="292"/>
      <c r="P60" s="296"/>
      <c r="Q60" s="296"/>
      <c r="R60" s="296"/>
      <c r="S60" s="296"/>
      <c r="T60" s="296"/>
      <c r="U60" s="292"/>
      <c r="V60" s="312"/>
      <c r="X60" s="289">
        <v>45564</v>
      </c>
      <c r="Y60" s="290">
        <v>1000023485</v>
      </c>
      <c r="Z60" s="290" t="s">
        <v>11</v>
      </c>
      <c r="AA60" s="290" t="s">
        <v>455</v>
      </c>
      <c r="AB60" s="292">
        <v>500</v>
      </c>
      <c r="AC60" s="292" t="s">
        <v>438</v>
      </c>
      <c r="AD60" s="292" t="s">
        <v>432</v>
      </c>
      <c r="AE60" s="292"/>
      <c r="AF60" s="292"/>
      <c r="AG60" s="292"/>
      <c r="AH60" s="292"/>
      <c r="AI60" s="292"/>
      <c r="AJ60" s="292"/>
      <c r="AK60" s="292"/>
      <c r="AL60" s="292"/>
      <c r="AM60" s="292"/>
      <c r="AN60" s="292"/>
      <c r="AO60" s="292">
        <f>AB60</f>
        <v>500</v>
      </c>
      <c r="AP60" s="292"/>
      <c r="AQ60" s="292"/>
      <c r="AR60" s="292"/>
      <c r="AS60" s="292"/>
      <c r="AT60" s="292"/>
      <c r="AU60" s="292"/>
      <c r="AV60" s="312"/>
    </row>
    <row r="61" s="271" customFormat="1" ht="22" customHeight="1" spans="1:48">
      <c r="A61" s="289"/>
      <c r="B61" s="289"/>
      <c r="C61" s="289"/>
      <c r="D61" s="289"/>
      <c r="E61" s="298"/>
      <c r="F61" s="289"/>
      <c r="G61" s="289"/>
      <c r="H61" s="292"/>
      <c r="I61" s="292"/>
      <c r="J61" s="292"/>
      <c r="K61" s="292"/>
      <c r="L61" s="292"/>
      <c r="M61" s="292"/>
      <c r="N61" s="292"/>
      <c r="O61" s="292"/>
      <c r="P61" s="296"/>
      <c r="Q61" s="296"/>
      <c r="R61" s="296"/>
      <c r="S61" s="296"/>
      <c r="T61" s="296"/>
      <c r="U61" s="292"/>
      <c r="V61" s="312"/>
      <c r="X61" s="313">
        <v>45604</v>
      </c>
      <c r="Y61" s="315">
        <v>1000024310</v>
      </c>
      <c r="Z61" s="315">
        <v>77593</v>
      </c>
      <c r="AA61" s="315" t="s">
        <v>433</v>
      </c>
      <c r="AB61" s="316">
        <v>90000</v>
      </c>
      <c r="AC61" s="316" t="s">
        <v>434</v>
      </c>
      <c r="AD61" s="316" t="s">
        <v>432</v>
      </c>
      <c r="AE61" s="292"/>
      <c r="AF61" s="292"/>
      <c r="AG61" s="292">
        <f>AB61</f>
        <v>90000</v>
      </c>
      <c r="AH61" s="292"/>
      <c r="AI61" s="292"/>
      <c r="AJ61" s="292"/>
      <c r="AK61" s="292"/>
      <c r="AL61" s="292"/>
      <c r="AM61" s="292"/>
      <c r="AN61" s="292"/>
      <c r="AO61" s="292"/>
      <c r="AP61" s="292"/>
      <c r="AQ61" s="292"/>
      <c r="AR61" s="292"/>
      <c r="AS61" s="292"/>
      <c r="AT61" s="292"/>
      <c r="AU61" s="292"/>
      <c r="AV61" s="312"/>
    </row>
    <row r="62" s="271" customFormat="1" ht="22" customHeight="1" spans="1:48">
      <c r="A62" s="289"/>
      <c r="B62" s="289"/>
      <c r="C62" s="289"/>
      <c r="D62" s="289"/>
      <c r="E62" s="298"/>
      <c r="F62" s="289"/>
      <c r="G62" s="289"/>
      <c r="H62" s="292"/>
      <c r="I62" s="292"/>
      <c r="J62" s="292"/>
      <c r="K62" s="292"/>
      <c r="L62" s="292"/>
      <c r="M62" s="292"/>
      <c r="N62" s="292"/>
      <c r="O62" s="292"/>
      <c r="P62" s="296"/>
      <c r="Q62" s="296"/>
      <c r="R62" s="296"/>
      <c r="S62" s="296"/>
      <c r="T62" s="296"/>
      <c r="U62" s="292"/>
      <c r="V62" s="312"/>
      <c r="X62" s="313">
        <v>45604</v>
      </c>
      <c r="Y62" s="315">
        <v>1000024311</v>
      </c>
      <c r="Z62" s="315">
        <v>77593</v>
      </c>
      <c r="AA62" s="315" t="s">
        <v>430</v>
      </c>
      <c r="AB62" s="316">
        <v>70000</v>
      </c>
      <c r="AC62" s="316" t="s">
        <v>438</v>
      </c>
      <c r="AD62" s="316" t="s">
        <v>432</v>
      </c>
      <c r="AE62" s="292">
        <f>AB62</f>
        <v>70000</v>
      </c>
      <c r="AF62" s="292"/>
      <c r="AG62" s="292"/>
      <c r="AH62" s="292"/>
      <c r="AI62" s="292"/>
      <c r="AJ62" s="292"/>
      <c r="AK62" s="292"/>
      <c r="AL62" s="292"/>
      <c r="AM62" s="292"/>
      <c r="AN62" s="292"/>
      <c r="AO62" s="292"/>
      <c r="AP62" s="292"/>
      <c r="AQ62" s="292"/>
      <c r="AR62" s="292"/>
      <c r="AS62" s="292"/>
      <c r="AT62" s="292"/>
      <c r="AU62" s="292"/>
      <c r="AV62" s="312"/>
    </row>
    <row r="63" s="271" customFormat="1" ht="22" customHeight="1" spans="1:48">
      <c r="A63" s="289"/>
      <c r="B63" s="289"/>
      <c r="C63" s="289"/>
      <c r="D63" s="289"/>
      <c r="E63" s="298"/>
      <c r="F63" s="289"/>
      <c r="G63" s="289"/>
      <c r="H63" s="292"/>
      <c r="I63" s="292"/>
      <c r="J63" s="292"/>
      <c r="K63" s="292"/>
      <c r="L63" s="292"/>
      <c r="M63" s="292"/>
      <c r="N63" s="292"/>
      <c r="O63" s="292"/>
      <c r="P63" s="296"/>
      <c r="Q63" s="296"/>
      <c r="R63" s="296"/>
      <c r="S63" s="296"/>
      <c r="T63" s="296"/>
      <c r="U63" s="292"/>
      <c r="V63" s="312"/>
      <c r="X63" s="313">
        <v>45604</v>
      </c>
      <c r="Y63" s="315">
        <v>1000024312</v>
      </c>
      <c r="Z63" s="315">
        <v>77593</v>
      </c>
      <c r="AA63" s="315" t="s">
        <v>430</v>
      </c>
      <c r="AB63" s="316">
        <v>20000</v>
      </c>
      <c r="AC63" s="316" t="s">
        <v>464</v>
      </c>
      <c r="AD63" s="316" t="s">
        <v>432</v>
      </c>
      <c r="AE63" s="292"/>
      <c r="AF63" s="292">
        <f>AB63</f>
        <v>20000</v>
      </c>
      <c r="AG63" s="292"/>
      <c r="AH63" s="292"/>
      <c r="AI63" s="292"/>
      <c r="AJ63" s="292"/>
      <c r="AK63" s="292"/>
      <c r="AL63" s="292"/>
      <c r="AM63" s="292"/>
      <c r="AN63" s="292"/>
      <c r="AO63" s="292"/>
      <c r="AP63" s="292"/>
      <c r="AQ63" s="292"/>
      <c r="AR63" s="292"/>
      <c r="AS63" s="292"/>
      <c r="AT63" s="292"/>
      <c r="AU63" s="292"/>
      <c r="AV63" s="312"/>
    </row>
    <row r="64" s="271" customFormat="1" ht="22" customHeight="1" spans="1:48">
      <c r="A64" s="289"/>
      <c r="B64" s="289"/>
      <c r="C64" s="289"/>
      <c r="D64" s="289"/>
      <c r="E64" s="298"/>
      <c r="F64" s="289"/>
      <c r="G64" s="289"/>
      <c r="H64" s="292"/>
      <c r="I64" s="292"/>
      <c r="J64" s="292"/>
      <c r="K64" s="292"/>
      <c r="L64" s="292"/>
      <c r="M64" s="292"/>
      <c r="N64" s="292"/>
      <c r="O64" s="292"/>
      <c r="P64" s="296"/>
      <c r="Q64" s="296"/>
      <c r="R64" s="296"/>
      <c r="S64" s="296"/>
      <c r="T64" s="296"/>
      <c r="U64" s="292"/>
      <c r="V64" s="312"/>
      <c r="X64" s="313">
        <v>45604</v>
      </c>
      <c r="Y64" s="315">
        <v>1000024313</v>
      </c>
      <c r="Z64" s="315" t="s">
        <v>10</v>
      </c>
      <c r="AA64" s="315" t="s">
        <v>442</v>
      </c>
      <c r="AB64" s="316">
        <v>1601</v>
      </c>
      <c r="AC64" s="316" t="s">
        <v>438</v>
      </c>
      <c r="AD64" s="316" t="s">
        <v>432</v>
      </c>
      <c r="AE64" s="292"/>
      <c r="AF64" s="292"/>
      <c r="AG64" s="292"/>
      <c r="AH64" s="292"/>
      <c r="AI64" s="292"/>
      <c r="AJ64" s="292"/>
      <c r="AK64" s="292"/>
      <c r="AL64" s="292"/>
      <c r="AM64" s="292">
        <f>AB64</f>
        <v>1601</v>
      </c>
      <c r="AN64" s="292"/>
      <c r="AO64" s="292"/>
      <c r="AP64" s="292"/>
      <c r="AQ64" s="292"/>
      <c r="AR64" s="292"/>
      <c r="AS64" s="292"/>
      <c r="AT64" s="292"/>
      <c r="AU64" s="292"/>
      <c r="AV64" s="312"/>
    </row>
    <row r="65" s="271" customFormat="1" ht="22" customHeight="1" spans="1:48">
      <c r="A65" s="289"/>
      <c r="B65" s="289"/>
      <c r="C65" s="289"/>
      <c r="D65" s="289"/>
      <c r="E65" s="298"/>
      <c r="F65" s="289"/>
      <c r="G65" s="289"/>
      <c r="H65" s="292"/>
      <c r="I65" s="292"/>
      <c r="J65" s="292"/>
      <c r="K65" s="292"/>
      <c r="L65" s="292"/>
      <c r="M65" s="292"/>
      <c r="N65" s="292"/>
      <c r="O65" s="292"/>
      <c r="P65" s="296"/>
      <c r="Q65" s="296"/>
      <c r="R65" s="296"/>
      <c r="S65" s="296"/>
      <c r="T65" s="296"/>
      <c r="U65" s="292"/>
      <c r="V65" s="312"/>
      <c r="X65" s="313">
        <v>45604</v>
      </c>
      <c r="Y65" s="315">
        <v>1000024314</v>
      </c>
      <c r="Z65" s="315" t="s">
        <v>10</v>
      </c>
      <c r="AA65" s="315" t="s">
        <v>442</v>
      </c>
      <c r="AB65" s="316">
        <v>500</v>
      </c>
      <c r="AC65" s="316" t="s">
        <v>464</v>
      </c>
      <c r="AD65" s="316" t="s">
        <v>432</v>
      </c>
      <c r="AE65" s="292"/>
      <c r="AF65" s="292"/>
      <c r="AG65" s="292"/>
      <c r="AH65" s="292"/>
      <c r="AI65" s="292"/>
      <c r="AJ65" s="292"/>
      <c r="AK65" s="292"/>
      <c r="AL65" s="292"/>
      <c r="AM65" s="292"/>
      <c r="AN65" s="292">
        <f>AB65</f>
        <v>500</v>
      </c>
      <c r="AO65" s="292"/>
      <c r="AP65" s="292"/>
      <c r="AQ65" s="292"/>
      <c r="AR65" s="292"/>
      <c r="AS65" s="292"/>
      <c r="AT65" s="292"/>
      <c r="AU65" s="292"/>
      <c r="AV65" s="312"/>
    </row>
    <row r="66" s="271" customFormat="1" ht="22" customHeight="1" spans="1:48">
      <c r="A66" s="289"/>
      <c r="B66" s="289"/>
      <c r="C66" s="289"/>
      <c r="D66" s="289"/>
      <c r="E66" s="298"/>
      <c r="F66" s="289"/>
      <c r="G66" s="289"/>
      <c r="H66" s="292"/>
      <c r="I66" s="292"/>
      <c r="J66" s="292"/>
      <c r="K66" s="292"/>
      <c r="L66" s="292"/>
      <c r="M66" s="292"/>
      <c r="N66" s="292"/>
      <c r="O66" s="292"/>
      <c r="P66" s="296"/>
      <c r="Q66" s="296"/>
      <c r="R66" s="296"/>
      <c r="S66" s="296"/>
      <c r="T66" s="296"/>
      <c r="U66" s="292"/>
      <c r="V66" s="312"/>
      <c r="X66" s="313">
        <v>45624</v>
      </c>
      <c r="Y66" s="315">
        <v>1000024797</v>
      </c>
      <c r="Z66" s="315">
        <v>77593</v>
      </c>
      <c r="AA66" s="315" t="s">
        <v>433</v>
      </c>
      <c r="AB66" s="316">
        <v>20000</v>
      </c>
      <c r="AC66" s="316" t="s">
        <v>434</v>
      </c>
      <c r="AD66" s="316" t="s">
        <v>432</v>
      </c>
      <c r="AE66" s="292"/>
      <c r="AF66" s="292"/>
      <c r="AG66" s="292">
        <f>AB66</f>
        <v>20000</v>
      </c>
      <c r="AH66" s="292"/>
      <c r="AI66" s="292"/>
      <c r="AJ66" s="292"/>
      <c r="AK66" s="292"/>
      <c r="AL66" s="292"/>
      <c r="AM66" s="292"/>
      <c r="AN66" s="292"/>
      <c r="AO66" s="292"/>
      <c r="AP66" s="292"/>
      <c r="AQ66" s="292"/>
      <c r="AR66" s="292"/>
      <c r="AS66" s="292"/>
      <c r="AT66" s="292"/>
      <c r="AU66" s="292"/>
      <c r="AV66" s="312"/>
    </row>
    <row r="67" s="271" customFormat="1" ht="22" customHeight="1" spans="1:48">
      <c r="A67" s="289"/>
      <c r="B67" s="289"/>
      <c r="C67" s="289"/>
      <c r="D67" s="289"/>
      <c r="E67" s="298"/>
      <c r="F67" s="289"/>
      <c r="G67" s="289"/>
      <c r="H67" s="292"/>
      <c r="I67" s="292"/>
      <c r="J67" s="292"/>
      <c r="K67" s="292"/>
      <c r="L67" s="292"/>
      <c r="M67" s="292"/>
      <c r="N67" s="292"/>
      <c r="O67" s="292"/>
      <c r="P67" s="296"/>
      <c r="Q67" s="296"/>
      <c r="R67" s="296"/>
      <c r="S67" s="296"/>
      <c r="T67" s="296"/>
      <c r="U67" s="292"/>
      <c r="V67" s="312"/>
      <c r="X67" s="313">
        <v>45624</v>
      </c>
      <c r="Y67" s="315">
        <v>1000024798</v>
      </c>
      <c r="Z67" s="315">
        <v>77593</v>
      </c>
      <c r="AA67" s="315" t="s">
        <v>430</v>
      </c>
      <c r="AB67" s="316">
        <v>20000</v>
      </c>
      <c r="AC67" s="316" t="s">
        <v>438</v>
      </c>
      <c r="AD67" s="316" t="s">
        <v>432</v>
      </c>
      <c r="AE67" s="292">
        <f>AB67</f>
        <v>20000</v>
      </c>
      <c r="AF67" s="292"/>
      <c r="AG67" s="292"/>
      <c r="AH67" s="292"/>
      <c r="AI67" s="292"/>
      <c r="AJ67" s="292"/>
      <c r="AK67" s="292"/>
      <c r="AL67" s="292"/>
      <c r="AM67" s="292"/>
      <c r="AN67" s="292"/>
      <c r="AO67" s="292"/>
      <c r="AP67" s="292"/>
      <c r="AQ67" s="292"/>
      <c r="AR67" s="292"/>
      <c r="AS67" s="292"/>
      <c r="AT67" s="292"/>
      <c r="AU67" s="292"/>
      <c r="AV67" s="312"/>
    </row>
    <row r="68" s="271" customFormat="1" ht="22" customHeight="1" spans="1:48">
      <c r="A68" s="289"/>
      <c r="B68" s="289"/>
      <c r="C68" s="289"/>
      <c r="D68" s="289"/>
      <c r="E68" s="298"/>
      <c r="F68" s="289"/>
      <c r="G68" s="289"/>
      <c r="H68" s="292"/>
      <c r="I68" s="292"/>
      <c r="J68" s="292"/>
      <c r="K68" s="292"/>
      <c r="L68" s="292"/>
      <c r="M68" s="292"/>
      <c r="N68" s="292"/>
      <c r="O68" s="292"/>
      <c r="P68" s="296"/>
      <c r="Q68" s="296"/>
      <c r="R68" s="296"/>
      <c r="S68" s="296"/>
      <c r="T68" s="296"/>
      <c r="U68" s="292"/>
      <c r="V68" s="312"/>
      <c r="X68" s="313">
        <v>45624</v>
      </c>
      <c r="Y68" s="315">
        <v>1000024799</v>
      </c>
      <c r="Z68" s="315" t="s">
        <v>11</v>
      </c>
      <c r="AA68" s="315" t="s">
        <v>455</v>
      </c>
      <c r="AB68" s="316">
        <v>500</v>
      </c>
      <c r="AC68" s="316" t="s">
        <v>438</v>
      </c>
      <c r="AD68" s="316" t="s">
        <v>432</v>
      </c>
      <c r="AE68" s="292"/>
      <c r="AF68" s="292"/>
      <c r="AG68" s="292"/>
      <c r="AH68" s="292"/>
      <c r="AI68" s="292"/>
      <c r="AJ68" s="292"/>
      <c r="AK68" s="292"/>
      <c r="AL68" s="292"/>
      <c r="AM68" s="292"/>
      <c r="AN68" s="292"/>
      <c r="AO68" s="292">
        <f>AB68</f>
        <v>500</v>
      </c>
      <c r="AP68" s="292"/>
      <c r="AQ68" s="292"/>
      <c r="AR68" s="292"/>
      <c r="AS68" s="292"/>
      <c r="AT68" s="292"/>
      <c r="AU68" s="292"/>
      <c r="AV68" s="312"/>
    </row>
    <row r="69" s="271" customFormat="1" ht="22" customHeight="1" spans="1:48">
      <c r="A69" s="289"/>
      <c r="B69" s="289"/>
      <c r="C69" s="289"/>
      <c r="D69" s="289"/>
      <c r="E69" s="298"/>
      <c r="F69" s="289"/>
      <c r="G69" s="289"/>
      <c r="H69" s="292"/>
      <c r="I69" s="292"/>
      <c r="J69" s="292"/>
      <c r="K69" s="292"/>
      <c r="L69" s="292"/>
      <c r="M69" s="292"/>
      <c r="N69" s="292"/>
      <c r="O69" s="292"/>
      <c r="P69" s="296"/>
      <c r="Q69" s="296"/>
      <c r="R69" s="296"/>
      <c r="S69" s="296"/>
      <c r="T69" s="296"/>
      <c r="U69" s="292"/>
      <c r="V69" s="312"/>
      <c r="X69" s="313">
        <v>45653</v>
      </c>
      <c r="Y69" s="315">
        <v>1000025345</v>
      </c>
      <c r="Z69" s="315">
        <v>77593</v>
      </c>
      <c r="AA69" s="315" t="s">
        <v>433</v>
      </c>
      <c r="AB69" s="316">
        <v>20000</v>
      </c>
      <c r="AC69" s="316" t="s">
        <v>434</v>
      </c>
      <c r="AD69" s="316" t="s">
        <v>494</v>
      </c>
      <c r="AE69" s="292"/>
      <c r="AF69" s="292"/>
      <c r="AG69" s="292">
        <f>AB69</f>
        <v>20000</v>
      </c>
      <c r="AH69" s="292"/>
      <c r="AI69" s="292"/>
      <c r="AJ69" s="292"/>
      <c r="AK69" s="292"/>
      <c r="AL69" s="292"/>
      <c r="AM69" s="292"/>
      <c r="AN69" s="292"/>
      <c r="AO69" s="292"/>
      <c r="AP69" s="292"/>
      <c r="AQ69" s="292"/>
      <c r="AR69" s="292"/>
      <c r="AS69" s="292"/>
      <c r="AT69" s="292"/>
      <c r="AU69" s="292"/>
      <c r="AV69" s="312"/>
    </row>
    <row r="70" s="271" customFormat="1" ht="22" customHeight="1" spans="1:48">
      <c r="A70" s="289"/>
      <c r="B70" s="290"/>
      <c r="C70" s="290"/>
      <c r="D70" s="290"/>
      <c r="E70" s="292"/>
      <c r="F70" s="292"/>
      <c r="G70" s="292"/>
      <c r="H70" s="292"/>
      <c r="I70" s="292"/>
      <c r="J70" s="292"/>
      <c r="K70" s="292"/>
      <c r="L70" s="296"/>
      <c r="M70" s="292"/>
      <c r="N70" s="296"/>
      <c r="O70" s="296"/>
      <c r="P70" s="296"/>
      <c r="Q70" s="296"/>
      <c r="R70" s="296"/>
      <c r="S70" s="296"/>
      <c r="T70" s="296"/>
      <c r="U70" s="292"/>
      <c r="V70" s="312"/>
      <c r="X70" s="313">
        <v>45653</v>
      </c>
      <c r="Y70" s="315">
        <v>1000025346</v>
      </c>
      <c r="Z70" s="315" t="s">
        <v>10</v>
      </c>
      <c r="AA70" s="315" t="s">
        <v>442</v>
      </c>
      <c r="AB70" s="316">
        <v>500</v>
      </c>
      <c r="AC70" s="316" t="s">
        <v>438</v>
      </c>
      <c r="AD70" s="316" t="s">
        <v>494</v>
      </c>
      <c r="AE70" s="292"/>
      <c r="AF70" s="292"/>
      <c r="AG70" s="292"/>
      <c r="AH70" s="292"/>
      <c r="AI70" s="292"/>
      <c r="AJ70" s="292"/>
      <c r="AK70" s="292"/>
      <c r="AL70" s="292"/>
      <c r="AM70" s="292">
        <f>AB70</f>
        <v>500</v>
      </c>
      <c r="AN70" s="292"/>
      <c r="AO70" s="292"/>
      <c r="AP70" s="292"/>
      <c r="AQ70" s="292"/>
      <c r="AR70" s="292"/>
      <c r="AS70" s="292"/>
      <c r="AT70" s="292"/>
      <c r="AU70" s="292"/>
      <c r="AV70" s="312"/>
    </row>
    <row r="71" s="271" customFormat="1" ht="22" customHeight="1" spans="1:48">
      <c r="A71" s="289"/>
      <c r="B71" s="290"/>
      <c r="C71" s="290"/>
      <c r="D71" s="290"/>
      <c r="E71" s="292"/>
      <c r="F71" s="292"/>
      <c r="G71" s="292"/>
      <c r="H71" s="292"/>
      <c r="I71" s="292"/>
      <c r="J71" s="292"/>
      <c r="K71" s="292"/>
      <c r="L71" s="296"/>
      <c r="M71" s="292"/>
      <c r="N71" s="296"/>
      <c r="O71" s="296"/>
      <c r="P71" s="296"/>
      <c r="Q71" s="296"/>
      <c r="R71" s="296"/>
      <c r="S71" s="296"/>
      <c r="T71" s="296"/>
      <c r="U71" s="292"/>
      <c r="V71" s="312"/>
      <c r="X71" s="313">
        <v>45714</v>
      </c>
      <c r="Y71" s="315"/>
      <c r="Z71" s="315">
        <v>77593</v>
      </c>
      <c r="AA71" s="315" t="s">
        <v>433</v>
      </c>
      <c r="AB71" s="316">
        <v>20000</v>
      </c>
      <c r="AC71" s="316" t="s">
        <v>434</v>
      </c>
      <c r="AD71" s="316" t="s">
        <v>494</v>
      </c>
      <c r="AE71" s="292"/>
      <c r="AF71" s="292"/>
      <c r="AG71" s="292">
        <f>AB71</f>
        <v>20000</v>
      </c>
      <c r="AH71" s="292"/>
      <c r="AI71" s="292"/>
      <c r="AJ71" s="292"/>
      <c r="AK71" s="292"/>
      <c r="AL71" s="292"/>
      <c r="AM71" s="292"/>
      <c r="AN71" s="292"/>
      <c r="AO71" s="292"/>
      <c r="AP71" s="292"/>
      <c r="AQ71" s="292"/>
      <c r="AR71" s="292"/>
      <c r="AS71" s="292"/>
      <c r="AT71" s="292"/>
      <c r="AU71" s="292"/>
      <c r="AV71" s="312" t="s">
        <v>495</v>
      </c>
    </row>
    <row r="72" s="271" customFormat="1" ht="22" customHeight="1" spans="1:48">
      <c r="A72" s="289"/>
      <c r="B72" s="290"/>
      <c r="C72" s="290"/>
      <c r="D72" s="290"/>
      <c r="E72" s="292"/>
      <c r="F72" s="292"/>
      <c r="G72" s="292"/>
      <c r="H72" s="292"/>
      <c r="I72" s="292"/>
      <c r="J72" s="292"/>
      <c r="K72" s="292"/>
      <c r="L72" s="296"/>
      <c r="M72" s="292"/>
      <c r="N72" s="296"/>
      <c r="O72" s="296"/>
      <c r="P72" s="296"/>
      <c r="Q72" s="296"/>
      <c r="R72" s="296"/>
      <c r="S72" s="296"/>
      <c r="T72" s="296"/>
      <c r="U72" s="292"/>
      <c r="V72" s="312"/>
      <c r="X72" s="313">
        <v>45714</v>
      </c>
      <c r="Y72" s="315"/>
      <c r="Z72" s="315">
        <v>77593</v>
      </c>
      <c r="AA72" s="315" t="s">
        <v>430</v>
      </c>
      <c r="AB72" s="316">
        <v>20000</v>
      </c>
      <c r="AC72" s="316" t="s">
        <v>464</v>
      </c>
      <c r="AD72" s="316" t="s">
        <v>494</v>
      </c>
      <c r="AE72" s="292"/>
      <c r="AF72" s="292">
        <f>AB72</f>
        <v>20000</v>
      </c>
      <c r="AG72" s="292"/>
      <c r="AH72" s="292"/>
      <c r="AI72" s="292"/>
      <c r="AJ72" s="292"/>
      <c r="AK72" s="292"/>
      <c r="AL72" s="292"/>
      <c r="AM72" s="292"/>
      <c r="AN72" s="292"/>
      <c r="AO72" s="292"/>
      <c r="AP72" s="292"/>
      <c r="AQ72" s="292"/>
      <c r="AR72" s="292"/>
      <c r="AS72" s="292"/>
      <c r="AT72" s="292"/>
      <c r="AU72" s="292"/>
      <c r="AV72" s="312" t="s">
        <v>495</v>
      </c>
    </row>
    <row r="73" s="271" customFormat="1" ht="22" customHeight="1" spans="1:48">
      <c r="A73" s="289"/>
      <c r="B73" s="290"/>
      <c r="C73" s="290"/>
      <c r="D73" s="290"/>
      <c r="E73" s="292"/>
      <c r="F73" s="292"/>
      <c r="G73" s="292"/>
      <c r="H73" s="292"/>
      <c r="I73" s="292"/>
      <c r="J73" s="292"/>
      <c r="K73" s="292"/>
      <c r="L73" s="296"/>
      <c r="M73" s="292"/>
      <c r="N73" s="296"/>
      <c r="O73" s="296"/>
      <c r="P73" s="296"/>
      <c r="Q73" s="296"/>
      <c r="R73" s="296"/>
      <c r="S73" s="296"/>
      <c r="T73" s="296"/>
      <c r="U73" s="292"/>
      <c r="V73" s="312"/>
      <c r="X73" s="289"/>
      <c r="Y73" s="290"/>
      <c r="Z73" s="290"/>
      <c r="AA73" s="290"/>
      <c r="AB73" s="292"/>
      <c r="AC73" s="292"/>
      <c r="AD73" s="292"/>
      <c r="AE73" s="292"/>
      <c r="AF73" s="292"/>
      <c r="AG73" s="292"/>
      <c r="AH73" s="292"/>
      <c r="AI73" s="292"/>
      <c r="AJ73" s="292"/>
      <c r="AK73" s="292"/>
      <c r="AL73" s="292"/>
      <c r="AM73" s="292"/>
      <c r="AN73" s="292"/>
      <c r="AO73" s="292"/>
      <c r="AP73" s="292"/>
      <c r="AQ73" s="292"/>
      <c r="AR73" s="292"/>
      <c r="AS73" s="292"/>
      <c r="AT73" s="292"/>
      <c r="AU73" s="292"/>
      <c r="AV73" s="312"/>
    </row>
    <row r="74" s="270" customFormat="1" spans="1:48">
      <c r="A74" s="321"/>
      <c r="B74" s="322"/>
      <c r="C74" s="322"/>
      <c r="D74" s="322"/>
      <c r="E74" s="323"/>
      <c r="F74" s="323"/>
      <c r="G74" s="323"/>
      <c r="H74" s="323"/>
      <c r="I74" s="323"/>
      <c r="J74" s="323"/>
      <c r="K74" s="323"/>
      <c r="L74" s="335"/>
      <c r="M74" s="323"/>
      <c r="N74" s="335"/>
      <c r="O74" s="335"/>
      <c r="P74" s="335"/>
      <c r="Q74" s="335"/>
      <c r="R74" s="335"/>
      <c r="S74" s="335"/>
      <c r="T74" s="335"/>
      <c r="U74" s="323"/>
      <c r="V74" s="323"/>
      <c r="X74" s="321"/>
      <c r="Y74" s="322"/>
      <c r="Z74" s="322"/>
      <c r="AA74" s="322"/>
      <c r="AB74" s="323"/>
      <c r="AC74" s="323"/>
      <c r="AD74" s="323"/>
      <c r="AE74" s="323"/>
      <c r="AF74" s="323"/>
      <c r="AG74" s="323"/>
      <c r="AH74" s="323"/>
      <c r="AI74" s="323"/>
      <c r="AJ74" s="323"/>
      <c r="AK74" s="323"/>
      <c r="AL74" s="323"/>
      <c r="AM74" s="323"/>
      <c r="AN74" s="323"/>
      <c r="AO74" s="323"/>
      <c r="AP74" s="323"/>
      <c r="AQ74" s="323"/>
      <c r="AR74" s="323"/>
      <c r="AS74" s="323"/>
      <c r="AT74" s="323"/>
      <c r="AU74" s="323"/>
      <c r="AV74" s="323"/>
    </row>
    <row r="75" s="270" customFormat="1" spans="1:48">
      <c r="A75" s="324"/>
      <c r="B75" s="325"/>
      <c r="C75" s="325"/>
      <c r="D75" s="325"/>
      <c r="E75" s="326"/>
      <c r="F75" s="326"/>
      <c r="G75" s="327" t="s">
        <v>496</v>
      </c>
      <c r="H75" s="327">
        <f>SUM(H4:H74)</f>
        <v>380000</v>
      </c>
      <c r="I75" s="327">
        <f>SUM(I4:I74)</f>
        <v>57060</v>
      </c>
      <c r="J75" s="327">
        <f>SUM(J4:J74)</f>
        <v>470000</v>
      </c>
      <c r="K75" s="327">
        <f t="shared" ref="K75:T75" si="0">SUM(K4:K74)</f>
        <v>2500</v>
      </c>
      <c r="L75" s="327">
        <f t="shared" si="0"/>
        <v>1418</v>
      </c>
      <c r="M75" s="327">
        <f t="shared" si="0"/>
        <v>24467</v>
      </c>
      <c r="N75" s="327">
        <f t="shared" si="0"/>
        <v>1000</v>
      </c>
      <c r="O75" s="327">
        <f t="shared" si="0"/>
        <v>12800</v>
      </c>
      <c r="P75" s="327">
        <f t="shared" si="0"/>
        <v>6400</v>
      </c>
      <c r="Q75" s="327">
        <f t="shared" si="0"/>
        <v>6400</v>
      </c>
      <c r="R75" s="327">
        <f t="shared" si="0"/>
        <v>100</v>
      </c>
      <c r="S75" s="327">
        <f t="shared" si="0"/>
        <v>300</v>
      </c>
      <c r="T75" s="327">
        <f t="shared" si="0"/>
        <v>200</v>
      </c>
      <c r="U75" s="327"/>
      <c r="V75" s="327"/>
      <c r="X75" s="324"/>
      <c r="Y75" s="325"/>
      <c r="Z75" s="325"/>
      <c r="AA75" s="325"/>
      <c r="AB75" s="326"/>
      <c r="AC75" s="326"/>
      <c r="AD75" s="327" t="s">
        <v>496</v>
      </c>
      <c r="AE75" s="327">
        <f t="shared" ref="AE75:AK75" si="1">SUM(AE4:AE74)</f>
        <v>570000</v>
      </c>
      <c r="AF75" s="327">
        <f t="shared" si="1"/>
        <v>70000</v>
      </c>
      <c r="AG75" s="327">
        <f t="shared" si="1"/>
        <v>640000</v>
      </c>
      <c r="AH75" s="327">
        <f t="shared" si="1"/>
        <v>500</v>
      </c>
      <c r="AI75" s="327">
        <f t="shared" si="1"/>
        <v>500</v>
      </c>
      <c r="AJ75" s="327">
        <f t="shared" si="1"/>
        <v>0</v>
      </c>
      <c r="AK75" s="327">
        <f t="shared" si="1"/>
        <v>300</v>
      </c>
      <c r="AL75" s="327">
        <f t="shared" ref="AL75:AT75" si="2">SUM(AL4:AL74)</f>
        <v>300</v>
      </c>
      <c r="AM75" s="327">
        <f t="shared" si="2"/>
        <v>6284</v>
      </c>
      <c r="AN75" s="327">
        <f t="shared" si="2"/>
        <v>1000</v>
      </c>
      <c r="AO75" s="327">
        <f t="shared" si="2"/>
        <v>4285</v>
      </c>
      <c r="AP75" s="327">
        <f t="shared" si="2"/>
        <v>500</v>
      </c>
      <c r="AQ75" s="327">
        <f t="shared" si="2"/>
        <v>6643</v>
      </c>
      <c r="AR75" s="327">
        <f t="shared" si="2"/>
        <v>3936</v>
      </c>
      <c r="AS75" s="327">
        <f t="shared" si="2"/>
        <v>3432</v>
      </c>
      <c r="AT75" s="327">
        <f t="shared" si="2"/>
        <v>1524</v>
      </c>
      <c r="AU75" s="327"/>
      <c r="AV75" s="327"/>
    </row>
    <row r="76" s="270" customFormat="1" spans="1:48">
      <c r="A76" s="328" t="s">
        <v>378</v>
      </c>
      <c r="B76" s="329"/>
      <c r="C76" s="329"/>
      <c r="D76" s="329"/>
      <c r="E76" s="326"/>
      <c r="F76" s="326"/>
      <c r="G76" s="327"/>
      <c r="H76" s="327">
        <v>382596</v>
      </c>
      <c r="I76" s="327">
        <v>56604</v>
      </c>
      <c r="J76" s="327">
        <v>446360</v>
      </c>
      <c r="K76" s="327">
        <v>2419</v>
      </c>
      <c r="L76" s="327">
        <v>1418</v>
      </c>
      <c r="M76" s="327">
        <v>25301</v>
      </c>
      <c r="N76" s="327">
        <v>999</v>
      </c>
      <c r="O76" s="327">
        <v>12800</v>
      </c>
      <c r="P76" s="327">
        <v>6400</v>
      </c>
      <c r="Q76" s="327">
        <v>6400</v>
      </c>
      <c r="R76" s="327">
        <v>100</v>
      </c>
      <c r="S76" s="327">
        <v>116</v>
      </c>
      <c r="T76" s="327">
        <v>116</v>
      </c>
      <c r="U76" s="327"/>
      <c r="V76" s="327"/>
      <c r="X76" s="328" t="s">
        <v>378</v>
      </c>
      <c r="Y76" s="329"/>
      <c r="Z76" s="329"/>
      <c r="AA76" s="329"/>
      <c r="AB76" s="326"/>
      <c r="AC76" s="326"/>
      <c r="AD76" s="327"/>
      <c r="AE76" s="327">
        <f>'77593旧排期'!AG49</f>
        <v>570989</v>
      </c>
      <c r="AF76" s="327">
        <f>'77593旧排期'!AH49</f>
        <v>77881</v>
      </c>
      <c r="AG76" s="327">
        <f>'77593旧排期'!AI49</f>
        <v>648870</v>
      </c>
      <c r="AH76" s="327">
        <f>'77593旧排期'!AJ49</f>
        <v>500</v>
      </c>
      <c r="AI76" s="327">
        <f>'77593旧排期'!AK49</f>
        <v>500</v>
      </c>
      <c r="AJ76" s="327">
        <f>'77593旧排期'!AR49</f>
        <v>0</v>
      </c>
      <c r="AK76" s="327">
        <f>'77593旧排期'!AQ49</f>
        <v>300</v>
      </c>
      <c r="AL76" s="327">
        <f>'77593旧排期'!AS49</f>
        <v>300</v>
      </c>
      <c r="AM76" s="327">
        <f>'77593旧排期'!AL49</f>
        <v>6084</v>
      </c>
      <c r="AN76" s="327">
        <f>'77593旧排期'!AM49</f>
        <v>1494</v>
      </c>
      <c r="AO76" s="327">
        <f>'77593旧排期'!AN49</f>
        <v>4860</v>
      </c>
      <c r="AP76" s="327">
        <f>'77593旧排期'!AO49</f>
        <v>725</v>
      </c>
      <c r="AQ76" s="327">
        <f>'77593旧排期'!AW49</f>
        <v>6233</v>
      </c>
      <c r="AR76" s="327">
        <f>'77593旧排期'!AT49</f>
        <v>9192</v>
      </c>
      <c r="AS76" s="327">
        <f>'77593旧排期'!AV49</f>
        <v>3432</v>
      </c>
      <c r="AT76" s="327">
        <f>'77593旧排期'!AU49</f>
        <v>5760</v>
      </c>
      <c r="AU76" s="327"/>
      <c r="AV76" s="327"/>
    </row>
    <row r="77" s="270" customFormat="1" ht="16.5" spans="1:48">
      <c r="A77" s="330" t="s">
        <v>497</v>
      </c>
      <c r="B77" s="331"/>
      <c r="C77" s="331"/>
      <c r="D77" s="331"/>
      <c r="E77" s="332"/>
      <c r="F77" s="332"/>
      <c r="G77" s="333"/>
      <c r="H77" s="334">
        <f t="shared" ref="H77:R77" si="3">H75-H76</f>
        <v>-2596</v>
      </c>
      <c r="I77" s="334">
        <f t="shared" si="3"/>
        <v>456</v>
      </c>
      <c r="J77" s="334">
        <f t="shared" si="3"/>
        <v>23640</v>
      </c>
      <c r="K77" s="334">
        <f t="shared" si="3"/>
        <v>81</v>
      </c>
      <c r="L77" s="334">
        <f t="shared" si="3"/>
        <v>0</v>
      </c>
      <c r="M77" s="334">
        <f t="shared" si="3"/>
        <v>-834</v>
      </c>
      <c r="N77" s="334">
        <f t="shared" si="3"/>
        <v>1</v>
      </c>
      <c r="O77" s="334">
        <f t="shared" si="3"/>
        <v>0</v>
      </c>
      <c r="P77" s="334">
        <f t="shared" si="3"/>
        <v>0</v>
      </c>
      <c r="Q77" s="334">
        <f t="shared" si="3"/>
        <v>0</v>
      </c>
      <c r="R77" s="334">
        <f t="shared" si="3"/>
        <v>0</v>
      </c>
      <c r="S77" s="334">
        <f t="shared" ref="S77:Y77" si="4">S75-S76</f>
        <v>184</v>
      </c>
      <c r="T77" s="334">
        <f t="shared" si="4"/>
        <v>84</v>
      </c>
      <c r="U77" s="334"/>
      <c r="V77" s="334"/>
      <c r="X77" s="330" t="s">
        <v>497</v>
      </c>
      <c r="Y77" s="331"/>
      <c r="Z77" s="331"/>
      <c r="AA77" s="331"/>
      <c r="AB77" s="332"/>
      <c r="AC77" s="332"/>
      <c r="AD77" s="333"/>
      <c r="AE77" s="334">
        <f t="shared" ref="AE77:AK77" si="5">AE75-AE76</f>
        <v>-989</v>
      </c>
      <c r="AF77" s="334">
        <f t="shared" si="5"/>
        <v>-7881</v>
      </c>
      <c r="AG77" s="334">
        <f t="shared" si="5"/>
        <v>-8870</v>
      </c>
      <c r="AH77" s="334">
        <f t="shared" si="5"/>
        <v>0</v>
      </c>
      <c r="AI77" s="334">
        <f t="shared" si="5"/>
        <v>0</v>
      </c>
      <c r="AJ77" s="334">
        <f t="shared" si="5"/>
        <v>0</v>
      </c>
      <c r="AK77" s="334">
        <f t="shared" si="5"/>
        <v>0</v>
      </c>
      <c r="AL77" s="334">
        <f t="shared" ref="AL77:AT77" si="6">AL75-AL76</f>
        <v>0</v>
      </c>
      <c r="AM77" s="334">
        <f t="shared" si="6"/>
        <v>200</v>
      </c>
      <c r="AN77" s="334">
        <f t="shared" si="6"/>
        <v>-494</v>
      </c>
      <c r="AO77" s="334">
        <f t="shared" si="6"/>
        <v>-575</v>
      </c>
      <c r="AP77" s="334">
        <f t="shared" si="6"/>
        <v>-225</v>
      </c>
      <c r="AQ77" s="334">
        <f t="shared" si="6"/>
        <v>410</v>
      </c>
      <c r="AR77" s="334">
        <f t="shared" si="6"/>
        <v>-5256</v>
      </c>
      <c r="AS77" s="334">
        <f t="shared" si="6"/>
        <v>0</v>
      </c>
      <c r="AT77" s="334">
        <f t="shared" si="6"/>
        <v>-4236</v>
      </c>
      <c r="AU77" s="334"/>
      <c r="AV77" s="334"/>
    </row>
    <row r="78" s="270" customFormat="1" ht="16.5" spans="1:21">
      <c r="A78" s="272"/>
      <c r="B78" s="272"/>
      <c r="C78" s="272"/>
      <c r="D78" s="272"/>
      <c r="L78" s="273"/>
      <c r="M78" s="273"/>
      <c r="N78" s="273"/>
      <c r="O78" s="273"/>
      <c r="P78" s="273"/>
      <c r="Q78" s="273"/>
      <c r="R78" s="273"/>
      <c r="S78" s="273"/>
      <c r="T78" s="273"/>
      <c r="U78" s="273"/>
    </row>
    <row r="79" s="270" customFormat="1" spans="1:47">
      <c r="A79" s="272"/>
      <c r="B79" s="272"/>
      <c r="C79" s="272"/>
      <c r="D79" s="272"/>
      <c r="L79" s="273"/>
      <c r="M79" s="273"/>
      <c r="N79" s="273"/>
      <c r="O79" s="273"/>
      <c r="P79" s="273"/>
      <c r="Q79" s="273"/>
      <c r="R79" s="273"/>
      <c r="S79" s="273"/>
      <c r="T79" s="273"/>
      <c r="U79" s="273"/>
      <c r="AU79" s="270" t="s">
        <v>498</v>
      </c>
    </row>
    <row r="80" s="270" customFormat="1" spans="1:47">
      <c r="A80" s="272"/>
      <c r="B80" s="272"/>
      <c r="C80" s="272"/>
      <c r="D80" s="272"/>
      <c r="U80" s="273"/>
      <c r="AD80" s="336" t="s">
        <v>499</v>
      </c>
      <c r="AE80" s="336">
        <v>16000</v>
      </c>
      <c r="AF80" s="336">
        <v>9700</v>
      </c>
      <c r="AG80" s="336"/>
      <c r="AH80" s="336"/>
      <c r="AI80" s="336">
        <v>100</v>
      </c>
      <c r="AJ80" s="336">
        <v>80</v>
      </c>
      <c r="AK80" s="336">
        <v>13</v>
      </c>
      <c r="AL80" s="336"/>
      <c r="AM80" s="336">
        <v>421</v>
      </c>
      <c r="AN80" s="336">
        <v>599</v>
      </c>
      <c r="AO80" s="336">
        <v>1712</v>
      </c>
      <c r="AP80" s="336">
        <v>65</v>
      </c>
      <c r="AQ80" s="336">
        <v>354</v>
      </c>
      <c r="AR80" s="336"/>
      <c r="AS80" s="336"/>
      <c r="AT80" s="336"/>
      <c r="AU80" s="336">
        <v>160</v>
      </c>
    </row>
    <row r="81" s="270" customFormat="1" spans="1:39">
      <c r="A81" s="272"/>
      <c r="B81" s="272"/>
      <c r="C81" s="272"/>
      <c r="D81" s="272"/>
      <c r="L81" s="273"/>
      <c r="M81" s="273"/>
      <c r="N81" s="273"/>
      <c r="O81" s="273"/>
      <c r="P81" s="273"/>
      <c r="Q81" s="273"/>
      <c r="R81" s="273"/>
      <c r="S81" s="273"/>
      <c r="T81" s="273"/>
      <c r="U81" s="273"/>
      <c r="AL81" s="337" t="s">
        <v>500</v>
      </c>
      <c r="AM81" s="270">
        <v>643</v>
      </c>
    </row>
    <row r="82" spans="38:39">
      <c r="AL82" s="337" t="s">
        <v>501</v>
      </c>
      <c r="AM82" s="270">
        <v>280</v>
      </c>
    </row>
    <row r="83" spans="38:39">
      <c r="AL83" s="270" t="s">
        <v>502</v>
      </c>
      <c r="AM83" s="270">
        <v>652</v>
      </c>
    </row>
  </sheetData>
  <mergeCells count="28">
    <mergeCell ref="A1:V1"/>
    <mergeCell ref="X1:AV1"/>
    <mergeCell ref="H2:I2"/>
    <mergeCell ref="K2:L2"/>
    <mergeCell ref="M2:N2"/>
    <mergeCell ref="O2:Q2"/>
    <mergeCell ref="S2:T2"/>
    <mergeCell ref="AE2:AF2"/>
    <mergeCell ref="AH2:AI2"/>
    <mergeCell ref="AJ2:AL2"/>
    <mergeCell ref="AM2:AN2"/>
    <mergeCell ref="AO2:AP2"/>
    <mergeCell ref="AR2:AT2"/>
    <mergeCell ref="A50:G50"/>
    <mergeCell ref="A2:A3"/>
    <mergeCell ref="B2:B3"/>
    <mergeCell ref="C2:C3"/>
    <mergeCell ref="D2:D3"/>
    <mergeCell ref="E2:E3"/>
    <mergeCell ref="F2:F3"/>
    <mergeCell ref="G2:G3"/>
    <mergeCell ref="X2:X3"/>
    <mergeCell ref="Y2:Y3"/>
    <mergeCell ref="Z2:Z3"/>
    <mergeCell ref="AA2:AA3"/>
    <mergeCell ref="AB2:AB3"/>
    <mergeCell ref="AC2:AC3"/>
    <mergeCell ref="AD2:AD3"/>
  </mergeCells>
  <pageMargins left="0.75" right="0.75" top="1" bottom="1" header="0.5" footer="0.5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I110"/>
  <sheetViews>
    <sheetView workbookViewId="0">
      <pane xSplit="10" ySplit="1" topLeftCell="K110" activePane="bottomRight" state="frozen"/>
      <selection/>
      <selection pane="topRight"/>
      <selection pane="bottomLeft"/>
      <selection pane="bottomRight" activeCell="C126" sqref="C126"/>
    </sheetView>
  </sheetViews>
  <sheetFormatPr defaultColWidth="9" defaultRowHeight="15.75"/>
  <cols>
    <col min="1" max="1" width="9.44166666666667"/>
    <col min="3" max="4" width="10.125"/>
    <col min="5" max="5" width="10.1916666666667"/>
    <col min="7" max="7" width="15.875" customWidth="1"/>
    <col min="8" max="8" width="13.1916666666667" customWidth="1"/>
    <col min="12" max="12" width="12.5" customWidth="1"/>
    <col min="13" max="13" width="11.125" customWidth="1"/>
    <col min="23" max="23" width="11.1916666666667"/>
    <col min="24" max="24" width="10.375"/>
  </cols>
  <sheetData>
    <row r="1" s="1" customFormat="1" ht="69" customHeight="1" spans="1:66">
      <c r="A1" s="10" t="s">
        <v>19</v>
      </c>
      <c r="B1" s="11" t="s">
        <v>20</v>
      </c>
      <c r="C1" s="11" t="s">
        <v>21</v>
      </c>
      <c r="D1" s="11" t="s">
        <v>22</v>
      </c>
      <c r="E1" s="11" t="s">
        <v>23</v>
      </c>
      <c r="F1" s="11" t="s">
        <v>25</v>
      </c>
      <c r="G1" s="12" t="s">
        <v>26</v>
      </c>
      <c r="H1" s="12" t="s">
        <v>27</v>
      </c>
      <c r="I1" s="12" t="s">
        <v>28</v>
      </c>
      <c r="J1" s="11" t="s">
        <v>29</v>
      </c>
      <c r="K1" s="11" t="s">
        <v>30</v>
      </c>
      <c r="L1" s="11" t="s">
        <v>503</v>
      </c>
      <c r="M1" s="11" t="s">
        <v>504</v>
      </c>
      <c r="N1" s="44" t="s">
        <v>505</v>
      </c>
      <c r="O1" s="11" t="s">
        <v>506</v>
      </c>
      <c r="P1" s="11" t="s">
        <v>507</v>
      </c>
      <c r="Q1" s="11" t="s">
        <v>36</v>
      </c>
      <c r="R1" s="55" t="s">
        <v>37</v>
      </c>
      <c r="S1" s="44" t="s">
        <v>38</v>
      </c>
      <c r="T1" s="56" t="s">
        <v>39</v>
      </c>
      <c r="U1" s="11" t="s">
        <v>40</v>
      </c>
      <c r="V1" s="11" t="s">
        <v>41</v>
      </c>
      <c r="W1" s="57" t="s">
        <v>42</v>
      </c>
      <c r="X1" s="58" t="s">
        <v>508</v>
      </c>
      <c r="Y1" s="58" t="s">
        <v>47</v>
      </c>
      <c r="Z1" s="55" t="s">
        <v>509</v>
      </c>
      <c r="AA1" s="75" t="s">
        <v>44</v>
      </c>
      <c r="AB1" s="75" t="s">
        <v>45</v>
      </c>
      <c r="AC1" s="76" t="s">
        <v>46</v>
      </c>
      <c r="AD1" s="11" t="s">
        <v>510</v>
      </c>
      <c r="AE1" s="11" t="s">
        <v>511</v>
      </c>
      <c r="AF1" s="77" t="s">
        <v>512</v>
      </c>
      <c r="AG1" s="87" t="s">
        <v>513</v>
      </c>
      <c r="AH1" s="11" t="s">
        <v>514</v>
      </c>
      <c r="AI1" s="77" t="s">
        <v>515</v>
      </c>
      <c r="AJ1" s="87" t="s">
        <v>516</v>
      </c>
      <c r="AK1" s="88" t="s">
        <v>517</v>
      </c>
      <c r="AL1" s="89" t="s">
        <v>518</v>
      </c>
      <c r="AM1" s="90" t="s">
        <v>519</v>
      </c>
      <c r="AN1" s="90" t="s">
        <v>520</v>
      </c>
      <c r="AO1" s="95" t="s">
        <v>521</v>
      </c>
      <c r="AP1" s="90" t="s">
        <v>522</v>
      </c>
      <c r="AQ1" s="90" t="s">
        <v>523</v>
      </c>
      <c r="AR1" s="96" t="s">
        <v>524</v>
      </c>
      <c r="AS1" s="95" t="s">
        <v>525</v>
      </c>
      <c r="AT1" s="97" t="s">
        <v>526</v>
      </c>
      <c r="AU1" s="98" t="s">
        <v>527</v>
      </c>
      <c r="AV1" s="98" t="s">
        <v>528</v>
      </c>
      <c r="AW1" s="98" t="s">
        <v>529</v>
      </c>
      <c r="AX1" s="98" t="s">
        <v>530</v>
      </c>
      <c r="AY1" s="98" t="s">
        <v>531</v>
      </c>
      <c r="AZ1" s="98" t="s">
        <v>532</v>
      </c>
      <c r="BA1" s="95" t="s">
        <v>533</v>
      </c>
      <c r="BB1" s="11" t="s">
        <v>60</v>
      </c>
      <c r="BC1" s="11" t="s">
        <v>66</v>
      </c>
      <c r="BD1" s="11" t="s">
        <v>61</v>
      </c>
      <c r="BE1" s="11" t="s">
        <v>62</v>
      </c>
      <c r="BF1" s="11" t="s">
        <v>65</v>
      </c>
      <c r="BG1" s="11" t="s">
        <v>534</v>
      </c>
      <c r="BH1" s="11" t="s">
        <v>63</v>
      </c>
      <c r="BI1" s="11" t="s">
        <v>68</v>
      </c>
      <c r="BJ1" s="11" t="s">
        <v>67</v>
      </c>
      <c r="BK1" s="11" t="s">
        <v>535</v>
      </c>
      <c r="BL1" s="108" t="s">
        <v>536</v>
      </c>
      <c r="BM1" s="108" t="s">
        <v>537</v>
      </c>
      <c r="BN1" s="115"/>
    </row>
    <row r="2" s="2" customFormat="1" ht="26" customHeight="1" spans="1:64">
      <c r="A2" s="13">
        <v>44385</v>
      </c>
      <c r="B2" s="14" t="s">
        <v>538</v>
      </c>
      <c r="C2" s="15"/>
      <c r="D2" s="16">
        <v>4500056761</v>
      </c>
      <c r="E2" s="17" t="s">
        <v>539</v>
      </c>
      <c r="F2" s="14" t="s">
        <v>540</v>
      </c>
      <c r="G2" s="18" t="s">
        <v>541</v>
      </c>
      <c r="H2" s="3">
        <v>2160</v>
      </c>
      <c r="I2" s="3">
        <v>12</v>
      </c>
      <c r="J2" s="3">
        <v>48</v>
      </c>
      <c r="K2" s="3">
        <f t="shared" ref="K2:K8" si="0">H2/J2</f>
        <v>45</v>
      </c>
      <c r="L2" s="45">
        <v>0</v>
      </c>
      <c r="M2" s="46">
        <f t="shared" ref="M2:M7" si="1">L2*H2</f>
        <v>0</v>
      </c>
      <c r="N2" s="47" t="s">
        <v>542</v>
      </c>
      <c r="O2" s="48"/>
      <c r="P2" s="47" t="s">
        <v>543</v>
      </c>
      <c r="Q2" s="48"/>
      <c r="R2" s="3"/>
      <c r="S2" s="42" t="s">
        <v>100</v>
      </c>
      <c r="T2" s="48"/>
      <c r="U2" s="48" t="s">
        <v>544</v>
      </c>
      <c r="V2" s="59" t="s">
        <v>545</v>
      </c>
      <c r="W2" s="59"/>
      <c r="X2" s="47"/>
      <c r="Y2" s="48" t="s">
        <v>332</v>
      </c>
      <c r="Z2" s="48" t="s">
        <v>332</v>
      </c>
      <c r="AA2" s="78"/>
      <c r="AB2" s="78"/>
      <c r="AC2" s="79"/>
      <c r="AD2" s="78"/>
      <c r="AE2" s="78"/>
      <c r="AF2" s="79"/>
      <c r="AG2" s="80"/>
      <c r="AH2" s="80"/>
      <c r="AI2" s="91"/>
      <c r="AJ2" s="91"/>
      <c r="AK2" s="91"/>
      <c r="AL2" s="91"/>
      <c r="AM2" s="80"/>
      <c r="AN2" s="80"/>
      <c r="AO2" s="80"/>
      <c r="AP2" s="80"/>
      <c r="AQ2" s="91"/>
      <c r="AR2" s="91">
        <f>H2/12</f>
        <v>180</v>
      </c>
      <c r="AS2" s="91"/>
      <c r="AT2" s="91"/>
      <c r="AU2" s="91"/>
      <c r="AV2" s="91"/>
      <c r="AW2" s="91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60" t="s">
        <v>546</v>
      </c>
      <c r="BJ2" s="109"/>
      <c r="BL2" s="110"/>
    </row>
    <row r="3" s="2" customFormat="1" ht="26" customHeight="1" spans="1:64">
      <c r="A3" s="13">
        <v>44379</v>
      </c>
      <c r="B3" s="14" t="s">
        <v>538</v>
      </c>
      <c r="C3" s="15"/>
      <c r="D3" s="16">
        <v>4500056671</v>
      </c>
      <c r="E3" s="17" t="s">
        <v>539</v>
      </c>
      <c r="F3" s="14" t="s">
        <v>540</v>
      </c>
      <c r="G3" s="18" t="s">
        <v>541</v>
      </c>
      <c r="H3" s="3">
        <v>2880</v>
      </c>
      <c r="I3" s="3">
        <v>12</v>
      </c>
      <c r="J3" s="3">
        <v>48</v>
      </c>
      <c r="K3" s="3">
        <f t="shared" si="0"/>
        <v>60</v>
      </c>
      <c r="L3" s="45">
        <v>0</v>
      </c>
      <c r="M3" s="46">
        <f t="shared" si="1"/>
        <v>0</v>
      </c>
      <c r="N3" s="47" t="s">
        <v>547</v>
      </c>
      <c r="O3" s="48"/>
      <c r="P3" s="47" t="s">
        <v>548</v>
      </c>
      <c r="Q3" s="48"/>
      <c r="R3" s="3"/>
      <c r="S3" s="42" t="s">
        <v>100</v>
      </c>
      <c r="T3" s="48"/>
      <c r="U3" s="48" t="s">
        <v>544</v>
      </c>
      <c r="V3" s="59" t="s">
        <v>545</v>
      </c>
      <c r="W3" s="59"/>
      <c r="X3" s="47"/>
      <c r="Y3" s="48" t="s">
        <v>332</v>
      </c>
      <c r="Z3" s="48" t="s">
        <v>549</v>
      </c>
      <c r="AA3" s="78"/>
      <c r="AB3" s="78"/>
      <c r="AC3" s="79"/>
      <c r="AD3" s="78"/>
      <c r="AE3" s="78"/>
      <c r="AF3" s="79"/>
      <c r="AG3" s="80"/>
      <c r="AH3" s="80"/>
      <c r="AI3" s="91"/>
      <c r="AJ3" s="91"/>
      <c r="AK3" s="91"/>
      <c r="AL3" s="91"/>
      <c r="AM3" s="80"/>
      <c r="AN3" s="80"/>
      <c r="AO3" s="80"/>
      <c r="AP3" s="80"/>
      <c r="AQ3" s="91"/>
      <c r="AR3" s="91">
        <f>H3/12</f>
        <v>240</v>
      </c>
      <c r="AS3" s="91"/>
      <c r="AT3" s="91"/>
      <c r="AU3" s="91"/>
      <c r="AV3" s="91"/>
      <c r="AW3" s="91"/>
      <c r="AX3" s="102"/>
      <c r="AY3" s="102"/>
      <c r="AZ3" s="102"/>
      <c r="BA3" s="102"/>
      <c r="BB3" s="102"/>
      <c r="BC3" s="102"/>
      <c r="BD3" s="102"/>
      <c r="BE3" s="102"/>
      <c r="BF3" s="102"/>
      <c r="BG3" s="102"/>
      <c r="BH3" s="60" t="s">
        <v>550</v>
      </c>
      <c r="BJ3" s="109"/>
      <c r="BL3" s="110"/>
    </row>
    <row r="4" s="2" customFormat="1" ht="26" customHeight="1" spans="1:64">
      <c r="A4" s="13">
        <v>44266</v>
      </c>
      <c r="B4" s="14" t="s">
        <v>551</v>
      </c>
      <c r="C4" s="15" t="s">
        <v>552</v>
      </c>
      <c r="D4" s="16">
        <v>4500047323</v>
      </c>
      <c r="E4" s="17" t="s">
        <v>553</v>
      </c>
      <c r="F4" s="14" t="s">
        <v>554</v>
      </c>
      <c r="G4" s="18" t="s">
        <v>555</v>
      </c>
      <c r="H4" s="3">
        <v>3000</v>
      </c>
      <c r="I4" s="3">
        <v>0</v>
      </c>
      <c r="J4" s="3">
        <v>12</v>
      </c>
      <c r="K4" s="3">
        <f t="shared" si="0"/>
        <v>250</v>
      </c>
      <c r="L4" s="45">
        <v>0</v>
      </c>
      <c r="M4" s="46">
        <f t="shared" si="1"/>
        <v>0</v>
      </c>
      <c r="N4" s="47" t="s">
        <v>556</v>
      </c>
      <c r="O4" s="48" t="s">
        <v>557</v>
      </c>
      <c r="P4" s="47" t="s">
        <v>558</v>
      </c>
      <c r="Q4" s="48"/>
      <c r="R4" s="3"/>
      <c r="S4" s="42" t="s">
        <v>268</v>
      </c>
      <c r="T4" s="48" t="s">
        <v>94</v>
      </c>
      <c r="U4" s="48" t="s">
        <v>559</v>
      </c>
      <c r="V4" s="3">
        <v>3000</v>
      </c>
      <c r="W4" s="3"/>
      <c r="X4" s="47"/>
      <c r="Y4" s="48">
        <v>44322</v>
      </c>
      <c r="Z4" s="48" t="s">
        <v>75</v>
      </c>
      <c r="AA4" s="78"/>
      <c r="AB4" s="78"/>
      <c r="AC4" s="79"/>
      <c r="AD4" s="78"/>
      <c r="AE4" s="78"/>
      <c r="AF4" s="79"/>
      <c r="AG4" s="80"/>
      <c r="AH4" s="80"/>
      <c r="AI4" s="91"/>
      <c r="AJ4" s="91"/>
      <c r="AK4" s="91"/>
      <c r="AL4" s="91"/>
      <c r="AM4" s="91"/>
      <c r="AN4" s="91"/>
      <c r="AO4" s="80">
        <f t="shared" ref="AO4:AO7" si="2">H4/12</f>
        <v>250</v>
      </c>
      <c r="AP4" s="80"/>
      <c r="AQ4" s="91"/>
      <c r="AR4" s="91"/>
      <c r="AS4" s="91"/>
      <c r="AT4" s="91"/>
      <c r="AU4" s="91"/>
      <c r="AV4" s="91"/>
      <c r="AW4" s="91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60" t="s">
        <v>560</v>
      </c>
      <c r="BJ4" s="109"/>
      <c r="BL4" s="110"/>
    </row>
    <row r="5" s="2" customFormat="1" ht="26" customHeight="1" spans="1:64">
      <c r="A5" s="19">
        <v>44266</v>
      </c>
      <c r="B5" s="14" t="s">
        <v>551</v>
      </c>
      <c r="C5" s="20">
        <v>4501009937</v>
      </c>
      <c r="D5" s="16">
        <v>4500047325</v>
      </c>
      <c r="E5" s="17" t="s">
        <v>553</v>
      </c>
      <c r="F5" s="14" t="s">
        <v>554</v>
      </c>
      <c r="G5" s="18" t="s">
        <v>555</v>
      </c>
      <c r="H5" s="21">
        <v>3000</v>
      </c>
      <c r="I5" s="3">
        <v>0</v>
      </c>
      <c r="J5" s="3">
        <v>12</v>
      </c>
      <c r="K5" s="3">
        <f t="shared" si="0"/>
        <v>250</v>
      </c>
      <c r="L5" s="45">
        <v>0</v>
      </c>
      <c r="M5" s="46">
        <f t="shared" si="1"/>
        <v>0</v>
      </c>
      <c r="N5" s="47" t="s">
        <v>561</v>
      </c>
      <c r="O5" s="48"/>
      <c r="P5" s="47" t="s">
        <v>562</v>
      </c>
      <c r="Q5" s="48"/>
      <c r="R5" s="3" t="s">
        <v>563</v>
      </c>
      <c r="S5" s="42" t="s">
        <v>268</v>
      </c>
      <c r="T5" s="3" t="s">
        <v>563</v>
      </c>
      <c r="U5" s="3"/>
      <c r="V5" s="59"/>
      <c r="W5" s="59"/>
      <c r="X5" s="47"/>
      <c r="Y5" s="48">
        <v>44322</v>
      </c>
      <c r="Z5" s="48" t="s">
        <v>75</v>
      </c>
      <c r="AA5" s="78"/>
      <c r="AB5" s="78"/>
      <c r="AC5" s="79"/>
      <c r="AD5" s="78"/>
      <c r="AE5" s="78"/>
      <c r="AF5" s="79"/>
      <c r="AG5" s="80"/>
      <c r="AH5" s="80"/>
      <c r="AI5" s="91"/>
      <c r="AJ5" s="91"/>
      <c r="AK5" s="91"/>
      <c r="AL5" s="91"/>
      <c r="AM5" s="91"/>
      <c r="AN5" s="91"/>
      <c r="AO5" s="80">
        <f t="shared" si="2"/>
        <v>250</v>
      </c>
      <c r="AP5" s="99"/>
      <c r="AQ5" s="91"/>
      <c r="AR5" s="91"/>
      <c r="AS5" s="91"/>
      <c r="AT5" s="91"/>
      <c r="AU5" s="91"/>
      <c r="AV5" s="91"/>
      <c r="AW5" s="91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11" t="s">
        <v>560</v>
      </c>
      <c r="BI5" s="112"/>
      <c r="BJ5" s="109"/>
      <c r="BL5" s="110"/>
    </row>
    <row r="6" s="2" customFormat="1" ht="26" customHeight="1" spans="1:64">
      <c r="A6" s="22">
        <v>44288</v>
      </c>
      <c r="B6" s="23" t="s">
        <v>564</v>
      </c>
      <c r="C6" s="23" t="s">
        <v>565</v>
      </c>
      <c r="D6" s="23" t="s">
        <v>566</v>
      </c>
      <c r="E6" s="23" t="s">
        <v>567</v>
      </c>
      <c r="F6" s="14" t="s">
        <v>568</v>
      </c>
      <c r="G6" s="18" t="s">
        <v>569</v>
      </c>
      <c r="H6" s="21">
        <v>804</v>
      </c>
      <c r="I6" s="3">
        <v>0</v>
      </c>
      <c r="J6" s="3">
        <v>12</v>
      </c>
      <c r="K6" s="3">
        <f t="shared" si="0"/>
        <v>67</v>
      </c>
      <c r="L6" s="45">
        <v>0</v>
      </c>
      <c r="M6" s="46">
        <v>0</v>
      </c>
      <c r="N6" s="47">
        <v>44327</v>
      </c>
      <c r="O6" s="48" t="s">
        <v>570</v>
      </c>
      <c r="P6" s="47">
        <v>44330</v>
      </c>
      <c r="Q6" s="48"/>
      <c r="R6" s="48" t="s">
        <v>570</v>
      </c>
      <c r="S6" s="42" t="s">
        <v>118</v>
      </c>
      <c r="T6" s="48"/>
      <c r="U6" s="48"/>
      <c r="V6" s="59"/>
      <c r="W6" s="59"/>
      <c r="X6" s="47"/>
      <c r="Y6" s="48" t="s">
        <v>571</v>
      </c>
      <c r="Z6" s="48" t="s">
        <v>572</v>
      </c>
      <c r="AA6" s="78"/>
      <c r="AB6" s="78"/>
      <c r="AC6" s="79"/>
      <c r="AD6" s="78"/>
      <c r="AE6" s="78"/>
      <c r="AF6" s="79"/>
      <c r="AG6" s="80"/>
      <c r="AH6" s="80"/>
      <c r="AI6" s="91"/>
      <c r="AJ6" s="91"/>
      <c r="AK6" s="91"/>
      <c r="AL6" s="91"/>
      <c r="AM6" s="80"/>
      <c r="AN6" s="80"/>
      <c r="AO6" s="91"/>
      <c r="AP6" s="100"/>
      <c r="AQ6" s="91"/>
      <c r="AR6" s="91"/>
      <c r="AS6" s="91"/>
      <c r="AT6" s="91"/>
      <c r="AU6" s="91"/>
      <c r="AV6" s="91"/>
      <c r="AW6" s="91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13" t="s">
        <v>573</v>
      </c>
      <c r="BI6" s="112"/>
      <c r="BJ6" s="109"/>
      <c r="BL6" s="110"/>
    </row>
    <row r="7" s="2" customFormat="1" ht="26" customHeight="1" spans="1:64">
      <c r="A7" s="19">
        <v>44266</v>
      </c>
      <c r="B7" s="14" t="s">
        <v>551</v>
      </c>
      <c r="C7" s="20">
        <v>4501009935</v>
      </c>
      <c r="D7" s="16">
        <v>4500047320</v>
      </c>
      <c r="E7" s="17" t="s">
        <v>553</v>
      </c>
      <c r="F7" s="14" t="s">
        <v>554</v>
      </c>
      <c r="G7" s="18" t="s">
        <v>555</v>
      </c>
      <c r="H7" s="21">
        <v>3000</v>
      </c>
      <c r="I7" s="3">
        <v>0</v>
      </c>
      <c r="J7" s="3">
        <v>12</v>
      </c>
      <c r="K7" s="3">
        <f t="shared" si="0"/>
        <v>250</v>
      </c>
      <c r="L7" s="45">
        <v>0</v>
      </c>
      <c r="M7" s="46">
        <f t="shared" si="1"/>
        <v>0</v>
      </c>
      <c r="N7" s="47" t="s">
        <v>574</v>
      </c>
      <c r="O7" s="48" t="s">
        <v>575</v>
      </c>
      <c r="P7" s="47" t="s">
        <v>576</v>
      </c>
      <c r="Q7" s="48" t="s">
        <v>577</v>
      </c>
      <c r="R7" s="3"/>
      <c r="S7" s="42" t="s">
        <v>268</v>
      </c>
      <c r="T7" s="48" t="s">
        <v>94</v>
      </c>
      <c r="U7" s="48" t="s">
        <v>559</v>
      </c>
      <c r="V7" s="60">
        <v>3000</v>
      </c>
      <c r="W7" s="60"/>
      <c r="X7" s="47"/>
      <c r="Y7" s="48">
        <v>44306</v>
      </c>
      <c r="Z7" s="48" t="s">
        <v>75</v>
      </c>
      <c r="AA7" s="78"/>
      <c r="AB7" s="78"/>
      <c r="AC7" s="79"/>
      <c r="AD7" s="78"/>
      <c r="AE7" s="78"/>
      <c r="AF7" s="79"/>
      <c r="AG7" s="80"/>
      <c r="AH7" s="80"/>
      <c r="AI7" s="91"/>
      <c r="AJ7" s="91"/>
      <c r="AK7" s="91"/>
      <c r="AL7" s="91"/>
      <c r="AM7" s="91"/>
      <c r="AN7" s="91"/>
      <c r="AO7" s="80">
        <f t="shared" si="2"/>
        <v>250</v>
      </c>
      <c r="AP7" s="80"/>
      <c r="AQ7" s="91"/>
      <c r="AR7" s="91"/>
      <c r="AS7" s="91"/>
      <c r="AT7" s="91"/>
      <c r="AU7" s="91"/>
      <c r="AV7" s="91"/>
      <c r="AW7" s="91"/>
      <c r="AX7" s="102"/>
      <c r="AY7" s="102"/>
      <c r="AZ7" s="102"/>
      <c r="BA7" s="102"/>
      <c r="BB7" s="102"/>
      <c r="BC7" s="102"/>
      <c r="BD7" s="102"/>
      <c r="BE7" s="102"/>
      <c r="BF7" s="102"/>
      <c r="BG7" s="102"/>
      <c r="BH7" s="111" t="s">
        <v>578</v>
      </c>
      <c r="BJ7" s="109"/>
      <c r="BL7" s="110"/>
    </row>
    <row r="8" s="2" customFormat="1" ht="26" customHeight="1" spans="1:64">
      <c r="A8" s="13">
        <v>44490</v>
      </c>
      <c r="B8" s="24" t="s">
        <v>579</v>
      </c>
      <c r="C8" s="25" t="s">
        <v>580</v>
      </c>
      <c r="D8" s="26">
        <v>4500064122</v>
      </c>
      <c r="E8" s="27" t="s">
        <v>581</v>
      </c>
      <c r="F8" s="14" t="s">
        <v>540</v>
      </c>
      <c r="G8" s="18" t="s">
        <v>582</v>
      </c>
      <c r="H8" s="3">
        <v>3600</v>
      </c>
      <c r="I8" s="3">
        <v>0</v>
      </c>
      <c r="J8" s="3">
        <v>48</v>
      </c>
      <c r="K8" s="3">
        <f t="shared" si="0"/>
        <v>75</v>
      </c>
      <c r="L8" s="45">
        <v>0</v>
      </c>
      <c r="M8" s="46">
        <v>0</v>
      </c>
      <c r="N8" s="47" t="s">
        <v>583</v>
      </c>
      <c r="O8" s="48"/>
      <c r="P8" s="47" t="s">
        <v>584</v>
      </c>
      <c r="Q8" s="48"/>
      <c r="R8" s="3"/>
      <c r="S8" s="42" t="s">
        <v>118</v>
      </c>
      <c r="T8" s="48"/>
      <c r="U8" s="48"/>
      <c r="V8" s="59"/>
      <c r="W8" s="59"/>
      <c r="X8" s="47"/>
      <c r="Y8" s="48"/>
      <c r="Z8" s="48"/>
      <c r="AA8" s="78"/>
      <c r="AB8" s="78"/>
      <c r="AC8" s="79"/>
      <c r="AD8" s="3"/>
      <c r="AE8" s="78"/>
      <c r="AF8" s="79"/>
      <c r="AG8" s="3"/>
      <c r="AH8" s="80"/>
      <c r="AI8" s="91"/>
      <c r="AJ8" s="91"/>
      <c r="AK8" s="91"/>
      <c r="AL8" s="91"/>
      <c r="AM8" s="80"/>
      <c r="AN8" s="80"/>
      <c r="AO8" s="80"/>
      <c r="AP8" s="80"/>
      <c r="AQ8" s="91"/>
      <c r="AR8" s="91"/>
      <c r="AS8" s="91"/>
      <c r="AT8" s="91"/>
      <c r="AU8" s="91"/>
      <c r="AV8" s="91"/>
      <c r="AW8" s="91"/>
      <c r="AX8" s="103">
        <f>H8/96*12</f>
        <v>450</v>
      </c>
      <c r="AY8" s="103">
        <f>H8/96*12</f>
        <v>450</v>
      </c>
      <c r="AZ8" s="102">
        <f>H8/96*11</f>
        <v>412.5</v>
      </c>
      <c r="BA8" s="102">
        <f>H8/96*1</f>
        <v>37.5</v>
      </c>
      <c r="BB8" s="103">
        <f>H8/96*12</f>
        <v>450</v>
      </c>
      <c r="BC8" s="103">
        <f>H8/96*12</f>
        <v>450</v>
      </c>
      <c r="BD8" s="103">
        <f>H8/96*12</f>
        <v>450</v>
      </c>
      <c r="BE8" s="103">
        <f>H8/96*12</f>
        <v>450</v>
      </c>
      <c r="BF8" s="102">
        <f>H8/96*11</f>
        <v>412.5</v>
      </c>
      <c r="BG8" s="102">
        <f>H8/96*1</f>
        <v>37.5</v>
      </c>
      <c r="BH8" s="60" t="s">
        <v>585</v>
      </c>
      <c r="BJ8" s="109"/>
      <c r="BL8" s="110"/>
    </row>
    <row r="9" s="3" customFormat="1" ht="26" customHeight="1" spans="1:60">
      <c r="A9" s="13">
        <v>44476</v>
      </c>
      <c r="B9" s="14" t="s">
        <v>586</v>
      </c>
      <c r="C9" s="15"/>
      <c r="D9" s="16" t="s">
        <v>587</v>
      </c>
      <c r="E9" s="17"/>
      <c r="F9" s="14" t="s">
        <v>588</v>
      </c>
      <c r="G9" s="18" t="s">
        <v>589</v>
      </c>
      <c r="H9" s="3">
        <v>1440</v>
      </c>
      <c r="I9" s="3">
        <v>24</v>
      </c>
      <c r="J9" s="3">
        <f t="shared" ref="J9:J22" si="3">H9/I9</f>
        <v>60</v>
      </c>
      <c r="K9" s="3">
        <f t="shared" ref="K9:K22" si="4">J9/60</f>
        <v>1</v>
      </c>
      <c r="L9" s="45">
        <v>0</v>
      </c>
      <c r="M9" s="46">
        <v>0</v>
      </c>
      <c r="N9" s="47" t="s">
        <v>590</v>
      </c>
      <c r="O9" s="48"/>
      <c r="P9" s="47" t="s">
        <v>591</v>
      </c>
      <c r="Q9" s="48"/>
      <c r="S9" s="42" t="s">
        <v>70</v>
      </c>
      <c r="T9" s="48"/>
      <c r="U9" s="59"/>
      <c r="V9" s="59"/>
      <c r="W9" s="47"/>
      <c r="X9" s="48" t="s">
        <v>332</v>
      </c>
      <c r="Y9" s="48" t="s">
        <v>332</v>
      </c>
      <c r="Z9" s="78">
        <f t="shared" ref="Z9:Z22" si="5">H9</f>
        <v>1440</v>
      </c>
      <c r="AA9" s="78"/>
      <c r="AB9" s="79"/>
      <c r="AC9" s="78">
        <f t="shared" ref="AC9:AC22" si="6">H9</f>
        <v>1440</v>
      </c>
      <c r="AD9" s="78"/>
      <c r="AE9" s="79"/>
      <c r="AF9" s="80">
        <f t="shared" ref="AF9:AF22" si="7">H9</f>
        <v>1440</v>
      </c>
      <c r="AG9" s="80"/>
      <c r="AH9" s="91"/>
      <c r="AI9" s="91">
        <f t="shared" ref="AI9:AI22" si="8">H9/24</f>
        <v>60</v>
      </c>
      <c r="AJ9" s="91"/>
      <c r="AK9" s="80"/>
      <c r="AL9" s="80"/>
      <c r="AM9" s="80"/>
      <c r="AN9" s="80"/>
      <c r="AO9" s="80"/>
      <c r="AP9" s="80"/>
      <c r="AQ9" s="91"/>
      <c r="AR9" s="91"/>
      <c r="AS9" s="91"/>
      <c r="AT9" s="91"/>
      <c r="AU9" s="91"/>
      <c r="AV9" s="91"/>
      <c r="AW9" s="91"/>
      <c r="AX9" s="103">
        <f t="shared" ref="AX9:AX27" si="9">H9/96*12</f>
        <v>180</v>
      </c>
      <c r="AY9" s="103">
        <f t="shared" ref="AY9:AY27" si="10">H9/96*12</f>
        <v>180</v>
      </c>
      <c r="AZ9" s="102">
        <f t="shared" ref="AZ9:AZ27" si="11">H9/96*11</f>
        <v>165</v>
      </c>
      <c r="BA9" s="102">
        <f t="shared" ref="BA9:BA27" si="12">H9/96*1</f>
        <v>15</v>
      </c>
      <c r="BB9" s="103">
        <f t="shared" ref="BB9:BB27" si="13">H9/96*12</f>
        <v>180</v>
      </c>
      <c r="BC9" s="103">
        <f t="shared" ref="BC9:BC27" si="14">H9/96*12</f>
        <v>180</v>
      </c>
      <c r="BD9" s="103">
        <f t="shared" ref="BD9:BD27" si="15">H9/96*12</f>
        <v>180</v>
      </c>
      <c r="BE9" s="103">
        <f t="shared" ref="BE9:BE28" si="16">H9/96*12</f>
        <v>180</v>
      </c>
      <c r="BF9" s="102">
        <f t="shared" ref="BF9:BF27" si="17">H9/96*11</f>
        <v>165</v>
      </c>
      <c r="BG9" s="102">
        <f t="shared" ref="BG9:BG27" si="18">H9/96*1</f>
        <v>15</v>
      </c>
      <c r="BH9" s="65" t="s">
        <v>592</v>
      </c>
    </row>
    <row r="10" s="3" customFormat="1" ht="26" customHeight="1" spans="1:60">
      <c r="A10" s="13">
        <v>44476</v>
      </c>
      <c r="B10" s="14" t="s">
        <v>586</v>
      </c>
      <c r="C10" s="15"/>
      <c r="D10" s="16" t="s">
        <v>587</v>
      </c>
      <c r="E10" s="17"/>
      <c r="F10" s="14" t="s">
        <v>588</v>
      </c>
      <c r="G10" s="18" t="s">
        <v>589</v>
      </c>
      <c r="H10" s="3">
        <v>1440</v>
      </c>
      <c r="I10" s="3">
        <v>24</v>
      </c>
      <c r="J10" s="3">
        <f t="shared" si="3"/>
        <v>60</v>
      </c>
      <c r="K10" s="3">
        <f t="shared" si="4"/>
        <v>1</v>
      </c>
      <c r="L10" s="45">
        <v>0</v>
      </c>
      <c r="M10" s="46">
        <v>0</v>
      </c>
      <c r="N10" s="47" t="s">
        <v>590</v>
      </c>
      <c r="O10" s="48"/>
      <c r="P10" s="47" t="s">
        <v>591</v>
      </c>
      <c r="Q10" s="48"/>
      <c r="S10" s="42" t="s">
        <v>70</v>
      </c>
      <c r="T10" s="48"/>
      <c r="U10" s="59"/>
      <c r="V10" s="59"/>
      <c r="W10" s="47"/>
      <c r="X10" s="48" t="s">
        <v>332</v>
      </c>
      <c r="Y10" s="48" t="s">
        <v>332</v>
      </c>
      <c r="Z10" s="78">
        <f t="shared" si="5"/>
        <v>1440</v>
      </c>
      <c r="AA10" s="78"/>
      <c r="AB10" s="79"/>
      <c r="AC10" s="78">
        <f t="shared" si="6"/>
        <v>1440</v>
      </c>
      <c r="AD10" s="78"/>
      <c r="AE10" s="79"/>
      <c r="AF10" s="80">
        <f t="shared" si="7"/>
        <v>1440</v>
      </c>
      <c r="AG10" s="80"/>
      <c r="AH10" s="91"/>
      <c r="AI10" s="91">
        <f t="shared" si="8"/>
        <v>60</v>
      </c>
      <c r="AJ10" s="91"/>
      <c r="AK10" s="80"/>
      <c r="AL10" s="80"/>
      <c r="AM10" s="80"/>
      <c r="AN10" s="80"/>
      <c r="AO10" s="80"/>
      <c r="AP10" s="80"/>
      <c r="AQ10" s="91"/>
      <c r="AR10" s="91"/>
      <c r="AS10" s="91"/>
      <c r="AT10" s="91"/>
      <c r="AU10" s="91"/>
      <c r="AV10" s="91"/>
      <c r="AW10" s="91"/>
      <c r="AX10" s="103">
        <f t="shared" si="9"/>
        <v>180</v>
      </c>
      <c r="AY10" s="103">
        <f t="shared" si="10"/>
        <v>180</v>
      </c>
      <c r="AZ10" s="102">
        <f t="shared" si="11"/>
        <v>165</v>
      </c>
      <c r="BA10" s="102">
        <f t="shared" si="12"/>
        <v>15</v>
      </c>
      <c r="BB10" s="103">
        <f t="shared" si="13"/>
        <v>180</v>
      </c>
      <c r="BC10" s="103">
        <f t="shared" si="14"/>
        <v>180</v>
      </c>
      <c r="BD10" s="103">
        <f t="shared" si="15"/>
        <v>180</v>
      </c>
      <c r="BE10" s="103">
        <f t="shared" si="16"/>
        <v>180</v>
      </c>
      <c r="BF10" s="102">
        <f t="shared" si="17"/>
        <v>165</v>
      </c>
      <c r="BG10" s="102">
        <f t="shared" si="18"/>
        <v>15</v>
      </c>
      <c r="BH10" s="65" t="s">
        <v>592</v>
      </c>
    </row>
    <row r="11" s="3" customFormat="1" ht="26" customHeight="1" spans="1:60">
      <c r="A11" s="13">
        <v>44476</v>
      </c>
      <c r="B11" s="14" t="s">
        <v>586</v>
      </c>
      <c r="C11" s="15"/>
      <c r="D11" s="16" t="s">
        <v>587</v>
      </c>
      <c r="E11" s="17"/>
      <c r="F11" s="14" t="s">
        <v>588</v>
      </c>
      <c r="G11" s="18" t="s">
        <v>589</v>
      </c>
      <c r="H11" s="3">
        <v>1440</v>
      </c>
      <c r="I11" s="3">
        <v>24</v>
      </c>
      <c r="J11" s="3">
        <f t="shared" si="3"/>
        <v>60</v>
      </c>
      <c r="K11" s="3">
        <f t="shared" si="4"/>
        <v>1</v>
      </c>
      <c r="L11" s="45">
        <v>0</v>
      </c>
      <c r="M11" s="46">
        <v>0</v>
      </c>
      <c r="N11" s="47" t="s">
        <v>590</v>
      </c>
      <c r="O11" s="48"/>
      <c r="P11" s="47" t="s">
        <v>591</v>
      </c>
      <c r="Q11" s="48"/>
      <c r="S11" s="42" t="s">
        <v>70</v>
      </c>
      <c r="T11" s="48"/>
      <c r="U11" s="59"/>
      <c r="V11" s="59"/>
      <c r="W11" s="47"/>
      <c r="X11" s="48" t="s">
        <v>332</v>
      </c>
      <c r="Y11" s="48" t="s">
        <v>332</v>
      </c>
      <c r="Z11" s="78">
        <f t="shared" si="5"/>
        <v>1440</v>
      </c>
      <c r="AA11" s="78"/>
      <c r="AB11" s="79"/>
      <c r="AC11" s="78">
        <f t="shared" si="6"/>
        <v>1440</v>
      </c>
      <c r="AD11" s="78"/>
      <c r="AE11" s="79"/>
      <c r="AF11" s="80">
        <f t="shared" si="7"/>
        <v>1440</v>
      </c>
      <c r="AG11" s="80"/>
      <c r="AH11" s="91"/>
      <c r="AI11" s="91">
        <f t="shared" si="8"/>
        <v>60</v>
      </c>
      <c r="AJ11" s="91"/>
      <c r="AK11" s="80"/>
      <c r="AL11" s="80"/>
      <c r="AM11" s="80"/>
      <c r="AN11" s="80"/>
      <c r="AO11" s="80"/>
      <c r="AP11" s="80"/>
      <c r="AQ11" s="91"/>
      <c r="AR11" s="91"/>
      <c r="AS11" s="91"/>
      <c r="AT11" s="91"/>
      <c r="AU11" s="91"/>
      <c r="AV11" s="91"/>
      <c r="AW11" s="91"/>
      <c r="AX11" s="103">
        <f t="shared" si="9"/>
        <v>180</v>
      </c>
      <c r="AY11" s="103">
        <f t="shared" si="10"/>
        <v>180</v>
      </c>
      <c r="AZ11" s="102">
        <f t="shared" si="11"/>
        <v>165</v>
      </c>
      <c r="BA11" s="102">
        <f t="shared" si="12"/>
        <v>15</v>
      </c>
      <c r="BB11" s="103">
        <f t="shared" si="13"/>
        <v>180</v>
      </c>
      <c r="BC11" s="103">
        <f t="shared" si="14"/>
        <v>180</v>
      </c>
      <c r="BD11" s="103">
        <f t="shared" si="15"/>
        <v>180</v>
      </c>
      <c r="BE11" s="103">
        <f t="shared" si="16"/>
        <v>180</v>
      </c>
      <c r="BF11" s="102">
        <f t="shared" si="17"/>
        <v>165</v>
      </c>
      <c r="BG11" s="102">
        <f t="shared" si="18"/>
        <v>15</v>
      </c>
      <c r="BH11" s="65" t="s">
        <v>592</v>
      </c>
    </row>
    <row r="12" s="3" customFormat="1" ht="26" customHeight="1" spans="1:60">
      <c r="A12" s="13">
        <v>44476</v>
      </c>
      <c r="B12" s="14" t="s">
        <v>586</v>
      </c>
      <c r="C12" s="15"/>
      <c r="D12" s="16" t="s">
        <v>587</v>
      </c>
      <c r="E12" s="17"/>
      <c r="F12" s="14" t="s">
        <v>588</v>
      </c>
      <c r="G12" s="18" t="s">
        <v>589</v>
      </c>
      <c r="H12" s="3">
        <v>1440</v>
      </c>
      <c r="I12" s="3">
        <v>24</v>
      </c>
      <c r="J12" s="3">
        <f t="shared" si="3"/>
        <v>60</v>
      </c>
      <c r="K12" s="3">
        <f t="shared" si="4"/>
        <v>1</v>
      </c>
      <c r="L12" s="45">
        <v>0</v>
      </c>
      <c r="M12" s="46">
        <v>0</v>
      </c>
      <c r="N12" s="47" t="s">
        <v>590</v>
      </c>
      <c r="O12" s="48"/>
      <c r="P12" s="47" t="s">
        <v>591</v>
      </c>
      <c r="Q12" s="48"/>
      <c r="S12" s="42" t="s">
        <v>70</v>
      </c>
      <c r="T12" s="48"/>
      <c r="U12" s="59"/>
      <c r="V12" s="59"/>
      <c r="W12" s="47"/>
      <c r="X12" s="48" t="s">
        <v>332</v>
      </c>
      <c r="Y12" s="48" t="s">
        <v>332</v>
      </c>
      <c r="Z12" s="78">
        <f t="shared" si="5"/>
        <v>1440</v>
      </c>
      <c r="AA12" s="78"/>
      <c r="AB12" s="79"/>
      <c r="AC12" s="78">
        <f t="shared" si="6"/>
        <v>1440</v>
      </c>
      <c r="AD12" s="78"/>
      <c r="AE12" s="79"/>
      <c r="AF12" s="80">
        <f t="shared" si="7"/>
        <v>1440</v>
      </c>
      <c r="AG12" s="80"/>
      <c r="AH12" s="91"/>
      <c r="AI12" s="91">
        <f t="shared" si="8"/>
        <v>60</v>
      </c>
      <c r="AJ12" s="91"/>
      <c r="AK12" s="80"/>
      <c r="AL12" s="80"/>
      <c r="AM12" s="80"/>
      <c r="AN12" s="80"/>
      <c r="AO12" s="80"/>
      <c r="AP12" s="80"/>
      <c r="AQ12" s="91"/>
      <c r="AR12" s="91"/>
      <c r="AS12" s="91"/>
      <c r="AT12" s="91"/>
      <c r="AU12" s="91"/>
      <c r="AV12" s="91"/>
      <c r="AW12" s="91"/>
      <c r="AX12" s="103">
        <f t="shared" si="9"/>
        <v>180</v>
      </c>
      <c r="AY12" s="103">
        <f t="shared" si="10"/>
        <v>180</v>
      </c>
      <c r="AZ12" s="102">
        <f t="shared" si="11"/>
        <v>165</v>
      </c>
      <c r="BA12" s="102">
        <f t="shared" si="12"/>
        <v>15</v>
      </c>
      <c r="BB12" s="103">
        <f t="shared" si="13"/>
        <v>180</v>
      </c>
      <c r="BC12" s="103">
        <f t="shared" si="14"/>
        <v>180</v>
      </c>
      <c r="BD12" s="103">
        <f t="shared" si="15"/>
        <v>180</v>
      </c>
      <c r="BE12" s="103">
        <f t="shared" si="16"/>
        <v>180</v>
      </c>
      <c r="BF12" s="102">
        <f t="shared" si="17"/>
        <v>165</v>
      </c>
      <c r="BG12" s="102">
        <f t="shared" si="18"/>
        <v>15</v>
      </c>
      <c r="BH12" s="65" t="s">
        <v>592</v>
      </c>
    </row>
    <row r="13" s="3" customFormat="1" ht="26" customHeight="1" spans="1:60">
      <c r="A13" s="13">
        <v>44476</v>
      </c>
      <c r="B13" s="14" t="s">
        <v>586</v>
      </c>
      <c r="C13" s="15"/>
      <c r="D13" s="16" t="s">
        <v>587</v>
      </c>
      <c r="E13" s="17"/>
      <c r="F13" s="14" t="s">
        <v>588</v>
      </c>
      <c r="G13" s="18" t="s">
        <v>589</v>
      </c>
      <c r="H13" s="3">
        <v>1440</v>
      </c>
      <c r="I13" s="3">
        <v>24</v>
      </c>
      <c r="J13" s="3">
        <f t="shared" si="3"/>
        <v>60</v>
      </c>
      <c r="K13" s="3">
        <f t="shared" si="4"/>
        <v>1</v>
      </c>
      <c r="L13" s="45">
        <v>0</v>
      </c>
      <c r="M13" s="46">
        <v>0</v>
      </c>
      <c r="N13" s="47" t="s">
        <v>590</v>
      </c>
      <c r="O13" s="48"/>
      <c r="P13" s="47" t="s">
        <v>591</v>
      </c>
      <c r="Q13" s="48"/>
      <c r="S13" s="42" t="s">
        <v>70</v>
      </c>
      <c r="T13" s="48"/>
      <c r="U13" s="59"/>
      <c r="V13" s="59"/>
      <c r="W13" s="47"/>
      <c r="X13" s="48" t="s">
        <v>332</v>
      </c>
      <c r="Y13" s="48" t="s">
        <v>332</v>
      </c>
      <c r="Z13" s="78">
        <f t="shared" si="5"/>
        <v>1440</v>
      </c>
      <c r="AA13" s="78"/>
      <c r="AB13" s="79"/>
      <c r="AC13" s="78">
        <f t="shared" si="6"/>
        <v>1440</v>
      </c>
      <c r="AD13" s="78"/>
      <c r="AE13" s="79"/>
      <c r="AF13" s="80">
        <f t="shared" si="7"/>
        <v>1440</v>
      </c>
      <c r="AG13" s="80"/>
      <c r="AH13" s="91"/>
      <c r="AI13" s="91">
        <f t="shared" si="8"/>
        <v>60</v>
      </c>
      <c r="AJ13" s="91"/>
      <c r="AK13" s="80"/>
      <c r="AL13" s="80"/>
      <c r="AM13" s="80"/>
      <c r="AN13" s="80"/>
      <c r="AO13" s="80"/>
      <c r="AP13" s="80"/>
      <c r="AQ13" s="91"/>
      <c r="AR13" s="91"/>
      <c r="AS13" s="91"/>
      <c r="AT13" s="91"/>
      <c r="AU13" s="91"/>
      <c r="AV13" s="91"/>
      <c r="AW13" s="91"/>
      <c r="AX13" s="103">
        <f t="shared" si="9"/>
        <v>180</v>
      </c>
      <c r="AY13" s="103">
        <f t="shared" si="10"/>
        <v>180</v>
      </c>
      <c r="AZ13" s="102">
        <f t="shared" si="11"/>
        <v>165</v>
      </c>
      <c r="BA13" s="102">
        <f t="shared" si="12"/>
        <v>15</v>
      </c>
      <c r="BB13" s="103">
        <f t="shared" si="13"/>
        <v>180</v>
      </c>
      <c r="BC13" s="103">
        <f t="shared" si="14"/>
        <v>180</v>
      </c>
      <c r="BD13" s="103">
        <f t="shared" si="15"/>
        <v>180</v>
      </c>
      <c r="BE13" s="103">
        <f t="shared" si="16"/>
        <v>180</v>
      </c>
      <c r="BF13" s="102">
        <f t="shared" si="17"/>
        <v>165</v>
      </c>
      <c r="BG13" s="102">
        <f t="shared" si="18"/>
        <v>15</v>
      </c>
      <c r="BH13" s="65" t="s">
        <v>592</v>
      </c>
    </row>
    <row r="14" s="3" customFormat="1" ht="26" customHeight="1" spans="1:60">
      <c r="A14" s="13">
        <v>44476</v>
      </c>
      <c r="B14" s="14" t="s">
        <v>586</v>
      </c>
      <c r="C14" s="15"/>
      <c r="D14" s="16" t="s">
        <v>587</v>
      </c>
      <c r="E14" s="17"/>
      <c r="F14" s="14" t="s">
        <v>588</v>
      </c>
      <c r="G14" s="18" t="s">
        <v>589</v>
      </c>
      <c r="H14" s="3">
        <v>1440</v>
      </c>
      <c r="I14" s="3">
        <v>24</v>
      </c>
      <c r="J14" s="3">
        <f t="shared" si="3"/>
        <v>60</v>
      </c>
      <c r="K14" s="3">
        <f t="shared" si="4"/>
        <v>1</v>
      </c>
      <c r="L14" s="45">
        <v>0</v>
      </c>
      <c r="M14" s="46">
        <v>0</v>
      </c>
      <c r="N14" s="47" t="s">
        <v>590</v>
      </c>
      <c r="O14" s="48"/>
      <c r="P14" s="47" t="s">
        <v>591</v>
      </c>
      <c r="Q14" s="48"/>
      <c r="S14" s="42" t="s">
        <v>70</v>
      </c>
      <c r="T14" s="48"/>
      <c r="U14" s="59"/>
      <c r="V14" s="59"/>
      <c r="W14" s="47"/>
      <c r="X14" s="48" t="s">
        <v>332</v>
      </c>
      <c r="Y14" s="48" t="s">
        <v>332</v>
      </c>
      <c r="Z14" s="78">
        <f t="shared" si="5"/>
        <v>1440</v>
      </c>
      <c r="AA14" s="78"/>
      <c r="AB14" s="79"/>
      <c r="AC14" s="78">
        <f t="shared" si="6"/>
        <v>1440</v>
      </c>
      <c r="AD14" s="78"/>
      <c r="AE14" s="79"/>
      <c r="AF14" s="80">
        <f t="shared" si="7"/>
        <v>1440</v>
      </c>
      <c r="AG14" s="80"/>
      <c r="AH14" s="91"/>
      <c r="AI14" s="91">
        <f t="shared" si="8"/>
        <v>60</v>
      </c>
      <c r="AJ14" s="91"/>
      <c r="AK14" s="80"/>
      <c r="AL14" s="80"/>
      <c r="AM14" s="80"/>
      <c r="AN14" s="80"/>
      <c r="AO14" s="80"/>
      <c r="AP14" s="80"/>
      <c r="AQ14" s="91"/>
      <c r="AR14" s="91"/>
      <c r="AS14" s="91"/>
      <c r="AT14" s="91"/>
      <c r="AU14" s="91"/>
      <c r="AV14" s="91"/>
      <c r="AW14" s="91"/>
      <c r="AX14" s="103">
        <f t="shared" si="9"/>
        <v>180</v>
      </c>
      <c r="AY14" s="103">
        <f t="shared" si="10"/>
        <v>180</v>
      </c>
      <c r="AZ14" s="102">
        <f t="shared" si="11"/>
        <v>165</v>
      </c>
      <c r="BA14" s="102">
        <f t="shared" si="12"/>
        <v>15</v>
      </c>
      <c r="BB14" s="103">
        <f t="shared" si="13"/>
        <v>180</v>
      </c>
      <c r="BC14" s="103">
        <f t="shared" si="14"/>
        <v>180</v>
      </c>
      <c r="BD14" s="103">
        <f t="shared" si="15"/>
        <v>180</v>
      </c>
      <c r="BE14" s="103">
        <f t="shared" si="16"/>
        <v>180</v>
      </c>
      <c r="BF14" s="102">
        <f t="shared" si="17"/>
        <v>165</v>
      </c>
      <c r="BG14" s="102">
        <f t="shared" si="18"/>
        <v>15</v>
      </c>
      <c r="BH14" s="65" t="s">
        <v>592</v>
      </c>
    </row>
    <row r="15" s="3" customFormat="1" ht="26" customHeight="1" spans="1:60">
      <c r="A15" s="13">
        <v>44476</v>
      </c>
      <c r="B15" s="14" t="s">
        <v>586</v>
      </c>
      <c r="C15" s="15"/>
      <c r="D15" s="16" t="s">
        <v>587</v>
      </c>
      <c r="E15" s="17"/>
      <c r="F15" s="14" t="s">
        <v>588</v>
      </c>
      <c r="G15" s="18" t="s">
        <v>589</v>
      </c>
      <c r="H15" s="3">
        <v>1440</v>
      </c>
      <c r="I15" s="3">
        <v>24</v>
      </c>
      <c r="J15" s="3">
        <f t="shared" si="3"/>
        <v>60</v>
      </c>
      <c r="K15" s="3">
        <f t="shared" si="4"/>
        <v>1</v>
      </c>
      <c r="L15" s="45">
        <v>0</v>
      </c>
      <c r="M15" s="46">
        <v>0</v>
      </c>
      <c r="N15" s="47" t="s">
        <v>590</v>
      </c>
      <c r="O15" s="48"/>
      <c r="P15" s="47" t="s">
        <v>591</v>
      </c>
      <c r="Q15" s="48"/>
      <c r="S15" s="42" t="s">
        <v>70</v>
      </c>
      <c r="T15" s="48"/>
      <c r="U15" s="59"/>
      <c r="V15" s="59"/>
      <c r="W15" s="47"/>
      <c r="X15" s="48" t="s">
        <v>332</v>
      </c>
      <c r="Y15" s="48" t="s">
        <v>332</v>
      </c>
      <c r="Z15" s="78">
        <f t="shared" si="5"/>
        <v>1440</v>
      </c>
      <c r="AA15" s="78"/>
      <c r="AB15" s="79"/>
      <c r="AC15" s="78">
        <f t="shared" si="6"/>
        <v>1440</v>
      </c>
      <c r="AD15" s="78"/>
      <c r="AE15" s="79"/>
      <c r="AF15" s="80">
        <f t="shared" si="7"/>
        <v>1440</v>
      </c>
      <c r="AG15" s="80"/>
      <c r="AH15" s="91"/>
      <c r="AI15" s="91">
        <f t="shared" si="8"/>
        <v>60</v>
      </c>
      <c r="AJ15" s="91"/>
      <c r="AK15" s="80"/>
      <c r="AL15" s="80"/>
      <c r="AM15" s="80"/>
      <c r="AN15" s="80"/>
      <c r="AO15" s="80"/>
      <c r="AP15" s="80"/>
      <c r="AQ15" s="91"/>
      <c r="AR15" s="91"/>
      <c r="AS15" s="91"/>
      <c r="AT15" s="91"/>
      <c r="AU15" s="91"/>
      <c r="AV15" s="91"/>
      <c r="AW15" s="91"/>
      <c r="AX15" s="103">
        <f t="shared" si="9"/>
        <v>180</v>
      </c>
      <c r="AY15" s="103">
        <f t="shared" si="10"/>
        <v>180</v>
      </c>
      <c r="AZ15" s="102">
        <f t="shared" si="11"/>
        <v>165</v>
      </c>
      <c r="BA15" s="102">
        <f t="shared" si="12"/>
        <v>15</v>
      </c>
      <c r="BB15" s="103">
        <f t="shared" si="13"/>
        <v>180</v>
      </c>
      <c r="BC15" s="103">
        <f t="shared" si="14"/>
        <v>180</v>
      </c>
      <c r="BD15" s="103">
        <f t="shared" si="15"/>
        <v>180</v>
      </c>
      <c r="BE15" s="103">
        <f t="shared" si="16"/>
        <v>180</v>
      </c>
      <c r="BF15" s="102">
        <f t="shared" si="17"/>
        <v>165</v>
      </c>
      <c r="BG15" s="102">
        <f t="shared" si="18"/>
        <v>15</v>
      </c>
      <c r="BH15" s="65" t="s">
        <v>592</v>
      </c>
    </row>
    <row r="16" s="3" customFormat="1" ht="26" customHeight="1" spans="1:60">
      <c r="A16" s="13">
        <v>44476</v>
      </c>
      <c r="B16" s="14" t="s">
        <v>586</v>
      </c>
      <c r="C16" s="15"/>
      <c r="D16" s="16" t="s">
        <v>587</v>
      </c>
      <c r="E16" s="17"/>
      <c r="F16" s="14" t="s">
        <v>588</v>
      </c>
      <c r="G16" s="18" t="s">
        <v>589</v>
      </c>
      <c r="H16" s="3">
        <v>1440</v>
      </c>
      <c r="I16" s="3">
        <v>24</v>
      </c>
      <c r="J16" s="3">
        <f t="shared" si="3"/>
        <v>60</v>
      </c>
      <c r="K16" s="3">
        <f t="shared" si="4"/>
        <v>1</v>
      </c>
      <c r="L16" s="45">
        <v>0</v>
      </c>
      <c r="M16" s="46">
        <v>0</v>
      </c>
      <c r="N16" s="47" t="s">
        <v>590</v>
      </c>
      <c r="O16" s="48"/>
      <c r="P16" s="47" t="s">
        <v>591</v>
      </c>
      <c r="Q16" s="48"/>
      <c r="S16" s="42" t="s">
        <v>70</v>
      </c>
      <c r="T16" s="48"/>
      <c r="U16" s="59"/>
      <c r="V16" s="59"/>
      <c r="W16" s="47"/>
      <c r="X16" s="48" t="s">
        <v>332</v>
      </c>
      <c r="Y16" s="48" t="s">
        <v>332</v>
      </c>
      <c r="Z16" s="78">
        <f t="shared" si="5"/>
        <v>1440</v>
      </c>
      <c r="AA16" s="78"/>
      <c r="AB16" s="79"/>
      <c r="AC16" s="78">
        <f t="shared" si="6"/>
        <v>1440</v>
      </c>
      <c r="AD16" s="78"/>
      <c r="AE16" s="79"/>
      <c r="AF16" s="80">
        <f t="shared" si="7"/>
        <v>1440</v>
      </c>
      <c r="AG16" s="80"/>
      <c r="AH16" s="91"/>
      <c r="AI16" s="91">
        <f t="shared" si="8"/>
        <v>60</v>
      </c>
      <c r="AJ16" s="91"/>
      <c r="AK16" s="80"/>
      <c r="AL16" s="80"/>
      <c r="AM16" s="80"/>
      <c r="AN16" s="80"/>
      <c r="AO16" s="80"/>
      <c r="AP16" s="80"/>
      <c r="AQ16" s="91"/>
      <c r="AR16" s="91"/>
      <c r="AS16" s="91"/>
      <c r="AT16" s="91"/>
      <c r="AU16" s="91"/>
      <c r="AV16" s="91"/>
      <c r="AW16" s="91"/>
      <c r="AX16" s="103">
        <f t="shared" si="9"/>
        <v>180</v>
      </c>
      <c r="AY16" s="103">
        <f t="shared" si="10"/>
        <v>180</v>
      </c>
      <c r="AZ16" s="102">
        <f t="shared" si="11"/>
        <v>165</v>
      </c>
      <c r="BA16" s="102">
        <f t="shared" si="12"/>
        <v>15</v>
      </c>
      <c r="BB16" s="103">
        <f t="shared" si="13"/>
        <v>180</v>
      </c>
      <c r="BC16" s="103">
        <f t="shared" si="14"/>
        <v>180</v>
      </c>
      <c r="BD16" s="103">
        <f t="shared" si="15"/>
        <v>180</v>
      </c>
      <c r="BE16" s="103">
        <f t="shared" si="16"/>
        <v>180</v>
      </c>
      <c r="BF16" s="102">
        <f t="shared" si="17"/>
        <v>165</v>
      </c>
      <c r="BG16" s="102">
        <f t="shared" si="18"/>
        <v>15</v>
      </c>
      <c r="BH16" s="65" t="s">
        <v>592</v>
      </c>
    </row>
    <row r="17" s="3" customFormat="1" ht="26" customHeight="1" spans="1:60">
      <c r="A17" s="13">
        <v>44476</v>
      </c>
      <c r="B17" s="14" t="s">
        <v>586</v>
      </c>
      <c r="C17" s="15"/>
      <c r="D17" s="16" t="s">
        <v>587</v>
      </c>
      <c r="E17" s="17"/>
      <c r="F17" s="14" t="s">
        <v>588</v>
      </c>
      <c r="G17" s="18" t="s">
        <v>589</v>
      </c>
      <c r="H17" s="3">
        <v>1440</v>
      </c>
      <c r="I17" s="3">
        <v>24</v>
      </c>
      <c r="J17" s="3">
        <f t="shared" si="3"/>
        <v>60</v>
      </c>
      <c r="K17" s="3">
        <f t="shared" si="4"/>
        <v>1</v>
      </c>
      <c r="L17" s="45">
        <v>0</v>
      </c>
      <c r="M17" s="46">
        <v>0</v>
      </c>
      <c r="N17" s="47" t="s">
        <v>590</v>
      </c>
      <c r="O17" s="48"/>
      <c r="P17" s="47" t="s">
        <v>591</v>
      </c>
      <c r="Q17" s="48"/>
      <c r="S17" s="42" t="s">
        <v>70</v>
      </c>
      <c r="T17" s="48"/>
      <c r="U17" s="59"/>
      <c r="V17" s="59"/>
      <c r="W17" s="47"/>
      <c r="X17" s="48" t="s">
        <v>332</v>
      </c>
      <c r="Y17" s="48" t="s">
        <v>332</v>
      </c>
      <c r="Z17" s="78">
        <f t="shared" si="5"/>
        <v>1440</v>
      </c>
      <c r="AA17" s="78"/>
      <c r="AB17" s="79"/>
      <c r="AC17" s="78">
        <f t="shared" si="6"/>
        <v>1440</v>
      </c>
      <c r="AD17" s="78"/>
      <c r="AE17" s="79"/>
      <c r="AF17" s="80">
        <f t="shared" si="7"/>
        <v>1440</v>
      </c>
      <c r="AG17" s="80"/>
      <c r="AH17" s="91"/>
      <c r="AI17" s="91">
        <f t="shared" si="8"/>
        <v>60</v>
      </c>
      <c r="AJ17" s="91"/>
      <c r="AK17" s="80"/>
      <c r="AL17" s="80"/>
      <c r="AM17" s="80"/>
      <c r="AN17" s="80"/>
      <c r="AO17" s="80"/>
      <c r="AP17" s="80"/>
      <c r="AQ17" s="91"/>
      <c r="AR17" s="91"/>
      <c r="AS17" s="91"/>
      <c r="AT17" s="91"/>
      <c r="AU17" s="91"/>
      <c r="AV17" s="91"/>
      <c r="AW17" s="91"/>
      <c r="AX17" s="103">
        <f t="shared" si="9"/>
        <v>180</v>
      </c>
      <c r="AY17" s="103">
        <f t="shared" si="10"/>
        <v>180</v>
      </c>
      <c r="AZ17" s="102">
        <f t="shared" si="11"/>
        <v>165</v>
      </c>
      <c r="BA17" s="102">
        <f t="shared" si="12"/>
        <v>15</v>
      </c>
      <c r="BB17" s="103">
        <f t="shared" si="13"/>
        <v>180</v>
      </c>
      <c r="BC17" s="103">
        <f t="shared" si="14"/>
        <v>180</v>
      </c>
      <c r="BD17" s="103">
        <f t="shared" si="15"/>
        <v>180</v>
      </c>
      <c r="BE17" s="103">
        <f t="shared" si="16"/>
        <v>180</v>
      </c>
      <c r="BF17" s="102">
        <f t="shared" si="17"/>
        <v>165</v>
      </c>
      <c r="BG17" s="102">
        <f t="shared" si="18"/>
        <v>15</v>
      </c>
      <c r="BH17" s="65" t="s">
        <v>592</v>
      </c>
    </row>
    <row r="18" s="3" customFormat="1" ht="26" customHeight="1" spans="1:60">
      <c r="A18" s="13">
        <v>44476</v>
      </c>
      <c r="B18" s="14" t="s">
        <v>586</v>
      </c>
      <c r="C18" s="15"/>
      <c r="D18" s="16" t="s">
        <v>587</v>
      </c>
      <c r="E18" s="17"/>
      <c r="F18" s="14" t="s">
        <v>588</v>
      </c>
      <c r="G18" s="18" t="s">
        <v>589</v>
      </c>
      <c r="H18" s="3">
        <v>1440</v>
      </c>
      <c r="I18" s="3">
        <v>24</v>
      </c>
      <c r="J18" s="3">
        <f t="shared" si="3"/>
        <v>60</v>
      </c>
      <c r="K18" s="3">
        <f t="shared" si="4"/>
        <v>1</v>
      </c>
      <c r="L18" s="45">
        <v>0</v>
      </c>
      <c r="M18" s="46">
        <v>0</v>
      </c>
      <c r="N18" s="47" t="s">
        <v>590</v>
      </c>
      <c r="O18" s="48"/>
      <c r="P18" s="47" t="s">
        <v>591</v>
      </c>
      <c r="Q18" s="48"/>
      <c r="S18" s="42" t="s">
        <v>70</v>
      </c>
      <c r="T18" s="48"/>
      <c r="U18" s="59"/>
      <c r="V18" s="59"/>
      <c r="W18" s="47"/>
      <c r="X18" s="48" t="s">
        <v>332</v>
      </c>
      <c r="Y18" s="48" t="s">
        <v>332</v>
      </c>
      <c r="Z18" s="78">
        <f t="shared" si="5"/>
        <v>1440</v>
      </c>
      <c r="AA18" s="78"/>
      <c r="AB18" s="79"/>
      <c r="AC18" s="78">
        <f t="shared" si="6"/>
        <v>1440</v>
      </c>
      <c r="AD18" s="78"/>
      <c r="AE18" s="79"/>
      <c r="AF18" s="80">
        <f t="shared" si="7"/>
        <v>1440</v>
      </c>
      <c r="AG18" s="80"/>
      <c r="AH18" s="91"/>
      <c r="AI18" s="91">
        <f t="shared" si="8"/>
        <v>60</v>
      </c>
      <c r="AJ18" s="91"/>
      <c r="AK18" s="80"/>
      <c r="AL18" s="80"/>
      <c r="AM18" s="80"/>
      <c r="AN18" s="80"/>
      <c r="AO18" s="80"/>
      <c r="AP18" s="80"/>
      <c r="AQ18" s="91"/>
      <c r="AR18" s="91"/>
      <c r="AS18" s="91"/>
      <c r="AT18" s="91"/>
      <c r="AU18" s="91"/>
      <c r="AV18" s="91"/>
      <c r="AW18" s="91"/>
      <c r="AX18" s="103">
        <f t="shared" si="9"/>
        <v>180</v>
      </c>
      <c r="AY18" s="103">
        <f t="shared" si="10"/>
        <v>180</v>
      </c>
      <c r="AZ18" s="102">
        <f t="shared" si="11"/>
        <v>165</v>
      </c>
      <c r="BA18" s="102">
        <f t="shared" si="12"/>
        <v>15</v>
      </c>
      <c r="BB18" s="103">
        <f t="shared" si="13"/>
        <v>180</v>
      </c>
      <c r="BC18" s="103">
        <f t="shared" si="14"/>
        <v>180</v>
      </c>
      <c r="BD18" s="103">
        <f t="shared" si="15"/>
        <v>180</v>
      </c>
      <c r="BE18" s="103">
        <f t="shared" si="16"/>
        <v>180</v>
      </c>
      <c r="BF18" s="102">
        <f t="shared" si="17"/>
        <v>165</v>
      </c>
      <c r="BG18" s="102">
        <f t="shared" si="18"/>
        <v>15</v>
      </c>
      <c r="BH18" s="65" t="s">
        <v>592</v>
      </c>
    </row>
    <row r="19" s="3" customFormat="1" ht="26" customHeight="1" spans="1:60">
      <c r="A19" s="13">
        <v>44476</v>
      </c>
      <c r="B19" s="14" t="s">
        <v>586</v>
      </c>
      <c r="C19" s="15"/>
      <c r="D19" s="16" t="s">
        <v>587</v>
      </c>
      <c r="E19" s="17"/>
      <c r="F19" s="14" t="s">
        <v>588</v>
      </c>
      <c r="G19" s="18" t="s">
        <v>589</v>
      </c>
      <c r="H19" s="3">
        <v>1440</v>
      </c>
      <c r="I19" s="3">
        <v>24</v>
      </c>
      <c r="J19" s="3">
        <f t="shared" si="3"/>
        <v>60</v>
      </c>
      <c r="K19" s="3">
        <f t="shared" si="4"/>
        <v>1</v>
      </c>
      <c r="L19" s="45">
        <v>0</v>
      </c>
      <c r="M19" s="46">
        <v>0</v>
      </c>
      <c r="N19" s="47" t="s">
        <v>590</v>
      </c>
      <c r="O19" s="48"/>
      <c r="P19" s="47" t="s">
        <v>591</v>
      </c>
      <c r="Q19" s="48"/>
      <c r="S19" s="42" t="s">
        <v>70</v>
      </c>
      <c r="T19" s="48"/>
      <c r="U19" s="59"/>
      <c r="V19" s="59"/>
      <c r="W19" s="47"/>
      <c r="X19" s="48" t="s">
        <v>332</v>
      </c>
      <c r="Y19" s="48" t="s">
        <v>332</v>
      </c>
      <c r="Z19" s="78">
        <f t="shared" si="5"/>
        <v>1440</v>
      </c>
      <c r="AA19" s="78"/>
      <c r="AB19" s="79"/>
      <c r="AC19" s="78">
        <f t="shared" si="6"/>
        <v>1440</v>
      </c>
      <c r="AD19" s="78"/>
      <c r="AE19" s="79"/>
      <c r="AF19" s="80">
        <f t="shared" si="7"/>
        <v>1440</v>
      </c>
      <c r="AG19" s="80"/>
      <c r="AH19" s="91"/>
      <c r="AI19" s="91">
        <f t="shared" si="8"/>
        <v>60</v>
      </c>
      <c r="AJ19" s="91"/>
      <c r="AK19" s="80"/>
      <c r="AL19" s="80"/>
      <c r="AM19" s="80"/>
      <c r="AN19" s="80"/>
      <c r="AO19" s="80"/>
      <c r="AP19" s="80"/>
      <c r="AQ19" s="91"/>
      <c r="AR19" s="91"/>
      <c r="AS19" s="91"/>
      <c r="AT19" s="91"/>
      <c r="AU19" s="91"/>
      <c r="AV19" s="91"/>
      <c r="AW19" s="91"/>
      <c r="AX19" s="103">
        <f t="shared" si="9"/>
        <v>180</v>
      </c>
      <c r="AY19" s="103">
        <f t="shared" si="10"/>
        <v>180</v>
      </c>
      <c r="AZ19" s="102">
        <f t="shared" si="11"/>
        <v>165</v>
      </c>
      <c r="BA19" s="102">
        <f t="shared" si="12"/>
        <v>15</v>
      </c>
      <c r="BB19" s="103">
        <f t="shared" si="13"/>
        <v>180</v>
      </c>
      <c r="BC19" s="103">
        <f t="shared" si="14"/>
        <v>180</v>
      </c>
      <c r="BD19" s="103">
        <f t="shared" si="15"/>
        <v>180</v>
      </c>
      <c r="BE19" s="103">
        <f t="shared" si="16"/>
        <v>180</v>
      </c>
      <c r="BF19" s="102">
        <f t="shared" si="17"/>
        <v>165</v>
      </c>
      <c r="BG19" s="102">
        <f t="shared" si="18"/>
        <v>15</v>
      </c>
      <c r="BH19" s="65" t="s">
        <v>592</v>
      </c>
    </row>
    <row r="20" s="3" customFormat="1" ht="26" customHeight="1" spans="1:60">
      <c r="A20" s="13">
        <v>44476</v>
      </c>
      <c r="B20" s="14" t="s">
        <v>586</v>
      </c>
      <c r="C20" s="15"/>
      <c r="D20" s="16" t="s">
        <v>587</v>
      </c>
      <c r="E20" s="17"/>
      <c r="F20" s="14" t="s">
        <v>588</v>
      </c>
      <c r="G20" s="18" t="s">
        <v>589</v>
      </c>
      <c r="H20" s="3">
        <v>1440</v>
      </c>
      <c r="I20" s="3">
        <v>24</v>
      </c>
      <c r="J20" s="3">
        <f t="shared" si="3"/>
        <v>60</v>
      </c>
      <c r="K20" s="3">
        <f t="shared" si="4"/>
        <v>1</v>
      </c>
      <c r="L20" s="45">
        <v>0</v>
      </c>
      <c r="M20" s="46">
        <v>0</v>
      </c>
      <c r="N20" s="47" t="s">
        <v>590</v>
      </c>
      <c r="O20" s="48"/>
      <c r="P20" s="47" t="s">
        <v>591</v>
      </c>
      <c r="Q20" s="48"/>
      <c r="S20" s="42" t="s">
        <v>70</v>
      </c>
      <c r="T20" s="48"/>
      <c r="U20" s="59"/>
      <c r="V20" s="59"/>
      <c r="W20" s="47"/>
      <c r="X20" s="48" t="s">
        <v>332</v>
      </c>
      <c r="Y20" s="48" t="s">
        <v>332</v>
      </c>
      <c r="Z20" s="78">
        <f t="shared" si="5"/>
        <v>1440</v>
      </c>
      <c r="AA20" s="78"/>
      <c r="AB20" s="79"/>
      <c r="AC20" s="78">
        <f t="shared" si="6"/>
        <v>1440</v>
      </c>
      <c r="AD20" s="78"/>
      <c r="AE20" s="79"/>
      <c r="AF20" s="80">
        <f t="shared" si="7"/>
        <v>1440</v>
      </c>
      <c r="AG20" s="80"/>
      <c r="AH20" s="91"/>
      <c r="AI20" s="91">
        <f t="shared" si="8"/>
        <v>60</v>
      </c>
      <c r="AJ20" s="91"/>
      <c r="AK20" s="80"/>
      <c r="AL20" s="80"/>
      <c r="AM20" s="80"/>
      <c r="AN20" s="80"/>
      <c r="AO20" s="80"/>
      <c r="AP20" s="80"/>
      <c r="AQ20" s="91"/>
      <c r="AR20" s="91"/>
      <c r="AS20" s="91"/>
      <c r="AT20" s="91"/>
      <c r="AU20" s="91"/>
      <c r="AV20" s="91"/>
      <c r="AW20" s="91"/>
      <c r="AX20" s="103">
        <f t="shared" si="9"/>
        <v>180</v>
      </c>
      <c r="AY20" s="103">
        <f t="shared" si="10"/>
        <v>180</v>
      </c>
      <c r="AZ20" s="102">
        <f t="shared" si="11"/>
        <v>165</v>
      </c>
      <c r="BA20" s="102">
        <f t="shared" si="12"/>
        <v>15</v>
      </c>
      <c r="BB20" s="103">
        <f t="shared" si="13"/>
        <v>180</v>
      </c>
      <c r="BC20" s="103">
        <f t="shared" si="14"/>
        <v>180</v>
      </c>
      <c r="BD20" s="103">
        <f t="shared" si="15"/>
        <v>180</v>
      </c>
      <c r="BE20" s="103">
        <f t="shared" si="16"/>
        <v>180</v>
      </c>
      <c r="BF20" s="102">
        <f t="shared" si="17"/>
        <v>165</v>
      </c>
      <c r="BG20" s="102">
        <f t="shared" si="18"/>
        <v>15</v>
      </c>
      <c r="BH20" s="65" t="s">
        <v>592</v>
      </c>
    </row>
    <row r="21" s="3" customFormat="1" ht="26" customHeight="1" spans="1:60">
      <c r="A21" s="13">
        <v>44476</v>
      </c>
      <c r="B21" s="14" t="s">
        <v>586</v>
      </c>
      <c r="C21" s="15"/>
      <c r="D21" s="16" t="s">
        <v>587</v>
      </c>
      <c r="E21" s="17"/>
      <c r="F21" s="14" t="s">
        <v>588</v>
      </c>
      <c r="G21" s="18" t="s">
        <v>589</v>
      </c>
      <c r="H21" s="3">
        <v>1440</v>
      </c>
      <c r="I21" s="3">
        <v>24</v>
      </c>
      <c r="J21" s="3">
        <f t="shared" si="3"/>
        <v>60</v>
      </c>
      <c r="K21" s="3">
        <f t="shared" si="4"/>
        <v>1</v>
      </c>
      <c r="L21" s="45">
        <v>0</v>
      </c>
      <c r="M21" s="46">
        <v>0</v>
      </c>
      <c r="N21" s="47" t="s">
        <v>590</v>
      </c>
      <c r="O21" s="48"/>
      <c r="P21" s="47" t="s">
        <v>591</v>
      </c>
      <c r="Q21" s="48"/>
      <c r="S21" s="42" t="s">
        <v>70</v>
      </c>
      <c r="T21" s="48"/>
      <c r="U21" s="59"/>
      <c r="V21" s="59"/>
      <c r="W21" s="47"/>
      <c r="X21" s="48" t="s">
        <v>332</v>
      </c>
      <c r="Y21" s="48" t="s">
        <v>332</v>
      </c>
      <c r="Z21" s="78">
        <f t="shared" si="5"/>
        <v>1440</v>
      </c>
      <c r="AA21" s="78"/>
      <c r="AB21" s="79"/>
      <c r="AC21" s="78">
        <f t="shared" si="6"/>
        <v>1440</v>
      </c>
      <c r="AD21" s="78"/>
      <c r="AE21" s="79"/>
      <c r="AF21" s="80">
        <f t="shared" si="7"/>
        <v>1440</v>
      </c>
      <c r="AG21" s="80"/>
      <c r="AH21" s="91"/>
      <c r="AI21" s="91">
        <f t="shared" si="8"/>
        <v>60</v>
      </c>
      <c r="AJ21" s="91"/>
      <c r="AK21" s="80"/>
      <c r="AL21" s="80"/>
      <c r="AM21" s="80"/>
      <c r="AN21" s="80"/>
      <c r="AO21" s="80"/>
      <c r="AP21" s="80"/>
      <c r="AQ21" s="91"/>
      <c r="AR21" s="91"/>
      <c r="AS21" s="91"/>
      <c r="AT21" s="91"/>
      <c r="AU21" s="91"/>
      <c r="AV21" s="91"/>
      <c r="AW21" s="91"/>
      <c r="AX21" s="103">
        <f t="shared" si="9"/>
        <v>180</v>
      </c>
      <c r="AY21" s="103">
        <f t="shared" si="10"/>
        <v>180</v>
      </c>
      <c r="AZ21" s="102">
        <f t="shared" si="11"/>
        <v>165</v>
      </c>
      <c r="BA21" s="102">
        <f t="shared" si="12"/>
        <v>15</v>
      </c>
      <c r="BB21" s="103">
        <f t="shared" si="13"/>
        <v>180</v>
      </c>
      <c r="BC21" s="103">
        <f t="shared" si="14"/>
        <v>180</v>
      </c>
      <c r="BD21" s="103">
        <f t="shared" si="15"/>
        <v>180</v>
      </c>
      <c r="BE21" s="103">
        <f t="shared" si="16"/>
        <v>180</v>
      </c>
      <c r="BF21" s="102">
        <f t="shared" si="17"/>
        <v>165</v>
      </c>
      <c r="BG21" s="102">
        <f t="shared" si="18"/>
        <v>15</v>
      </c>
      <c r="BH21" s="65" t="s">
        <v>592</v>
      </c>
    </row>
    <row r="22" s="3" customFormat="1" ht="26" customHeight="1" spans="1:60">
      <c r="A22" s="13">
        <v>44476</v>
      </c>
      <c r="B22" s="14" t="s">
        <v>586</v>
      </c>
      <c r="C22" s="15"/>
      <c r="D22" s="16" t="s">
        <v>587</v>
      </c>
      <c r="E22" s="17"/>
      <c r="F22" s="14" t="s">
        <v>588</v>
      </c>
      <c r="G22" s="18" t="s">
        <v>589</v>
      </c>
      <c r="H22" s="3">
        <v>1440</v>
      </c>
      <c r="I22" s="3">
        <v>24</v>
      </c>
      <c r="J22" s="3">
        <f t="shared" si="3"/>
        <v>60</v>
      </c>
      <c r="K22" s="3">
        <f t="shared" si="4"/>
        <v>1</v>
      </c>
      <c r="L22" s="45">
        <v>0</v>
      </c>
      <c r="M22" s="46">
        <v>0</v>
      </c>
      <c r="N22" s="47" t="s">
        <v>590</v>
      </c>
      <c r="O22" s="48"/>
      <c r="P22" s="47" t="s">
        <v>591</v>
      </c>
      <c r="Q22" s="48"/>
      <c r="S22" s="42" t="s">
        <v>70</v>
      </c>
      <c r="T22" s="48"/>
      <c r="U22" s="59"/>
      <c r="V22" s="59"/>
      <c r="W22" s="47"/>
      <c r="X22" s="48" t="s">
        <v>332</v>
      </c>
      <c r="Y22" s="48" t="s">
        <v>332</v>
      </c>
      <c r="Z22" s="78">
        <f t="shared" si="5"/>
        <v>1440</v>
      </c>
      <c r="AA22" s="78"/>
      <c r="AB22" s="79"/>
      <c r="AC22" s="78">
        <f t="shared" si="6"/>
        <v>1440</v>
      </c>
      <c r="AD22" s="78"/>
      <c r="AE22" s="79"/>
      <c r="AF22" s="80">
        <f t="shared" si="7"/>
        <v>1440</v>
      </c>
      <c r="AG22" s="80"/>
      <c r="AH22" s="91"/>
      <c r="AI22" s="91">
        <f t="shared" si="8"/>
        <v>60</v>
      </c>
      <c r="AJ22" s="91"/>
      <c r="AK22" s="80"/>
      <c r="AL22" s="80"/>
      <c r="AM22" s="80"/>
      <c r="AN22" s="80"/>
      <c r="AO22" s="80"/>
      <c r="AP22" s="80"/>
      <c r="AQ22" s="91"/>
      <c r="AR22" s="91"/>
      <c r="AS22" s="91"/>
      <c r="AT22" s="91"/>
      <c r="AU22" s="91"/>
      <c r="AV22" s="91"/>
      <c r="AW22" s="91"/>
      <c r="AX22" s="103">
        <f t="shared" si="9"/>
        <v>180</v>
      </c>
      <c r="AY22" s="103">
        <f t="shared" si="10"/>
        <v>180</v>
      </c>
      <c r="AZ22" s="102">
        <f t="shared" si="11"/>
        <v>165</v>
      </c>
      <c r="BA22" s="102">
        <f t="shared" si="12"/>
        <v>15</v>
      </c>
      <c r="BB22" s="103">
        <f t="shared" si="13"/>
        <v>180</v>
      </c>
      <c r="BC22" s="103">
        <f t="shared" si="14"/>
        <v>180</v>
      </c>
      <c r="BD22" s="103">
        <f t="shared" si="15"/>
        <v>180</v>
      </c>
      <c r="BE22" s="103">
        <f t="shared" si="16"/>
        <v>180</v>
      </c>
      <c r="BF22" s="102">
        <f t="shared" si="17"/>
        <v>165</v>
      </c>
      <c r="BG22" s="102">
        <f t="shared" si="18"/>
        <v>15</v>
      </c>
      <c r="BH22" s="65" t="s">
        <v>592</v>
      </c>
    </row>
    <row r="23" s="3" customFormat="1" ht="26" customHeight="1" spans="1:60">
      <c r="A23" s="13">
        <v>44462</v>
      </c>
      <c r="B23" s="14" t="s">
        <v>551</v>
      </c>
      <c r="C23" s="15" t="s">
        <v>593</v>
      </c>
      <c r="D23" s="16">
        <v>4500061791</v>
      </c>
      <c r="E23" s="17" t="s">
        <v>553</v>
      </c>
      <c r="F23" s="14" t="s">
        <v>594</v>
      </c>
      <c r="G23" s="18" t="s">
        <v>595</v>
      </c>
      <c r="H23" s="3">
        <v>504</v>
      </c>
      <c r="I23" s="3">
        <v>0</v>
      </c>
      <c r="J23" s="3">
        <v>12</v>
      </c>
      <c r="K23" s="3">
        <f t="shared" ref="K23:K35" si="19">H23/J23</f>
        <v>42</v>
      </c>
      <c r="L23" s="45">
        <v>0</v>
      </c>
      <c r="M23" s="46">
        <f>H23*L23</f>
        <v>0</v>
      </c>
      <c r="N23" s="47" t="s">
        <v>596</v>
      </c>
      <c r="O23" s="48"/>
      <c r="P23" s="47" t="s">
        <v>597</v>
      </c>
      <c r="Q23" s="48"/>
      <c r="S23" s="42" t="s">
        <v>268</v>
      </c>
      <c r="T23" s="48"/>
      <c r="U23" s="59"/>
      <c r="V23" s="59"/>
      <c r="W23" s="47"/>
      <c r="X23" s="48" t="s">
        <v>332</v>
      </c>
      <c r="Y23" s="48" t="s">
        <v>332</v>
      </c>
      <c r="Z23" s="78"/>
      <c r="AA23" s="78">
        <f>H23</f>
        <v>504</v>
      </c>
      <c r="AB23" s="79"/>
      <c r="AC23" s="78"/>
      <c r="AD23" s="78">
        <f>H23</f>
        <v>504</v>
      </c>
      <c r="AE23" s="79"/>
      <c r="AF23" s="80"/>
      <c r="AG23" s="80">
        <f>H23</f>
        <v>504</v>
      </c>
      <c r="AH23" s="91"/>
      <c r="AI23" s="91"/>
      <c r="AJ23" s="91"/>
      <c r="AK23" s="80"/>
      <c r="AL23" s="80"/>
      <c r="AM23" s="80"/>
      <c r="AN23" s="80"/>
      <c r="AO23" s="80">
        <f>H23/12</f>
        <v>42</v>
      </c>
      <c r="AP23" s="80"/>
      <c r="AQ23" s="91"/>
      <c r="AR23" s="91"/>
      <c r="AS23" s="91"/>
      <c r="AT23" s="91"/>
      <c r="AU23" s="91"/>
      <c r="AV23" s="91"/>
      <c r="AW23" s="91"/>
      <c r="AX23" s="103">
        <f t="shared" si="9"/>
        <v>63</v>
      </c>
      <c r="AY23" s="103">
        <f t="shared" si="10"/>
        <v>63</v>
      </c>
      <c r="AZ23" s="102">
        <f t="shared" si="11"/>
        <v>57.75</v>
      </c>
      <c r="BA23" s="102">
        <f t="shared" si="12"/>
        <v>5.25</v>
      </c>
      <c r="BB23" s="103">
        <f t="shared" si="13"/>
        <v>63</v>
      </c>
      <c r="BC23" s="103">
        <f t="shared" si="14"/>
        <v>63</v>
      </c>
      <c r="BD23" s="103">
        <f t="shared" si="15"/>
        <v>63</v>
      </c>
      <c r="BE23" s="103">
        <f t="shared" si="16"/>
        <v>63</v>
      </c>
      <c r="BF23" s="102">
        <f t="shared" si="17"/>
        <v>57.75</v>
      </c>
      <c r="BG23" s="102">
        <f t="shared" si="18"/>
        <v>5.25</v>
      </c>
      <c r="BH23" s="65" t="s">
        <v>598</v>
      </c>
    </row>
    <row r="24" s="3" customFormat="1" ht="26" customHeight="1" spans="1:60">
      <c r="A24" s="13">
        <v>44455</v>
      </c>
      <c r="B24" s="14" t="s">
        <v>599</v>
      </c>
      <c r="C24" s="15" t="s">
        <v>600</v>
      </c>
      <c r="D24" s="16">
        <v>4500060612</v>
      </c>
      <c r="E24" s="17" t="s">
        <v>601</v>
      </c>
      <c r="F24" s="14" t="s">
        <v>594</v>
      </c>
      <c r="G24" s="18" t="s">
        <v>595</v>
      </c>
      <c r="H24" s="3">
        <v>12000</v>
      </c>
      <c r="I24" s="3">
        <v>0</v>
      </c>
      <c r="J24" s="3">
        <v>12</v>
      </c>
      <c r="K24" s="3">
        <f t="shared" si="19"/>
        <v>1000</v>
      </c>
      <c r="L24" s="45">
        <v>0</v>
      </c>
      <c r="M24" s="46">
        <f>H24*L24</f>
        <v>0</v>
      </c>
      <c r="N24" s="47" t="s">
        <v>602</v>
      </c>
      <c r="O24" s="48"/>
      <c r="P24" s="47" t="s">
        <v>603</v>
      </c>
      <c r="Q24" s="48"/>
      <c r="S24" s="42" t="s">
        <v>118</v>
      </c>
      <c r="T24" s="48"/>
      <c r="U24" s="59"/>
      <c r="V24" s="59"/>
      <c r="W24" s="47"/>
      <c r="X24" s="48" t="s">
        <v>332</v>
      </c>
      <c r="Y24" s="48" t="s">
        <v>332</v>
      </c>
      <c r="Z24" s="78">
        <f>H24</f>
        <v>12000</v>
      </c>
      <c r="AA24" s="78"/>
      <c r="AB24" s="79"/>
      <c r="AC24" s="78">
        <f>H24</f>
        <v>12000</v>
      </c>
      <c r="AD24" s="78"/>
      <c r="AE24" s="79"/>
      <c r="AF24" s="80">
        <f>H24</f>
        <v>12000</v>
      </c>
      <c r="AG24" s="80"/>
      <c r="AH24" s="91"/>
      <c r="AI24" s="91"/>
      <c r="AJ24" s="91"/>
      <c r="AK24" s="80"/>
      <c r="AL24" s="80"/>
      <c r="AM24" s="80"/>
      <c r="AN24" s="80">
        <f>H24/12</f>
        <v>1000</v>
      </c>
      <c r="AO24" s="80"/>
      <c r="AP24" s="80"/>
      <c r="AQ24" s="91"/>
      <c r="AR24" s="91"/>
      <c r="AS24" s="91"/>
      <c r="AT24" s="91"/>
      <c r="AU24" s="91"/>
      <c r="AV24" s="91"/>
      <c r="AW24" s="91"/>
      <c r="AX24" s="103">
        <f t="shared" si="9"/>
        <v>1500</v>
      </c>
      <c r="AY24" s="103">
        <f t="shared" si="10"/>
        <v>1500</v>
      </c>
      <c r="AZ24" s="102">
        <f t="shared" si="11"/>
        <v>1375</v>
      </c>
      <c r="BA24" s="102">
        <f t="shared" si="12"/>
        <v>125</v>
      </c>
      <c r="BB24" s="103">
        <f t="shared" si="13"/>
        <v>1500</v>
      </c>
      <c r="BC24" s="103">
        <f t="shared" si="14"/>
        <v>1500</v>
      </c>
      <c r="BD24" s="103">
        <f t="shared" si="15"/>
        <v>1500</v>
      </c>
      <c r="BE24" s="103">
        <f t="shared" si="16"/>
        <v>1500</v>
      </c>
      <c r="BF24" s="102">
        <f t="shared" si="17"/>
        <v>1375</v>
      </c>
      <c r="BG24" s="102">
        <f t="shared" si="18"/>
        <v>125</v>
      </c>
      <c r="BH24" s="60" t="s">
        <v>604</v>
      </c>
    </row>
    <row r="25" s="3" customFormat="1" ht="26" customHeight="1" spans="1:60">
      <c r="A25" s="13">
        <v>44455</v>
      </c>
      <c r="B25" s="14" t="s">
        <v>599</v>
      </c>
      <c r="C25" s="15" t="s">
        <v>605</v>
      </c>
      <c r="D25" s="16">
        <v>4500060613</v>
      </c>
      <c r="E25" s="17" t="s">
        <v>601</v>
      </c>
      <c r="F25" s="14" t="s">
        <v>594</v>
      </c>
      <c r="G25" s="18" t="s">
        <v>595</v>
      </c>
      <c r="H25" s="3">
        <v>6000</v>
      </c>
      <c r="I25" s="3">
        <v>0</v>
      </c>
      <c r="J25" s="3">
        <v>12</v>
      </c>
      <c r="K25" s="3">
        <f t="shared" si="19"/>
        <v>500</v>
      </c>
      <c r="L25" s="45">
        <v>0</v>
      </c>
      <c r="M25" s="46">
        <f>H25*L25</f>
        <v>0</v>
      </c>
      <c r="N25" s="47" t="s">
        <v>606</v>
      </c>
      <c r="O25" s="48"/>
      <c r="P25" s="47" t="s">
        <v>607</v>
      </c>
      <c r="Q25" s="48"/>
      <c r="S25" s="42" t="s">
        <v>118</v>
      </c>
      <c r="T25" s="48"/>
      <c r="U25" s="59"/>
      <c r="V25" s="59"/>
      <c r="W25" s="47"/>
      <c r="X25" s="48" t="s">
        <v>332</v>
      </c>
      <c r="Y25" s="48" t="s">
        <v>332</v>
      </c>
      <c r="Z25" s="78">
        <f>H25</f>
        <v>6000</v>
      </c>
      <c r="AA25" s="78"/>
      <c r="AB25" s="79"/>
      <c r="AC25" s="78">
        <f>H25</f>
        <v>6000</v>
      </c>
      <c r="AD25" s="78"/>
      <c r="AE25" s="79"/>
      <c r="AF25" s="80">
        <f>H25</f>
        <v>6000</v>
      </c>
      <c r="AG25" s="80"/>
      <c r="AH25" s="91"/>
      <c r="AI25" s="91"/>
      <c r="AJ25" s="91"/>
      <c r="AK25" s="80"/>
      <c r="AL25" s="80"/>
      <c r="AM25" s="80"/>
      <c r="AN25" s="80">
        <f>H25/12</f>
        <v>500</v>
      </c>
      <c r="AO25" s="80"/>
      <c r="AP25" s="80"/>
      <c r="AQ25" s="91"/>
      <c r="AR25" s="91"/>
      <c r="AS25" s="91"/>
      <c r="AT25" s="91"/>
      <c r="AU25" s="91"/>
      <c r="AV25" s="91"/>
      <c r="AW25" s="91"/>
      <c r="AX25" s="103">
        <f t="shared" si="9"/>
        <v>750</v>
      </c>
      <c r="AY25" s="103">
        <f t="shared" si="10"/>
        <v>750</v>
      </c>
      <c r="AZ25" s="102">
        <f t="shared" si="11"/>
        <v>687.5</v>
      </c>
      <c r="BA25" s="102">
        <f t="shared" si="12"/>
        <v>62.5</v>
      </c>
      <c r="BB25" s="103">
        <f t="shared" si="13"/>
        <v>750</v>
      </c>
      <c r="BC25" s="103">
        <f t="shared" si="14"/>
        <v>750</v>
      </c>
      <c r="BD25" s="103">
        <f t="shared" si="15"/>
        <v>750</v>
      </c>
      <c r="BE25" s="103">
        <f t="shared" si="16"/>
        <v>750</v>
      </c>
      <c r="BF25" s="102">
        <f t="shared" si="17"/>
        <v>687.5</v>
      </c>
      <c r="BG25" s="102">
        <f t="shared" si="18"/>
        <v>62.5</v>
      </c>
      <c r="BH25" s="60" t="s">
        <v>608</v>
      </c>
    </row>
    <row r="26" s="3" customFormat="1" ht="26" customHeight="1" spans="1:60">
      <c r="A26" s="13">
        <v>44455</v>
      </c>
      <c r="B26" s="14" t="s">
        <v>599</v>
      </c>
      <c r="C26" s="15" t="s">
        <v>609</v>
      </c>
      <c r="D26" s="16">
        <v>4500060614</v>
      </c>
      <c r="E26" s="17" t="s">
        <v>601</v>
      </c>
      <c r="F26" s="14" t="s">
        <v>594</v>
      </c>
      <c r="G26" s="18" t="s">
        <v>595</v>
      </c>
      <c r="H26" s="3">
        <v>15300</v>
      </c>
      <c r="I26" s="3">
        <v>0</v>
      </c>
      <c r="J26" s="3">
        <v>12</v>
      </c>
      <c r="K26" s="3">
        <f t="shared" si="19"/>
        <v>1275</v>
      </c>
      <c r="L26" s="45">
        <v>0</v>
      </c>
      <c r="M26" s="46">
        <f>H26*L26</f>
        <v>0</v>
      </c>
      <c r="N26" s="47" t="s">
        <v>610</v>
      </c>
      <c r="O26" s="48"/>
      <c r="P26" s="47" t="s">
        <v>611</v>
      </c>
      <c r="Q26" s="48"/>
      <c r="S26" s="42" t="s">
        <v>118</v>
      </c>
      <c r="T26" s="48"/>
      <c r="U26" s="59"/>
      <c r="V26" s="59"/>
      <c r="W26" s="47"/>
      <c r="X26" s="48" t="s">
        <v>332</v>
      </c>
      <c r="Y26" s="48" t="s">
        <v>332</v>
      </c>
      <c r="Z26" s="78">
        <f>H26</f>
        <v>15300</v>
      </c>
      <c r="AA26" s="78"/>
      <c r="AB26" s="79"/>
      <c r="AC26" s="78">
        <f>H26</f>
        <v>15300</v>
      </c>
      <c r="AD26" s="78"/>
      <c r="AE26" s="79"/>
      <c r="AF26" s="80">
        <f>H26</f>
        <v>15300</v>
      </c>
      <c r="AG26" s="80"/>
      <c r="AH26" s="91"/>
      <c r="AI26" s="91"/>
      <c r="AJ26" s="91"/>
      <c r="AK26" s="80"/>
      <c r="AL26" s="80"/>
      <c r="AM26" s="80"/>
      <c r="AN26" s="80">
        <f>H26/12</f>
        <v>1275</v>
      </c>
      <c r="AO26" s="80"/>
      <c r="AP26" s="80"/>
      <c r="AQ26" s="91"/>
      <c r="AR26" s="91"/>
      <c r="AS26" s="91"/>
      <c r="AT26" s="91"/>
      <c r="AU26" s="91"/>
      <c r="AV26" s="91"/>
      <c r="AW26" s="91"/>
      <c r="AX26" s="91">
        <f t="shared" si="9"/>
        <v>1912.5</v>
      </c>
      <c r="AY26" s="91">
        <f t="shared" si="10"/>
        <v>1912.5</v>
      </c>
      <c r="AZ26" s="91">
        <f t="shared" si="11"/>
        <v>1753.125</v>
      </c>
      <c r="BA26" s="91">
        <f t="shared" si="12"/>
        <v>159.375</v>
      </c>
      <c r="BB26" s="91">
        <f t="shared" si="13"/>
        <v>1912.5</v>
      </c>
      <c r="BC26" s="91">
        <f t="shared" si="14"/>
        <v>1912.5</v>
      </c>
      <c r="BD26" s="91">
        <f t="shared" si="15"/>
        <v>1912.5</v>
      </c>
      <c r="BE26" s="91">
        <f t="shared" si="16"/>
        <v>1912.5</v>
      </c>
      <c r="BF26" s="91">
        <f t="shared" si="17"/>
        <v>1753.125</v>
      </c>
      <c r="BG26" s="91">
        <f t="shared" si="18"/>
        <v>159.375</v>
      </c>
      <c r="BH26" s="60" t="s">
        <v>612</v>
      </c>
    </row>
    <row r="27" s="3" customFormat="1" ht="26" customHeight="1" spans="1:60">
      <c r="A27" s="13">
        <v>44455</v>
      </c>
      <c r="B27" s="14" t="s">
        <v>599</v>
      </c>
      <c r="C27" s="15" t="s">
        <v>613</v>
      </c>
      <c r="D27" s="16">
        <v>4500060611</v>
      </c>
      <c r="E27" s="17" t="s">
        <v>601</v>
      </c>
      <c r="F27" s="14" t="s">
        <v>594</v>
      </c>
      <c r="G27" s="18" t="s">
        <v>595</v>
      </c>
      <c r="H27" s="3">
        <v>48000</v>
      </c>
      <c r="I27" s="3">
        <v>0</v>
      </c>
      <c r="J27" s="3">
        <v>12</v>
      </c>
      <c r="K27" s="3">
        <f t="shared" si="19"/>
        <v>4000</v>
      </c>
      <c r="L27" s="45">
        <v>0</v>
      </c>
      <c r="M27" s="46">
        <f>H27*L27</f>
        <v>0</v>
      </c>
      <c r="N27" s="47" t="s">
        <v>614</v>
      </c>
      <c r="O27" s="48"/>
      <c r="P27" s="47" t="s">
        <v>615</v>
      </c>
      <c r="Q27" s="48"/>
      <c r="S27" s="42" t="s">
        <v>118</v>
      </c>
      <c r="T27" s="48"/>
      <c r="U27" s="59"/>
      <c r="V27" s="59"/>
      <c r="W27" s="47"/>
      <c r="X27" s="48" t="s">
        <v>332</v>
      </c>
      <c r="Y27" s="48" t="s">
        <v>332</v>
      </c>
      <c r="Z27" s="78">
        <f>H27</f>
        <v>48000</v>
      </c>
      <c r="AA27" s="78"/>
      <c r="AB27" s="79"/>
      <c r="AC27" s="78">
        <f>H27</f>
        <v>48000</v>
      </c>
      <c r="AD27" s="78"/>
      <c r="AE27" s="79"/>
      <c r="AF27" s="80">
        <f>H27</f>
        <v>48000</v>
      </c>
      <c r="AG27" s="80"/>
      <c r="AH27" s="91"/>
      <c r="AI27" s="91"/>
      <c r="AJ27" s="91"/>
      <c r="AK27" s="80"/>
      <c r="AL27" s="80"/>
      <c r="AM27" s="80"/>
      <c r="AN27" s="80">
        <f>H27/12</f>
        <v>4000</v>
      </c>
      <c r="AO27" s="80"/>
      <c r="AP27" s="80"/>
      <c r="AQ27" s="91"/>
      <c r="AR27" s="91"/>
      <c r="AS27" s="91"/>
      <c r="AT27" s="91"/>
      <c r="AU27" s="91"/>
      <c r="AV27" s="91"/>
      <c r="AW27" s="91"/>
      <c r="AX27" s="103">
        <f t="shared" si="9"/>
        <v>6000</v>
      </c>
      <c r="AY27" s="103">
        <f t="shared" si="10"/>
        <v>6000</v>
      </c>
      <c r="AZ27" s="102">
        <f t="shared" si="11"/>
        <v>5500</v>
      </c>
      <c r="BA27" s="102">
        <f t="shared" si="12"/>
        <v>500</v>
      </c>
      <c r="BB27" s="103">
        <f t="shared" si="13"/>
        <v>6000</v>
      </c>
      <c r="BC27" s="103">
        <f t="shared" si="14"/>
        <v>6000</v>
      </c>
      <c r="BD27" s="103">
        <f t="shared" si="15"/>
        <v>6000</v>
      </c>
      <c r="BE27" s="103">
        <f t="shared" si="16"/>
        <v>6000</v>
      </c>
      <c r="BF27" s="102">
        <f t="shared" si="17"/>
        <v>5500</v>
      </c>
      <c r="BG27" s="102">
        <f t="shared" si="18"/>
        <v>500</v>
      </c>
      <c r="BH27" s="60" t="s">
        <v>616</v>
      </c>
    </row>
    <row r="28" s="4" customFormat="1" ht="26" customHeight="1" spans="1:67">
      <c r="A28" s="28">
        <v>44630</v>
      </c>
      <c r="B28" s="29" t="s">
        <v>147</v>
      </c>
      <c r="C28" s="30" t="s">
        <v>118</v>
      </c>
      <c r="D28" s="31">
        <v>4500072769</v>
      </c>
      <c r="E28" s="32" t="s">
        <v>617</v>
      </c>
      <c r="F28" s="33" t="s">
        <v>618</v>
      </c>
      <c r="G28" s="34" t="s">
        <v>619</v>
      </c>
      <c r="H28" s="6">
        <v>4320</v>
      </c>
      <c r="I28" s="6">
        <v>0</v>
      </c>
      <c r="J28" s="6">
        <v>16</v>
      </c>
      <c r="K28" s="6">
        <f t="shared" si="19"/>
        <v>270</v>
      </c>
      <c r="L28" s="47" t="s">
        <v>620</v>
      </c>
      <c r="M28" s="49" t="s">
        <v>621</v>
      </c>
      <c r="N28" s="50"/>
      <c r="O28" s="51"/>
      <c r="P28" s="50"/>
      <c r="Q28" s="50" t="s">
        <v>332</v>
      </c>
      <c r="R28" s="50" t="s">
        <v>75</v>
      </c>
      <c r="S28" s="50" t="s">
        <v>332</v>
      </c>
      <c r="T28" s="61" t="s">
        <v>622</v>
      </c>
      <c r="U28" s="62" t="s">
        <v>623</v>
      </c>
      <c r="V28" s="63">
        <v>2.5173</v>
      </c>
      <c r="W28" s="64">
        <f>V28*H28</f>
        <v>10874.736</v>
      </c>
      <c r="X28" s="6"/>
      <c r="Y28" s="6"/>
      <c r="Z28" s="50"/>
      <c r="AA28" s="81"/>
      <c r="AB28" s="81">
        <f>AA28-H28</f>
        <v>-4320</v>
      </c>
      <c r="AC28" s="82"/>
      <c r="AD28" s="83">
        <f>H28*2</f>
        <v>8640</v>
      </c>
      <c r="AE28" s="83"/>
      <c r="AF28" s="83"/>
      <c r="AG28" s="77"/>
      <c r="AH28" s="83">
        <f>H28*2</f>
        <v>8640</v>
      </c>
      <c r="AI28" s="83"/>
      <c r="AJ28" s="77"/>
      <c r="AK28" s="92">
        <f>H28*2</f>
        <v>8640</v>
      </c>
      <c r="AL28" s="92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104">
        <f>H28/96*12*2</f>
        <v>1080</v>
      </c>
      <c r="BC28" s="104">
        <f>H28/96*12*2</f>
        <v>1080</v>
      </c>
      <c r="BD28" s="105">
        <f>H28/96*11*2</f>
        <v>990</v>
      </c>
      <c r="BE28" s="105">
        <f>H28/96*1*2</f>
        <v>90</v>
      </c>
      <c r="BF28" s="104">
        <f>H28/96*12*2</f>
        <v>1080</v>
      </c>
      <c r="BG28" s="104">
        <f>H28/96*12*2</f>
        <v>1080</v>
      </c>
      <c r="BH28" s="104">
        <f>H28/96*12*2</f>
        <v>1080</v>
      </c>
      <c r="BI28" s="104">
        <f>H28/96*12*2</f>
        <v>1080</v>
      </c>
      <c r="BJ28" s="105">
        <f>H28/96*11*2</f>
        <v>990</v>
      </c>
      <c r="BK28" s="105">
        <f>H28/96*1*2</f>
        <v>90</v>
      </c>
      <c r="BM28" s="116"/>
      <c r="BO28" s="117"/>
    </row>
    <row r="29" s="4" customFormat="1" ht="26" customHeight="1" spans="1:70">
      <c r="A29" s="35">
        <v>44651</v>
      </c>
      <c r="B29" s="24" t="s">
        <v>624</v>
      </c>
      <c r="C29" s="36" t="s">
        <v>118</v>
      </c>
      <c r="D29" s="26">
        <v>4500074831</v>
      </c>
      <c r="E29" s="25" t="s">
        <v>625</v>
      </c>
      <c r="F29" s="37" t="s">
        <v>626</v>
      </c>
      <c r="G29" s="14" t="s">
        <v>594</v>
      </c>
      <c r="H29" s="38">
        <v>2880</v>
      </c>
      <c r="I29" s="3">
        <v>0</v>
      </c>
      <c r="J29" s="3">
        <v>24</v>
      </c>
      <c r="K29" s="3">
        <f t="shared" ref="K29:K45" si="20">H29/J29</f>
        <v>120</v>
      </c>
      <c r="L29" s="47" t="s">
        <v>627</v>
      </c>
      <c r="M29" s="52" t="s">
        <v>628</v>
      </c>
      <c r="N29" s="50"/>
      <c r="O29" s="50"/>
      <c r="P29" s="50"/>
      <c r="Q29" s="50">
        <v>44651</v>
      </c>
      <c r="R29" s="54" t="s">
        <v>75</v>
      </c>
      <c r="S29" s="54" t="s">
        <v>75</v>
      </c>
      <c r="T29" s="65" t="s">
        <v>629</v>
      </c>
      <c r="U29" s="66" t="s">
        <v>630</v>
      </c>
      <c r="V29" s="67">
        <v>1.2468</v>
      </c>
      <c r="W29" s="68">
        <f t="shared" ref="W29:W35" si="21">H29*V29</f>
        <v>3590.784</v>
      </c>
      <c r="X29" s="6"/>
      <c r="Y29" s="6"/>
      <c r="Z29" s="50"/>
      <c r="AA29" s="59">
        <f>Z29-H29</f>
        <v>-2880</v>
      </c>
      <c r="AB29" s="81"/>
      <c r="AC29" s="82"/>
      <c r="AD29" s="78">
        <f t="shared" ref="AD29:AD35" si="22">H29</f>
        <v>2880</v>
      </c>
      <c r="AE29" s="78"/>
      <c r="AF29" s="78"/>
      <c r="AG29" s="79"/>
      <c r="AH29" s="78"/>
      <c r="AI29" s="78">
        <f t="shared" ref="AI29:AI45" si="23">H29</f>
        <v>2880</v>
      </c>
      <c r="AJ29" s="78"/>
      <c r="AK29" s="78"/>
      <c r="AL29" s="79"/>
      <c r="AM29" s="80"/>
      <c r="AN29" s="80">
        <f t="shared" ref="AN29:AN35" si="24">H29</f>
        <v>2880</v>
      </c>
      <c r="AO29" s="89"/>
      <c r="AP29" s="89"/>
      <c r="AQ29" s="89"/>
      <c r="AR29" s="91">
        <f>H29/24</f>
        <v>120</v>
      </c>
      <c r="AS29" s="89"/>
      <c r="AT29" s="92"/>
      <c r="AU29" s="92"/>
      <c r="AV29" s="92"/>
      <c r="AW29" s="92"/>
      <c r="AX29" s="89"/>
      <c r="AY29" s="89"/>
      <c r="AZ29" s="89"/>
      <c r="BA29" s="89"/>
      <c r="BB29" s="89"/>
      <c r="BC29" s="89"/>
      <c r="BD29" s="89"/>
      <c r="BE29" s="104"/>
      <c r="BF29" s="104"/>
      <c r="BG29" s="105"/>
      <c r="BH29" s="104">
        <f>H29/96*12</f>
        <v>360</v>
      </c>
      <c r="BI29" s="104">
        <f>H29/96*12</f>
        <v>360</v>
      </c>
      <c r="BJ29" s="105">
        <f>H29/96*11</f>
        <v>330</v>
      </c>
      <c r="BK29" s="105">
        <f>H29/96*1</f>
        <v>30</v>
      </c>
      <c r="BL29" s="104">
        <f>H29/96*12</f>
        <v>360</v>
      </c>
      <c r="BM29" s="104">
        <f>H29/96*12</f>
        <v>360</v>
      </c>
      <c r="BN29" s="104">
        <f>H29/96*12</f>
        <v>360</v>
      </c>
      <c r="BO29" s="104">
        <f>H29/96*12</f>
        <v>360</v>
      </c>
      <c r="BP29" s="105">
        <f>H29/96*11</f>
        <v>330</v>
      </c>
      <c r="BQ29" s="105">
        <f>H29/96*1</f>
        <v>30</v>
      </c>
      <c r="BR29" s="117"/>
    </row>
    <row r="30" s="4" customFormat="1" ht="26" customHeight="1" spans="1:70">
      <c r="A30" s="35">
        <v>44651</v>
      </c>
      <c r="B30" s="24" t="s">
        <v>624</v>
      </c>
      <c r="C30" s="36" t="s">
        <v>118</v>
      </c>
      <c r="D30" s="26">
        <v>4500074834</v>
      </c>
      <c r="E30" s="25" t="s">
        <v>631</v>
      </c>
      <c r="F30" s="37" t="s">
        <v>626</v>
      </c>
      <c r="G30" s="14" t="s">
        <v>594</v>
      </c>
      <c r="H30" s="38">
        <v>4800</v>
      </c>
      <c r="I30" s="3">
        <v>0</v>
      </c>
      <c r="J30" s="3">
        <v>24</v>
      </c>
      <c r="K30" s="3">
        <f t="shared" si="20"/>
        <v>200</v>
      </c>
      <c r="L30" s="47" t="s">
        <v>627</v>
      </c>
      <c r="M30" s="52" t="s">
        <v>632</v>
      </c>
      <c r="N30" s="50"/>
      <c r="O30" s="50"/>
      <c r="P30" s="50"/>
      <c r="Q30" s="50">
        <v>44651</v>
      </c>
      <c r="R30" s="54" t="s">
        <v>75</v>
      </c>
      <c r="S30" s="54" t="s">
        <v>75</v>
      </c>
      <c r="T30" s="65" t="s">
        <v>629</v>
      </c>
      <c r="U30" s="66" t="s">
        <v>630</v>
      </c>
      <c r="V30" s="67">
        <v>1.2387</v>
      </c>
      <c r="W30" s="68">
        <f t="shared" si="21"/>
        <v>5945.76</v>
      </c>
      <c r="X30" s="6"/>
      <c r="Y30" s="6"/>
      <c r="Z30" s="50"/>
      <c r="AA30" s="59">
        <f>Z30-H30</f>
        <v>-4800</v>
      </c>
      <c r="AB30" s="81"/>
      <c r="AC30" s="82"/>
      <c r="AD30" s="78">
        <f t="shared" si="22"/>
        <v>4800</v>
      </c>
      <c r="AE30" s="78"/>
      <c r="AF30" s="78"/>
      <c r="AG30" s="79"/>
      <c r="AH30" s="78"/>
      <c r="AI30" s="78">
        <f t="shared" si="23"/>
        <v>4800</v>
      </c>
      <c r="AJ30" s="78"/>
      <c r="AK30" s="78"/>
      <c r="AL30" s="79"/>
      <c r="AM30" s="80"/>
      <c r="AN30" s="80">
        <f t="shared" si="24"/>
        <v>4800</v>
      </c>
      <c r="AO30" s="89"/>
      <c r="AP30" s="89"/>
      <c r="AQ30" s="89"/>
      <c r="AR30" s="91">
        <f>H30/24</f>
        <v>200</v>
      </c>
      <c r="AS30" s="89"/>
      <c r="AT30" s="92"/>
      <c r="AU30" s="92"/>
      <c r="AV30" s="92"/>
      <c r="AW30" s="92"/>
      <c r="AX30" s="89"/>
      <c r="AY30" s="89"/>
      <c r="AZ30" s="89"/>
      <c r="BA30" s="89"/>
      <c r="BB30" s="89"/>
      <c r="BC30" s="89"/>
      <c r="BD30" s="89"/>
      <c r="BE30" s="104"/>
      <c r="BF30" s="104"/>
      <c r="BG30" s="105"/>
      <c r="BH30" s="104">
        <f>H30/96*12</f>
        <v>600</v>
      </c>
      <c r="BI30" s="104">
        <f>H30/96*12</f>
        <v>600</v>
      </c>
      <c r="BJ30" s="105">
        <f>H30/96*11</f>
        <v>550</v>
      </c>
      <c r="BK30" s="105">
        <f>H30/96*1</f>
        <v>50</v>
      </c>
      <c r="BL30" s="104">
        <f t="shared" ref="BL30:BL35" si="25">H30/96*12</f>
        <v>600</v>
      </c>
      <c r="BM30" s="104">
        <f>H30/96*12</f>
        <v>600</v>
      </c>
      <c r="BN30" s="104">
        <f>H30/96*12</f>
        <v>600</v>
      </c>
      <c r="BO30" s="104">
        <f t="shared" ref="BO30:BO35" si="26">H30/96*12</f>
        <v>600</v>
      </c>
      <c r="BP30" s="105">
        <f>H30/96*11</f>
        <v>550</v>
      </c>
      <c r="BQ30" s="105">
        <f>H30/96*1</f>
        <v>50</v>
      </c>
      <c r="BR30" s="117"/>
    </row>
    <row r="31" s="4" customFormat="1" ht="26" customHeight="1" spans="1:70">
      <c r="A31" s="35">
        <v>44651</v>
      </c>
      <c r="B31" s="24" t="s">
        <v>624</v>
      </c>
      <c r="C31" s="36" t="s">
        <v>118</v>
      </c>
      <c r="D31" s="26">
        <v>4500074837</v>
      </c>
      <c r="E31" s="25" t="s">
        <v>633</v>
      </c>
      <c r="F31" s="37" t="s">
        <v>626</v>
      </c>
      <c r="G31" s="14" t="s">
        <v>594</v>
      </c>
      <c r="H31" s="38">
        <v>1920</v>
      </c>
      <c r="I31" s="3">
        <v>0</v>
      </c>
      <c r="J31" s="3">
        <v>24</v>
      </c>
      <c r="K31" s="3">
        <f t="shared" si="20"/>
        <v>80</v>
      </c>
      <c r="L31" s="47" t="s">
        <v>627</v>
      </c>
      <c r="M31" s="52" t="s">
        <v>634</v>
      </c>
      <c r="N31" s="50"/>
      <c r="O31" s="50"/>
      <c r="P31" s="50"/>
      <c r="Q31" s="50">
        <v>44651</v>
      </c>
      <c r="R31" s="54" t="s">
        <v>75</v>
      </c>
      <c r="S31" s="54" t="s">
        <v>75</v>
      </c>
      <c r="T31" s="65" t="s">
        <v>629</v>
      </c>
      <c r="U31" s="66" t="s">
        <v>630</v>
      </c>
      <c r="V31" s="67">
        <v>1.2468</v>
      </c>
      <c r="W31" s="68">
        <f t="shared" si="21"/>
        <v>2393.856</v>
      </c>
      <c r="X31" s="6"/>
      <c r="Y31" s="6"/>
      <c r="Z31" s="50"/>
      <c r="AA31" s="59">
        <f>Z31-H31</f>
        <v>-1920</v>
      </c>
      <c r="AB31" s="81"/>
      <c r="AC31" s="82"/>
      <c r="AD31" s="78">
        <f t="shared" si="22"/>
        <v>1920</v>
      </c>
      <c r="AE31" s="78"/>
      <c r="AF31" s="78"/>
      <c r="AG31" s="79"/>
      <c r="AH31" s="78"/>
      <c r="AI31" s="78">
        <f t="shared" si="23"/>
        <v>1920</v>
      </c>
      <c r="AJ31" s="78"/>
      <c r="AK31" s="78"/>
      <c r="AL31" s="79"/>
      <c r="AM31" s="80"/>
      <c r="AN31" s="80">
        <f t="shared" si="24"/>
        <v>1920</v>
      </c>
      <c r="AO31" s="89"/>
      <c r="AP31" s="89"/>
      <c r="AQ31" s="89"/>
      <c r="AR31" s="91">
        <f>H31/24</f>
        <v>80</v>
      </c>
      <c r="AS31" s="89"/>
      <c r="AT31" s="92"/>
      <c r="AU31" s="92"/>
      <c r="AV31" s="92"/>
      <c r="AW31" s="92"/>
      <c r="AX31" s="89"/>
      <c r="AY31" s="89"/>
      <c r="AZ31" s="89"/>
      <c r="BA31" s="89"/>
      <c r="BB31" s="89"/>
      <c r="BC31" s="89"/>
      <c r="BD31" s="89"/>
      <c r="BE31" s="104"/>
      <c r="BF31" s="104"/>
      <c r="BG31" s="105"/>
      <c r="BH31" s="104">
        <f>H31/96*12</f>
        <v>240</v>
      </c>
      <c r="BI31" s="104">
        <f>H31/96*12</f>
        <v>240</v>
      </c>
      <c r="BJ31" s="105">
        <f>H31/96*11</f>
        <v>220</v>
      </c>
      <c r="BK31" s="105">
        <f>H31/96*1</f>
        <v>20</v>
      </c>
      <c r="BL31" s="104">
        <f t="shared" si="25"/>
        <v>240</v>
      </c>
      <c r="BM31" s="104">
        <f>H31/96*12</f>
        <v>240</v>
      </c>
      <c r="BN31" s="104">
        <f>H31/96*12</f>
        <v>240</v>
      </c>
      <c r="BO31" s="104">
        <f t="shared" si="26"/>
        <v>240</v>
      </c>
      <c r="BP31" s="105">
        <f>H31/96*11</f>
        <v>220</v>
      </c>
      <c r="BQ31" s="105">
        <f>H31/96*1</f>
        <v>20</v>
      </c>
      <c r="BR31" s="117"/>
    </row>
    <row r="32" s="5" customFormat="1" ht="31" customHeight="1" spans="1:79">
      <c r="A32" s="35">
        <v>44623</v>
      </c>
      <c r="B32" s="24" t="s">
        <v>635</v>
      </c>
      <c r="C32" s="36" t="s">
        <v>636</v>
      </c>
      <c r="D32" s="26">
        <v>4500071170</v>
      </c>
      <c r="E32" s="25" t="s">
        <v>637</v>
      </c>
      <c r="F32" s="37" t="s">
        <v>638</v>
      </c>
      <c r="G32" s="14" t="s">
        <v>594</v>
      </c>
      <c r="H32" s="38">
        <v>816</v>
      </c>
      <c r="I32" s="3">
        <v>0</v>
      </c>
      <c r="J32" s="3">
        <v>48</v>
      </c>
      <c r="K32" s="3">
        <f t="shared" si="20"/>
        <v>17</v>
      </c>
      <c r="L32" s="53" t="s">
        <v>639</v>
      </c>
      <c r="M32" s="53" t="s">
        <v>640</v>
      </c>
      <c r="N32" s="54"/>
      <c r="O32" s="54"/>
      <c r="P32" s="54"/>
      <c r="Q32" s="54" t="s">
        <v>332</v>
      </c>
      <c r="R32" s="54" t="s">
        <v>75</v>
      </c>
      <c r="S32" s="54" t="s">
        <v>332</v>
      </c>
      <c r="T32" s="65" t="s">
        <v>641</v>
      </c>
      <c r="U32" s="66" t="s">
        <v>642</v>
      </c>
      <c r="V32" s="45">
        <v>1.2553</v>
      </c>
      <c r="W32" s="46">
        <f t="shared" si="21"/>
        <v>1024.3248</v>
      </c>
      <c r="X32" s="38"/>
      <c r="Y32" s="38"/>
      <c r="Z32" s="84"/>
      <c r="AA32" s="59">
        <f>Z32-H32</f>
        <v>-816</v>
      </c>
      <c r="AB32" s="84"/>
      <c r="AC32" s="85"/>
      <c r="AD32" s="85"/>
      <c r="AE32" s="78">
        <f>H32</f>
        <v>816</v>
      </c>
      <c r="AF32" s="78"/>
      <c r="AG32" s="79"/>
      <c r="AH32" s="78"/>
      <c r="AI32" s="78"/>
      <c r="AJ32" s="78">
        <f>H32</f>
        <v>816</v>
      </c>
      <c r="AK32" s="78"/>
      <c r="AL32" s="79"/>
      <c r="AM32" s="80"/>
      <c r="AN32" s="80"/>
      <c r="AO32" s="80">
        <f>H32</f>
        <v>816</v>
      </c>
      <c r="AP32" s="94"/>
      <c r="AQ32" s="101"/>
      <c r="AR32" s="101"/>
      <c r="AS32" s="91">
        <f>H32/24</f>
        <v>34</v>
      </c>
      <c r="AT32" s="94"/>
      <c r="AU32" s="94"/>
      <c r="AV32" s="94"/>
      <c r="AW32" s="94"/>
      <c r="AX32" s="94"/>
      <c r="AY32" s="94"/>
      <c r="AZ32" s="94"/>
      <c r="BA32" s="101"/>
      <c r="BB32" s="101"/>
      <c r="BC32" s="101"/>
      <c r="BD32" s="101"/>
      <c r="BE32" s="101"/>
      <c r="BF32" s="101"/>
      <c r="BG32" s="101"/>
      <c r="BH32" s="104">
        <f>H32/96*12</f>
        <v>102</v>
      </c>
      <c r="BI32" s="104">
        <f>H32/96*12</f>
        <v>102</v>
      </c>
      <c r="BJ32" s="105">
        <f>H32/96*11</f>
        <v>93.5</v>
      </c>
      <c r="BK32" s="105">
        <f>H32/96*1</f>
        <v>8.5</v>
      </c>
      <c r="BL32" s="104">
        <f t="shared" si="25"/>
        <v>102</v>
      </c>
      <c r="BM32" s="104">
        <f>H32/96*12</f>
        <v>102</v>
      </c>
      <c r="BN32" s="104">
        <f>H32/96*12</f>
        <v>102</v>
      </c>
      <c r="BO32" s="104">
        <f t="shared" si="26"/>
        <v>102</v>
      </c>
      <c r="BP32" s="105">
        <f>H32/96*11</f>
        <v>93.5</v>
      </c>
      <c r="BQ32" s="105">
        <f>H32/96*1</f>
        <v>8.5</v>
      </c>
      <c r="BR32" s="38"/>
      <c r="BS32" s="38"/>
      <c r="BT32" s="38"/>
      <c r="BU32" s="38"/>
      <c r="BV32" s="38"/>
      <c r="BW32" s="38"/>
      <c r="BX32" s="38"/>
      <c r="BY32" s="38"/>
      <c r="BZ32" s="38"/>
      <c r="CA32" s="38"/>
    </row>
    <row r="33" s="5" customFormat="1" ht="31" customHeight="1" spans="1:79">
      <c r="A33" s="35">
        <v>44684</v>
      </c>
      <c r="B33" s="39" t="s">
        <v>643</v>
      </c>
      <c r="C33" s="40" t="s">
        <v>118</v>
      </c>
      <c r="D33" s="41">
        <v>4500077833</v>
      </c>
      <c r="E33" s="25" t="s">
        <v>644</v>
      </c>
      <c r="F33" s="37" t="s">
        <v>645</v>
      </c>
      <c r="G33" s="14" t="s">
        <v>646</v>
      </c>
      <c r="H33" s="38">
        <v>2736</v>
      </c>
      <c r="I33" s="3">
        <v>0</v>
      </c>
      <c r="J33" s="3">
        <v>16</v>
      </c>
      <c r="K33" s="3">
        <f t="shared" si="20"/>
        <v>171</v>
      </c>
      <c r="L33" s="53">
        <v>44720</v>
      </c>
      <c r="M33" s="52" t="s">
        <v>647</v>
      </c>
      <c r="N33" s="54"/>
      <c r="O33" s="54"/>
      <c r="P33" s="54"/>
      <c r="Q33" s="54" t="s">
        <v>332</v>
      </c>
      <c r="R33" s="54" t="s">
        <v>125</v>
      </c>
      <c r="S33" s="54" t="s">
        <v>332</v>
      </c>
      <c r="T33" s="65" t="s">
        <v>648</v>
      </c>
      <c r="U33" s="66" t="s">
        <v>649</v>
      </c>
      <c r="V33" s="67">
        <v>2.8862</v>
      </c>
      <c r="W33" s="46">
        <f t="shared" si="21"/>
        <v>7896.6432</v>
      </c>
      <c r="X33" s="38"/>
      <c r="Y33" s="38"/>
      <c r="Z33" s="84"/>
      <c r="AA33" s="59"/>
      <c r="AB33" s="84"/>
      <c r="AC33" s="85"/>
      <c r="AD33" s="85">
        <f t="shared" si="22"/>
        <v>2736</v>
      </c>
      <c r="AE33" s="85"/>
      <c r="AF33" s="85"/>
      <c r="AG33" s="93"/>
      <c r="AH33" s="85"/>
      <c r="AI33" s="85">
        <f t="shared" si="23"/>
        <v>2736</v>
      </c>
      <c r="AJ33" s="85"/>
      <c r="AK33" s="85"/>
      <c r="AL33" s="93"/>
      <c r="AM33" s="94"/>
      <c r="AN33" s="94">
        <f t="shared" si="24"/>
        <v>2736</v>
      </c>
      <c r="AO33" s="80"/>
      <c r="AP33" s="80"/>
      <c r="AQ33" s="91"/>
      <c r="AR33" s="91"/>
      <c r="AS33" s="101"/>
      <c r="AT33" s="94"/>
      <c r="AU33" s="94"/>
      <c r="AV33" s="94"/>
      <c r="AW33" s="94"/>
      <c r="AX33" s="94"/>
      <c r="AY33" s="94"/>
      <c r="AZ33" s="106"/>
      <c r="BA33" s="101"/>
      <c r="BB33" s="101"/>
      <c r="BC33" s="101"/>
      <c r="BD33" s="101"/>
      <c r="BE33" s="101"/>
      <c r="BF33" s="101"/>
      <c r="BG33" s="101"/>
      <c r="BH33" s="104">
        <f>H33/96*12*2</f>
        <v>684</v>
      </c>
      <c r="BI33" s="104">
        <f>H33/96*12*2</f>
        <v>684</v>
      </c>
      <c r="BJ33" s="105">
        <f>H33/96*11*2</f>
        <v>627</v>
      </c>
      <c r="BK33" s="105">
        <f>H33/96*1*2</f>
        <v>57</v>
      </c>
      <c r="BL33" s="104">
        <f>H33/96*12*2</f>
        <v>684</v>
      </c>
      <c r="BM33" s="104">
        <f>H33/96*12*2</f>
        <v>684</v>
      </c>
      <c r="BN33" s="104">
        <f>H33/96*12*2</f>
        <v>684</v>
      </c>
      <c r="BO33" s="104">
        <f>H33/96*12*2</f>
        <v>684</v>
      </c>
      <c r="BP33" s="105">
        <f>H33/96*11*2</f>
        <v>627</v>
      </c>
      <c r="BQ33" s="105">
        <f>H33/96*1*2</f>
        <v>57</v>
      </c>
      <c r="BR33" s="38"/>
      <c r="BS33" s="38"/>
      <c r="BT33" s="38"/>
      <c r="BU33" s="38"/>
      <c r="BV33" s="38"/>
      <c r="BW33" s="38"/>
      <c r="BX33" s="38"/>
      <c r="BY33" s="38"/>
      <c r="BZ33" s="38"/>
      <c r="CA33" s="38"/>
    </row>
    <row r="34" s="5" customFormat="1" ht="31" customHeight="1" spans="1:79">
      <c r="A34" s="35">
        <v>44684</v>
      </c>
      <c r="B34" s="39" t="s">
        <v>643</v>
      </c>
      <c r="C34" s="40" t="s">
        <v>118</v>
      </c>
      <c r="D34" s="41">
        <v>4500077833</v>
      </c>
      <c r="E34" s="25" t="s">
        <v>650</v>
      </c>
      <c r="F34" s="37" t="s">
        <v>645</v>
      </c>
      <c r="G34" s="14" t="s">
        <v>646</v>
      </c>
      <c r="H34" s="38">
        <v>912</v>
      </c>
      <c r="I34" s="3">
        <v>0</v>
      </c>
      <c r="J34" s="3">
        <v>16</v>
      </c>
      <c r="K34" s="3">
        <f t="shared" si="20"/>
        <v>57</v>
      </c>
      <c r="L34" s="53">
        <v>44720</v>
      </c>
      <c r="M34" s="53">
        <v>44716</v>
      </c>
      <c r="N34" s="54"/>
      <c r="O34" s="54"/>
      <c r="P34" s="54"/>
      <c r="Q34" s="54">
        <v>44688</v>
      </c>
      <c r="R34" s="54" t="s">
        <v>125</v>
      </c>
      <c r="S34" s="54" t="s">
        <v>332</v>
      </c>
      <c r="T34" s="65" t="s">
        <v>648</v>
      </c>
      <c r="U34" s="66" t="s">
        <v>649</v>
      </c>
      <c r="V34" s="67">
        <v>2.8862</v>
      </c>
      <c r="W34" s="46">
        <f t="shared" si="21"/>
        <v>2632.2144</v>
      </c>
      <c r="X34" s="38"/>
      <c r="Y34" s="38"/>
      <c r="Z34" s="84"/>
      <c r="AA34" s="59"/>
      <c r="AB34" s="84"/>
      <c r="AC34" s="85"/>
      <c r="AD34" s="85">
        <f t="shared" si="22"/>
        <v>912</v>
      </c>
      <c r="AE34" s="85"/>
      <c r="AF34" s="85"/>
      <c r="AG34" s="93"/>
      <c r="AH34" s="85"/>
      <c r="AI34" s="85">
        <f t="shared" si="23"/>
        <v>912</v>
      </c>
      <c r="AJ34" s="85"/>
      <c r="AK34" s="85"/>
      <c r="AL34" s="93"/>
      <c r="AM34" s="94"/>
      <c r="AN34" s="94">
        <f t="shared" si="24"/>
        <v>912</v>
      </c>
      <c r="AO34" s="80"/>
      <c r="AP34" s="80"/>
      <c r="AQ34" s="91"/>
      <c r="AR34" s="91"/>
      <c r="AS34" s="101"/>
      <c r="AT34" s="94"/>
      <c r="AU34" s="94"/>
      <c r="AV34" s="94"/>
      <c r="AW34" s="94"/>
      <c r="AX34" s="94"/>
      <c r="AY34" s="94"/>
      <c r="AZ34" s="106"/>
      <c r="BA34" s="101"/>
      <c r="BB34" s="101"/>
      <c r="BC34" s="101"/>
      <c r="BD34" s="101"/>
      <c r="BE34" s="101"/>
      <c r="BF34" s="101"/>
      <c r="BG34" s="101"/>
      <c r="BH34" s="104">
        <f>H34/96*12*2</f>
        <v>228</v>
      </c>
      <c r="BI34" s="104">
        <f>H34/96*12*2</f>
        <v>228</v>
      </c>
      <c r="BJ34" s="105">
        <f>H34/96*11*2</f>
        <v>209</v>
      </c>
      <c r="BK34" s="105">
        <f>H34/96*1*2</f>
        <v>19</v>
      </c>
      <c r="BL34" s="104">
        <f>H34/96*12*2</f>
        <v>228</v>
      </c>
      <c r="BM34" s="104">
        <f>H34/96*12*2</f>
        <v>228</v>
      </c>
      <c r="BN34" s="104">
        <f>H34/96*12*2</f>
        <v>228</v>
      </c>
      <c r="BO34" s="104">
        <f>H34/96*12*2</f>
        <v>228</v>
      </c>
      <c r="BP34" s="105">
        <f>H34/96*11*2</f>
        <v>209</v>
      </c>
      <c r="BQ34" s="105">
        <f>H34/96*1*2</f>
        <v>19</v>
      </c>
      <c r="BR34" s="38"/>
      <c r="BS34" s="38"/>
      <c r="BT34" s="38"/>
      <c r="BU34" s="38"/>
      <c r="BV34" s="38"/>
      <c r="BW34" s="38"/>
      <c r="BX34" s="38"/>
      <c r="BY34" s="38"/>
      <c r="BZ34" s="38"/>
      <c r="CA34" s="38"/>
    </row>
    <row r="35" s="5" customFormat="1" ht="31" customHeight="1" spans="1:82">
      <c r="A35" s="35">
        <v>44690</v>
      </c>
      <c r="B35" s="24" t="s">
        <v>651</v>
      </c>
      <c r="C35" s="36" t="s">
        <v>118</v>
      </c>
      <c r="D35" s="26">
        <v>4500078402</v>
      </c>
      <c r="E35" s="25" t="s">
        <v>652</v>
      </c>
      <c r="F35" s="37" t="s">
        <v>595</v>
      </c>
      <c r="G35" s="14" t="s">
        <v>594</v>
      </c>
      <c r="H35" s="38">
        <v>2928</v>
      </c>
      <c r="I35" s="3">
        <v>0</v>
      </c>
      <c r="J35" s="3">
        <v>12</v>
      </c>
      <c r="K35" s="3">
        <f t="shared" si="20"/>
        <v>244</v>
      </c>
      <c r="L35" s="53" t="s">
        <v>653</v>
      </c>
      <c r="M35" s="53" t="s">
        <v>654</v>
      </c>
      <c r="N35" s="54">
        <v>44732</v>
      </c>
      <c r="O35" s="54"/>
      <c r="P35" s="54"/>
      <c r="Q35" s="54">
        <v>44699</v>
      </c>
      <c r="R35" s="54" t="s">
        <v>75</v>
      </c>
      <c r="S35" s="54" t="s">
        <v>75</v>
      </c>
      <c r="T35" s="65" t="s">
        <v>655</v>
      </c>
      <c r="U35" s="66" t="s">
        <v>656</v>
      </c>
      <c r="V35" s="67">
        <v>1.3211</v>
      </c>
      <c r="W35" s="46">
        <f t="shared" si="21"/>
        <v>3868.1808</v>
      </c>
      <c r="X35" s="38"/>
      <c r="Y35" s="38"/>
      <c r="Z35" s="84"/>
      <c r="AA35" s="59"/>
      <c r="AB35" s="84"/>
      <c r="AC35" s="78"/>
      <c r="AD35" s="85">
        <f t="shared" si="22"/>
        <v>2928</v>
      </c>
      <c r="AE35" s="78"/>
      <c r="AF35" s="78"/>
      <c r="AG35" s="79"/>
      <c r="AH35" s="78"/>
      <c r="AI35" s="78">
        <f t="shared" si="23"/>
        <v>2928</v>
      </c>
      <c r="AK35" s="78"/>
      <c r="AL35" s="79"/>
      <c r="AM35" s="80"/>
      <c r="AN35" s="94">
        <f t="shared" si="24"/>
        <v>2928</v>
      </c>
      <c r="AO35" s="94"/>
      <c r="AP35" s="94"/>
      <c r="AQ35" s="101"/>
      <c r="AR35" s="101"/>
      <c r="AS35" s="101"/>
      <c r="AT35" s="101"/>
      <c r="AU35" s="101"/>
      <c r="AV35" s="94"/>
      <c r="AW35" s="94"/>
      <c r="AX35" s="94"/>
      <c r="AY35" s="94"/>
      <c r="AZ35" s="80">
        <f>H35/12</f>
        <v>244</v>
      </c>
      <c r="BA35" s="94"/>
      <c r="BB35" s="94"/>
      <c r="BC35" s="101"/>
      <c r="BD35" s="101"/>
      <c r="BE35" s="101"/>
      <c r="BF35" s="101"/>
      <c r="BG35" s="101"/>
      <c r="BH35" s="101"/>
      <c r="BI35" s="101"/>
      <c r="BJ35" s="101"/>
      <c r="BK35" s="91">
        <f>H35/96*12</f>
        <v>366</v>
      </c>
      <c r="BL35" s="91">
        <f t="shared" si="25"/>
        <v>366</v>
      </c>
      <c r="BM35" s="91">
        <f>H35/96*11</f>
        <v>335.5</v>
      </c>
      <c r="BN35" s="91">
        <f>H35/96*1</f>
        <v>30.5</v>
      </c>
      <c r="BO35" s="91">
        <f t="shared" si="26"/>
        <v>366</v>
      </c>
      <c r="BP35" s="91">
        <f>H35/96*12</f>
        <v>366</v>
      </c>
      <c r="BQ35" s="91">
        <f>H35/96*12</f>
        <v>366</v>
      </c>
      <c r="BR35" s="91">
        <f>H35/96*12</f>
        <v>366</v>
      </c>
      <c r="BS35" s="91">
        <f>H35/96*11</f>
        <v>335.5</v>
      </c>
      <c r="BT35" s="91">
        <f>H35/96*1</f>
        <v>30.5</v>
      </c>
      <c r="BU35" s="38"/>
      <c r="BV35" s="38"/>
      <c r="BW35" s="38"/>
      <c r="BX35" s="38"/>
      <c r="BY35" s="38"/>
      <c r="BZ35" s="38"/>
      <c r="CA35" s="38"/>
      <c r="CB35" s="38"/>
      <c r="CC35" s="38"/>
      <c r="CD35" s="38"/>
    </row>
    <row r="36" s="3" customFormat="1" ht="30" customHeight="1" spans="1:62">
      <c r="A36" s="13">
        <v>44748</v>
      </c>
      <c r="B36" s="42" t="s">
        <v>586</v>
      </c>
      <c r="C36" s="17" t="s">
        <v>69</v>
      </c>
      <c r="D36" s="16" t="s">
        <v>657</v>
      </c>
      <c r="E36" s="17" t="s">
        <v>565</v>
      </c>
      <c r="F36" s="18" t="s">
        <v>658</v>
      </c>
      <c r="G36" s="14" t="s">
        <v>659</v>
      </c>
      <c r="H36" s="3">
        <v>15000</v>
      </c>
      <c r="I36" s="3">
        <v>0</v>
      </c>
      <c r="J36" s="3">
        <v>625</v>
      </c>
      <c r="K36" s="3">
        <f t="shared" si="20"/>
        <v>24</v>
      </c>
      <c r="L36" s="47">
        <v>44781</v>
      </c>
      <c r="M36" s="47" t="s">
        <v>660</v>
      </c>
      <c r="N36" s="48"/>
      <c r="O36" s="48"/>
      <c r="P36" s="48"/>
      <c r="Q36" s="48" t="s">
        <v>332</v>
      </c>
      <c r="R36" s="48" t="s">
        <v>125</v>
      </c>
      <c r="S36" s="48" t="s">
        <v>332</v>
      </c>
      <c r="T36" s="60" t="s">
        <v>661</v>
      </c>
      <c r="U36" s="17" t="s">
        <v>565</v>
      </c>
      <c r="V36" s="45"/>
      <c r="W36" s="46"/>
      <c r="X36" s="69"/>
      <c r="Y36" s="69"/>
      <c r="Z36" s="59"/>
      <c r="AA36" s="59"/>
      <c r="AB36" s="47"/>
      <c r="AC36" s="78">
        <f t="shared" ref="AC36:AC40" si="27">H36</f>
        <v>15000</v>
      </c>
      <c r="AD36" s="78"/>
      <c r="AE36" s="78"/>
      <c r="AF36" s="3">
        <v>15000</v>
      </c>
      <c r="AG36" s="78"/>
      <c r="AH36" s="80"/>
      <c r="AI36" s="78">
        <f t="shared" si="23"/>
        <v>15000</v>
      </c>
      <c r="AJ36" s="80"/>
      <c r="AK36" s="91"/>
      <c r="AL36" s="91">
        <f t="shared" ref="AL36:AL40" si="28">H36/24</f>
        <v>625</v>
      </c>
      <c r="AM36" s="91"/>
      <c r="AN36" s="80"/>
      <c r="AO36" s="91"/>
      <c r="AP36" s="91"/>
      <c r="AQ36" s="91"/>
      <c r="AR36" s="91"/>
      <c r="AS36" s="91"/>
      <c r="AT36" s="91"/>
      <c r="AU36" s="91"/>
      <c r="AV36" s="91"/>
      <c r="AW36" s="107" t="e">
        <f>H36*#REF!</f>
        <v>#REF!</v>
      </c>
      <c r="AX36" s="107" t="e">
        <f>H36*#REF!</f>
        <v>#REF!</v>
      </c>
      <c r="AY36" s="107" t="e">
        <f>H36*#REF!</f>
        <v>#REF!</v>
      </c>
      <c r="AZ36" s="107" t="e">
        <f>H36*#REF!</f>
        <v>#REF!</v>
      </c>
      <c r="BA36" s="107" t="e">
        <f>H36*#REF!</f>
        <v>#REF!</v>
      </c>
      <c r="BB36" s="107" t="e">
        <f>H36*#REF!</f>
        <v>#REF!</v>
      </c>
      <c r="BC36" s="107" t="e">
        <f>H36*#REF!</f>
        <v>#REF!</v>
      </c>
      <c r="BD36" s="107" t="e">
        <f>H36*#REF!</f>
        <v>#REF!</v>
      </c>
      <c r="BE36" s="107" t="e">
        <f>H36*#REF!</f>
        <v>#REF!</v>
      </c>
      <c r="BF36" s="107" t="e">
        <f>H36*#REF!</f>
        <v>#REF!</v>
      </c>
      <c r="BG36" s="107" t="e">
        <f>H36*#REF!</f>
        <v>#REF!</v>
      </c>
      <c r="BH36" s="107" t="e">
        <f>H36*#REF!</f>
        <v>#REF!</v>
      </c>
      <c r="BI36" s="107" t="e">
        <f>H36*#REF!</f>
        <v>#REF!</v>
      </c>
      <c r="BJ36" s="114"/>
    </row>
    <row r="37" s="3" customFormat="1" ht="30" customHeight="1" spans="1:62">
      <c r="A37" s="13">
        <v>44748</v>
      </c>
      <c r="B37" s="42" t="s">
        <v>586</v>
      </c>
      <c r="C37" s="17" t="s">
        <v>69</v>
      </c>
      <c r="D37" s="16" t="s">
        <v>657</v>
      </c>
      <c r="E37" s="17" t="s">
        <v>565</v>
      </c>
      <c r="F37" s="18" t="s">
        <v>658</v>
      </c>
      <c r="G37" s="14" t="s">
        <v>659</v>
      </c>
      <c r="H37" s="3">
        <v>30000</v>
      </c>
      <c r="I37" s="3">
        <v>0</v>
      </c>
      <c r="J37" s="3">
        <v>1250</v>
      </c>
      <c r="K37" s="3">
        <f t="shared" si="20"/>
        <v>24</v>
      </c>
      <c r="L37" s="47">
        <v>44795</v>
      </c>
      <c r="M37" s="47" t="s">
        <v>660</v>
      </c>
      <c r="N37" s="48"/>
      <c r="O37" s="48"/>
      <c r="P37" s="48"/>
      <c r="Q37" s="48" t="s">
        <v>332</v>
      </c>
      <c r="R37" s="48" t="s">
        <v>125</v>
      </c>
      <c r="S37" s="48" t="s">
        <v>332</v>
      </c>
      <c r="T37" s="60" t="s">
        <v>661</v>
      </c>
      <c r="U37" s="17" t="s">
        <v>565</v>
      </c>
      <c r="V37" s="45"/>
      <c r="W37" s="46"/>
      <c r="X37" s="69"/>
      <c r="Y37" s="69"/>
      <c r="Z37" s="59"/>
      <c r="AA37" s="59"/>
      <c r="AB37" s="47"/>
      <c r="AC37" s="78">
        <f t="shared" si="27"/>
        <v>30000</v>
      </c>
      <c r="AD37" s="78"/>
      <c r="AE37" s="78"/>
      <c r="AF37" s="3">
        <v>15000</v>
      </c>
      <c r="AG37" s="78"/>
      <c r="AH37" s="80"/>
      <c r="AI37" s="78">
        <f t="shared" si="23"/>
        <v>30000</v>
      </c>
      <c r="AJ37" s="80"/>
      <c r="AK37" s="91"/>
      <c r="AL37" s="91">
        <f t="shared" si="28"/>
        <v>1250</v>
      </c>
      <c r="AM37" s="91"/>
      <c r="AN37" s="80"/>
      <c r="AO37" s="91"/>
      <c r="AP37" s="91"/>
      <c r="AQ37" s="91"/>
      <c r="AR37" s="91"/>
      <c r="AS37" s="91"/>
      <c r="AT37" s="91"/>
      <c r="AU37" s="91"/>
      <c r="AV37" s="91"/>
      <c r="AW37" s="107" t="e">
        <f>H37*#REF!</f>
        <v>#REF!</v>
      </c>
      <c r="AX37" s="107" t="e">
        <f>H37*#REF!</f>
        <v>#REF!</v>
      </c>
      <c r="AY37" s="107" t="e">
        <f>H37*#REF!</f>
        <v>#REF!</v>
      </c>
      <c r="AZ37" s="107" t="e">
        <f>H37*#REF!</f>
        <v>#REF!</v>
      </c>
      <c r="BA37" s="107" t="e">
        <f>H37*#REF!</f>
        <v>#REF!</v>
      </c>
      <c r="BB37" s="107" t="e">
        <f>H37*#REF!</f>
        <v>#REF!</v>
      </c>
      <c r="BC37" s="107" t="e">
        <f>H37*#REF!</f>
        <v>#REF!</v>
      </c>
      <c r="BD37" s="107" t="e">
        <f>H37*#REF!</f>
        <v>#REF!</v>
      </c>
      <c r="BE37" s="107" t="e">
        <f>H37*#REF!</f>
        <v>#REF!</v>
      </c>
      <c r="BF37" s="107" t="e">
        <f>H37*#REF!</f>
        <v>#REF!</v>
      </c>
      <c r="BG37" s="107" t="e">
        <f>H37*#REF!</f>
        <v>#REF!</v>
      </c>
      <c r="BH37" s="107" t="e">
        <f>H37*#REF!</f>
        <v>#REF!</v>
      </c>
      <c r="BI37" s="107" t="e">
        <f>H37*#REF!</f>
        <v>#REF!</v>
      </c>
      <c r="BJ37" s="114"/>
    </row>
    <row r="38" s="3" customFormat="1" ht="30" customHeight="1" spans="1:62">
      <c r="A38" s="13">
        <v>44748</v>
      </c>
      <c r="B38" s="42" t="s">
        <v>586</v>
      </c>
      <c r="C38" s="17" t="s">
        <v>69</v>
      </c>
      <c r="D38" s="16" t="s">
        <v>657</v>
      </c>
      <c r="E38" s="17" t="s">
        <v>565</v>
      </c>
      <c r="F38" s="18" t="s">
        <v>658</v>
      </c>
      <c r="G38" s="14" t="s">
        <v>659</v>
      </c>
      <c r="H38" s="3">
        <v>20016</v>
      </c>
      <c r="I38" s="3">
        <v>0</v>
      </c>
      <c r="J38" s="3">
        <v>834</v>
      </c>
      <c r="K38" s="3">
        <f t="shared" si="20"/>
        <v>24</v>
      </c>
      <c r="L38" s="47">
        <v>44799</v>
      </c>
      <c r="M38" s="47" t="s">
        <v>660</v>
      </c>
      <c r="N38" s="48"/>
      <c r="O38" s="48"/>
      <c r="P38" s="48"/>
      <c r="Q38" s="48" t="s">
        <v>332</v>
      </c>
      <c r="R38" s="48" t="s">
        <v>125</v>
      </c>
      <c r="S38" s="48" t="s">
        <v>332</v>
      </c>
      <c r="T38" s="60" t="s">
        <v>661</v>
      </c>
      <c r="U38" s="17" t="s">
        <v>565</v>
      </c>
      <c r="V38" s="45"/>
      <c r="W38" s="46"/>
      <c r="X38" s="69"/>
      <c r="Y38" s="69"/>
      <c r="Z38" s="59"/>
      <c r="AA38" s="59"/>
      <c r="AB38" s="47"/>
      <c r="AC38" s="78">
        <f t="shared" si="27"/>
        <v>20016</v>
      </c>
      <c r="AD38" s="78"/>
      <c r="AE38" s="78"/>
      <c r="AF38" s="3">
        <v>15000</v>
      </c>
      <c r="AG38" s="78"/>
      <c r="AH38" s="80"/>
      <c r="AI38" s="78">
        <f t="shared" si="23"/>
        <v>20016</v>
      </c>
      <c r="AJ38" s="80"/>
      <c r="AK38" s="91"/>
      <c r="AL38" s="91">
        <f t="shared" si="28"/>
        <v>834</v>
      </c>
      <c r="AM38" s="91"/>
      <c r="AN38" s="80"/>
      <c r="AO38" s="91"/>
      <c r="AP38" s="91"/>
      <c r="AQ38" s="91"/>
      <c r="AR38" s="91"/>
      <c r="AS38" s="91"/>
      <c r="AT38" s="91"/>
      <c r="AU38" s="91"/>
      <c r="AV38" s="91"/>
      <c r="AW38" s="107" t="e">
        <f>H38*#REF!</f>
        <v>#REF!</v>
      </c>
      <c r="AX38" s="107" t="e">
        <f>H38*#REF!</f>
        <v>#REF!</v>
      </c>
      <c r="AY38" s="107" t="e">
        <f>H38*#REF!</f>
        <v>#REF!</v>
      </c>
      <c r="AZ38" s="107" t="e">
        <f>H38*#REF!</f>
        <v>#REF!</v>
      </c>
      <c r="BA38" s="107" t="e">
        <f>H38*#REF!</f>
        <v>#REF!</v>
      </c>
      <c r="BB38" s="107" t="e">
        <f>H38*#REF!</f>
        <v>#REF!</v>
      </c>
      <c r="BC38" s="107" t="e">
        <f>H38*#REF!</f>
        <v>#REF!</v>
      </c>
      <c r="BD38" s="107" t="e">
        <f>H38*#REF!</f>
        <v>#REF!</v>
      </c>
      <c r="BE38" s="107" t="e">
        <f>H38*#REF!</f>
        <v>#REF!</v>
      </c>
      <c r="BF38" s="107" t="e">
        <f>H38*#REF!</f>
        <v>#REF!</v>
      </c>
      <c r="BG38" s="107" t="e">
        <f>H38*#REF!</f>
        <v>#REF!</v>
      </c>
      <c r="BH38" s="107" t="e">
        <f>H38*#REF!</f>
        <v>#REF!</v>
      </c>
      <c r="BI38" s="107" t="e">
        <f>H38*#REF!</f>
        <v>#REF!</v>
      </c>
      <c r="BJ38" s="114"/>
    </row>
    <row r="39" s="3" customFormat="1" ht="30" customHeight="1" spans="1:62">
      <c r="A39" s="13">
        <v>44748</v>
      </c>
      <c r="B39" s="42" t="s">
        <v>586</v>
      </c>
      <c r="C39" s="17" t="s">
        <v>69</v>
      </c>
      <c r="D39" s="16" t="s">
        <v>657</v>
      </c>
      <c r="E39" s="17" t="s">
        <v>565</v>
      </c>
      <c r="F39" s="18" t="s">
        <v>658</v>
      </c>
      <c r="G39" s="14" t="s">
        <v>659</v>
      </c>
      <c r="H39" s="3">
        <v>15000</v>
      </c>
      <c r="I39" s="3">
        <v>0</v>
      </c>
      <c r="J39" s="3">
        <v>625</v>
      </c>
      <c r="K39" s="3">
        <f t="shared" si="20"/>
        <v>24</v>
      </c>
      <c r="L39" s="47">
        <v>44803</v>
      </c>
      <c r="M39" s="47" t="s">
        <v>660</v>
      </c>
      <c r="N39" s="48"/>
      <c r="O39" s="48"/>
      <c r="P39" s="48"/>
      <c r="Q39" s="48" t="s">
        <v>332</v>
      </c>
      <c r="R39" s="48" t="s">
        <v>125</v>
      </c>
      <c r="S39" s="48" t="s">
        <v>332</v>
      </c>
      <c r="T39" s="60" t="s">
        <v>661</v>
      </c>
      <c r="U39" s="17" t="s">
        <v>565</v>
      </c>
      <c r="V39" s="45"/>
      <c r="W39" s="46"/>
      <c r="X39" s="69"/>
      <c r="Y39" s="69"/>
      <c r="Z39" s="59"/>
      <c r="AA39" s="59"/>
      <c r="AB39" s="47"/>
      <c r="AC39" s="78">
        <f t="shared" si="27"/>
        <v>15000</v>
      </c>
      <c r="AD39" s="78"/>
      <c r="AE39" s="78"/>
      <c r="AF39" s="3">
        <v>15000</v>
      </c>
      <c r="AG39" s="78"/>
      <c r="AH39" s="80"/>
      <c r="AI39" s="78">
        <f t="shared" si="23"/>
        <v>15000</v>
      </c>
      <c r="AJ39" s="80"/>
      <c r="AK39" s="91"/>
      <c r="AL39" s="91">
        <f t="shared" si="28"/>
        <v>625</v>
      </c>
      <c r="AM39" s="91"/>
      <c r="AN39" s="80"/>
      <c r="AO39" s="91"/>
      <c r="AP39" s="91"/>
      <c r="AQ39" s="91"/>
      <c r="AR39" s="91"/>
      <c r="AS39" s="91"/>
      <c r="AT39" s="91"/>
      <c r="AU39" s="91"/>
      <c r="AV39" s="91"/>
      <c r="AW39" s="107" t="e">
        <f>H39*#REF!</f>
        <v>#REF!</v>
      </c>
      <c r="AX39" s="107" t="e">
        <f>H39*#REF!</f>
        <v>#REF!</v>
      </c>
      <c r="AY39" s="107" t="e">
        <f>H39*#REF!</f>
        <v>#REF!</v>
      </c>
      <c r="AZ39" s="107" t="e">
        <f>H39*#REF!</f>
        <v>#REF!</v>
      </c>
      <c r="BA39" s="107" t="e">
        <f>H39*#REF!</f>
        <v>#REF!</v>
      </c>
      <c r="BB39" s="107" t="e">
        <f>H39*#REF!</f>
        <v>#REF!</v>
      </c>
      <c r="BC39" s="107" t="e">
        <f>H39*#REF!</f>
        <v>#REF!</v>
      </c>
      <c r="BD39" s="107" t="e">
        <f>H39*#REF!</f>
        <v>#REF!</v>
      </c>
      <c r="BE39" s="107" t="e">
        <f>H39*#REF!</f>
        <v>#REF!</v>
      </c>
      <c r="BF39" s="107" t="e">
        <f>H39*#REF!</f>
        <v>#REF!</v>
      </c>
      <c r="BG39" s="107" t="e">
        <f>H39*#REF!</f>
        <v>#REF!</v>
      </c>
      <c r="BH39" s="107" t="e">
        <f>H39*#REF!</f>
        <v>#REF!</v>
      </c>
      <c r="BI39" s="107" t="e">
        <f>H39*#REF!</f>
        <v>#REF!</v>
      </c>
      <c r="BJ39" s="114"/>
    </row>
    <row r="40" s="3" customFormat="1" ht="30" customHeight="1" spans="1:62">
      <c r="A40" s="13">
        <v>44748</v>
      </c>
      <c r="B40" s="42" t="s">
        <v>586</v>
      </c>
      <c r="C40" s="17" t="s">
        <v>69</v>
      </c>
      <c r="D40" s="16" t="s">
        <v>657</v>
      </c>
      <c r="E40" s="17" t="s">
        <v>565</v>
      </c>
      <c r="F40" s="18" t="s">
        <v>658</v>
      </c>
      <c r="G40" s="14" t="s">
        <v>659</v>
      </c>
      <c r="H40" s="3">
        <v>15000</v>
      </c>
      <c r="I40" s="3">
        <v>0</v>
      </c>
      <c r="J40" s="3">
        <v>625</v>
      </c>
      <c r="K40" s="3">
        <f t="shared" si="20"/>
        <v>24</v>
      </c>
      <c r="L40" s="47">
        <v>44804</v>
      </c>
      <c r="M40" s="47" t="s">
        <v>660</v>
      </c>
      <c r="N40" s="48"/>
      <c r="O40" s="48"/>
      <c r="P40" s="48"/>
      <c r="Q40" s="48" t="s">
        <v>332</v>
      </c>
      <c r="R40" s="48" t="s">
        <v>125</v>
      </c>
      <c r="S40" s="48" t="s">
        <v>332</v>
      </c>
      <c r="T40" s="60" t="s">
        <v>661</v>
      </c>
      <c r="U40" s="17" t="s">
        <v>565</v>
      </c>
      <c r="V40" s="45"/>
      <c r="W40" s="46"/>
      <c r="X40" s="69"/>
      <c r="Y40" s="69"/>
      <c r="Z40" s="59"/>
      <c r="AA40" s="59"/>
      <c r="AB40" s="47"/>
      <c r="AC40" s="78">
        <f t="shared" si="27"/>
        <v>15000</v>
      </c>
      <c r="AD40" s="78"/>
      <c r="AE40" s="78"/>
      <c r="AF40" s="3">
        <v>15000</v>
      </c>
      <c r="AG40" s="78"/>
      <c r="AH40" s="80"/>
      <c r="AI40" s="78">
        <f t="shared" si="23"/>
        <v>15000</v>
      </c>
      <c r="AJ40" s="80"/>
      <c r="AK40" s="91"/>
      <c r="AL40" s="91">
        <f t="shared" si="28"/>
        <v>625</v>
      </c>
      <c r="AM40" s="91"/>
      <c r="AN40" s="80"/>
      <c r="AO40" s="91"/>
      <c r="AP40" s="91"/>
      <c r="AQ40" s="91"/>
      <c r="AR40" s="91"/>
      <c r="AS40" s="91"/>
      <c r="AT40" s="91"/>
      <c r="AU40" s="91"/>
      <c r="AV40" s="91"/>
      <c r="AW40" s="107" t="e">
        <f>H40*#REF!</f>
        <v>#REF!</v>
      </c>
      <c r="AX40" s="107" t="e">
        <f>H40*#REF!</f>
        <v>#REF!</v>
      </c>
      <c r="AY40" s="107" t="e">
        <f>H40*#REF!</f>
        <v>#REF!</v>
      </c>
      <c r="AZ40" s="107" t="e">
        <f>H40*#REF!</f>
        <v>#REF!</v>
      </c>
      <c r="BA40" s="107" t="e">
        <f>H40*#REF!</f>
        <v>#REF!</v>
      </c>
      <c r="BB40" s="107" t="e">
        <f>H40*#REF!</f>
        <v>#REF!</v>
      </c>
      <c r="BC40" s="107" t="e">
        <f>H40*#REF!</f>
        <v>#REF!</v>
      </c>
      <c r="BD40" s="107" t="e">
        <f>H40*#REF!</f>
        <v>#REF!</v>
      </c>
      <c r="BE40" s="107" t="e">
        <f>H40*#REF!</f>
        <v>#REF!</v>
      </c>
      <c r="BF40" s="107" t="e">
        <f>H40*#REF!</f>
        <v>#REF!</v>
      </c>
      <c r="BG40" s="107" t="e">
        <f>H40*#REF!</f>
        <v>#REF!</v>
      </c>
      <c r="BH40" s="107" t="e">
        <f>H40*#REF!</f>
        <v>#REF!</v>
      </c>
      <c r="BI40" s="107" t="e">
        <f>H40*#REF!</f>
        <v>#REF!</v>
      </c>
      <c r="BJ40" s="114"/>
    </row>
    <row r="41" s="5" customFormat="1" ht="31" customHeight="1" spans="1:83">
      <c r="A41" s="35">
        <v>44643</v>
      </c>
      <c r="B41" s="24" t="s">
        <v>662</v>
      </c>
      <c r="C41" s="36" t="s">
        <v>118</v>
      </c>
      <c r="D41" s="26">
        <v>4500074065</v>
      </c>
      <c r="E41" s="25" t="s">
        <v>663</v>
      </c>
      <c r="F41" s="37" t="s">
        <v>595</v>
      </c>
      <c r="G41" s="14" t="s">
        <v>594</v>
      </c>
      <c r="H41" s="38">
        <v>7200</v>
      </c>
      <c r="I41" s="3">
        <v>0</v>
      </c>
      <c r="J41" s="3">
        <v>12</v>
      </c>
      <c r="K41" s="3">
        <f t="shared" si="20"/>
        <v>600</v>
      </c>
      <c r="L41" s="53" t="s">
        <v>664</v>
      </c>
      <c r="M41" s="53" t="s">
        <v>665</v>
      </c>
      <c r="N41" s="54" t="s">
        <v>666</v>
      </c>
      <c r="O41" s="54" t="s">
        <v>94</v>
      </c>
      <c r="P41" s="54"/>
      <c r="Q41" s="54">
        <v>44693</v>
      </c>
      <c r="R41" s="54" t="s">
        <v>75</v>
      </c>
      <c r="S41" s="54" t="s">
        <v>75</v>
      </c>
      <c r="T41" s="65" t="s">
        <v>667</v>
      </c>
      <c r="U41" s="66" t="s">
        <v>656</v>
      </c>
      <c r="V41" s="67">
        <v>1.3096</v>
      </c>
      <c r="W41" s="46">
        <f t="shared" ref="W41:W44" si="29">H41*V41</f>
        <v>9429.12</v>
      </c>
      <c r="X41" s="38"/>
      <c r="Y41" s="38"/>
      <c r="Z41" s="84">
        <v>7200</v>
      </c>
      <c r="AA41" s="59">
        <f t="shared" ref="AA41:AA43" si="30">Z41-H41</f>
        <v>0</v>
      </c>
      <c r="AB41" s="84"/>
      <c r="AC41" s="78"/>
      <c r="AD41" s="85">
        <f t="shared" ref="AD41:AD45" si="31">H41</f>
        <v>7200</v>
      </c>
      <c r="AE41" s="78"/>
      <c r="AF41" s="78"/>
      <c r="AG41" s="79"/>
      <c r="AH41" s="86"/>
      <c r="AI41" s="78">
        <f t="shared" si="23"/>
        <v>7200</v>
      </c>
      <c r="AJ41" s="78"/>
      <c r="AK41" s="78"/>
      <c r="AL41" s="79"/>
      <c r="AM41" s="80"/>
      <c r="AN41" s="94">
        <f t="shared" ref="AN41:AN45" si="32">H41</f>
        <v>7200</v>
      </c>
      <c r="AO41" s="94"/>
      <c r="AP41" s="94"/>
      <c r="AQ41" s="101"/>
      <c r="AR41" s="101"/>
      <c r="AS41" s="101"/>
      <c r="AT41" s="101"/>
      <c r="AU41" s="101"/>
      <c r="AV41" s="94"/>
      <c r="AW41" s="94"/>
      <c r="AX41" s="94"/>
      <c r="AY41" s="94"/>
      <c r="AZ41" s="80">
        <f t="shared" ref="AZ41:AZ43" si="33">H41/12</f>
        <v>600</v>
      </c>
      <c r="BA41" s="94"/>
      <c r="BB41" s="94"/>
      <c r="BC41" s="101"/>
      <c r="BD41" s="101"/>
      <c r="BE41" s="101"/>
      <c r="BF41" s="101"/>
      <c r="BG41" s="101"/>
      <c r="BH41" s="101"/>
      <c r="BI41" s="101"/>
      <c r="BJ41" s="101"/>
      <c r="BK41" s="101"/>
      <c r="BL41" s="91">
        <f t="shared" ref="BL41:BL45" si="34">H41/96*12</f>
        <v>900</v>
      </c>
      <c r="BM41" s="91">
        <f t="shared" ref="BM41:BM45" si="35">H41/96*12</f>
        <v>900</v>
      </c>
      <c r="BN41" s="91">
        <f t="shared" ref="BN41:BN45" si="36">H41/96*11</f>
        <v>825</v>
      </c>
      <c r="BO41" s="91">
        <f t="shared" ref="BO41:BO45" si="37">H41/96*1</f>
        <v>75</v>
      </c>
      <c r="BP41" s="91">
        <f t="shared" ref="BP41:BP45" si="38">H41/96*12</f>
        <v>900</v>
      </c>
      <c r="BQ41" s="91">
        <f t="shared" ref="BQ41:BQ45" si="39">H41/96*12</f>
        <v>900</v>
      </c>
      <c r="BR41" s="91">
        <f t="shared" ref="BR41:BR45" si="40">H41/96*12</f>
        <v>900</v>
      </c>
      <c r="BS41" s="91">
        <f t="shared" ref="BS41:BS45" si="41">H41/96*12</f>
        <v>900</v>
      </c>
      <c r="BT41" s="91">
        <f t="shared" ref="BT41:BT45" si="42">H41/96*11</f>
        <v>825</v>
      </c>
      <c r="BU41" s="91">
        <f t="shared" ref="BU41:BU45" si="43">H41/96*1</f>
        <v>75</v>
      </c>
      <c r="BV41" s="38"/>
      <c r="BW41" s="38"/>
      <c r="BX41" s="38"/>
      <c r="BY41" s="38"/>
      <c r="BZ41" s="38"/>
      <c r="CA41" s="38"/>
      <c r="CB41" s="38"/>
      <c r="CC41" s="38"/>
      <c r="CD41" s="38"/>
      <c r="CE41" s="38"/>
    </row>
    <row r="42" s="5" customFormat="1" ht="31" customHeight="1" spans="1:83">
      <c r="A42" s="35">
        <v>44643</v>
      </c>
      <c r="B42" s="24" t="s">
        <v>662</v>
      </c>
      <c r="C42" s="36" t="s">
        <v>118</v>
      </c>
      <c r="D42" s="26">
        <v>4500074061</v>
      </c>
      <c r="E42" s="25" t="s">
        <v>668</v>
      </c>
      <c r="F42" s="37" t="s">
        <v>595</v>
      </c>
      <c r="G42" s="14" t="s">
        <v>594</v>
      </c>
      <c r="H42" s="38">
        <v>11112</v>
      </c>
      <c r="I42" s="3">
        <v>0</v>
      </c>
      <c r="J42" s="3">
        <v>12</v>
      </c>
      <c r="K42" s="3">
        <f t="shared" si="20"/>
        <v>926</v>
      </c>
      <c r="L42" s="53" t="s">
        <v>664</v>
      </c>
      <c r="M42" s="53" t="s">
        <v>665</v>
      </c>
      <c r="N42" s="54" t="s">
        <v>666</v>
      </c>
      <c r="O42" s="54" t="s">
        <v>94</v>
      </c>
      <c r="P42" s="54"/>
      <c r="Q42" s="54">
        <v>44693</v>
      </c>
      <c r="R42" s="54" t="s">
        <v>75</v>
      </c>
      <c r="S42" s="54" t="s">
        <v>75</v>
      </c>
      <c r="T42" s="65" t="s">
        <v>667</v>
      </c>
      <c r="U42" s="66" t="s">
        <v>656</v>
      </c>
      <c r="V42" s="67">
        <v>1.2847</v>
      </c>
      <c r="W42" s="46">
        <f t="shared" si="29"/>
        <v>14275.5864</v>
      </c>
      <c r="X42" s="38"/>
      <c r="Y42" s="38"/>
      <c r="Z42" s="84">
        <v>11112</v>
      </c>
      <c r="AA42" s="59">
        <f t="shared" si="30"/>
        <v>0</v>
      </c>
      <c r="AB42" s="84"/>
      <c r="AC42" s="78"/>
      <c r="AD42" s="85">
        <f t="shared" si="31"/>
        <v>11112</v>
      </c>
      <c r="AE42" s="78"/>
      <c r="AF42" s="78"/>
      <c r="AG42" s="79"/>
      <c r="AH42" s="86"/>
      <c r="AI42" s="78">
        <f t="shared" si="23"/>
        <v>11112</v>
      </c>
      <c r="AJ42" s="78"/>
      <c r="AK42" s="78"/>
      <c r="AL42" s="79"/>
      <c r="AM42" s="80"/>
      <c r="AN42" s="94">
        <f t="shared" si="32"/>
        <v>11112</v>
      </c>
      <c r="AO42" s="94"/>
      <c r="AP42" s="94"/>
      <c r="AQ42" s="101"/>
      <c r="AR42" s="101"/>
      <c r="AS42" s="101"/>
      <c r="AT42" s="101"/>
      <c r="AU42" s="101"/>
      <c r="AV42" s="94"/>
      <c r="AW42" s="94"/>
      <c r="AX42" s="94"/>
      <c r="AY42" s="94"/>
      <c r="AZ42" s="80">
        <f t="shared" si="33"/>
        <v>926</v>
      </c>
      <c r="BA42" s="94"/>
      <c r="BB42" s="94"/>
      <c r="BC42" s="101"/>
      <c r="BD42" s="101"/>
      <c r="BE42" s="101"/>
      <c r="BF42" s="101"/>
      <c r="BG42" s="101"/>
      <c r="BH42" s="101"/>
      <c r="BI42" s="101"/>
      <c r="BJ42" s="101"/>
      <c r="BK42" s="101"/>
      <c r="BL42" s="91">
        <f t="shared" si="34"/>
        <v>1389</v>
      </c>
      <c r="BM42" s="91">
        <f t="shared" si="35"/>
        <v>1389</v>
      </c>
      <c r="BN42" s="91">
        <f t="shared" si="36"/>
        <v>1273.25</v>
      </c>
      <c r="BO42" s="91">
        <f t="shared" si="37"/>
        <v>115.75</v>
      </c>
      <c r="BP42" s="91">
        <f t="shared" si="38"/>
        <v>1389</v>
      </c>
      <c r="BQ42" s="91">
        <f t="shared" si="39"/>
        <v>1389</v>
      </c>
      <c r="BR42" s="91">
        <f t="shared" si="40"/>
        <v>1389</v>
      </c>
      <c r="BS42" s="91">
        <f t="shared" si="41"/>
        <v>1389</v>
      </c>
      <c r="BT42" s="91">
        <f t="shared" si="42"/>
        <v>1273.25</v>
      </c>
      <c r="BU42" s="91">
        <f t="shared" si="43"/>
        <v>115.75</v>
      </c>
      <c r="BV42" s="38"/>
      <c r="BW42" s="38"/>
      <c r="BX42" s="38"/>
      <c r="BY42" s="38"/>
      <c r="BZ42" s="38"/>
      <c r="CA42" s="38"/>
      <c r="CB42" s="38"/>
      <c r="CC42" s="38"/>
      <c r="CD42" s="38"/>
      <c r="CE42" s="38"/>
    </row>
    <row r="43" s="5" customFormat="1" ht="31" customHeight="1" spans="1:83">
      <c r="A43" s="35">
        <v>44643</v>
      </c>
      <c r="B43" s="24" t="s">
        <v>662</v>
      </c>
      <c r="C43" s="36" t="s">
        <v>118</v>
      </c>
      <c r="D43" s="26">
        <v>4500074063</v>
      </c>
      <c r="E43" s="25" t="s">
        <v>669</v>
      </c>
      <c r="F43" s="37" t="s">
        <v>595</v>
      </c>
      <c r="G43" s="14" t="s">
        <v>594</v>
      </c>
      <c r="H43" s="38">
        <v>11712</v>
      </c>
      <c r="I43" s="3">
        <v>0</v>
      </c>
      <c r="J43" s="3">
        <v>12</v>
      </c>
      <c r="K43" s="3">
        <f t="shared" si="20"/>
        <v>976</v>
      </c>
      <c r="L43" s="53" t="s">
        <v>664</v>
      </c>
      <c r="M43" s="53" t="s">
        <v>665</v>
      </c>
      <c r="N43" s="54" t="s">
        <v>666</v>
      </c>
      <c r="O43" s="54" t="s">
        <v>94</v>
      </c>
      <c r="P43" s="54"/>
      <c r="Q43" s="54">
        <v>44693</v>
      </c>
      <c r="R43" s="54" t="s">
        <v>75</v>
      </c>
      <c r="S43" s="54" t="s">
        <v>75</v>
      </c>
      <c r="T43" s="65" t="s">
        <v>667</v>
      </c>
      <c r="U43" s="66" t="s">
        <v>656</v>
      </c>
      <c r="V43" s="67">
        <v>1.2847</v>
      </c>
      <c r="W43" s="46">
        <f t="shared" si="29"/>
        <v>15046.4064</v>
      </c>
      <c r="X43" s="38"/>
      <c r="Y43" s="38"/>
      <c r="Z43" s="84">
        <v>11712</v>
      </c>
      <c r="AA43" s="59">
        <f t="shared" si="30"/>
        <v>0</v>
      </c>
      <c r="AB43" s="84"/>
      <c r="AC43" s="78"/>
      <c r="AD43" s="85">
        <f t="shared" si="31"/>
        <v>11712</v>
      </c>
      <c r="AE43" s="78"/>
      <c r="AF43" s="78"/>
      <c r="AG43" s="79"/>
      <c r="AH43" s="86"/>
      <c r="AI43" s="78">
        <f t="shared" si="23"/>
        <v>11712</v>
      </c>
      <c r="AJ43" s="78"/>
      <c r="AK43" s="78"/>
      <c r="AL43" s="79"/>
      <c r="AM43" s="80"/>
      <c r="AN43" s="94">
        <f t="shared" si="32"/>
        <v>11712</v>
      </c>
      <c r="AO43" s="94"/>
      <c r="AP43" s="94"/>
      <c r="AQ43" s="101"/>
      <c r="AR43" s="101"/>
      <c r="AS43" s="101"/>
      <c r="AT43" s="101"/>
      <c r="AU43" s="101"/>
      <c r="AV43" s="94"/>
      <c r="AW43" s="94"/>
      <c r="AX43" s="94"/>
      <c r="AY43" s="94"/>
      <c r="AZ43" s="80">
        <f t="shared" si="33"/>
        <v>976</v>
      </c>
      <c r="BA43" s="94"/>
      <c r="BB43" s="94"/>
      <c r="BC43" s="101"/>
      <c r="BD43" s="101"/>
      <c r="BE43" s="101"/>
      <c r="BF43" s="101"/>
      <c r="BG43" s="101"/>
      <c r="BH43" s="101"/>
      <c r="BI43" s="101"/>
      <c r="BJ43" s="101"/>
      <c r="BK43" s="101"/>
      <c r="BL43" s="91">
        <f t="shared" si="34"/>
        <v>1464</v>
      </c>
      <c r="BM43" s="91">
        <f t="shared" si="35"/>
        <v>1464</v>
      </c>
      <c r="BN43" s="91">
        <f t="shared" si="36"/>
        <v>1342</v>
      </c>
      <c r="BO43" s="91">
        <f t="shared" si="37"/>
        <v>122</v>
      </c>
      <c r="BP43" s="91">
        <f t="shared" si="38"/>
        <v>1464</v>
      </c>
      <c r="BQ43" s="91">
        <f t="shared" si="39"/>
        <v>1464</v>
      </c>
      <c r="BR43" s="91">
        <f t="shared" si="40"/>
        <v>1464</v>
      </c>
      <c r="BS43" s="91">
        <f t="shared" si="41"/>
        <v>1464</v>
      </c>
      <c r="BT43" s="91">
        <f t="shared" si="42"/>
        <v>1342</v>
      </c>
      <c r="BU43" s="91">
        <f t="shared" si="43"/>
        <v>122</v>
      </c>
      <c r="BV43" s="38"/>
      <c r="BW43" s="38"/>
      <c r="BX43" s="38"/>
      <c r="BY43" s="38"/>
      <c r="BZ43" s="38"/>
      <c r="CA43" s="38"/>
      <c r="CB43" s="38"/>
      <c r="CC43" s="38"/>
      <c r="CD43" s="38"/>
      <c r="CE43" s="38"/>
    </row>
    <row r="44" s="5" customFormat="1" ht="31" customHeight="1" spans="1:83">
      <c r="A44" s="35">
        <v>44712</v>
      </c>
      <c r="B44" s="24" t="s">
        <v>670</v>
      </c>
      <c r="C44" s="36" t="s">
        <v>671</v>
      </c>
      <c r="D44" s="26">
        <v>4500080204</v>
      </c>
      <c r="E44" s="25"/>
      <c r="F44" s="37" t="s">
        <v>638</v>
      </c>
      <c r="G44" s="24" t="s">
        <v>594</v>
      </c>
      <c r="H44" s="38">
        <v>1200</v>
      </c>
      <c r="I44" s="38">
        <v>0</v>
      </c>
      <c r="J44" s="38">
        <v>48</v>
      </c>
      <c r="K44" s="38">
        <f t="shared" si="20"/>
        <v>25</v>
      </c>
      <c r="L44" s="53">
        <v>44772</v>
      </c>
      <c r="M44" s="53" t="s">
        <v>672</v>
      </c>
      <c r="N44" s="54"/>
      <c r="O44" s="54" t="s">
        <v>673</v>
      </c>
      <c r="P44" s="54" t="s">
        <v>272</v>
      </c>
      <c r="Q44" s="54">
        <v>44720</v>
      </c>
      <c r="R44" s="54" t="s">
        <v>75</v>
      </c>
      <c r="S44" s="54">
        <v>44727</v>
      </c>
      <c r="T44" s="65" t="s">
        <v>674</v>
      </c>
      <c r="U44" s="66" t="s">
        <v>675</v>
      </c>
      <c r="V44" s="67">
        <v>1.2417</v>
      </c>
      <c r="W44" s="70">
        <f t="shared" si="29"/>
        <v>1490.04</v>
      </c>
      <c r="X44" s="38"/>
      <c r="Y44" s="38"/>
      <c r="Z44" s="84">
        <v>1200</v>
      </c>
      <c r="AA44" s="84">
        <v>0</v>
      </c>
      <c r="AB44" s="84"/>
      <c r="AC44" s="85"/>
      <c r="AD44" s="78">
        <f t="shared" si="31"/>
        <v>1200</v>
      </c>
      <c r="AE44" s="78"/>
      <c r="AF44" s="86"/>
      <c r="AG44" s="93"/>
      <c r="AH44" s="85"/>
      <c r="AI44" s="85">
        <f t="shared" si="23"/>
        <v>1200</v>
      </c>
      <c r="AJ44" s="86"/>
      <c r="AK44" s="86"/>
      <c r="AL44" s="93"/>
      <c r="AM44" s="94"/>
      <c r="AN44" s="94">
        <f t="shared" si="32"/>
        <v>1200</v>
      </c>
      <c r="AO44" s="94"/>
      <c r="AQ44" s="101"/>
      <c r="AR44" s="86"/>
      <c r="AS44" s="101"/>
      <c r="AT44" s="101">
        <f>H44/24</f>
        <v>50</v>
      </c>
      <c r="AU44" s="101"/>
      <c r="AV44" s="94"/>
      <c r="AW44" s="94"/>
      <c r="AX44" s="94"/>
      <c r="AY44" s="94"/>
      <c r="AZ44" s="94"/>
      <c r="BA44" s="94"/>
      <c r="BB44" s="94"/>
      <c r="BC44" s="101"/>
      <c r="BD44" s="101"/>
      <c r="BE44" s="101"/>
      <c r="BF44" s="101"/>
      <c r="BG44" s="101"/>
      <c r="BI44" s="101"/>
      <c r="BJ44" s="101"/>
      <c r="BK44" s="101"/>
      <c r="BL44" s="101">
        <f t="shared" si="34"/>
        <v>150</v>
      </c>
      <c r="BM44" s="101">
        <f t="shared" si="35"/>
        <v>150</v>
      </c>
      <c r="BN44" s="101">
        <f t="shared" si="36"/>
        <v>137.5</v>
      </c>
      <c r="BO44" s="101">
        <f t="shared" si="37"/>
        <v>12.5</v>
      </c>
      <c r="BP44" s="101">
        <f t="shared" si="38"/>
        <v>150</v>
      </c>
      <c r="BQ44" s="101">
        <f t="shared" si="39"/>
        <v>150</v>
      </c>
      <c r="BR44" s="101">
        <f t="shared" si="40"/>
        <v>150</v>
      </c>
      <c r="BS44" s="101">
        <f t="shared" si="41"/>
        <v>150</v>
      </c>
      <c r="BT44" s="101">
        <f t="shared" si="42"/>
        <v>137.5</v>
      </c>
      <c r="BU44" s="101">
        <f t="shared" si="43"/>
        <v>12.5</v>
      </c>
      <c r="BV44" s="38"/>
      <c r="BW44" s="38"/>
      <c r="BX44" s="38"/>
      <c r="BY44" s="38"/>
      <c r="BZ44" s="38"/>
      <c r="CA44" s="38"/>
      <c r="CB44" s="38"/>
      <c r="CC44" s="38"/>
      <c r="CD44" s="38"/>
      <c r="CE44" s="38"/>
    </row>
    <row r="45" s="5" customFormat="1" ht="31" customHeight="1" spans="1:83">
      <c r="A45" s="35">
        <v>44694</v>
      </c>
      <c r="B45" s="24" t="s">
        <v>676</v>
      </c>
      <c r="C45" s="36" t="s">
        <v>100</v>
      </c>
      <c r="D45" s="26">
        <v>4500078950</v>
      </c>
      <c r="E45" s="25"/>
      <c r="F45" s="37" t="s">
        <v>595</v>
      </c>
      <c r="G45" s="14" t="s">
        <v>594</v>
      </c>
      <c r="H45" s="38">
        <v>1992</v>
      </c>
      <c r="I45" s="38">
        <v>0</v>
      </c>
      <c r="J45" s="3">
        <v>12</v>
      </c>
      <c r="K45" s="3">
        <f t="shared" si="20"/>
        <v>166</v>
      </c>
      <c r="L45" s="53" t="s">
        <v>677</v>
      </c>
      <c r="M45" s="53" t="s">
        <v>678</v>
      </c>
      <c r="N45" s="54"/>
      <c r="O45" s="54"/>
      <c r="P45" s="54"/>
      <c r="Q45" s="54">
        <v>44698</v>
      </c>
      <c r="R45" s="54" t="s">
        <v>75</v>
      </c>
      <c r="S45" s="54" t="s">
        <v>75</v>
      </c>
      <c r="T45" s="60" t="s">
        <v>679</v>
      </c>
      <c r="U45" s="66" t="s">
        <v>680</v>
      </c>
      <c r="V45" s="67">
        <v>1.2853</v>
      </c>
      <c r="W45" s="46">
        <f>I45*V45</f>
        <v>0</v>
      </c>
      <c r="X45" s="38"/>
      <c r="Y45" s="38"/>
      <c r="Z45" s="84"/>
      <c r="AA45" s="59">
        <f>Z45-I45</f>
        <v>0</v>
      </c>
      <c r="AB45" s="84"/>
      <c r="AC45" s="85"/>
      <c r="AD45" s="78">
        <f t="shared" si="31"/>
        <v>1992</v>
      </c>
      <c r="AE45" s="78"/>
      <c r="AF45" s="78"/>
      <c r="AG45" s="79"/>
      <c r="AH45" s="78"/>
      <c r="AI45" s="85">
        <f t="shared" si="23"/>
        <v>1992</v>
      </c>
      <c r="AJ45" s="86"/>
      <c r="AK45" s="86"/>
      <c r="AL45" s="78"/>
      <c r="AM45" s="80"/>
      <c r="AN45" s="94">
        <f t="shared" si="32"/>
        <v>1992</v>
      </c>
      <c r="AO45" s="94"/>
      <c r="AP45" s="94"/>
      <c r="AQ45" s="101"/>
      <c r="AR45" s="101"/>
      <c r="AS45" s="101"/>
      <c r="AT45" s="101">
        <f>H45/24</f>
        <v>83</v>
      </c>
      <c r="AU45" s="101"/>
      <c r="AV45" s="94"/>
      <c r="AW45" s="94"/>
      <c r="AX45" s="94"/>
      <c r="AY45" s="94"/>
      <c r="AZ45" s="94"/>
      <c r="BA45" s="94"/>
      <c r="BB45" s="94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>
        <f t="shared" si="34"/>
        <v>249</v>
      </c>
      <c r="BM45" s="101">
        <f t="shared" si="35"/>
        <v>249</v>
      </c>
      <c r="BN45" s="101">
        <f t="shared" si="36"/>
        <v>228.25</v>
      </c>
      <c r="BO45" s="101">
        <f t="shared" si="37"/>
        <v>20.75</v>
      </c>
      <c r="BP45" s="101">
        <f t="shared" si="38"/>
        <v>249</v>
      </c>
      <c r="BQ45" s="101">
        <f t="shared" si="39"/>
        <v>249</v>
      </c>
      <c r="BR45" s="101">
        <f t="shared" si="40"/>
        <v>249</v>
      </c>
      <c r="BS45" s="101">
        <f t="shared" si="41"/>
        <v>249</v>
      </c>
      <c r="BT45" s="101">
        <f t="shared" si="42"/>
        <v>228.25</v>
      </c>
      <c r="BU45" s="101">
        <f t="shared" si="43"/>
        <v>20.75</v>
      </c>
      <c r="BV45" s="38"/>
      <c r="BW45" s="38"/>
      <c r="BX45" s="38"/>
      <c r="BY45" s="38"/>
      <c r="BZ45" s="38"/>
      <c r="CA45" s="38"/>
      <c r="CB45" s="38"/>
      <c r="CC45" s="38"/>
      <c r="CD45" s="38"/>
      <c r="CE45" s="38"/>
    </row>
    <row r="46" s="5" customFormat="1" ht="31" customHeight="1" spans="1:84">
      <c r="A46" s="35">
        <v>44691</v>
      </c>
      <c r="B46" s="24" t="s">
        <v>681</v>
      </c>
      <c r="C46" s="36" t="s">
        <v>118</v>
      </c>
      <c r="D46" s="26">
        <v>4500078601</v>
      </c>
      <c r="E46" s="25" t="s">
        <v>682</v>
      </c>
      <c r="F46" s="25"/>
      <c r="G46" s="37" t="s">
        <v>589</v>
      </c>
      <c r="H46" s="14" t="s">
        <v>588</v>
      </c>
      <c r="I46" s="38">
        <v>1440</v>
      </c>
      <c r="J46" s="3">
        <v>24</v>
      </c>
      <c r="K46" s="3">
        <v>60</v>
      </c>
      <c r="L46" s="6">
        <f>I46/J46/K46</f>
        <v>1</v>
      </c>
      <c r="M46" s="53" t="s">
        <v>683</v>
      </c>
      <c r="N46" s="53" t="s">
        <v>684</v>
      </c>
      <c r="O46" s="54" t="s">
        <v>685</v>
      </c>
      <c r="P46" s="54" t="s">
        <v>94</v>
      </c>
      <c r="Q46" s="54"/>
      <c r="R46" s="54" t="s">
        <v>686</v>
      </c>
      <c r="S46" s="54" t="s">
        <v>125</v>
      </c>
      <c r="T46" s="54">
        <v>44707</v>
      </c>
      <c r="U46" s="71" t="s">
        <v>687</v>
      </c>
      <c r="V46" s="66" t="s">
        <v>553</v>
      </c>
      <c r="W46" s="67">
        <v>1843.9387</v>
      </c>
      <c r="X46" s="46">
        <f>W46*L46</f>
        <v>1843.9387</v>
      </c>
      <c r="Y46" s="38"/>
      <c r="Z46" s="38"/>
      <c r="AA46" s="84">
        <v>1440</v>
      </c>
      <c r="AB46" s="59">
        <f t="shared" ref="AB46:AB65" si="44">AA46-I46</f>
        <v>0</v>
      </c>
      <c r="AC46" s="84"/>
      <c r="AD46" s="78"/>
      <c r="AE46" s="78"/>
      <c r="AF46" s="78"/>
      <c r="AG46" s="78"/>
      <c r="AH46" s="79"/>
      <c r="AI46" s="78"/>
      <c r="AJ46" s="78"/>
      <c r="AK46" s="78"/>
      <c r="AL46" s="78"/>
      <c r="AM46" s="79"/>
      <c r="AN46" s="80"/>
      <c r="AO46" s="80"/>
      <c r="AP46" s="94"/>
      <c r="AQ46" s="94"/>
      <c r="AR46" s="101"/>
      <c r="AS46" s="91"/>
      <c r="AT46" s="101"/>
      <c r="AU46" s="101"/>
      <c r="AV46" s="101"/>
      <c r="AW46" s="94"/>
      <c r="AX46" s="94"/>
      <c r="AY46" s="94"/>
      <c r="AZ46" s="94"/>
      <c r="BA46" s="94"/>
      <c r="BB46" s="94"/>
      <c r="BC46" s="94"/>
      <c r="BD46" s="101"/>
      <c r="BE46" s="101"/>
      <c r="BF46" s="101"/>
      <c r="BG46" s="101"/>
      <c r="BH46" s="101"/>
      <c r="BI46" s="101"/>
      <c r="BJ46" s="101"/>
      <c r="BK46" s="101"/>
      <c r="BL46" s="101"/>
      <c r="BM46" s="104">
        <f t="shared" ref="BM46:BM59" si="45">I46/96*12</f>
        <v>180</v>
      </c>
      <c r="BN46" s="104">
        <f t="shared" ref="BN46:BN59" si="46">I46/96*12</f>
        <v>180</v>
      </c>
      <c r="BO46" s="105">
        <f t="shared" ref="BO46:BO59" si="47">I46/96*11</f>
        <v>165</v>
      </c>
      <c r="BP46" s="105">
        <f t="shared" ref="BP46:BP59" si="48">I46/96*1</f>
        <v>15</v>
      </c>
      <c r="BQ46" s="104">
        <f t="shared" ref="BQ46:BQ59" si="49">I46/96*12</f>
        <v>180</v>
      </c>
      <c r="BR46" s="104">
        <f t="shared" ref="BR46:BR59" si="50">I46/96*12</f>
        <v>180</v>
      </c>
      <c r="BS46" s="104">
        <f t="shared" ref="BS46:BS59" si="51">I46/96*12</f>
        <v>180</v>
      </c>
      <c r="BT46" s="104">
        <f t="shared" ref="BT46:BT59" si="52">I46/96*12</f>
        <v>180</v>
      </c>
      <c r="BU46" s="105">
        <f t="shared" ref="BU46:BU59" si="53">I46/96*11</f>
        <v>165</v>
      </c>
      <c r="BV46" s="105">
        <f t="shared" ref="BV46:BV59" si="54">I46/96*1</f>
        <v>15</v>
      </c>
      <c r="BW46" s="38"/>
      <c r="BX46" s="38"/>
      <c r="BY46" s="38"/>
      <c r="BZ46" s="38"/>
      <c r="CA46" s="38"/>
      <c r="CB46" s="38"/>
      <c r="CC46" s="38"/>
      <c r="CD46" s="38"/>
      <c r="CE46" s="38"/>
      <c r="CF46" s="38"/>
    </row>
    <row r="47" s="5" customFormat="1" ht="31" customHeight="1" spans="1:84">
      <c r="A47" s="35">
        <v>44691</v>
      </c>
      <c r="B47" s="24" t="s">
        <v>681</v>
      </c>
      <c r="C47" s="36" t="s">
        <v>118</v>
      </c>
      <c r="D47" s="26">
        <v>4500078605</v>
      </c>
      <c r="E47" s="25" t="s">
        <v>688</v>
      </c>
      <c r="F47" s="25"/>
      <c r="G47" s="37" t="s">
        <v>626</v>
      </c>
      <c r="H47" s="14" t="s">
        <v>594</v>
      </c>
      <c r="I47" s="38">
        <v>1464</v>
      </c>
      <c r="J47" s="3">
        <v>0</v>
      </c>
      <c r="K47" s="3">
        <v>24</v>
      </c>
      <c r="L47" s="3">
        <f t="shared" ref="L47:L52" si="55">I47/K47</f>
        <v>61</v>
      </c>
      <c r="M47" s="53" t="s">
        <v>683</v>
      </c>
      <c r="N47" s="53" t="s">
        <v>689</v>
      </c>
      <c r="O47" s="54" t="s">
        <v>690</v>
      </c>
      <c r="P47" s="48" t="s">
        <v>673</v>
      </c>
      <c r="Q47" s="54"/>
      <c r="R47" s="54">
        <v>44699</v>
      </c>
      <c r="S47" s="54" t="s">
        <v>125</v>
      </c>
      <c r="T47" s="54">
        <v>44707</v>
      </c>
      <c r="U47" s="71" t="s">
        <v>691</v>
      </c>
      <c r="V47" s="66" t="s">
        <v>553</v>
      </c>
      <c r="W47" s="67">
        <v>1.2457</v>
      </c>
      <c r="X47" s="46">
        <f t="shared" ref="X47:X52" si="56">I47*W47</f>
        <v>1823.7048</v>
      </c>
      <c r="Y47" s="38"/>
      <c r="Z47" s="38"/>
      <c r="AA47" s="84">
        <v>1464</v>
      </c>
      <c r="AB47" s="59">
        <f t="shared" si="44"/>
        <v>0</v>
      </c>
      <c r="AC47" s="84"/>
      <c r="AD47" s="78"/>
      <c r="AE47" s="85"/>
      <c r="AF47" s="85"/>
      <c r="AG47" s="85"/>
      <c r="AH47" s="93"/>
      <c r="AI47" s="85"/>
      <c r="AJ47" s="85"/>
      <c r="AK47" s="85"/>
      <c r="AL47" s="85"/>
      <c r="AM47" s="93"/>
      <c r="AN47" s="94"/>
      <c r="AO47" s="94"/>
      <c r="AP47" s="94"/>
      <c r="AQ47" s="94"/>
      <c r="AR47" s="101"/>
      <c r="AS47" s="101"/>
      <c r="AT47" s="101"/>
      <c r="AU47" s="101"/>
      <c r="AV47" s="101"/>
      <c r="AW47" s="94"/>
      <c r="AX47" s="94"/>
      <c r="AY47" s="94"/>
      <c r="AZ47" s="94"/>
      <c r="BA47" s="94"/>
      <c r="BB47" s="94"/>
      <c r="BC47" s="94"/>
      <c r="BD47" s="101"/>
      <c r="BE47" s="101"/>
      <c r="BF47" s="101"/>
      <c r="BG47" s="101"/>
      <c r="BH47" s="101"/>
      <c r="BI47" s="101"/>
      <c r="BJ47" s="101"/>
      <c r="BK47" s="101"/>
      <c r="BL47" s="101"/>
      <c r="BM47" s="104">
        <f t="shared" si="45"/>
        <v>183</v>
      </c>
      <c r="BN47" s="104">
        <f t="shared" si="46"/>
        <v>183</v>
      </c>
      <c r="BO47" s="105">
        <f t="shared" si="47"/>
        <v>167.75</v>
      </c>
      <c r="BP47" s="105">
        <f t="shared" si="48"/>
        <v>15.25</v>
      </c>
      <c r="BQ47" s="104">
        <f t="shared" si="49"/>
        <v>183</v>
      </c>
      <c r="BR47" s="104">
        <f t="shared" si="50"/>
        <v>183</v>
      </c>
      <c r="BS47" s="104">
        <f t="shared" si="51"/>
        <v>183</v>
      </c>
      <c r="BT47" s="104">
        <f t="shared" si="52"/>
        <v>183</v>
      </c>
      <c r="BU47" s="105">
        <f t="shared" si="53"/>
        <v>167.75</v>
      </c>
      <c r="BV47" s="105">
        <f t="shared" si="54"/>
        <v>15.25</v>
      </c>
      <c r="BW47" s="38"/>
      <c r="BX47" s="38"/>
      <c r="BY47" s="38"/>
      <c r="BZ47" s="38"/>
      <c r="CA47" s="38"/>
      <c r="CB47" s="38"/>
      <c r="CC47" s="38"/>
      <c r="CD47" s="38"/>
      <c r="CE47" s="38"/>
      <c r="CF47" s="38"/>
    </row>
    <row r="48" s="5" customFormat="1" ht="31" customHeight="1" spans="1:84">
      <c r="A48" s="35">
        <v>44691</v>
      </c>
      <c r="B48" s="24" t="s">
        <v>681</v>
      </c>
      <c r="C48" s="36" t="s">
        <v>118</v>
      </c>
      <c r="D48" s="26">
        <v>4500078605</v>
      </c>
      <c r="E48" s="25">
        <v>1227470028</v>
      </c>
      <c r="F48" s="25"/>
      <c r="G48" s="37" t="s">
        <v>626</v>
      </c>
      <c r="H48" s="14" t="s">
        <v>594</v>
      </c>
      <c r="I48" s="38">
        <v>1560</v>
      </c>
      <c r="J48" s="3">
        <v>0</v>
      </c>
      <c r="K48" s="3">
        <v>24</v>
      </c>
      <c r="L48" s="3">
        <f t="shared" si="55"/>
        <v>65</v>
      </c>
      <c r="M48" s="53" t="s">
        <v>683</v>
      </c>
      <c r="N48" s="53" t="s">
        <v>689</v>
      </c>
      <c r="O48" s="54" t="s">
        <v>690</v>
      </c>
      <c r="P48" s="48" t="s">
        <v>673</v>
      </c>
      <c r="Q48" s="54"/>
      <c r="R48" s="54">
        <v>44699</v>
      </c>
      <c r="S48" s="54" t="s">
        <v>125</v>
      </c>
      <c r="T48" s="54">
        <v>44707</v>
      </c>
      <c r="U48" s="71" t="s">
        <v>691</v>
      </c>
      <c r="V48" s="66" t="s">
        <v>553</v>
      </c>
      <c r="W48" s="67">
        <v>1.2457</v>
      </c>
      <c r="X48" s="46">
        <f t="shared" si="56"/>
        <v>1943.292</v>
      </c>
      <c r="Y48" s="38"/>
      <c r="Z48" s="38"/>
      <c r="AA48" s="84">
        <v>1560</v>
      </c>
      <c r="AB48" s="59">
        <f t="shared" si="44"/>
        <v>0</v>
      </c>
      <c r="AC48" s="84"/>
      <c r="AD48" s="78"/>
      <c r="AE48" s="85"/>
      <c r="AF48" s="85"/>
      <c r="AG48" s="85"/>
      <c r="AH48" s="93"/>
      <c r="AI48" s="85"/>
      <c r="AJ48" s="85"/>
      <c r="AK48" s="85"/>
      <c r="AL48" s="85"/>
      <c r="AM48" s="93"/>
      <c r="AN48" s="94"/>
      <c r="AO48" s="94"/>
      <c r="AP48" s="94"/>
      <c r="AQ48" s="94"/>
      <c r="AR48" s="101"/>
      <c r="AS48" s="101"/>
      <c r="AT48" s="101"/>
      <c r="AU48" s="101"/>
      <c r="AV48" s="101"/>
      <c r="AW48" s="94"/>
      <c r="AX48" s="94"/>
      <c r="AY48" s="94"/>
      <c r="AZ48" s="94"/>
      <c r="BA48" s="94"/>
      <c r="BB48" s="94"/>
      <c r="BC48" s="94"/>
      <c r="BD48" s="101"/>
      <c r="BE48" s="101"/>
      <c r="BF48" s="101"/>
      <c r="BG48" s="101"/>
      <c r="BH48" s="101"/>
      <c r="BI48" s="101"/>
      <c r="BJ48" s="101"/>
      <c r="BK48" s="101"/>
      <c r="BL48" s="101"/>
      <c r="BM48" s="104">
        <f t="shared" si="45"/>
        <v>195</v>
      </c>
      <c r="BN48" s="104">
        <f t="shared" si="46"/>
        <v>195</v>
      </c>
      <c r="BO48" s="105">
        <f t="shared" si="47"/>
        <v>178.75</v>
      </c>
      <c r="BP48" s="105">
        <f t="shared" si="48"/>
        <v>16.25</v>
      </c>
      <c r="BQ48" s="104">
        <f t="shared" si="49"/>
        <v>195</v>
      </c>
      <c r="BR48" s="104">
        <f t="shared" si="50"/>
        <v>195</v>
      </c>
      <c r="BS48" s="104">
        <f t="shared" si="51"/>
        <v>195</v>
      </c>
      <c r="BT48" s="104">
        <f t="shared" si="52"/>
        <v>195</v>
      </c>
      <c r="BU48" s="105">
        <f t="shared" si="53"/>
        <v>178.75</v>
      </c>
      <c r="BV48" s="105">
        <f t="shared" si="54"/>
        <v>16.25</v>
      </c>
      <c r="BW48" s="38"/>
      <c r="BX48" s="38"/>
      <c r="BY48" s="38"/>
      <c r="BZ48" s="38"/>
      <c r="CA48" s="38"/>
      <c r="CB48" s="38"/>
      <c r="CC48" s="38"/>
      <c r="CD48" s="38"/>
      <c r="CE48" s="38"/>
      <c r="CF48" s="38"/>
    </row>
    <row r="49" s="5" customFormat="1" ht="31" customHeight="1" spans="1:84">
      <c r="A49" s="35">
        <v>44691</v>
      </c>
      <c r="B49" s="24" t="s">
        <v>681</v>
      </c>
      <c r="C49" s="36" t="s">
        <v>118</v>
      </c>
      <c r="D49" s="26">
        <v>4500078605</v>
      </c>
      <c r="E49" s="25">
        <v>1227470031</v>
      </c>
      <c r="F49" s="25"/>
      <c r="G49" s="37" t="s">
        <v>626</v>
      </c>
      <c r="H49" s="14" t="s">
        <v>594</v>
      </c>
      <c r="I49" s="38">
        <v>1608</v>
      </c>
      <c r="J49" s="3">
        <v>0</v>
      </c>
      <c r="K49" s="3">
        <v>24</v>
      </c>
      <c r="L49" s="3">
        <f t="shared" si="55"/>
        <v>67</v>
      </c>
      <c r="M49" s="53" t="s">
        <v>683</v>
      </c>
      <c r="N49" s="53" t="s">
        <v>689</v>
      </c>
      <c r="O49" s="54" t="s">
        <v>690</v>
      </c>
      <c r="P49" s="48" t="s">
        <v>673</v>
      </c>
      <c r="Q49" s="54"/>
      <c r="R49" s="54">
        <v>44699</v>
      </c>
      <c r="S49" s="54" t="s">
        <v>125</v>
      </c>
      <c r="T49" s="54">
        <v>44707</v>
      </c>
      <c r="U49" s="71" t="s">
        <v>691</v>
      </c>
      <c r="V49" s="66" t="s">
        <v>553</v>
      </c>
      <c r="W49" s="67">
        <v>1.2457</v>
      </c>
      <c r="X49" s="46">
        <f t="shared" si="56"/>
        <v>2003.0856</v>
      </c>
      <c r="Y49" s="38"/>
      <c r="Z49" s="38"/>
      <c r="AA49" s="84">
        <v>1608</v>
      </c>
      <c r="AB49" s="59">
        <f t="shared" si="44"/>
        <v>0</v>
      </c>
      <c r="AC49" s="84"/>
      <c r="AD49" s="78"/>
      <c r="AE49" s="85"/>
      <c r="AF49" s="85"/>
      <c r="AG49" s="85"/>
      <c r="AH49" s="93"/>
      <c r="AI49" s="85"/>
      <c r="AJ49" s="85"/>
      <c r="AK49" s="85"/>
      <c r="AL49" s="85"/>
      <c r="AM49" s="93"/>
      <c r="AN49" s="94"/>
      <c r="AO49" s="94"/>
      <c r="AP49" s="94"/>
      <c r="AQ49" s="94"/>
      <c r="AR49" s="101"/>
      <c r="AS49" s="101"/>
      <c r="AT49" s="101"/>
      <c r="AU49" s="101"/>
      <c r="AV49" s="101"/>
      <c r="AW49" s="94"/>
      <c r="AX49" s="94"/>
      <c r="AY49" s="94"/>
      <c r="AZ49" s="94"/>
      <c r="BA49" s="94"/>
      <c r="BB49" s="94"/>
      <c r="BC49" s="94"/>
      <c r="BD49" s="101"/>
      <c r="BE49" s="101"/>
      <c r="BF49" s="101"/>
      <c r="BG49" s="101"/>
      <c r="BH49" s="101"/>
      <c r="BI49" s="101"/>
      <c r="BJ49" s="101"/>
      <c r="BK49" s="101"/>
      <c r="BL49" s="101"/>
      <c r="BM49" s="104">
        <f t="shared" si="45"/>
        <v>201</v>
      </c>
      <c r="BN49" s="104">
        <f t="shared" si="46"/>
        <v>201</v>
      </c>
      <c r="BO49" s="105">
        <f t="shared" si="47"/>
        <v>184.25</v>
      </c>
      <c r="BP49" s="105">
        <f t="shared" si="48"/>
        <v>16.75</v>
      </c>
      <c r="BQ49" s="104">
        <f t="shared" si="49"/>
        <v>201</v>
      </c>
      <c r="BR49" s="104">
        <f t="shared" si="50"/>
        <v>201</v>
      </c>
      <c r="BS49" s="104">
        <f t="shared" si="51"/>
        <v>201</v>
      </c>
      <c r="BT49" s="104">
        <f t="shared" si="52"/>
        <v>201</v>
      </c>
      <c r="BU49" s="105">
        <f t="shared" si="53"/>
        <v>184.25</v>
      </c>
      <c r="BV49" s="105">
        <f t="shared" si="54"/>
        <v>16.75</v>
      </c>
      <c r="BW49" s="38"/>
      <c r="BX49" s="38"/>
      <c r="BY49" s="38"/>
      <c r="BZ49" s="38"/>
      <c r="CA49" s="38"/>
      <c r="CB49" s="38"/>
      <c r="CC49" s="38"/>
      <c r="CD49" s="38"/>
      <c r="CE49" s="38"/>
      <c r="CF49" s="38"/>
    </row>
    <row r="50" s="5" customFormat="1" ht="31" customHeight="1" spans="1:84">
      <c r="A50" s="35">
        <v>44691</v>
      </c>
      <c r="B50" s="24" t="s">
        <v>681</v>
      </c>
      <c r="C50" s="36" t="s">
        <v>118</v>
      </c>
      <c r="D50" s="26">
        <v>4500078605</v>
      </c>
      <c r="E50" s="25" t="s">
        <v>692</v>
      </c>
      <c r="F50" s="25"/>
      <c r="G50" s="37" t="s">
        <v>626</v>
      </c>
      <c r="H50" s="14" t="s">
        <v>594</v>
      </c>
      <c r="I50" s="38">
        <v>1272</v>
      </c>
      <c r="J50" s="3">
        <v>0</v>
      </c>
      <c r="K50" s="3">
        <v>24</v>
      </c>
      <c r="L50" s="3">
        <f t="shared" si="55"/>
        <v>53</v>
      </c>
      <c r="M50" s="53" t="s">
        <v>683</v>
      </c>
      <c r="N50" s="53" t="s">
        <v>689</v>
      </c>
      <c r="O50" s="54" t="s">
        <v>690</v>
      </c>
      <c r="P50" s="48" t="s">
        <v>673</v>
      </c>
      <c r="Q50" s="54"/>
      <c r="R50" s="54">
        <v>44699</v>
      </c>
      <c r="S50" s="54" t="s">
        <v>125</v>
      </c>
      <c r="T50" s="54">
        <v>44707</v>
      </c>
      <c r="U50" s="71" t="s">
        <v>691</v>
      </c>
      <c r="V50" s="66" t="s">
        <v>553</v>
      </c>
      <c r="W50" s="67">
        <v>1.2457</v>
      </c>
      <c r="X50" s="46">
        <f t="shared" si="56"/>
        <v>1584.5304</v>
      </c>
      <c r="Y50" s="38"/>
      <c r="Z50" s="38"/>
      <c r="AA50" s="84">
        <v>1272</v>
      </c>
      <c r="AB50" s="59">
        <f t="shared" si="44"/>
        <v>0</v>
      </c>
      <c r="AC50" s="84"/>
      <c r="AD50" s="78"/>
      <c r="AE50" s="85"/>
      <c r="AF50" s="85"/>
      <c r="AG50" s="85"/>
      <c r="AH50" s="93"/>
      <c r="AI50" s="85"/>
      <c r="AJ50" s="85"/>
      <c r="AK50" s="85"/>
      <c r="AL50" s="85"/>
      <c r="AM50" s="93"/>
      <c r="AN50" s="94"/>
      <c r="AO50" s="94"/>
      <c r="AP50" s="94"/>
      <c r="AQ50" s="94"/>
      <c r="AR50" s="101"/>
      <c r="AS50" s="101"/>
      <c r="AT50" s="101"/>
      <c r="AU50" s="101"/>
      <c r="AV50" s="101"/>
      <c r="AW50" s="94"/>
      <c r="AX50" s="94"/>
      <c r="AY50" s="94"/>
      <c r="AZ50" s="94"/>
      <c r="BA50" s="94"/>
      <c r="BB50" s="94"/>
      <c r="BC50" s="94"/>
      <c r="BD50" s="101"/>
      <c r="BE50" s="101"/>
      <c r="BF50" s="101"/>
      <c r="BG50" s="101"/>
      <c r="BH50" s="101"/>
      <c r="BI50" s="101"/>
      <c r="BJ50" s="101"/>
      <c r="BK50" s="101"/>
      <c r="BL50" s="101"/>
      <c r="BM50" s="104">
        <f t="shared" si="45"/>
        <v>159</v>
      </c>
      <c r="BN50" s="104">
        <f t="shared" si="46"/>
        <v>159</v>
      </c>
      <c r="BO50" s="105">
        <f t="shared" si="47"/>
        <v>145.75</v>
      </c>
      <c r="BP50" s="105">
        <f t="shared" si="48"/>
        <v>13.25</v>
      </c>
      <c r="BQ50" s="104">
        <f t="shared" si="49"/>
        <v>159</v>
      </c>
      <c r="BR50" s="104">
        <f t="shared" si="50"/>
        <v>159</v>
      </c>
      <c r="BS50" s="104">
        <f t="shared" si="51"/>
        <v>159</v>
      </c>
      <c r="BT50" s="104">
        <f t="shared" si="52"/>
        <v>159</v>
      </c>
      <c r="BU50" s="105">
        <f t="shared" si="53"/>
        <v>145.75</v>
      </c>
      <c r="BV50" s="105">
        <f t="shared" si="54"/>
        <v>13.25</v>
      </c>
      <c r="BW50" s="38"/>
      <c r="BX50" s="38"/>
      <c r="BY50" s="38"/>
      <c r="BZ50" s="38"/>
      <c r="CA50" s="38"/>
      <c r="CB50" s="38"/>
      <c r="CC50" s="38"/>
      <c r="CD50" s="38"/>
      <c r="CE50" s="38"/>
      <c r="CF50" s="38"/>
    </row>
    <row r="51" s="5" customFormat="1" ht="31" customHeight="1" spans="1:84">
      <c r="A51" s="35">
        <v>44691</v>
      </c>
      <c r="B51" s="24" t="s">
        <v>681</v>
      </c>
      <c r="C51" s="36" t="s">
        <v>118</v>
      </c>
      <c r="D51" s="26">
        <v>4500078605</v>
      </c>
      <c r="E51" s="25" t="s">
        <v>693</v>
      </c>
      <c r="F51" s="25"/>
      <c r="G51" s="37" t="s">
        <v>626</v>
      </c>
      <c r="H51" s="14" t="s">
        <v>594</v>
      </c>
      <c r="I51" s="38">
        <v>936</v>
      </c>
      <c r="J51" s="3">
        <v>0</v>
      </c>
      <c r="K51" s="3">
        <v>24</v>
      </c>
      <c r="L51" s="3">
        <f t="shared" si="55"/>
        <v>39</v>
      </c>
      <c r="M51" s="53" t="s">
        <v>683</v>
      </c>
      <c r="N51" s="53" t="s">
        <v>689</v>
      </c>
      <c r="O51" s="54" t="s">
        <v>690</v>
      </c>
      <c r="P51" s="48" t="s">
        <v>673</v>
      </c>
      <c r="Q51" s="54"/>
      <c r="R51" s="54">
        <v>44699</v>
      </c>
      <c r="S51" s="54" t="s">
        <v>125</v>
      </c>
      <c r="T51" s="54">
        <v>44707</v>
      </c>
      <c r="U51" s="71" t="s">
        <v>691</v>
      </c>
      <c r="V51" s="66" t="s">
        <v>553</v>
      </c>
      <c r="W51" s="67">
        <v>1.2457</v>
      </c>
      <c r="X51" s="46">
        <f t="shared" si="56"/>
        <v>1165.9752</v>
      </c>
      <c r="Y51" s="38"/>
      <c r="Z51" s="38"/>
      <c r="AA51" s="84">
        <v>936</v>
      </c>
      <c r="AB51" s="59">
        <f t="shared" si="44"/>
        <v>0</v>
      </c>
      <c r="AC51" s="84"/>
      <c r="AD51" s="78"/>
      <c r="AE51" s="85"/>
      <c r="AF51" s="85"/>
      <c r="AG51" s="85"/>
      <c r="AH51" s="93"/>
      <c r="AI51" s="85"/>
      <c r="AJ51" s="85"/>
      <c r="AK51" s="85"/>
      <c r="AL51" s="85"/>
      <c r="AM51" s="93"/>
      <c r="AN51" s="94"/>
      <c r="AO51" s="94"/>
      <c r="AP51" s="94"/>
      <c r="AQ51" s="94"/>
      <c r="AR51" s="101"/>
      <c r="AS51" s="101"/>
      <c r="AT51" s="101"/>
      <c r="AU51" s="101"/>
      <c r="AV51" s="101"/>
      <c r="AW51" s="94"/>
      <c r="AX51" s="94"/>
      <c r="AY51" s="94"/>
      <c r="AZ51" s="94"/>
      <c r="BA51" s="94"/>
      <c r="BB51" s="94"/>
      <c r="BC51" s="94"/>
      <c r="BD51" s="101"/>
      <c r="BE51" s="101"/>
      <c r="BF51" s="101"/>
      <c r="BG51" s="101"/>
      <c r="BH51" s="101"/>
      <c r="BI51" s="101"/>
      <c r="BJ51" s="101"/>
      <c r="BK51" s="101"/>
      <c r="BL51" s="101"/>
      <c r="BM51" s="104">
        <f t="shared" si="45"/>
        <v>117</v>
      </c>
      <c r="BN51" s="104">
        <f t="shared" si="46"/>
        <v>117</v>
      </c>
      <c r="BO51" s="105">
        <f t="shared" si="47"/>
        <v>107.25</v>
      </c>
      <c r="BP51" s="105">
        <f t="shared" si="48"/>
        <v>9.75</v>
      </c>
      <c r="BQ51" s="104">
        <f t="shared" si="49"/>
        <v>117</v>
      </c>
      <c r="BR51" s="104">
        <f t="shared" si="50"/>
        <v>117</v>
      </c>
      <c r="BS51" s="104">
        <f t="shared" si="51"/>
        <v>117</v>
      </c>
      <c r="BT51" s="104">
        <f t="shared" si="52"/>
        <v>117</v>
      </c>
      <c r="BU51" s="105">
        <f t="shared" si="53"/>
        <v>107.25</v>
      </c>
      <c r="BV51" s="105">
        <f t="shared" si="54"/>
        <v>9.75</v>
      </c>
      <c r="BW51" s="38"/>
      <c r="BX51" s="38"/>
      <c r="BY51" s="38"/>
      <c r="BZ51" s="38"/>
      <c r="CA51" s="38"/>
      <c r="CB51" s="38"/>
      <c r="CC51" s="38"/>
      <c r="CD51" s="38"/>
      <c r="CE51" s="38"/>
      <c r="CF51" s="38"/>
    </row>
    <row r="52" s="5" customFormat="1" ht="31" customHeight="1" spans="1:84">
      <c r="A52" s="35">
        <v>44691</v>
      </c>
      <c r="B52" s="24" t="s">
        <v>681</v>
      </c>
      <c r="C52" s="36" t="s">
        <v>118</v>
      </c>
      <c r="D52" s="26">
        <v>4500078605</v>
      </c>
      <c r="E52" s="25" t="s">
        <v>694</v>
      </c>
      <c r="F52" s="25"/>
      <c r="G52" s="37" t="s">
        <v>626</v>
      </c>
      <c r="H52" s="14" t="s">
        <v>594</v>
      </c>
      <c r="I52" s="38">
        <v>1272</v>
      </c>
      <c r="J52" s="3">
        <v>0</v>
      </c>
      <c r="K52" s="3">
        <v>24</v>
      </c>
      <c r="L52" s="3">
        <f t="shared" si="55"/>
        <v>53</v>
      </c>
      <c r="M52" s="53" t="s">
        <v>683</v>
      </c>
      <c r="N52" s="53" t="s">
        <v>689</v>
      </c>
      <c r="O52" s="54" t="s">
        <v>690</v>
      </c>
      <c r="P52" s="48" t="s">
        <v>673</v>
      </c>
      <c r="Q52" s="54"/>
      <c r="R52" s="54">
        <v>44699</v>
      </c>
      <c r="S52" s="54" t="s">
        <v>125</v>
      </c>
      <c r="T52" s="54">
        <v>44707</v>
      </c>
      <c r="U52" s="71" t="s">
        <v>691</v>
      </c>
      <c r="V52" s="66" t="s">
        <v>553</v>
      </c>
      <c r="W52" s="67">
        <v>1.2457</v>
      </c>
      <c r="X52" s="46">
        <f t="shared" si="56"/>
        <v>1584.5304</v>
      </c>
      <c r="Y52" s="38"/>
      <c r="Z52" s="38"/>
      <c r="AA52" s="84">
        <v>1272</v>
      </c>
      <c r="AB52" s="59">
        <f t="shared" si="44"/>
        <v>0</v>
      </c>
      <c r="AC52" s="84"/>
      <c r="AD52" s="78"/>
      <c r="AE52" s="85"/>
      <c r="AF52" s="85"/>
      <c r="AG52" s="85"/>
      <c r="AH52" s="93"/>
      <c r="AI52" s="85"/>
      <c r="AJ52" s="85"/>
      <c r="AK52" s="85"/>
      <c r="AL52" s="85"/>
      <c r="AM52" s="93"/>
      <c r="AN52" s="94"/>
      <c r="AO52" s="94"/>
      <c r="AP52" s="94"/>
      <c r="AQ52" s="94"/>
      <c r="AR52" s="101"/>
      <c r="AS52" s="101"/>
      <c r="AT52" s="101"/>
      <c r="AU52" s="101"/>
      <c r="AV52" s="101"/>
      <c r="AW52" s="94"/>
      <c r="AX52" s="94"/>
      <c r="AY52" s="94"/>
      <c r="AZ52" s="94"/>
      <c r="BA52" s="94"/>
      <c r="BB52" s="94"/>
      <c r="BC52" s="94"/>
      <c r="BD52" s="101"/>
      <c r="BE52" s="101"/>
      <c r="BF52" s="101"/>
      <c r="BG52" s="101"/>
      <c r="BH52" s="101"/>
      <c r="BI52" s="101"/>
      <c r="BJ52" s="101"/>
      <c r="BK52" s="101"/>
      <c r="BL52" s="101"/>
      <c r="BM52" s="104">
        <f t="shared" si="45"/>
        <v>159</v>
      </c>
      <c r="BN52" s="104">
        <f t="shared" si="46"/>
        <v>159</v>
      </c>
      <c r="BO52" s="105">
        <f t="shared" si="47"/>
        <v>145.75</v>
      </c>
      <c r="BP52" s="105">
        <f t="shared" si="48"/>
        <v>13.25</v>
      </c>
      <c r="BQ52" s="104">
        <f t="shared" si="49"/>
        <v>159</v>
      </c>
      <c r="BR52" s="104">
        <f t="shared" si="50"/>
        <v>159</v>
      </c>
      <c r="BS52" s="104">
        <f t="shared" si="51"/>
        <v>159</v>
      </c>
      <c r="BT52" s="104">
        <f t="shared" si="52"/>
        <v>159</v>
      </c>
      <c r="BU52" s="105">
        <f t="shared" si="53"/>
        <v>145.75</v>
      </c>
      <c r="BV52" s="105">
        <f t="shared" si="54"/>
        <v>13.25</v>
      </c>
      <c r="BW52" s="38"/>
      <c r="BX52" s="38"/>
      <c r="BY52" s="38"/>
      <c r="BZ52" s="38"/>
      <c r="CA52" s="38"/>
      <c r="CB52" s="38"/>
      <c r="CC52" s="38"/>
      <c r="CD52" s="38"/>
      <c r="CE52" s="38"/>
      <c r="CF52" s="38"/>
    </row>
    <row r="53" s="5" customFormat="1" ht="31" customHeight="1" spans="1:84">
      <c r="A53" s="35">
        <v>44691</v>
      </c>
      <c r="B53" s="24" t="s">
        <v>681</v>
      </c>
      <c r="C53" s="36" t="s">
        <v>118</v>
      </c>
      <c r="D53" s="26">
        <v>4500078601</v>
      </c>
      <c r="E53" s="25" t="s">
        <v>695</v>
      </c>
      <c r="F53" s="25"/>
      <c r="G53" s="37" t="s">
        <v>589</v>
      </c>
      <c r="H53" s="14" t="s">
        <v>588</v>
      </c>
      <c r="I53" s="38">
        <v>1440</v>
      </c>
      <c r="J53" s="3">
        <v>24</v>
      </c>
      <c r="K53" s="3">
        <v>60</v>
      </c>
      <c r="L53" s="6">
        <f t="shared" ref="L53:L57" si="57">I53/J53/K53</f>
        <v>1</v>
      </c>
      <c r="M53" s="53" t="s">
        <v>683</v>
      </c>
      <c r="N53" s="53" t="s">
        <v>689</v>
      </c>
      <c r="O53" s="54" t="s">
        <v>690</v>
      </c>
      <c r="P53" s="48" t="s">
        <v>94</v>
      </c>
      <c r="Q53" s="54"/>
      <c r="R53" s="54" t="s">
        <v>686</v>
      </c>
      <c r="S53" s="54" t="s">
        <v>125</v>
      </c>
      <c r="T53" s="54">
        <v>44707</v>
      </c>
      <c r="U53" s="71" t="s">
        <v>687</v>
      </c>
      <c r="V53" s="66" t="s">
        <v>553</v>
      </c>
      <c r="W53" s="67">
        <v>1843.9387</v>
      </c>
      <c r="X53" s="46">
        <f t="shared" ref="X53:X57" si="58">W53*L53</f>
        <v>1843.9387</v>
      </c>
      <c r="Y53" s="38"/>
      <c r="Z53" s="38"/>
      <c r="AA53" s="84">
        <v>1440</v>
      </c>
      <c r="AB53" s="59">
        <f t="shared" si="44"/>
        <v>0</v>
      </c>
      <c r="AC53" s="84"/>
      <c r="AD53" s="78"/>
      <c r="AE53" s="78"/>
      <c r="AF53" s="78"/>
      <c r="AG53" s="78"/>
      <c r="AH53" s="79"/>
      <c r="AI53" s="78"/>
      <c r="AJ53" s="78"/>
      <c r="AK53" s="78"/>
      <c r="AL53" s="78"/>
      <c r="AM53" s="79"/>
      <c r="AN53" s="80"/>
      <c r="AO53" s="80"/>
      <c r="AP53" s="94"/>
      <c r="AQ53" s="94"/>
      <c r="AR53" s="101"/>
      <c r="AS53" s="91"/>
      <c r="AT53" s="101"/>
      <c r="AU53" s="101"/>
      <c r="AV53" s="101"/>
      <c r="AW53" s="94"/>
      <c r="AX53" s="94"/>
      <c r="AY53" s="94"/>
      <c r="AZ53" s="94"/>
      <c r="BA53" s="94"/>
      <c r="BB53" s="94"/>
      <c r="BC53" s="94"/>
      <c r="BD53" s="101"/>
      <c r="BE53" s="101"/>
      <c r="BF53" s="101"/>
      <c r="BG53" s="101"/>
      <c r="BH53" s="101"/>
      <c r="BI53" s="101"/>
      <c r="BJ53" s="101"/>
      <c r="BK53" s="101"/>
      <c r="BL53" s="101"/>
      <c r="BM53" s="104">
        <f t="shared" si="45"/>
        <v>180</v>
      </c>
      <c r="BN53" s="104">
        <f t="shared" si="46"/>
        <v>180</v>
      </c>
      <c r="BO53" s="105">
        <f t="shared" si="47"/>
        <v>165</v>
      </c>
      <c r="BP53" s="105">
        <f t="shared" si="48"/>
        <v>15</v>
      </c>
      <c r="BQ53" s="104">
        <f t="shared" si="49"/>
        <v>180</v>
      </c>
      <c r="BR53" s="104">
        <f t="shared" si="50"/>
        <v>180</v>
      </c>
      <c r="BS53" s="104">
        <f t="shared" si="51"/>
        <v>180</v>
      </c>
      <c r="BT53" s="104">
        <f t="shared" si="52"/>
        <v>180</v>
      </c>
      <c r="BU53" s="105">
        <f t="shared" si="53"/>
        <v>165</v>
      </c>
      <c r="BV53" s="105">
        <f t="shared" si="54"/>
        <v>15</v>
      </c>
      <c r="BW53" s="38"/>
      <c r="BX53" s="38"/>
      <c r="BY53" s="38"/>
      <c r="BZ53" s="38"/>
      <c r="CA53" s="38"/>
      <c r="CB53" s="38"/>
      <c r="CC53" s="38"/>
      <c r="CD53" s="38"/>
      <c r="CE53" s="38"/>
      <c r="CF53" s="38"/>
    </row>
    <row r="54" s="5" customFormat="1" ht="31" customHeight="1" spans="1:84">
      <c r="A54" s="35">
        <v>44691</v>
      </c>
      <c r="B54" s="24" t="s">
        <v>681</v>
      </c>
      <c r="C54" s="36" t="s">
        <v>118</v>
      </c>
      <c r="D54" s="26">
        <v>4500078601</v>
      </c>
      <c r="E54" s="25" t="s">
        <v>696</v>
      </c>
      <c r="F54" s="25"/>
      <c r="G54" s="37" t="s">
        <v>589</v>
      </c>
      <c r="H54" s="14" t="s">
        <v>588</v>
      </c>
      <c r="I54" s="38">
        <v>1440</v>
      </c>
      <c r="J54" s="3">
        <v>24</v>
      </c>
      <c r="K54" s="3">
        <v>60</v>
      </c>
      <c r="L54" s="6">
        <f t="shared" si="57"/>
        <v>1</v>
      </c>
      <c r="M54" s="53" t="s">
        <v>683</v>
      </c>
      <c r="N54" s="53" t="s">
        <v>689</v>
      </c>
      <c r="O54" s="54" t="s">
        <v>690</v>
      </c>
      <c r="P54" s="48" t="s">
        <v>94</v>
      </c>
      <c r="Q54" s="54"/>
      <c r="R54" s="54" t="s">
        <v>686</v>
      </c>
      <c r="S54" s="54" t="s">
        <v>125</v>
      </c>
      <c r="T54" s="54">
        <v>44707</v>
      </c>
      <c r="U54" s="71" t="s">
        <v>687</v>
      </c>
      <c r="V54" s="66" t="s">
        <v>553</v>
      </c>
      <c r="W54" s="67">
        <v>1843.9387</v>
      </c>
      <c r="X54" s="46">
        <f t="shared" si="58"/>
        <v>1843.9387</v>
      </c>
      <c r="Y54" s="38"/>
      <c r="Z54" s="38"/>
      <c r="AA54" s="84">
        <v>1440</v>
      </c>
      <c r="AB54" s="59">
        <f t="shared" si="44"/>
        <v>0</v>
      </c>
      <c r="AC54" s="84"/>
      <c r="AD54" s="78"/>
      <c r="AE54" s="78"/>
      <c r="AF54" s="78"/>
      <c r="AG54" s="78"/>
      <c r="AH54" s="79"/>
      <c r="AI54" s="78"/>
      <c r="AJ54" s="78"/>
      <c r="AK54" s="78"/>
      <c r="AL54" s="78"/>
      <c r="AM54" s="79"/>
      <c r="AN54" s="80"/>
      <c r="AO54" s="80"/>
      <c r="AP54" s="94"/>
      <c r="AQ54" s="94"/>
      <c r="AR54" s="101"/>
      <c r="AS54" s="91"/>
      <c r="AT54" s="101"/>
      <c r="AU54" s="101"/>
      <c r="AV54" s="101"/>
      <c r="AW54" s="94"/>
      <c r="AX54" s="94"/>
      <c r="AY54" s="94"/>
      <c r="AZ54" s="94"/>
      <c r="BA54" s="94"/>
      <c r="BB54" s="94"/>
      <c r="BC54" s="94"/>
      <c r="BD54" s="101"/>
      <c r="BE54" s="101"/>
      <c r="BF54" s="101"/>
      <c r="BG54" s="101"/>
      <c r="BH54" s="101"/>
      <c r="BI54" s="101"/>
      <c r="BJ54" s="101"/>
      <c r="BK54" s="101"/>
      <c r="BL54" s="101"/>
      <c r="BM54" s="104">
        <f t="shared" si="45"/>
        <v>180</v>
      </c>
      <c r="BN54" s="104">
        <f t="shared" si="46"/>
        <v>180</v>
      </c>
      <c r="BO54" s="105">
        <f t="shared" si="47"/>
        <v>165</v>
      </c>
      <c r="BP54" s="105">
        <f t="shared" si="48"/>
        <v>15</v>
      </c>
      <c r="BQ54" s="104">
        <f t="shared" si="49"/>
        <v>180</v>
      </c>
      <c r="BR54" s="104">
        <f t="shared" si="50"/>
        <v>180</v>
      </c>
      <c r="BS54" s="104">
        <f t="shared" si="51"/>
        <v>180</v>
      </c>
      <c r="BT54" s="104">
        <f t="shared" si="52"/>
        <v>180</v>
      </c>
      <c r="BU54" s="105">
        <f t="shared" si="53"/>
        <v>165</v>
      </c>
      <c r="BV54" s="105">
        <f t="shared" si="54"/>
        <v>15</v>
      </c>
      <c r="BW54" s="38"/>
      <c r="BX54" s="38"/>
      <c r="BY54" s="38"/>
      <c r="BZ54" s="38"/>
      <c r="CA54" s="38"/>
      <c r="CB54" s="38"/>
      <c r="CC54" s="38"/>
      <c r="CD54" s="38"/>
      <c r="CE54" s="38"/>
      <c r="CF54" s="38"/>
    </row>
    <row r="55" s="5" customFormat="1" ht="31" customHeight="1" spans="1:84">
      <c r="A55" s="35">
        <v>44697</v>
      </c>
      <c r="B55" s="24" t="s">
        <v>681</v>
      </c>
      <c r="C55" s="36" t="s">
        <v>118</v>
      </c>
      <c r="D55" s="26">
        <v>4500079062</v>
      </c>
      <c r="E55" s="25" t="s">
        <v>697</v>
      </c>
      <c r="F55" s="25"/>
      <c r="G55" s="37" t="s">
        <v>589</v>
      </c>
      <c r="H55" s="14" t="s">
        <v>588</v>
      </c>
      <c r="I55" s="38">
        <v>1440</v>
      </c>
      <c r="J55" s="3">
        <v>24</v>
      </c>
      <c r="K55" s="3">
        <v>60</v>
      </c>
      <c r="L55" s="6">
        <f t="shared" si="57"/>
        <v>1</v>
      </c>
      <c r="M55" s="53" t="s">
        <v>698</v>
      </c>
      <c r="N55" s="53" t="s">
        <v>699</v>
      </c>
      <c r="O55" s="54" t="s">
        <v>690</v>
      </c>
      <c r="P55" s="48" t="s">
        <v>673</v>
      </c>
      <c r="Q55" s="54"/>
      <c r="R55" s="54" t="s">
        <v>686</v>
      </c>
      <c r="S55" s="54" t="s">
        <v>125</v>
      </c>
      <c r="T55" s="54">
        <v>44707</v>
      </c>
      <c r="U55" s="71" t="s">
        <v>687</v>
      </c>
      <c r="V55" s="66" t="s">
        <v>700</v>
      </c>
      <c r="W55" s="67">
        <v>1843.9387</v>
      </c>
      <c r="X55" s="46">
        <f t="shared" si="58"/>
        <v>1843.9387</v>
      </c>
      <c r="Y55" s="38"/>
      <c r="Z55" s="38"/>
      <c r="AA55" s="84">
        <v>1440</v>
      </c>
      <c r="AB55" s="59">
        <f t="shared" si="44"/>
        <v>0</v>
      </c>
      <c r="AC55" s="84"/>
      <c r="AD55" s="85"/>
      <c r="AE55" s="78"/>
      <c r="AF55" s="78"/>
      <c r="AG55" s="78"/>
      <c r="AH55" s="79"/>
      <c r="AI55" s="78"/>
      <c r="AJ55" s="78"/>
      <c r="AK55" s="78"/>
      <c r="AL55" s="78"/>
      <c r="AM55" s="79"/>
      <c r="AN55" s="80"/>
      <c r="AO55" s="80"/>
      <c r="AP55" s="94"/>
      <c r="AQ55" s="94"/>
      <c r="AR55" s="101"/>
      <c r="AS55" s="91"/>
      <c r="AT55" s="101"/>
      <c r="AU55" s="101"/>
      <c r="AV55" s="101"/>
      <c r="AW55" s="94"/>
      <c r="AX55" s="94"/>
      <c r="AY55" s="94"/>
      <c r="AZ55" s="94"/>
      <c r="BA55" s="94"/>
      <c r="BB55" s="94"/>
      <c r="BC55" s="94"/>
      <c r="BD55" s="101"/>
      <c r="BE55" s="101"/>
      <c r="BF55" s="101"/>
      <c r="BG55" s="101"/>
      <c r="BH55" s="101"/>
      <c r="BI55" s="101"/>
      <c r="BJ55" s="101"/>
      <c r="BK55" s="101"/>
      <c r="BL55" s="101"/>
      <c r="BM55" s="104">
        <f t="shared" si="45"/>
        <v>180</v>
      </c>
      <c r="BN55" s="104">
        <f t="shared" si="46"/>
        <v>180</v>
      </c>
      <c r="BO55" s="105">
        <f t="shared" si="47"/>
        <v>165</v>
      </c>
      <c r="BP55" s="105">
        <f t="shared" si="48"/>
        <v>15</v>
      </c>
      <c r="BQ55" s="104">
        <f t="shared" si="49"/>
        <v>180</v>
      </c>
      <c r="BR55" s="104">
        <f t="shared" si="50"/>
        <v>180</v>
      </c>
      <c r="BS55" s="104">
        <f t="shared" si="51"/>
        <v>180</v>
      </c>
      <c r="BT55" s="104">
        <f t="shared" si="52"/>
        <v>180</v>
      </c>
      <c r="BU55" s="105">
        <f t="shared" si="53"/>
        <v>165</v>
      </c>
      <c r="BV55" s="105">
        <f t="shared" si="54"/>
        <v>15</v>
      </c>
      <c r="BW55" s="38"/>
      <c r="BX55" s="38"/>
      <c r="BY55" s="38"/>
      <c r="BZ55" s="38"/>
      <c r="CA55" s="38"/>
      <c r="CB55" s="38"/>
      <c r="CC55" s="38"/>
      <c r="CD55" s="38"/>
      <c r="CE55" s="38"/>
      <c r="CF55" s="38"/>
    </row>
    <row r="56" s="5" customFormat="1" ht="31" customHeight="1" spans="1:84">
      <c r="A56" s="35">
        <v>44697</v>
      </c>
      <c r="B56" s="14" t="s">
        <v>681</v>
      </c>
      <c r="C56" s="42" t="s">
        <v>118</v>
      </c>
      <c r="D56" s="16">
        <v>4500079062</v>
      </c>
      <c r="E56" s="15" t="s">
        <v>701</v>
      </c>
      <c r="F56" s="15"/>
      <c r="G56" s="18" t="s">
        <v>589</v>
      </c>
      <c r="H56" s="14" t="s">
        <v>588</v>
      </c>
      <c r="I56" s="3">
        <v>1440</v>
      </c>
      <c r="J56" s="3">
        <v>24</v>
      </c>
      <c r="K56" s="3">
        <v>60</v>
      </c>
      <c r="L56" s="6">
        <f t="shared" si="57"/>
        <v>1</v>
      </c>
      <c r="M56" s="53" t="s">
        <v>698</v>
      </c>
      <c r="N56" s="53" t="s">
        <v>699</v>
      </c>
      <c r="O56" s="54" t="s">
        <v>690</v>
      </c>
      <c r="P56" s="48" t="s">
        <v>673</v>
      </c>
      <c r="Q56" s="54"/>
      <c r="R56" s="54" t="s">
        <v>686</v>
      </c>
      <c r="S56" s="54" t="s">
        <v>125</v>
      </c>
      <c r="T56" s="54">
        <v>44707</v>
      </c>
      <c r="U56" s="71" t="s">
        <v>687</v>
      </c>
      <c r="V56" s="66" t="s">
        <v>700</v>
      </c>
      <c r="W56" s="67">
        <v>1843.9387</v>
      </c>
      <c r="X56" s="46">
        <f t="shared" si="58"/>
        <v>1843.9387</v>
      </c>
      <c r="Y56" s="38"/>
      <c r="Z56" s="38"/>
      <c r="AA56" s="84">
        <v>1440</v>
      </c>
      <c r="AB56" s="59">
        <f t="shared" si="44"/>
        <v>0</v>
      </c>
      <c r="AC56" s="84"/>
      <c r="AD56" s="85"/>
      <c r="AE56" s="78"/>
      <c r="AF56" s="78"/>
      <c r="AG56" s="78"/>
      <c r="AH56" s="79"/>
      <c r="AI56" s="78"/>
      <c r="AJ56" s="78"/>
      <c r="AK56" s="78"/>
      <c r="AL56" s="78"/>
      <c r="AM56" s="79"/>
      <c r="AN56" s="80"/>
      <c r="AO56" s="80"/>
      <c r="AP56" s="94"/>
      <c r="AQ56" s="94"/>
      <c r="AR56" s="101"/>
      <c r="AS56" s="91"/>
      <c r="AT56" s="101"/>
      <c r="AU56" s="101"/>
      <c r="AV56" s="101"/>
      <c r="AW56" s="94"/>
      <c r="AX56" s="94"/>
      <c r="AY56" s="94"/>
      <c r="AZ56" s="94"/>
      <c r="BA56" s="94"/>
      <c r="BB56" s="94"/>
      <c r="BC56" s="94"/>
      <c r="BD56" s="101"/>
      <c r="BE56" s="101"/>
      <c r="BF56" s="101"/>
      <c r="BG56" s="101"/>
      <c r="BH56" s="101"/>
      <c r="BI56" s="101"/>
      <c r="BJ56" s="101"/>
      <c r="BK56" s="101"/>
      <c r="BL56" s="101"/>
      <c r="BM56" s="104">
        <f t="shared" si="45"/>
        <v>180</v>
      </c>
      <c r="BN56" s="104">
        <f t="shared" si="46"/>
        <v>180</v>
      </c>
      <c r="BO56" s="105">
        <f t="shared" si="47"/>
        <v>165</v>
      </c>
      <c r="BP56" s="105">
        <f t="shared" si="48"/>
        <v>15</v>
      </c>
      <c r="BQ56" s="104">
        <f t="shared" si="49"/>
        <v>180</v>
      </c>
      <c r="BR56" s="104">
        <f t="shared" si="50"/>
        <v>180</v>
      </c>
      <c r="BS56" s="104">
        <f t="shared" si="51"/>
        <v>180</v>
      </c>
      <c r="BT56" s="104">
        <f t="shared" si="52"/>
        <v>180</v>
      </c>
      <c r="BU56" s="105">
        <f t="shared" si="53"/>
        <v>165</v>
      </c>
      <c r="BV56" s="105">
        <f t="shared" si="54"/>
        <v>15</v>
      </c>
      <c r="BW56" s="38"/>
      <c r="BX56" s="38"/>
      <c r="BY56" s="38"/>
      <c r="BZ56" s="38"/>
      <c r="CA56" s="38"/>
      <c r="CB56" s="38"/>
      <c r="CC56" s="38"/>
      <c r="CD56" s="38"/>
      <c r="CE56" s="38"/>
      <c r="CF56" s="38"/>
    </row>
    <row r="57" s="5" customFormat="1" ht="31" customHeight="1" spans="1:84">
      <c r="A57" s="35">
        <v>44697</v>
      </c>
      <c r="B57" s="24" t="s">
        <v>681</v>
      </c>
      <c r="C57" s="36" t="s">
        <v>118</v>
      </c>
      <c r="D57" s="26">
        <v>4500079062</v>
      </c>
      <c r="E57" s="25" t="s">
        <v>702</v>
      </c>
      <c r="F57" s="25"/>
      <c r="G57" s="37" t="s">
        <v>589</v>
      </c>
      <c r="H57" s="14" t="s">
        <v>588</v>
      </c>
      <c r="I57" s="38">
        <v>1440</v>
      </c>
      <c r="J57" s="3">
        <v>24</v>
      </c>
      <c r="K57" s="3">
        <v>60</v>
      </c>
      <c r="L57" s="6">
        <f t="shared" si="57"/>
        <v>1</v>
      </c>
      <c r="M57" s="53" t="s">
        <v>698</v>
      </c>
      <c r="N57" s="53" t="s">
        <v>699</v>
      </c>
      <c r="O57" s="54" t="s">
        <v>690</v>
      </c>
      <c r="P57" s="48" t="s">
        <v>673</v>
      </c>
      <c r="Q57" s="54"/>
      <c r="R57" s="54" t="s">
        <v>686</v>
      </c>
      <c r="S57" s="54" t="s">
        <v>125</v>
      </c>
      <c r="T57" s="54">
        <v>44707</v>
      </c>
      <c r="U57" s="71" t="s">
        <v>687</v>
      </c>
      <c r="V57" s="66" t="s">
        <v>700</v>
      </c>
      <c r="W57" s="67">
        <v>1843.9387</v>
      </c>
      <c r="X57" s="46">
        <f t="shared" si="58"/>
        <v>1843.9387</v>
      </c>
      <c r="Y57" s="38"/>
      <c r="Z57" s="38"/>
      <c r="AA57" s="84">
        <v>1440</v>
      </c>
      <c r="AB57" s="59">
        <f t="shared" si="44"/>
        <v>0</v>
      </c>
      <c r="AC57" s="84"/>
      <c r="AD57" s="85"/>
      <c r="AE57" s="78"/>
      <c r="AF57" s="78"/>
      <c r="AG57" s="78"/>
      <c r="AH57" s="79"/>
      <c r="AI57" s="78"/>
      <c r="AJ57" s="78"/>
      <c r="AK57" s="78"/>
      <c r="AL57" s="78"/>
      <c r="AM57" s="79"/>
      <c r="AN57" s="80"/>
      <c r="AO57" s="80"/>
      <c r="AP57" s="94"/>
      <c r="AQ57" s="94"/>
      <c r="AR57" s="101"/>
      <c r="AS57" s="91"/>
      <c r="AT57" s="101"/>
      <c r="AU57" s="101"/>
      <c r="AV57" s="101"/>
      <c r="AW57" s="94"/>
      <c r="AX57" s="94"/>
      <c r="AY57" s="94"/>
      <c r="AZ57" s="94"/>
      <c r="BA57" s="94"/>
      <c r="BB57" s="94"/>
      <c r="BC57" s="94"/>
      <c r="BD57" s="101"/>
      <c r="BE57" s="101"/>
      <c r="BF57" s="101"/>
      <c r="BG57" s="101"/>
      <c r="BH57" s="101"/>
      <c r="BI57" s="101"/>
      <c r="BJ57" s="101"/>
      <c r="BK57" s="101"/>
      <c r="BL57" s="101"/>
      <c r="BM57" s="104">
        <f t="shared" si="45"/>
        <v>180</v>
      </c>
      <c r="BN57" s="104">
        <f t="shared" si="46"/>
        <v>180</v>
      </c>
      <c r="BO57" s="105">
        <f t="shared" si="47"/>
        <v>165</v>
      </c>
      <c r="BP57" s="105">
        <f t="shared" si="48"/>
        <v>15</v>
      </c>
      <c r="BQ57" s="104">
        <f t="shared" si="49"/>
        <v>180</v>
      </c>
      <c r="BR57" s="104">
        <f t="shared" si="50"/>
        <v>180</v>
      </c>
      <c r="BS57" s="104">
        <f t="shared" si="51"/>
        <v>180</v>
      </c>
      <c r="BT57" s="104">
        <f t="shared" si="52"/>
        <v>180</v>
      </c>
      <c r="BU57" s="105">
        <f t="shared" si="53"/>
        <v>165</v>
      </c>
      <c r="BV57" s="105">
        <f t="shared" si="54"/>
        <v>15</v>
      </c>
      <c r="BW57" s="38"/>
      <c r="BX57" s="38"/>
      <c r="BY57" s="38"/>
      <c r="BZ57" s="38"/>
      <c r="CA57" s="38"/>
      <c r="CB57" s="38"/>
      <c r="CC57" s="38"/>
      <c r="CD57" s="38"/>
      <c r="CE57" s="38"/>
      <c r="CF57" s="38"/>
    </row>
    <row r="58" s="5" customFormat="1" ht="31" customHeight="1" spans="1:84">
      <c r="A58" s="35">
        <v>44691</v>
      </c>
      <c r="B58" s="24" t="s">
        <v>681</v>
      </c>
      <c r="C58" s="36" t="s">
        <v>118</v>
      </c>
      <c r="D58" s="26">
        <v>4500078628</v>
      </c>
      <c r="E58" s="25" t="s">
        <v>703</v>
      </c>
      <c r="F58" s="25"/>
      <c r="G58" s="37" t="s">
        <v>626</v>
      </c>
      <c r="H58" s="14" t="s">
        <v>594</v>
      </c>
      <c r="I58" s="38">
        <v>936</v>
      </c>
      <c r="J58" s="3">
        <v>0</v>
      </c>
      <c r="K58" s="3">
        <v>24</v>
      </c>
      <c r="L58" s="3">
        <f t="shared" ref="L58:L73" si="59">I58/K58</f>
        <v>39</v>
      </c>
      <c r="M58" s="53" t="s">
        <v>704</v>
      </c>
      <c r="N58" s="53" t="s">
        <v>705</v>
      </c>
      <c r="O58" s="54" t="s">
        <v>690</v>
      </c>
      <c r="P58" s="48" t="s">
        <v>673</v>
      </c>
      <c r="Q58" s="54"/>
      <c r="R58" s="54">
        <v>44699</v>
      </c>
      <c r="S58" s="54" t="s">
        <v>125</v>
      </c>
      <c r="T58" s="54">
        <v>44707</v>
      </c>
      <c r="U58" s="60" t="s">
        <v>691</v>
      </c>
      <c r="V58" s="66" t="s">
        <v>700</v>
      </c>
      <c r="W58" s="67">
        <v>1.2897</v>
      </c>
      <c r="X58" s="46">
        <f>I58*W58</f>
        <v>1207.1592</v>
      </c>
      <c r="Y58" s="38"/>
      <c r="Z58" s="38"/>
      <c r="AA58" s="84">
        <v>936</v>
      </c>
      <c r="AB58" s="59">
        <f t="shared" si="44"/>
        <v>0</v>
      </c>
      <c r="AC58" s="84"/>
      <c r="AD58" s="85"/>
      <c r="AE58" s="85"/>
      <c r="AF58" s="78"/>
      <c r="AG58" s="78"/>
      <c r="AH58" s="79"/>
      <c r="AI58" s="86"/>
      <c r="AJ58" s="78"/>
      <c r="AK58" s="78"/>
      <c r="AL58" s="78"/>
      <c r="AM58" s="79"/>
      <c r="AN58" s="80"/>
      <c r="AO58" s="94"/>
      <c r="AP58" s="94"/>
      <c r="AQ58" s="94"/>
      <c r="AR58" s="101"/>
      <c r="AS58" s="91"/>
      <c r="AT58" s="101"/>
      <c r="AU58" s="101"/>
      <c r="AV58" s="101"/>
      <c r="AW58" s="94"/>
      <c r="AX58" s="94"/>
      <c r="AY58" s="94"/>
      <c r="AZ58" s="94"/>
      <c r="BA58" s="94"/>
      <c r="BB58" s="94"/>
      <c r="BC58" s="94"/>
      <c r="BD58" s="101"/>
      <c r="BE58" s="101"/>
      <c r="BF58" s="101"/>
      <c r="BG58" s="101"/>
      <c r="BH58" s="101"/>
      <c r="BI58" s="101"/>
      <c r="BJ58" s="101"/>
      <c r="BK58" s="101"/>
      <c r="BL58" s="101"/>
      <c r="BM58" s="104">
        <f t="shared" si="45"/>
        <v>117</v>
      </c>
      <c r="BN58" s="104">
        <f t="shared" si="46"/>
        <v>117</v>
      </c>
      <c r="BO58" s="105">
        <f t="shared" si="47"/>
        <v>107.25</v>
      </c>
      <c r="BP58" s="105">
        <f t="shared" si="48"/>
        <v>9.75</v>
      </c>
      <c r="BQ58" s="104">
        <f t="shared" si="49"/>
        <v>117</v>
      </c>
      <c r="BR58" s="104">
        <f t="shared" si="50"/>
        <v>117</v>
      </c>
      <c r="BS58" s="104">
        <f t="shared" si="51"/>
        <v>117</v>
      </c>
      <c r="BT58" s="104">
        <f t="shared" si="52"/>
        <v>117</v>
      </c>
      <c r="BU58" s="105">
        <f t="shared" si="53"/>
        <v>107.25</v>
      </c>
      <c r="BV58" s="105">
        <f t="shared" si="54"/>
        <v>9.75</v>
      </c>
      <c r="BW58" s="38"/>
      <c r="BX58" s="38"/>
      <c r="BY58" s="38"/>
      <c r="BZ58" s="38"/>
      <c r="CA58" s="38"/>
      <c r="CB58" s="38"/>
      <c r="CC58" s="38"/>
      <c r="CD58" s="38"/>
      <c r="CE58" s="38"/>
      <c r="CF58" s="38"/>
    </row>
    <row r="59" s="5" customFormat="1" ht="31" customHeight="1" spans="1:84">
      <c r="A59" s="35">
        <v>44691</v>
      </c>
      <c r="B59" s="24" t="s">
        <v>681</v>
      </c>
      <c r="C59" s="36" t="s">
        <v>118</v>
      </c>
      <c r="D59" s="26">
        <v>4500078634</v>
      </c>
      <c r="E59" s="25" t="s">
        <v>706</v>
      </c>
      <c r="F59" s="25"/>
      <c r="G59" s="37" t="s">
        <v>589</v>
      </c>
      <c r="H59" s="14" t="s">
        <v>588</v>
      </c>
      <c r="I59" s="38">
        <v>1440</v>
      </c>
      <c r="J59" s="3">
        <v>24</v>
      </c>
      <c r="K59" s="3">
        <v>60</v>
      </c>
      <c r="L59" s="6">
        <f>I59/J59/K59</f>
        <v>1</v>
      </c>
      <c r="M59" s="53" t="s">
        <v>684</v>
      </c>
      <c r="N59" s="53" t="s">
        <v>707</v>
      </c>
      <c r="O59" s="54" t="s">
        <v>708</v>
      </c>
      <c r="P59" s="54"/>
      <c r="Q59" s="54"/>
      <c r="R59" s="54" t="s">
        <v>686</v>
      </c>
      <c r="S59" s="54" t="s">
        <v>125</v>
      </c>
      <c r="T59" s="54">
        <v>44707</v>
      </c>
      <c r="U59" s="71" t="s">
        <v>687</v>
      </c>
      <c r="V59" s="66" t="s">
        <v>709</v>
      </c>
      <c r="W59" s="67">
        <v>1843.9387</v>
      </c>
      <c r="X59" s="46">
        <f t="shared" ref="X59:X65" si="60">W59*L59</f>
        <v>1843.9387</v>
      </c>
      <c r="Y59" s="38"/>
      <c r="Z59" s="38"/>
      <c r="AA59" s="84">
        <v>1440</v>
      </c>
      <c r="AB59" s="59">
        <f t="shared" si="44"/>
        <v>0</v>
      </c>
      <c r="AC59" s="84"/>
      <c r="AD59" s="85"/>
      <c r="AE59" s="78"/>
      <c r="AF59" s="78"/>
      <c r="AG59" s="78"/>
      <c r="AH59" s="79"/>
      <c r="AI59" s="78"/>
      <c r="AJ59" s="78"/>
      <c r="AK59" s="78"/>
      <c r="AL59" s="78"/>
      <c r="AM59" s="79"/>
      <c r="AN59" s="80"/>
      <c r="AO59" s="80"/>
      <c r="AP59" s="94"/>
      <c r="AQ59" s="94"/>
      <c r="AR59" s="101"/>
      <c r="AS59" s="91"/>
      <c r="AT59" s="101"/>
      <c r="AU59" s="101"/>
      <c r="AV59" s="101"/>
      <c r="AW59" s="94"/>
      <c r="AX59" s="94"/>
      <c r="AY59" s="94"/>
      <c r="AZ59" s="94"/>
      <c r="BA59" s="94"/>
      <c r="BB59" s="94"/>
      <c r="BC59" s="94"/>
      <c r="BD59" s="101"/>
      <c r="BE59" s="101"/>
      <c r="BF59" s="101"/>
      <c r="BG59" s="101"/>
      <c r="BH59" s="101"/>
      <c r="BI59" s="101"/>
      <c r="BJ59" s="101"/>
      <c r="BK59" s="101"/>
      <c r="BL59" s="101"/>
      <c r="BM59" s="104">
        <f t="shared" si="45"/>
        <v>180</v>
      </c>
      <c r="BN59" s="104">
        <f t="shared" si="46"/>
        <v>180</v>
      </c>
      <c r="BO59" s="105">
        <f t="shared" si="47"/>
        <v>165</v>
      </c>
      <c r="BP59" s="105">
        <f t="shared" si="48"/>
        <v>15</v>
      </c>
      <c r="BQ59" s="104">
        <f t="shared" si="49"/>
        <v>180</v>
      </c>
      <c r="BR59" s="104">
        <f t="shared" si="50"/>
        <v>180</v>
      </c>
      <c r="BS59" s="104">
        <f t="shared" si="51"/>
        <v>180</v>
      </c>
      <c r="BT59" s="104">
        <f t="shared" si="52"/>
        <v>180</v>
      </c>
      <c r="BU59" s="105">
        <f t="shared" si="53"/>
        <v>165</v>
      </c>
      <c r="BV59" s="105">
        <f t="shared" si="54"/>
        <v>15</v>
      </c>
      <c r="BW59" s="38"/>
      <c r="BX59" s="38"/>
      <c r="BY59" s="38"/>
      <c r="BZ59" s="38"/>
      <c r="CA59" s="38"/>
      <c r="CB59" s="38"/>
      <c r="CC59" s="38"/>
      <c r="CD59" s="38"/>
      <c r="CE59" s="38"/>
      <c r="CF59" s="38"/>
    </row>
    <row r="60" s="3" customFormat="1" ht="30" customHeight="1" spans="1:67">
      <c r="A60" s="13">
        <v>44798</v>
      </c>
      <c r="B60" s="14" t="s">
        <v>681</v>
      </c>
      <c r="C60" s="42" t="s">
        <v>118</v>
      </c>
      <c r="D60" s="16">
        <v>4500085499</v>
      </c>
      <c r="E60" s="15" t="s">
        <v>710</v>
      </c>
      <c r="F60" s="43" t="s">
        <v>711</v>
      </c>
      <c r="G60" s="37" t="s">
        <v>712</v>
      </c>
      <c r="H60" s="14" t="s">
        <v>713</v>
      </c>
      <c r="I60" s="38">
        <v>1440</v>
      </c>
      <c r="J60" s="3">
        <v>0</v>
      </c>
      <c r="K60" s="3">
        <v>1440</v>
      </c>
      <c r="L60" s="3">
        <f t="shared" si="59"/>
        <v>1</v>
      </c>
      <c r="M60" s="53">
        <v>44868</v>
      </c>
      <c r="N60" s="52" t="s">
        <v>714</v>
      </c>
      <c r="O60" s="48"/>
      <c r="P60" s="48"/>
      <c r="Q60" s="48"/>
      <c r="R60" s="48">
        <v>44810</v>
      </c>
      <c r="S60" s="48" t="s">
        <v>125</v>
      </c>
      <c r="T60" s="72">
        <v>44817</v>
      </c>
      <c r="U60" s="60" t="s">
        <v>715</v>
      </c>
      <c r="V60" s="73" t="s">
        <v>716</v>
      </c>
      <c r="W60" s="45">
        <v>1616.8202</v>
      </c>
      <c r="X60" s="46">
        <f t="shared" si="60"/>
        <v>1616.8202</v>
      </c>
      <c r="Y60" s="17"/>
      <c r="Z60" s="17"/>
      <c r="AA60" s="59"/>
      <c r="AB60" s="59">
        <f t="shared" si="44"/>
        <v>-1440</v>
      </c>
      <c r="AC60" s="47"/>
      <c r="AD60" s="78">
        <f t="shared" ref="AD60:AD66" si="61">I60</f>
        <v>1440</v>
      </c>
      <c r="AE60" s="78"/>
      <c r="AF60" s="79"/>
      <c r="AG60" s="79">
        <f t="shared" ref="AG60:AG69" si="62">I60</f>
        <v>1440</v>
      </c>
      <c r="AH60" s="78"/>
      <c r="AI60" s="79"/>
      <c r="AJ60" s="79">
        <f t="shared" ref="AJ60:AJ68" si="63">I60</f>
        <v>1440</v>
      </c>
      <c r="AK60" s="80"/>
      <c r="AL60" s="91"/>
      <c r="AM60" s="91">
        <f t="shared" ref="AM60:AM66" si="64">I60/24</f>
        <v>60</v>
      </c>
      <c r="AN60" s="91"/>
      <c r="AO60" s="80"/>
      <c r="AP60" s="80"/>
      <c r="AQ60" s="80"/>
      <c r="AR60" s="80"/>
      <c r="AS60" s="91"/>
      <c r="AT60" s="91"/>
      <c r="AU60" s="91"/>
      <c r="AV60" s="91"/>
      <c r="AW60" s="91"/>
      <c r="AX60" s="91"/>
      <c r="AY60" s="107" t="e">
        <f>I60*#REF!</f>
        <v>#REF!</v>
      </c>
      <c r="AZ60" s="107" t="e">
        <f>I60*#REF!</f>
        <v>#REF!</v>
      </c>
      <c r="BA60" s="107" t="e">
        <f>I60*#REF!</f>
        <v>#REF!</v>
      </c>
      <c r="BB60" s="107" t="e">
        <f>I60*#REF!</f>
        <v>#REF!</v>
      </c>
      <c r="BC60" s="107" t="e">
        <f>I60*#REF!</f>
        <v>#REF!</v>
      </c>
      <c r="BD60" s="107" t="e">
        <f>I60*#REF!</f>
        <v>#REF!</v>
      </c>
      <c r="BE60" s="107" t="e">
        <f>I60*#REF!</f>
        <v>#REF!</v>
      </c>
      <c r="BF60" s="107" t="e">
        <f>I60*#REF!</f>
        <v>#REF!</v>
      </c>
      <c r="BG60" s="107" t="e">
        <f>I60*#REF!</f>
        <v>#REF!</v>
      </c>
      <c r="BH60" s="107" t="e">
        <f>I60*#REF!</f>
        <v>#REF!</v>
      </c>
      <c r="BI60" s="107" t="e">
        <f>I60*#REF!</f>
        <v>#REF!</v>
      </c>
      <c r="BJ60" s="107" t="e">
        <f>I60*#REF!</f>
        <v>#REF!</v>
      </c>
      <c r="BK60" s="107" t="e">
        <f>I60*#REF!</f>
        <v>#REF!</v>
      </c>
      <c r="BL60" s="8"/>
      <c r="BM60" s="8"/>
      <c r="BN60" s="8"/>
      <c r="BO60" s="114"/>
    </row>
    <row r="61" s="3" customFormat="1" ht="30" customHeight="1" spans="1:67">
      <c r="A61" s="13">
        <v>44798</v>
      </c>
      <c r="B61" s="14" t="s">
        <v>681</v>
      </c>
      <c r="C61" s="42" t="s">
        <v>118</v>
      </c>
      <c r="D61" s="16">
        <v>4500085500</v>
      </c>
      <c r="E61" s="15" t="s">
        <v>717</v>
      </c>
      <c r="F61" s="25" t="s">
        <v>718</v>
      </c>
      <c r="G61" s="37" t="s">
        <v>712</v>
      </c>
      <c r="H61" s="14" t="s">
        <v>713</v>
      </c>
      <c r="I61" s="38">
        <v>2880</v>
      </c>
      <c r="J61" s="3">
        <v>0</v>
      </c>
      <c r="K61" s="3">
        <v>1440</v>
      </c>
      <c r="L61" s="3">
        <f t="shared" si="59"/>
        <v>2</v>
      </c>
      <c r="M61" s="53">
        <v>44873</v>
      </c>
      <c r="N61" s="52" t="s">
        <v>714</v>
      </c>
      <c r="O61" s="48"/>
      <c r="P61" s="48"/>
      <c r="Q61" s="48"/>
      <c r="R61" s="48">
        <v>44810</v>
      </c>
      <c r="S61" s="48" t="s">
        <v>125</v>
      </c>
      <c r="T61" s="74">
        <v>44817</v>
      </c>
      <c r="U61" s="60" t="s">
        <v>715</v>
      </c>
      <c r="V61" s="73" t="s">
        <v>716</v>
      </c>
      <c r="W61" s="45">
        <v>1616.8202</v>
      </c>
      <c r="X61" s="46">
        <f t="shared" si="60"/>
        <v>3233.6404</v>
      </c>
      <c r="Y61" s="17"/>
      <c r="Z61" s="17"/>
      <c r="AA61" s="59"/>
      <c r="AB61" s="59">
        <f t="shared" si="44"/>
        <v>-2880</v>
      </c>
      <c r="AC61" s="47"/>
      <c r="AD61" s="78">
        <f t="shared" si="61"/>
        <v>2880</v>
      </c>
      <c r="AE61" s="78"/>
      <c r="AF61" s="79"/>
      <c r="AG61" s="79">
        <f t="shared" si="62"/>
        <v>2880</v>
      </c>
      <c r="AH61" s="78"/>
      <c r="AI61" s="79"/>
      <c r="AJ61" s="79">
        <f t="shared" si="63"/>
        <v>2880</v>
      </c>
      <c r="AK61" s="80"/>
      <c r="AL61" s="91"/>
      <c r="AM61" s="91">
        <f t="shared" si="64"/>
        <v>120</v>
      </c>
      <c r="AN61" s="91"/>
      <c r="AO61" s="80"/>
      <c r="AP61" s="80"/>
      <c r="AQ61" s="80"/>
      <c r="AR61" s="80"/>
      <c r="AS61" s="91"/>
      <c r="AT61" s="91"/>
      <c r="AU61" s="91"/>
      <c r="AV61" s="91"/>
      <c r="AW61" s="91"/>
      <c r="AX61" s="91"/>
      <c r="AY61" s="107" t="e">
        <f>I61*#REF!</f>
        <v>#REF!</v>
      </c>
      <c r="AZ61" s="107" t="e">
        <f>I61*#REF!</f>
        <v>#REF!</v>
      </c>
      <c r="BA61" s="107" t="e">
        <f>I61*#REF!</f>
        <v>#REF!</v>
      </c>
      <c r="BB61" s="107" t="e">
        <f>I61*#REF!</f>
        <v>#REF!</v>
      </c>
      <c r="BC61" s="107" t="e">
        <f>I61*#REF!</f>
        <v>#REF!</v>
      </c>
      <c r="BD61" s="107" t="e">
        <f>I61*#REF!</f>
        <v>#REF!</v>
      </c>
      <c r="BE61" s="107" t="e">
        <f>I61*#REF!</f>
        <v>#REF!</v>
      </c>
      <c r="BF61" s="107" t="e">
        <f>I61*#REF!</f>
        <v>#REF!</v>
      </c>
      <c r="BG61" s="107" t="e">
        <f>I61*#REF!</f>
        <v>#REF!</v>
      </c>
      <c r="BH61" s="107" t="e">
        <f>I61*#REF!</f>
        <v>#REF!</v>
      </c>
      <c r="BI61" s="107" t="e">
        <f>I61*#REF!</f>
        <v>#REF!</v>
      </c>
      <c r="BJ61" s="107" t="e">
        <f>I61*#REF!</f>
        <v>#REF!</v>
      </c>
      <c r="BK61" s="107" t="e">
        <f>I61*#REF!</f>
        <v>#REF!</v>
      </c>
      <c r="BL61" s="8"/>
      <c r="BM61" s="8"/>
      <c r="BN61" s="8"/>
      <c r="BO61" s="114"/>
    </row>
    <row r="62" s="3" customFormat="1" ht="30" customHeight="1" spans="1:67">
      <c r="A62" s="13">
        <v>44798</v>
      </c>
      <c r="B62" s="14" t="s">
        <v>681</v>
      </c>
      <c r="C62" s="42" t="s">
        <v>118</v>
      </c>
      <c r="D62" s="16">
        <v>4500085501</v>
      </c>
      <c r="E62" s="15" t="s">
        <v>719</v>
      </c>
      <c r="F62" s="25" t="s">
        <v>718</v>
      </c>
      <c r="G62" s="37" t="s">
        <v>712</v>
      </c>
      <c r="H62" s="14" t="s">
        <v>713</v>
      </c>
      <c r="I62" s="38">
        <v>1440</v>
      </c>
      <c r="J62" s="3">
        <v>0</v>
      </c>
      <c r="K62" s="3">
        <v>1440</v>
      </c>
      <c r="L62" s="3">
        <f t="shared" si="59"/>
        <v>1</v>
      </c>
      <c r="M62" s="53">
        <v>44877</v>
      </c>
      <c r="N62" s="52" t="s">
        <v>714</v>
      </c>
      <c r="O62" s="48"/>
      <c r="P62" s="48"/>
      <c r="Q62" s="48"/>
      <c r="R62" s="48">
        <v>44810</v>
      </c>
      <c r="S62" s="48" t="s">
        <v>125</v>
      </c>
      <c r="T62" s="48">
        <v>44817</v>
      </c>
      <c r="U62" s="60" t="s">
        <v>715</v>
      </c>
      <c r="V62" s="73" t="s">
        <v>716</v>
      </c>
      <c r="W62" s="45">
        <v>1616.8202</v>
      </c>
      <c r="X62" s="46">
        <f t="shared" si="60"/>
        <v>1616.8202</v>
      </c>
      <c r="Y62" s="17"/>
      <c r="Z62" s="17"/>
      <c r="AA62" s="59"/>
      <c r="AB62" s="59">
        <f t="shared" si="44"/>
        <v>-1440</v>
      </c>
      <c r="AC62" s="47"/>
      <c r="AD62" s="78">
        <f t="shared" si="61"/>
        <v>1440</v>
      </c>
      <c r="AE62" s="78"/>
      <c r="AF62" s="79"/>
      <c r="AG62" s="79">
        <f t="shared" si="62"/>
        <v>1440</v>
      </c>
      <c r="AH62" s="78"/>
      <c r="AI62" s="79"/>
      <c r="AJ62" s="79">
        <f t="shared" si="63"/>
        <v>1440</v>
      </c>
      <c r="AK62" s="80"/>
      <c r="AL62" s="91"/>
      <c r="AM62" s="91">
        <f t="shared" si="64"/>
        <v>60</v>
      </c>
      <c r="AN62" s="91"/>
      <c r="AO62" s="80"/>
      <c r="AP62" s="80"/>
      <c r="AQ62" s="80"/>
      <c r="AR62" s="80"/>
      <c r="AS62" s="91"/>
      <c r="AT62" s="91"/>
      <c r="AU62" s="91"/>
      <c r="AV62" s="91"/>
      <c r="AW62" s="91"/>
      <c r="AX62" s="91"/>
      <c r="AY62" s="107" t="e">
        <f>I62*#REF!</f>
        <v>#REF!</v>
      </c>
      <c r="AZ62" s="107" t="e">
        <f>I62*#REF!</f>
        <v>#REF!</v>
      </c>
      <c r="BA62" s="107" t="e">
        <f>I62*#REF!</f>
        <v>#REF!</v>
      </c>
      <c r="BB62" s="107" t="e">
        <f>I62*#REF!</f>
        <v>#REF!</v>
      </c>
      <c r="BC62" s="107" t="e">
        <f>I62*#REF!</f>
        <v>#REF!</v>
      </c>
      <c r="BD62" s="107" t="e">
        <f>I62*#REF!</f>
        <v>#REF!</v>
      </c>
      <c r="BE62" s="107" t="e">
        <f>I62*#REF!</f>
        <v>#REF!</v>
      </c>
      <c r="BF62" s="107" t="e">
        <f>I62*#REF!</f>
        <v>#REF!</v>
      </c>
      <c r="BG62" s="107" t="e">
        <f>I62*#REF!</f>
        <v>#REF!</v>
      </c>
      <c r="BH62" s="107" t="e">
        <f>I62*#REF!</f>
        <v>#REF!</v>
      </c>
      <c r="BI62" s="107" t="e">
        <f>I62*#REF!</f>
        <v>#REF!</v>
      </c>
      <c r="BJ62" s="107" t="e">
        <f>I62*#REF!</f>
        <v>#REF!</v>
      </c>
      <c r="BK62" s="107" t="e">
        <f>I62*#REF!</f>
        <v>#REF!</v>
      </c>
      <c r="BL62" s="8"/>
      <c r="BM62" s="8"/>
      <c r="BN62" s="8"/>
      <c r="BO62" s="114"/>
    </row>
    <row r="63" s="3" customFormat="1" ht="30" customHeight="1" spans="1:67">
      <c r="A63" s="13">
        <v>44798</v>
      </c>
      <c r="B63" s="14" t="s">
        <v>681</v>
      </c>
      <c r="C63" s="42" t="s">
        <v>118</v>
      </c>
      <c r="D63" s="16">
        <v>4500085502</v>
      </c>
      <c r="E63" s="15" t="s">
        <v>720</v>
      </c>
      <c r="F63" s="25" t="s">
        <v>721</v>
      </c>
      <c r="G63" s="37" t="s">
        <v>712</v>
      </c>
      <c r="H63" s="14" t="s">
        <v>713</v>
      </c>
      <c r="I63" s="38">
        <v>1440</v>
      </c>
      <c r="J63" s="3">
        <v>0</v>
      </c>
      <c r="K63" s="3">
        <v>1440</v>
      </c>
      <c r="L63" s="3">
        <f t="shared" si="59"/>
        <v>1</v>
      </c>
      <c r="M63" s="53">
        <v>44880</v>
      </c>
      <c r="N63" s="52" t="s">
        <v>714</v>
      </c>
      <c r="O63" s="48"/>
      <c r="P63" s="48"/>
      <c r="Q63" s="48"/>
      <c r="R63" s="48">
        <v>44810</v>
      </c>
      <c r="S63" s="48" t="s">
        <v>125</v>
      </c>
      <c r="T63" s="48">
        <v>44817</v>
      </c>
      <c r="U63" s="60" t="s">
        <v>715</v>
      </c>
      <c r="V63" s="73" t="s">
        <v>716</v>
      </c>
      <c r="W63" s="45">
        <v>1616.8202</v>
      </c>
      <c r="X63" s="46">
        <f t="shared" si="60"/>
        <v>1616.8202</v>
      </c>
      <c r="Y63" s="17"/>
      <c r="Z63" s="17"/>
      <c r="AA63" s="59"/>
      <c r="AB63" s="59">
        <f t="shared" si="44"/>
        <v>-1440</v>
      </c>
      <c r="AC63" s="47"/>
      <c r="AD63" s="78">
        <f t="shared" si="61"/>
        <v>1440</v>
      </c>
      <c r="AE63" s="78"/>
      <c r="AF63" s="79"/>
      <c r="AG63" s="79">
        <f t="shared" si="62"/>
        <v>1440</v>
      </c>
      <c r="AH63" s="78"/>
      <c r="AI63" s="79"/>
      <c r="AJ63" s="79">
        <f t="shared" si="63"/>
        <v>1440</v>
      </c>
      <c r="AK63" s="80"/>
      <c r="AL63" s="91"/>
      <c r="AM63" s="91">
        <f t="shared" si="64"/>
        <v>60</v>
      </c>
      <c r="AN63" s="91"/>
      <c r="AO63" s="80"/>
      <c r="AP63" s="80"/>
      <c r="AQ63" s="80"/>
      <c r="AR63" s="80"/>
      <c r="AS63" s="91"/>
      <c r="AT63" s="91"/>
      <c r="AU63" s="91"/>
      <c r="AV63" s="91"/>
      <c r="AW63" s="91"/>
      <c r="AX63" s="91"/>
      <c r="AY63" s="107" t="e">
        <f>I63*#REF!</f>
        <v>#REF!</v>
      </c>
      <c r="AZ63" s="107" t="e">
        <f>I63*#REF!</f>
        <v>#REF!</v>
      </c>
      <c r="BA63" s="107" t="e">
        <f>I63*#REF!</f>
        <v>#REF!</v>
      </c>
      <c r="BB63" s="107" t="e">
        <f>I63*#REF!</f>
        <v>#REF!</v>
      </c>
      <c r="BC63" s="107" t="e">
        <f>I63*#REF!</f>
        <v>#REF!</v>
      </c>
      <c r="BD63" s="107" t="e">
        <f>I63*#REF!</f>
        <v>#REF!</v>
      </c>
      <c r="BE63" s="107" t="e">
        <f>I63*#REF!</f>
        <v>#REF!</v>
      </c>
      <c r="BF63" s="107" t="e">
        <f>I63*#REF!</f>
        <v>#REF!</v>
      </c>
      <c r="BG63" s="107" t="e">
        <f>I63*#REF!</f>
        <v>#REF!</v>
      </c>
      <c r="BH63" s="107" t="e">
        <f>I63*#REF!</f>
        <v>#REF!</v>
      </c>
      <c r="BI63" s="107" t="e">
        <f>I63*#REF!</f>
        <v>#REF!</v>
      </c>
      <c r="BJ63" s="107" t="e">
        <f>I63*#REF!</f>
        <v>#REF!</v>
      </c>
      <c r="BK63" s="107" t="e">
        <f>I63*#REF!</f>
        <v>#REF!</v>
      </c>
      <c r="BL63" s="8"/>
      <c r="BM63" s="8"/>
      <c r="BN63" s="8"/>
      <c r="BO63" s="114"/>
    </row>
    <row r="64" s="3" customFormat="1" ht="30" customHeight="1" spans="1:67">
      <c r="A64" s="13">
        <v>44798</v>
      </c>
      <c r="B64" s="14" t="s">
        <v>681</v>
      </c>
      <c r="C64" s="42" t="s">
        <v>118</v>
      </c>
      <c r="D64" s="16">
        <v>4500085503</v>
      </c>
      <c r="E64" s="15" t="s">
        <v>722</v>
      </c>
      <c r="F64" s="25" t="s">
        <v>718</v>
      </c>
      <c r="G64" s="37" t="s">
        <v>712</v>
      </c>
      <c r="H64" s="14" t="s">
        <v>713</v>
      </c>
      <c r="I64" s="38">
        <v>1440</v>
      </c>
      <c r="J64" s="3">
        <v>0</v>
      </c>
      <c r="K64" s="3">
        <v>1440</v>
      </c>
      <c r="L64" s="3">
        <f t="shared" si="59"/>
        <v>1</v>
      </c>
      <c r="M64" s="53">
        <v>44882</v>
      </c>
      <c r="N64" s="52" t="s">
        <v>714</v>
      </c>
      <c r="O64" s="48"/>
      <c r="P64" s="48"/>
      <c r="Q64" s="48"/>
      <c r="R64" s="48">
        <v>44810</v>
      </c>
      <c r="S64" s="48" t="s">
        <v>125</v>
      </c>
      <c r="T64" s="48">
        <v>44817</v>
      </c>
      <c r="U64" s="60" t="s">
        <v>715</v>
      </c>
      <c r="V64" s="73" t="s">
        <v>716</v>
      </c>
      <c r="W64" s="45">
        <v>1616.8202</v>
      </c>
      <c r="X64" s="46">
        <f t="shared" si="60"/>
        <v>1616.8202</v>
      </c>
      <c r="Y64" s="17"/>
      <c r="Z64" s="17"/>
      <c r="AA64" s="59"/>
      <c r="AB64" s="59">
        <f t="shared" si="44"/>
        <v>-1440</v>
      </c>
      <c r="AC64" s="47"/>
      <c r="AD64" s="78">
        <f t="shared" si="61"/>
        <v>1440</v>
      </c>
      <c r="AE64" s="78"/>
      <c r="AF64" s="79"/>
      <c r="AG64" s="79">
        <f t="shared" si="62"/>
        <v>1440</v>
      </c>
      <c r="AH64" s="78"/>
      <c r="AI64" s="79"/>
      <c r="AJ64" s="79">
        <f t="shared" si="63"/>
        <v>1440</v>
      </c>
      <c r="AK64" s="80"/>
      <c r="AL64" s="91"/>
      <c r="AM64" s="91">
        <f t="shared" si="64"/>
        <v>60</v>
      </c>
      <c r="AN64" s="91"/>
      <c r="AO64" s="80"/>
      <c r="AP64" s="80"/>
      <c r="AQ64" s="80"/>
      <c r="AR64" s="80"/>
      <c r="AS64" s="91"/>
      <c r="AT64" s="91"/>
      <c r="AU64" s="91"/>
      <c r="AV64" s="91"/>
      <c r="AW64" s="91"/>
      <c r="AX64" s="91"/>
      <c r="AY64" s="107" t="e">
        <f>I64*#REF!</f>
        <v>#REF!</v>
      </c>
      <c r="AZ64" s="107" t="e">
        <f>I64*#REF!</f>
        <v>#REF!</v>
      </c>
      <c r="BA64" s="107" t="e">
        <f>I64*#REF!</f>
        <v>#REF!</v>
      </c>
      <c r="BB64" s="107" t="e">
        <f>I64*#REF!</f>
        <v>#REF!</v>
      </c>
      <c r="BC64" s="107" t="e">
        <f>I64*#REF!</f>
        <v>#REF!</v>
      </c>
      <c r="BD64" s="107" t="e">
        <f>I64*#REF!</f>
        <v>#REF!</v>
      </c>
      <c r="BE64" s="107" t="e">
        <f>I64*#REF!</f>
        <v>#REF!</v>
      </c>
      <c r="BF64" s="107" t="e">
        <f>I64*#REF!</f>
        <v>#REF!</v>
      </c>
      <c r="BG64" s="107" t="e">
        <f>I64*#REF!</f>
        <v>#REF!</v>
      </c>
      <c r="BH64" s="107" t="e">
        <f>I64*#REF!</f>
        <v>#REF!</v>
      </c>
      <c r="BI64" s="107" t="e">
        <f>I64*#REF!</f>
        <v>#REF!</v>
      </c>
      <c r="BJ64" s="107" t="e">
        <f>I64*#REF!</f>
        <v>#REF!</v>
      </c>
      <c r="BK64" s="107" t="e">
        <f>I64*#REF!</f>
        <v>#REF!</v>
      </c>
      <c r="BL64" s="8"/>
      <c r="BM64" s="8"/>
      <c r="BN64" s="8"/>
      <c r="BO64" s="114"/>
    </row>
    <row r="65" s="3" customFormat="1" ht="30" customHeight="1" spans="1:67">
      <c r="A65" s="13">
        <v>44798</v>
      </c>
      <c r="B65" s="14" t="s">
        <v>681</v>
      </c>
      <c r="C65" s="42" t="s">
        <v>118</v>
      </c>
      <c r="D65" s="16">
        <v>4500085503</v>
      </c>
      <c r="E65" s="15" t="s">
        <v>723</v>
      </c>
      <c r="F65" s="25" t="s">
        <v>718</v>
      </c>
      <c r="G65" s="37" t="s">
        <v>712</v>
      </c>
      <c r="H65" s="14" t="s">
        <v>713</v>
      </c>
      <c r="I65" s="38">
        <v>1440</v>
      </c>
      <c r="J65" s="3">
        <v>0</v>
      </c>
      <c r="K65" s="3">
        <v>1440</v>
      </c>
      <c r="L65" s="3">
        <f t="shared" si="59"/>
        <v>1</v>
      </c>
      <c r="M65" s="53">
        <v>44882</v>
      </c>
      <c r="N65" s="52" t="s">
        <v>714</v>
      </c>
      <c r="O65" s="48"/>
      <c r="P65" s="48"/>
      <c r="Q65" s="48"/>
      <c r="R65" s="48">
        <v>44810</v>
      </c>
      <c r="S65" s="48" t="s">
        <v>125</v>
      </c>
      <c r="T65" s="48">
        <v>44817</v>
      </c>
      <c r="U65" s="60" t="s">
        <v>715</v>
      </c>
      <c r="V65" s="73" t="s">
        <v>716</v>
      </c>
      <c r="W65" s="45">
        <v>1616.8202</v>
      </c>
      <c r="X65" s="46">
        <f t="shared" si="60"/>
        <v>1616.8202</v>
      </c>
      <c r="Y65" s="17"/>
      <c r="Z65" s="17"/>
      <c r="AA65" s="59"/>
      <c r="AB65" s="59">
        <f t="shared" si="44"/>
        <v>-1440</v>
      </c>
      <c r="AC65" s="47"/>
      <c r="AD65" s="78">
        <f t="shared" si="61"/>
        <v>1440</v>
      </c>
      <c r="AE65" s="78"/>
      <c r="AF65" s="79"/>
      <c r="AG65" s="79">
        <f t="shared" si="62"/>
        <v>1440</v>
      </c>
      <c r="AH65" s="78"/>
      <c r="AI65" s="79"/>
      <c r="AJ65" s="79">
        <f t="shared" si="63"/>
        <v>1440</v>
      </c>
      <c r="AK65" s="80"/>
      <c r="AL65" s="91"/>
      <c r="AM65" s="91">
        <f t="shared" si="64"/>
        <v>60</v>
      </c>
      <c r="AN65" s="91"/>
      <c r="AO65" s="80"/>
      <c r="AP65" s="80"/>
      <c r="AQ65" s="80"/>
      <c r="AR65" s="80"/>
      <c r="AS65" s="91"/>
      <c r="AT65" s="91"/>
      <c r="AU65" s="91"/>
      <c r="AV65" s="91"/>
      <c r="AW65" s="91"/>
      <c r="AX65" s="91"/>
      <c r="AY65" s="107" t="e">
        <f>I65*#REF!</f>
        <v>#REF!</v>
      </c>
      <c r="AZ65" s="107" t="e">
        <f>I65*#REF!</f>
        <v>#REF!</v>
      </c>
      <c r="BA65" s="107" t="e">
        <f>I65*#REF!</f>
        <v>#REF!</v>
      </c>
      <c r="BB65" s="107" t="e">
        <f>I65*#REF!</f>
        <v>#REF!</v>
      </c>
      <c r="BC65" s="107" t="e">
        <f>I65*#REF!</f>
        <v>#REF!</v>
      </c>
      <c r="BD65" s="107" t="e">
        <f>I65*#REF!</f>
        <v>#REF!</v>
      </c>
      <c r="BE65" s="107" t="e">
        <f>I65*#REF!</f>
        <v>#REF!</v>
      </c>
      <c r="BF65" s="107" t="e">
        <f>I65*#REF!</f>
        <v>#REF!</v>
      </c>
      <c r="BG65" s="107" t="e">
        <f>I65*#REF!</f>
        <v>#REF!</v>
      </c>
      <c r="BH65" s="107" t="e">
        <f>I65*#REF!</f>
        <v>#REF!</v>
      </c>
      <c r="BI65" s="107" t="e">
        <f>I65*#REF!</f>
        <v>#REF!</v>
      </c>
      <c r="BJ65" s="107" t="e">
        <f>I65*#REF!</f>
        <v>#REF!</v>
      </c>
      <c r="BK65" s="107" t="e">
        <f>I65*#REF!</f>
        <v>#REF!</v>
      </c>
      <c r="BL65" s="8"/>
      <c r="BM65" s="8"/>
      <c r="BN65" s="8"/>
      <c r="BO65" s="114"/>
    </row>
    <row r="66" s="3" customFormat="1" ht="30" customHeight="1" spans="1:67">
      <c r="A66" s="13">
        <v>44728</v>
      </c>
      <c r="B66" s="14" t="s">
        <v>724</v>
      </c>
      <c r="C66" s="42" t="s">
        <v>118</v>
      </c>
      <c r="D66" s="16">
        <v>4500081388</v>
      </c>
      <c r="E66" s="15" t="s">
        <v>725</v>
      </c>
      <c r="F66" s="25" t="s">
        <v>726</v>
      </c>
      <c r="G66" s="37" t="s">
        <v>727</v>
      </c>
      <c r="H66" s="14" t="s">
        <v>659</v>
      </c>
      <c r="I66" s="38">
        <v>8880</v>
      </c>
      <c r="J66" s="3">
        <v>0</v>
      </c>
      <c r="K66" s="3">
        <v>48</v>
      </c>
      <c r="L66" s="3">
        <f t="shared" si="59"/>
        <v>185</v>
      </c>
      <c r="M66" s="53" t="s">
        <v>728</v>
      </c>
      <c r="N66" s="53" t="s">
        <v>729</v>
      </c>
      <c r="O66" s="48" t="s">
        <v>660</v>
      </c>
      <c r="P66" s="48"/>
      <c r="Q66" s="48"/>
      <c r="R66" s="48">
        <v>44804</v>
      </c>
      <c r="S66" s="48" t="s">
        <v>75</v>
      </c>
      <c r="T66" s="48" t="s">
        <v>75</v>
      </c>
      <c r="U66" s="60" t="s">
        <v>730</v>
      </c>
      <c r="V66" s="73" t="s">
        <v>623</v>
      </c>
      <c r="W66" s="45">
        <v>1.48</v>
      </c>
      <c r="X66" s="46">
        <f t="shared" ref="X66:X68" si="65">W66*I66</f>
        <v>13142.4</v>
      </c>
      <c r="AA66" s="59"/>
      <c r="AB66" s="59">
        <f>AA66-AD66</f>
        <v>-8880</v>
      </c>
      <c r="AC66" s="47"/>
      <c r="AD66" s="78">
        <f t="shared" si="61"/>
        <v>8880</v>
      </c>
      <c r="AE66" s="78"/>
      <c r="AF66" s="78"/>
      <c r="AG66" s="78">
        <f t="shared" si="62"/>
        <v>8880</v>
      </c>
      <c r="AH66" s="78"/>
      <c r="AI66" s="80"/>
      <c r="AJ66" s="78">
        <f t="shared" si="63"/>
        <v>8880</v>
      </c>
      <c r="AK66" s="80"/>
      <c r="AL66" s="91"/>
      <c r="AM66" s="91">
        <f t="shared" si="64"/>
        <v>370</v>
      </c>
      <c r="AN66" s="91"/>
      <c r="AO66" s="80"/>
      <c r="AP66" s="80"/>
      <c r="AQ66" s="80"/>
      <c r="AR66" s="80"/>
      <c r="AS66" s="91"/>
      <c r="AT66" s="91"/>
      <c r="AU66" s="91"/>
      <c r="AV66" s="91"/>
      <c r="AW66" s="91"/>
      <c r="AX66" s="91"/>
      <c r="AY66" s="107" t="e">
        <f>I66*#REF!</f>
        <v>#REF!</v>
      </c>
      <c r="AZ66" s="107" t="e">
        <f>I66*#REF!</f>
        <v>#REF!</v>
      </c>
      <c r="BA66" s="107" t="e">
        <f>I66*#REF!</f>
        <v>#REF!</v>
      </c>
      <c r="BB66" s="107" t="e">
        <f>I66*#REF!</f>
        <v>#REF!</v>
      </c>
      <c r="BC66" s="107" t="e">
        <f>I66*#REF!</f>
        <v>#REF!</v>
      </c>
      <c r="BD66" s="107" t="e">
        <f>I66*#REF!</f>
        <v>#REF!</v>
      </c>
      <c r="BE66" s="107" t="e">
        <f>I66*#REF!</f>
        <v>#REF!</v>
      </c>
      <c r="BF66" s="107" t="e">
        <f>I66*#REF!</f>
        <v>#REF!</v>
      </c>
      <c r="BG66" s="107" t="e">
        <f>I66*#REF!</f>
        <v>#REF!</v>
      </c>
      <c r="BH66" s="107" t="e">
        <f>I66*#REF!</f>
        <v>#REF!</v>
      </c>
      <c r="BI66" s="107" t="e">
        <f>I66*#REF!</f>
        <v>#REF!</v>
      </c>
      <c r="BJ66" s="107" t="e">
        <f>I66*#REF!</f>
        <v>#REF!</v>
      </c>
      <c r="BK66" s="107" t="e">
        <f>I66*#REF!</f>
        <v>#REF!</v>
      </c>
      <c r="BL66" s="8"/>
      <c r="BM66" s="8"/>
      <c r="BN66" s="8"/>
      <c r="BO66" s="114"/>
    </row>
    <row r="67" s="3" customFormat="1" ht="30" customHeight="1" spans="1:67">
      <c r="A67" s="13">
        <v>44823</v>
      </c>
      <c r="B67" s="14" t="s">
        <v>731</v>
      </c>
      <c r="C67" s="42" t="s">
        <v>268</v>
      </c>
      <c r="D67" s="16">
        <v>4500086970</v>
      </c>
      <c r="E67" s="15" t="s">
        <v>732</v>
      </c>
      <c r="F67" s="25" t="s">
        <v>733</v>
      </c>
      <c r="G67" s="37" t="s">
        <v>658</v>
      </c>
      <c r="H67" s="14" t="s">
        <v>659</v>
      </c>
      <c r="I67" s="38">
        <v>336</v>
      </c>
      <c r="J67" s="3">
        <v>0</v>
      </c>
      <c r="K67" s="3">
        <v>24</v>
      </c>
      <c r="L67" s="3">
        <f t="shared" si="59"/>
        <v>14</v>
      </c>
      <c r="M67" s="53">
        <v>44915</v>
      </c>
      <c r="N67" s="53" t="s">
        <v>734</v>
      </c>
      <c r="O67" s="48"/>
      <c r="P67" s="48"/>
      <c r="Q67" s="48"/>
      <c r="R67" s="48">
        <v>44823</v>
      </c>
      <c r="S67" s="48" t="s">
        <v>75</v>
      </c>
      <c r="T67" s="48" t="s">
        <v>735</v>
      </c>
      <c r="U67" s="60" t="s">
        <v>736</v>
      </c>
      <c r="V67" s="73" t="s">
        <v>275</v>
      </c>
      <c r="W67" s="45">
        <v>1.48</v>
      </c>
      <c r="X67" s="46">
        <f t="shared" si="65"/>
        <v>497.28</v>
      </c>
      <c r="AA67" s="59"/>
      <c r="AB67" s="59"/>
      <c r="AC67" s="47"/>
      <c r="AD67" s="78"/>
      <c r="AE67" s="78">
        <f>I67</f>
        <v>336</v>
      </c>
      <c r="AF67" s="78"/>
      <c r="AG67" s="78">
        <f t="shared" si="62"/>
        <v>336</v>
      </c>
      <c r="AH67" s="78"/>
      <c r="AI67" s="80"/>
      <c r="AJ67" s="78">
        <f t="shared" si="63"/>
        <v>336</v>
      </c>
      <c r="AK67" s="80"/>
      <c r="AL67" s="91"/>
      <c r="AM67" s="91"/>
      <c r="AN67" s="91">
        <f>I67/24</f>
        <v>14</v>
      </c>
      <c r="AO67" s="80"/>
      <c r="AP67" s="80"/>
      <c r="AQ67" s="80"/>
      <c r="AR67" s="80"/>
      <c r="AS67" s="91"/>
      <c r="AT67" s="91"/>
      <c r="AU67" s="91"/>
      <c r="AV67" s="91"/>
      <c r="AW67" s="91"/>
      <c r="AX67" s="91"/>
      <c r="AY67" s="107" t="e">
        <f>I67*#REF!</f>
        <v>#REF!</v>
      </c>
      <c r="AZ67" s="107" t="e">
        <f>I67*#REF!</f>
        <v>#REF!</v>
      </c>
      <c r="BA67" s="107" t="e">
        <f>I67*#REF!</f>
        <v>#REF!</v>
      </c>
      <c r="BB67" s="107" t="e">
        <f>I67*#REF!</f>
        <v>#REF!</v>
      </c>
      <c r="BC67" s="107" t="e">
        <f>I67*#REF!</f>
        <v>#REF!</v>
      </c>
      <c r="BD67" s="107" t="e">
        <f>I67*#REF!</f>
        <v>#REF!</v>
      </c>
      <c r="BE67" s="107" t="e">
        <f>I67*#REF!</f>
        <v>#REF!</v>
      </c>
      <c r="BF67" s="107" t="e">
        <f>I67*#REF!</f>
        <v>#REF!</v>
      </c>
      <c r="BG67" s="107" t="e">
        <f>I67*#REF!</f>
        <v>#REF!</v>
      </c>
      <c r="BH67" s="107" t="e">
        <f>I67*#REF!</f>
        <v>#REF!</v>
      </c>
      <c r="BI67" s="107" t="e">
        <f>I67*#REF!</f>
        <v>#REF!</v>
      </c>
      <c r="BJ67" s="107" t="e">
        <f>I67*#REF!</f>
        <v>#REF!</v>
      </c>
      <c r="BK67" s="107" t="e">
        <f>I67*#REF!</f>
        <v>#REF!</v>
      </c>
      <c r="BL67" s="8"/>
      <c r="BM67" s="8"/>
      <c r="BN67" s="8"/>
      <c r="BO67" s="114"/>
    </row>
    <row r="68" s="3" customFormat="1" ht="30" customHeight="1" spans="1:67">
      <c r="A68" s="13">
        <v>44810</v>
      </c>
      <c r="B68" s="14" t="s">
        <v>731</v>
      </c>
      <c r="C68" s="42" t="s">
        <v>268</v>
      </c>
      <c r="D68" s="16">
        <v>4500085308</v>
      </c>
      <c r="E68" s="15" t="s">
        <v>737</v>
      </c>
      <c r="F68" s="25" t="s">
        <v>733</v>
      </c>
      <c r="G68" s="37" t="s">
        <v>658</v>
      </c>
      <c r="H68" s="14" t="s">
        <v>659</v>
      </c>
      <c r="I68" s="3">
        <v>456</v>
      </c>
      <c r="J68" s="3">
        <v>0</v>
      </c>
      <c r="K68" s="3">
        <v>24</v>
      </c>
      <c r="L68" s="3">
        <f t="shared" si="59"/>
        <v>19</v>
      </c>
      <c r="M68" s="53">
        <v>44882</v>
      </c>
      <c r="N68" s="53" t="s">
        <v>738</v>
      </c>
      <c r="O68" s="48"/>
      <c r="P68" s="48"/>
      <c r="Q68" s="48"/>
      <c r="R68" s="48">
        <v>44810</v>
      </c>
      <c r="S68" s="48" t="s">
        <v>75</v>
      </c>
      <c r="T68" s="48">
        <v>44848</v>
      </c>
      <c r="U68" s="60" t="s">
        <v>739</v>
      </c>
      <c r="V68" s="73" t="s">
        <v>275</v>
      </c>
      <c r="W68" s="45">
        <v>1.48</v>
      </c>
      <c r="X68" s="46">
        <f t="shared" si="65"/>
        <v>674.88</v>
      </c>
      <c r="Y68" s="17"/>
      <c r="Z68" s="17"/>
      <c r="AA68" s="59"/>
      <c r="AB68" s="59">
        <f>AA68-I68</f>
        <v>-456</v>
      </c>
      <c r="AC68" s="47"/>
      <c r="AD68" s="78"/>
      <c r="AE68" s="78">
        <f>I68</f>
        <v>456</v>
      </c>
      <c r="AF68" s="79"/>
      <c r="AG68" s="79">
        <f t="shared" si="62"/>
        <v>456</v>
      </c>
      <c r="AH68" s="78"/>
      <c r="AI68" s="79"/>
      <c r="AJ68" s="79">
        <f t="shared" si="63"/>
        <v>456</v>
      </c>
      <c r="AK68" s="80"/>
      <c r="AL68" s="91"/>
      <c r="AM68" s="91"/>
      <c r="AN68" s="91">
        <f>I68/24</f>
        <v>19</v>
      </c>
      <c r="AO68" s="80"/>
      <c r="AP68" s="80"/>
      <c r="AQ68" s="80"/>
      <c r="AR68" s="80"/>
      <c r="AS68" s="91"/>
      <c r="AT68" s="91"/>
      <c r="AU68" s="91"/>
      <c r="AV68" s="91"/>
      <c r="AW68" s="91"/>
      <c r="AX68" s="91"/>
      <c r="AY68" s="107" t="e">
        <f>I68*#REF!</f>
        <v>#REF!</v>
      </c>
      <c r="AZ68" s="107" t="e">
        <f>I68*#REF!</f>
        <v>#REF!</v>
      </c>
      <c r="BA68" s="107" t="e">
        <f>I68*#REF!</f>
        <v>#REF!</v>
      </c>
      <c r="BB68" s="107" t="e">
        <f>I68*#REF!</f>
        <v>#REF!</v>
      </c>
      <c r="BC68" s="107" t="e">
        <f>I68*#REF!</f>
        <v>#REF!</v>
      </c>
      <c r="BD68" s="107" t="e">
        <f>I68*#REF!</f>
        <v>#REF!</v>
      </c>
      <c r="BE68" s="107" t="e">
        <f>I68*#REF!</f>
        <v>#REF!</v>
      </c>
      <c r="BF68" s="107" t="e">
        <f>I68*#REF!</f>
        <v>#REF!</v>
      </c>
      <c r="BG68" s="107" t="e">
        <f>I68*#REF!</f>
        <v>#REF!</v>
      </c>
      <c r="BH68" s="107" t="e">
        <f>I68*#REF!</f>
        <v>#REF!</v>
      </c>
      <c r="BI68" s="107" t="e">
        <f>I68*#REF!</f>
        <v>#REF!</v>
      </c>
      <c r="BJ68" s="107" t="e">
        <f>I68*#REF!</f>
        <v>#REF!</v>
      </c>
      <c r="BK68" s="107" t="e">
        <f>I68*#REF!</f>
        <v>#REF!</v>
      </c>
      <c r="BL68" s="8"/>
      <c r="BM68" s="8"/>
      <c r="BN68" s="8"/>
      <c r="BO68" s="114"/>
    </row>
    <row r="69" s="3" customFormat="1" ht="30" customHeight="1" spans="1:69">
      <c r="A69" s="13">
        <v>44855</v>
      </c>
      <c r="B69" s="14" t="s">
        <v>740</v>
      </c>
      <c r="C69" s="42" t="s">
        <v>636</v>
      </c>
      <c r="D69" s="118">
        <v>4500088916</v>
      </c>
      <c r="E69" s="119">
        <v>5200001145</v>
      </c>
      <c r="F69" s="15" t="s">
        <v>741</v>
      </c>
      <c r="G69" s="18" t="s">
        <v>727</v>
      </c>
      <c r="H69" s="14" t="s">
        <v>659</v>
      </c>
      <c r="I69" s="3">
        <v>5232</v>
      </c>
      <c r="J69" s="3">
        <v>0</v>
      </c>
      <c r="K69" s="3">
        <v>48</v>
      </c>
      <c r="L69" s="3">
        <f t="shared" si="59"/>
        <v>109</v>
      </c>
      <c r="M69" s="47">
        <v>44915</v>
      </c>
      <c r="N69" s="47" t="s">
        <v>742</v>
      </c>
      <c r="O69" s="48"/>
      <c r="P69" s="48"/>
      <c r="Q69" s="48"/>
      <c r="R69" s="48"/>
      <c r="S69" s="48" t="s">
        <v>332</v>
      </c>
      <c r="T69" s="48" t="s">
        <v>75</v>
      </c>
      <c r="U69" s="48" t="s">
        <v>332</v>
      </c>
      <c r="V69" s="60" t="s">
        <v>743</v>
      </c>
      <c r="W69" s="73" t="s">
        <v>642</v>
      </c>
      <c r="X69" s="45">
        <v>1.0925</v>
      </c>
      <c r="Y69" s="46">
        <f>X69*I69</f>
        <v>5715.96</v>
      </c>
      <c r="AA69" s="69" t="s">
        <v>78</v>
      </c>
      <c r="AB69" s="59"/>
      <c r="AC69" s="59">
        <f t="shared" ref="AC69:AC73" si="66">AB69-I69</f>
        <v>-5232</v>
      </c>
      <c r="AD69" s="47"/>
      <c r="AE69" s="47"/>
      <c r="AF69" s="78"/>
      <c r="AG69" s="78">
        <f t="shared" si="62"/>
        <v>5232</v>
      </c>
      <c r="AH69" s="78"/>
      <c r="AI69" s="78">
        <f t="shared" ref="AI69:AI72" si="67">I69</f>
        <v>5232</v>
      </c>
      <c r="AJ69" s="78"/>
      <c r="AK69" s="80"/>
      <c r="AL69" s="78">
        <f>I69</f>
        <v>5232</v>
      </c>
      <c r="AM69" s="80"/>
      <c r="AN69" s="91"/>
      <c r="AO69" s="91"/>
      <c r="AP69" s="91">
        <f>I69/24</f>
        <v>218</v>
      </c>
      <c r="AQ69" s="80"/>
      <c r="AR69" s="80"/>
      <c r="AS69" s="80"/>
      <c r="AT69" s="80"/>
      <c r="AU69" s="91"/>
      <c r="AV69" s="91"/>
      <c r="AW69" s="91"/>
      <c r="AX69" s="91"/>
      <c r="AY69" s="91"/>
      <c r="AZ69" s="91"/>
      <c r="BA69" s="107" t="e">
        <f>I69*#REF!</f>
        <v>#REF!</v>
      </c>
      <c r="BB69" s="107" t="e">
        <f>I69*#REF!</f>
        <v>#REF!</v>
      </c>
      <c r="BC69" s="107" t="e">
        <f>I69*#REF!</f>
        <v>#REF!</v>
      </c>
      <c r="BD69" s="107" t="e">
        <f>I69*#REF!</f>
        <v>#REF!</v>
      </c>
      <c r="BE69" s="107" t="e">
        <f>I69*#REF!</f>
        <v>#REF!</v>
      </c>
      <c r="BF69" s="107" t="e">
        <f>I69*#REF!</f>
        <v>#REF!</v>
      </c>
      <c r="BG69" s="107" t="e">
        <f>I69*#REF!</f>
        <v>#REF!</v>
      </c>
      <c r="BH69" s="107" t="e">
        <f>I69*#REF!</f>
        <v>#REF!</v>
      </c>
      <c r="BI69" s="107" t="e">
        <f>I69*#REF!</f>
        <v>#REF!</v>
      </c>
      <c r="BJ69" s="107" t="e">
        <f>I69*#REF!</f>
        <v>#REF!</v>
      </c>
      <c r="BK69" s="107" t="e">
        <f>I69*#REF!</f>
        <v>#REF!</v>
      </c>
      <c r="BL69" s="107" t="e">
        <f>I69*#REF!</f>
        <v>#REF!</v>
      </c>
      <c r="BM69" s="107" t="e">
        <f>I69*#REF!</f>
        <v>#REF!</v>
      </c>
      <c r="BN69" s="8"/>
      <c r="BO69" s="8"/>
      <c r="BP69" s="8"/>
      <c r="BQ69" s="114"/>
    </row>
    <row r="70" s="5" customFormat="1" ht="31" customHeight="1" spans="1:86">
      <c r="A70" s="35">
        <v>44844</v>
      </c>
      <c r="B70" s="24" t="s">
        <v>744</v>
      </c>
      <c r="C70" s="42" t="s">
        <v>118</v>
      </c>
      <c r="D70" s="120">
        <v>4500088197</v>
      </c>
      <c r="E70" s="121" t="s">
        <v>745</v>
      </c>
      <c r="F70" s="36" t="s">
        <v>746</v>
      </c>
      <c r="G70" s="37" t="s">
        <v>747</v>
      </c>
      <c r="H70" s="14" t="s">
        <v>594</v>
      </c>
      <c r="I70" s="3">
        <v>157056</v>
      </c>
      <c r="J70" s="3">
        <v>0</v>
      </c>
      <c r="K70" s="3">
        <v>48</v>
      </c>
      <c r="L70" s="3">
        <f t="shared" si="59"/>
        <v>3272</v>
      </c>
      <c r="M70" s="53">
        <v>44895</v>
      </c>
      <c r="N70" s="53" t="s">
        <v>748</v>
      </c>
      <c r="O70" s="54" t="s">
        <v>749</v>
      </c>
      <c r="P70" s="54"/>
      <c r="Q70" s="54"/>
      <c r="R70" s="54" t="s">
        <v>647</v>
      </c>
      <c r="S70" s="54">
        <v>44848</v>
      </c>
      <c r="T70" s="54" t="s">
        <v>75</v>
      </c>
      <c r="U70" s="54" t="s">
        <v>75</v>
      </c>
      <c r="V70" s="65" t="s">
        <v>750</v>
      </c>
      <c r="W70" s="27" t="s">
        <v>751</v>
      </c>
      <c r="X70" s="45">
        <v>1.2484</v>
      </c>
      <c r="Y70" s="46">
        <f>I70*X70</f>
        <v>196068.7104</v>
      </c>
      <c r="Z70" s="38"/>
      <c r="AA70" s="38"/>
      <c r="AB70" s="84"/>
      <c r="AC70" s="84">
        <f t="shared" si="66"/>
        <v>-157056</v>
      </c>
      <c r="AD70" s="84"/>
      <c r="AE70" s="84"/>
      <c r="AF70" s="85"/>
      <c r="AG70" s="85"/>
      <c r="AH70" s="85"/>
      <c r="AI70" s="86"/>
      <c r="AJ70" s="79">
        <f>I70</f>
        <v>157056</v>
      </c>
      <c r="AL70" s="78">
        <f>I70</f>
        <v>157056</v>
      </c>
      <c r="AM70" s="85"/>
      <c r="AN70" s="85"/>
      <c r="AO70" s="93"/>
      <c r="AP70" s="94"/>
      <c r="AQ70" s="94">
        <f>I70</f>
        <v>157056</v>
      </c>
      <c r="AR70" s="94"/>
      <c r="AS70" s="94"/>
      <c r="AT70" s="101"/>
      <c r="AU70" s="101"/>
      <c r="AV70" s="101"/>
      <c r="AW70" s="101"/>
      <c r="AX70" s="101"/>
      <c r="AY70" s="94"/>
      <c r="AZ70" s="94"/>
      <c r="BA70" s="94"/>
      <c r="BB70" s="80"/>
      <c r="BC70" s="80"/>
      <c r="BD70" s="94"/>
      <c r="BE70" s="80">
        <f>I70/8</f>
        <v>19632</v>
      </c>
      <c r="BF70" s="101"/>
      <c r="BG70" s="101"/>
      <c r="BH70" s="101"/>
      <c r="BI70" s="101"/>
      <c r="BJ70" s="101"/>
      <c r="BK70" s="101"/>
      <c r="BL70" s="101"/>
      <c r="BM70" s="101"/>
      <c r="BN70" s="101"/>
      <c r="BO70" s="104">
        <f t="shared" ref="BO70:BO72" si="68">I70/96*12</f>
        <v>19632</v>
      </c>
      <c r="BP70" s="104">
        <f t="shared" ref="BP70:BP73" si="69">I70/96*12</f>
        <v>19632</v>
      </c>
      <c r="BQ70" s="105">
        <f t="shared" ref="BQ70:BQ72" si="70">I70/96*11</f>
        <v>17996</v>
      </c>
      <c r="BR70" s="105">
        <f t="shared" ref="BR70:BR72" si="71">I70/96*1</f>
        <v>1636</v>
      </c>
      <c r="BS70" s="104">
        <f t="shared" ref="BS70:BS73" si="72">I70/96*12</f>
        <v>19632</v>
      </c>
      <c r="BT70" s="104">
        <f t="shared" ref="BT70:BT72" si="73">I70/96*12</f>
        <v>19632</v>
      </c>
      <c r="BU70" s="104">
        <f t="shared" ref="BU70:BU72" si="74">I70/96*12</f>
        <v>19632</v>
      </c>
      <c r="BV70" s="104">
        <f t="shared" ref="BV70:BV72" si="75">I70/96*12</f>
        <v>19632</v>
      </c>
      <c r="BW70" s="105">
        <f t="shared" ref="BW70:BW72" si="76">I70/96*11</f>
        <v>17996</v>
      </c>
      <c r="BX70" s="105">
        <f t="shared" ref="BX70:BX72" si="77">I70/96*1</f>
        <v>1636</v>
      </c>
      <c r="BY70" s="38"/>
      <c r="BZ70" s="38"/>
      <c r="CA70" s="38"/>
      <c r="CB70" s="38"/>
      <c r="CC70" s="38"/>
      <c r="CD70" s="38"/>
      <c r="CE70" s="38"/>
      <c r="CF70" s="38"/>
      <c r="CG70" s="38"/>
      <c r="CH70" s="38"/>
    </row>
    <row r="71" s="5" customFormat="1" ht="31" customHeight="1" spans="1:86">
      <c r="A71" s="35">
        <v>44855</v>
      </c>
      <c r="B71" s="24" t="s">
        <v>740</v>
      </c>
      <c r="C71" s="36" t="s">
        <v>636</v>
      </c>
      <c r="D71" s="120">
        <v>4500088916</v>
      </c>
      <c r="E71" s="121">
        <v>5200001145</v>
      </c>
      <c r="F71" s="37" t="s">
        <v>752</v>
      </c>
      <c r="G71" s="37" t="s">
        <v>638</v>
      </c>
      <c r="H71" s="14" t="s">
        <v>594</v>
      </c>
      <c r="I71" s="38">
        <v>1536</v>
      </c>
      <c r="J71" s="3">
        <v>0</v>
      </c>
      <c r="K71" s="3">
        <v>48</v>
      </c>
      <c r="L71" s="3">
        <f t="shared" si="59"/>
        <v>32</v>
      </c>
      <c r="M71" s="53">
        <v>44915</v>
      </c>
      <c r="N71" s="53" t="s">
        <v>753</v>
      </c>
      <c r="O71" s="54"/>
      <c r="P71" s="54"/>
      <c r="Q71" s="54"/>
      <c r="R71" s="54" t="s">
        <v>754</v>
      </c>
      <c r="S71" s="54" t="s">
        <v>755</v>
      </c>
      <c r="T71" s="54" t="s">
        <v>75</v>
      </c>
      <c r="U71" s="54" t="s">
        <v>75</v>
      </c>
      <c r="V71" s="65" t="s">
        <v>756</v>
      </c>
      <c r="W71" s="27" t="s">
        <v>642</v>
      </c>
      <c r="X71" s="45">
        <v>1.1909</v>
      </c>
      <c r="Y71" s="46">
        <f>I71*X71</f>
        <v>1829.2224</v>
      </c>
      <c r="Z71" s="38"/>
      <c r="AA71" s="38"/>
      <c r="AB71" s="84"/>
      <c r="AC71" s="84"/>
      <c r="AD71" s="84"/>
      <c r="AE71" s="84"/>
      <c r="AF71" s="85"/>
      <c r="AG71" s="85"/>
      <c r="AH71" s="85"/>
      <c r="AI71" s="78">
        <f t="shared" si="67"/>
        <v>1536</v>
      </c>
      <c r="AJ71" s="93"/>
      <c r="AK71" s="85"/>
      <c r="AL71" s="85"/>
      <c r="AM71" s="85"/>
      <c r="AN71" s="85">
        <f>I71</f>
        <v>1536</v>
      </c>
      <c r="AO71" s="93"/>
      <c r="AP71" s="94"/>
      <c r="AQ71" s="94"/>
      <c r="AR71" s="94"/>
      <c r="AS71" s="80">
        <f t="shared" ref="AS71:AS73" si="78">I71</f>
        <v>1536</v>
      </c>
      <c r="AT71" s="101"/>
      <c r="AU71" s="101"/>
      <c r="AV71" s="101"/>
      <c r="AW71" s="101"/>
      <c r="AX71" s="101">
        <f>I71/24</f>
        <v>64</v>
      </c>
      <c r="AY71" s="94"/>
      <c r="AZ71" s="94"/>
      <c r="BA71" s="94"/>
      <c r="BB71" s="80"/>
      <c r="BC71" s="80"/>
      <c r="BD71" s="94"/>
      <c r="BE71" s="94"/>
      <c r="BF71" s="101"/>
      <c r="BG71" s="101"/>
      <c r="BH71" s="101"/>
      <c r="BI71" s="101"/>
      <c r="BJ71" s="101"/>
      <c r="BK71" s="101"/>
      <c r="BL71" s="101"/>
      <c r="BM71" s="101"/>
      <c r="BN71" s="101"/>
      <c r="BO71" s="104">
        <f t="shared" si="68"/>
        <v>192</v>
      </c>
      <c r="BP71" s="104">
        <f t="shared" si="69"/>
        <v>192</v>
      </c>
      <c r="BQ71" s="105">
        <f t="shared" si="70"/>
        <v>176</v>
      </c>
      <c r="BR71" s="105">
        <f t="shared" si="71"/>
        <v>16</v>
      </c>
      <c r="BS71" s="104">
        <f t="shared" si="72"/>
        <v>192</v>
      </c>
      <c r="BT71" s="104">
        <f t="shared" si="73"/>
        <v>192</v>
      </c>
      <c r="BU71" s="104">
        <f t="shared" si="74"/>
        <v>192</v>
      </c>
      <c r="BV71" s="104">
        <f t="shared" si="75"/>
        <v>192</v>
      </c>
      <c r="BW71" s="105">
        <f t="shared" si="76"/>
        <v>176</v>
      </c>
      <c r="BX71" s="105">
        <f t="shared" si="77"/>
        <v>16</v>
      </c>
      <c r="BY71" s="38"/>
      <c r="BZ71" s="38"/>
      <c r="CA71" s="38"/>
      <c r="CB71" s="38"/>
      <c r="CC71" s="38"/>
      <c r="CD71" s="38"/>
      <c r="CE71" s="38"/>
      <c r="CF71" s="38"/>
      <c r="CG71" s="38"/>
      <c r="CH71" s="38"/>
    </row>
    <row r="72" s="5" customFormat="1" ht="31" customHeight="1" spans="1:86">
      <c r="A72" s="35">
        <v>44855</v>
      </c>
      <c r="B72" s="24" t="s">
        <v>740</v>
      </c>
      <c r="C72" s="36" t="s">
        <v>636</v>
      </c>
      <c r="D72" s="120">
        <v>4500088916</v>
      </c>
      <c r="E72" s="121">
        <v>5200001145</v>
      </c>
      <c r="F72" s="36" t="s">
        <v>757</v>
      </c>
      <c r="G72" s="37" t="s">
        <v>758</v>
      </c>
      <c r="H72" s="14" t="s">
        <v>759</v>
      </c>
      <c r="I72" s="38">
        <v>4400</v>
      </c>
      <c r="J72" s="3">
        <v>0</v>
      </c>
      <c r="K72" s="3">
        <v>88</v>
      </c>
      <c r="L72" s="3">
        <f t="shared" si="59"/>
        <v>50</v>
      </c>
      <c r="M72" s="53">
        <v>44915</v>
      </c>
      <c r="N72" s="53" t="s">
        <v>753</v>
      </c>
      <c r="O72" s="54"/>
      <c r="P72" s="54"/>
      <c r="Q72" s="54"/>
      <c r="R72" s="54" t="s">
        <v>754</v>
      </c>
      <c r="S72" s="54" t="s">
        <v>755</v>
      </c>
      <c r="T72" s="54" t="s">
        <v>75</v>
      </c>
      <c r="U72" s="54" t="s">
        <v>75</v>
      </c>
      <c r="V72" s="65" t="s">
        <v>760</v>
      </c>
      <c r="W72" s="27" t="s">
        <v>642</v>
      </c>
      <c r="X72" s="45">
        <v>139.1863</v>
      </c>
      <c r="Y72" s="46">
        <f>X72*L72</f>
        <v>6959.315</v>
      </c>
      <c r="Z72" s="38"/>
      <c r="AA72" s="38"/>
      <c r="AB72" s="84"/>
      <c r="AC72" s="84"/>
      <c r="AD72" s="84"/>
      <c r="AE72" s="84"/>
      <c r="AF72" s="85"/>
      <c r="AG72" s="85"/>
      <c r="AH72" s="85"/>
      <c r="AI72" s="78">
        <f t="shared" si="67"/>
        <v>4400</v>
      </c>
      <c r="AJ72" s="93"/>
      <c r="AK72" s="85"/>
      <c r="AL72" s="85"/>
      <c r="AM72" s="85"/>
      <c r="AN72" s="85">
        <f>I72</f>
        <v>4400</v>
      </c>
      <c r="AO72" s="93"/>
      <c r="AP72" s="94"/>
      <c r="AQ72" s="94"/>
      <c r="AR72" s="94"/>
      <c r="AS72" s="80">
        <f t="shared" si="78"/>
        <v>4400</v>
      </c>
      <c r="AT72" s="101"/>
      <c r="AU72" s="101"/>
      <c r="AV72" s="101"/>
      <c r="AW72" s="101"/>
      <c r="AX72" s="101"/>
      <c r="AY72" s="94"/>
      <c r="AZ72" s="94"/>
      <c r="BA72" s="94"/>
      <c r="BB72" s="80"/>
      <c r="BC72" s="80"/>
      <c r="BD72" s="94"/>
      <c r="BE72" s="94"/>
      <c r="BF72" s="101"/>
      <c r="BG72" s="101"/>
      <c r="BH72" s="101"/>
      <c r="BI72" s="101"/>
      <c r="BJ72" s="101"/>
      <c r="BK72" s="101"/>
      <c r="BL72" s="101"/>
      <c r="BM72" s="101"/>
      <c r="BN72" s="101">
        <f>I72/K72</f>
        <v>50</v>
      </c>
      <c r="BO72" s="104">
        <f t="shared" si="68"/>
        <v>550</v>
      </c>
      <c r="BP72" s="104">
        <f t="shared" si="69"/>
        <v>550</v>
      </c>
      <c r="BQ72" s="105">
        <f t="shared" si="70"/>
        <v>504.166666666667</v>
      </c>
      <c r="BR72" s="105">
        <f t="shared" si="71"/>
        <v>45.8333333333333</v>
      </c>
      <c r="BS72" s="104">
        <f t="shared" si="72"/>
        <v>550</v>
      </c>
      <c r="BT72" s="104">
        <f t="shared" si="73"/>
        <v>550</v>
      </c>
      <c r="BU72" s="104">
        <f t="shared" si="74"/>
        <v>550</v>
      </c>
      <c r="BV72" s="104">
        <f t="shared" si="75"/>
        <v>550</v>
      </c>
      <c r="BW72" s="105">
        <f t="shared" si="76"/>
        <v>504.166666666667</v>
      </c>
      <c r="BX72" s="105">
        <f t="shared" si="77"/>
        <v>45.8333333333333</v>
      </c>
      <c r="BY72" s="38"/>
      <c r="BZ72" s="38"/>
      <c r="CA72" s="38"/>
      <c r="CB72" s="38"/>
      <c r="CC72" s="38"/>
      <c r="CD72" s="38"/>
      <c r="CE72" s="38"/>
      <c r="CF72" s="38"/>
      <c r="CG72" s="38"/>
      <c r="CH72" s="38"/>
    </row>
    <row r="73" s="5" customFormat="1" ht="31" customHeight="1" spans="1:86">
      <c r="A73" s="35">
        <v>44700</v>
      </c>
      <c r="B73" s="24" t="s">
        <v>761</v>
      </c>
      <c r="C73" s="36" t="s">
        <v>139</v>
      </c>
      <c r="D73" s="120">
        <v>4500079551</v>
      </c>
      <c r="E73" s="121"/>
      <c r="F73" s="36" t="s">
        <v>762</v>
      </c>
      <c r="G73" s="37" t="s">
        <v>582</v>
      </c>
      <c r="H73" s="14" t="s">
        <v>540</v>
      </c>
      <c r="I73" s="38">
        <v>4800</v>
      </c>
      <c r="J73" s="3">
        <v>0</v>
      </c>
      <c r="K73" s="3">
        <v>48</v>
      </c>
      <c r="L73" s="3">
        <f t="shared" si="59"/>
        <v>100</v>
      </c>
      <c r="M73" s="53">
        <v>44793</v>
      </c>
      <c r="N73" s="53" t="s">
        <v>660</v>
      </c>
      <c r="O73" s="54"/>
      <c r="P73" s="54" t="s">
        <v>170</v>
      </c>
      <c r="Q73" s="54"/>
      <c r="R73" s="54">
        <v>44775</v>
      </c>
      <c r="S73" s="54" t="s">
        <v>75</v>
      </c>
      <c r="T73" s="54">
        <v>44777</v>
      </c>
      <c r="U73" s="54" t="s">
        <v>763</v>
      </c>
      <c r="V73" s="65" t="s">
        <v>764</v>
      </c>
      <c r="W73" s="27">
        <v>1.0646</v>
      </c>
      <c r="X73" s="45">
        <f>W73*I73</f>
        <v>5110.08</v>
      </c>
      <c r="Y73" s="46"/>
      <c r="Z73" s="38"/>
      <c r="AA73" s="38"/>
      <c r="AB73" s="84">
        <v>4800</v>
      </c>
      <c r="AC73" s="84">
        <f t="shared" si="66"/>
        <v>0</v>
      </c>
      <c r="AD73" s="84"/>
      <c r="AE73" s="84"/>
      <c r="AF73" s="85"/>
      <c r="AG73" s="85">
        <f>I73</f>
        <v>4800</v>
      </c>
      <c r="AH73" s="85"/>
      <c r="AI73" s="78"/>
      <c r="AJ73" s="93"/>
      <c r="AK73" s="85"/>
      <c r="AL73" s="85"/>
      <c r="AM73" s="85">
        <f>I73</f>
        <v>4800</v>
      </c>
      <c r="AN73" s="85"/>
      <c r="AO73" s="93"/>
      <c r="AP73" s="94"/>
      <c r="AQ73" s="94"/>
      <c r="AR73" s="94"/>
      <c r="AS73" s="80">
        <f t="shared" si="78"/>
        <v>4800</v>
      </c>
      <c r="AT73" s="101"/>
      <c r="AU73" s="101"/>
      <c r="AV73" s="101"/>
      <c r="AW73" s="101">
        <f>200-171</f>
        <v>29</v>
      </c>
      <c r="AX73" s="101">
        <f>200-29</f>
        <v>171</v>
      </c>
      <c r="AY73" s="94"/>
      <c r="AZ73" s="94"/>
      <c r="BA73" s="94"/>
      <c r="BB73" s="80"/>
      <c r="BC73" s="80"/>
      <c r="BD73" s="94"/>
      <c r="BE73" s="94"/>
      <c r="BF73" s="101"/>
      <c r="BG73" s="101"/>
      <c r="BH73" s="101"/>
      <c r="BI73" s="101"/>
      <c r="BJ73" s="101"/>
      <c r="BK73" s="101"/>
      <c r="BL73" s="101">
        <f>I73/96*12</f>
        <v>600</v>
      </c>
      <c r="BM73" s="101">
        <f>I73/96*12</f>
        <v>600</v>
      </c>
      <c r="BN73" s="101">
        <f>I73/96*11</f>
        <v>550</v>
      </c>
      <c r="BO73" s="104">
        <f>I73/96*1</f>
        <v>50</v>
      </c>
      <c r="BP73" s="104">
        <f t="shared" si="69"/>
        <v>600</v>
      </c>
      <c r="BQ73" s="105">
        <f>I73/96*12</f>
        <v>600</v>
      </c>
      <c r="BR73" s="105">
        <f>I73/96*12</f>
        <v>600</v>
      </c>
      <c r="BS73" s="104">
        <f t="shared" si="72"/>
        <v>600</v>
      </c>
      <c r="BT73" s="104">
        <f>I73/96*11</f>
        <v>550</v>
      </c>
      <c r="BU73" s="104">
        <f>I73/96*1</f>
        <v>50</v>
      </c>
      <c r="BV73" s="104"/>
      <c r="BW73" s="105"/>
      <c r="BX73" s="105"/>
      <c r="BY73" s="38"/>
      <c r="BZ73" s="38"/>
      <c r="CA73" s="38"/>
      <c r="CB73" s="38"/>
      <c r="CC73" s="38"/>
      <c r="CD73" s="38"/>
      <c r="CE73" s="38"/>
      <c r="CF73" s="38"/>
      <c r="CG73" s="38"/>
      <c r="CH73" s="38"/>
    </row>
    <row r="74" s="3" customFormat="1" ht="30" customHeight="1" spans="1:70">
      <c r="A74" s="13">
        <v>44866</v>
      </c>
      <c r="B74" s="14" t="s">
        <v>599</v>
      </c>
      <c r="C74" s="42" t="s">
        <v>118</v>
      </c>
      <c r="D74" s="16">
        <v>4500089851</v>
      </c>
      <c r="E74" s="15" t="s">
        <v>765</v>
      </c>
      <c r="F74" s="15" t="s">
        <v>766</v>
      </c>
      <c r="G74" s="15"/>
      <c r="H74" s="18" t="s">
        <v>767</v>
      </c>
      <c r="I74" s="14" t="s">
        <v>659</v>
      </c>
      <c r="J74" s="3">
        <v>9096</v>
      </c>
      <c r="K74" s="3">
        <v>0</v>
      </c>
      <c r="L74" s="3">
        <v>12</v>
      </c>
      <c r="M74" s="3">
        <f t="shared" ref="M74:M83" si="79">J74/L74</f>
        <v>758</v>
      </c>
      <c r="N74" s="47">
        <v>44929</v>
      </c>
      <c r="O74" s="47">
        <v>44926</v>
      </c>
      <c r="P74" s="48"/>
      <c r="Q74" s="48"/>
      <c r="R74" s="48"/>
      <c r="S74" s="194" t="s">
        <v>754</v>
      </c>
      <c r="T74" s="48" t="s">
        <v>332</v>
      </c>
      <c r="U74" s="48" t="s">
        <v>125</v>
      </c>
      <c r="V74" s="48" t="s">
        <v>332</v>
      </c>
      <c r="W74" s="60" t="s">
        <v>768</v>
      </c>
      <c r="X74" s="73" t="s">
        <v>769</v>
      </c>
      <c r="Y74" s="45">
        <v>1.116</v>
      </c>
      <c r="Z74" s="46">
        <f t="shared" ref="Z74:Z79" si="80">Y74*J74</f>
        <v>10151.136</v>
      </c>
      <c r="AB74" s="69" t="s">
        <v>78</v>
      </c>
      <c r="AC74" s="59"/>
      <c r="AD74" s="59"/>
      <c r="AE74" s="47"/>
      <c r="AF74" s="47"/>
      <c r="AG74" s="78">
        <f t="shared" ref="AG74:AG76" si="81">J74</f>
        <v>9096</v>
      </c>
      <c r="AH74" s="78"/>
      <c r="AI74" s="78"/>
      <c r="AJ74" s="78">
        <f t="shared" ref="AJ74:AJ79" si="82">J74</f>
        <v>9096</v>
      </c>
      <c r="AK74" s="78"/>
      <c r="AL74" s="80"/>
      <c r="AM74" s="78">
        <f t="shared" ref="AM74:AM79" si="83">J74</f>
        <v>9096</v>
      </c>
      <c r="AN74" s="80"/>
      <c r="AO74" s="91"/>
      <c r="AP74" s="91"/>
      <c r="AQ74" s="91"/>
      <c r="AS74" s="80"/>
      <c r="AT74" s="80">
        <f>J74/12</f>
        <v>758</v>
      </c>
      <c r="AU74" s="80"/>
      <c r="AV74" s="91"/>
      <c r="AW74" s="91"/>
      <c r="AX74" s="91"/>
      <c r="AY74" s="91"/>
      <c r="AZ74" s="91"/>
      <c r="BA74" s="91"/>
      <c r="BB74" s="107" t="e">
        <f>J74*#REF!</f>
        <v>#REF!</v>
      </c>
      <c r="BC74" s="107" t="e">
        <f>J74*#REF!</f>
        <v>#REF!</v>
      </c>
      <c r="BD74" s="107" t="e">
        <f>J74*#REF!</f>
        <v>#REF!</v>
      </c>
      <c r="BE74" s="107" t="e">
        <f>J74*#REF!</f>
        <v>#REF!</v>
      </c>
      <c r="BF74" s="107" t="e">
        <f>J74*#REF!</f>
        <v>#REF!</v>
      </c>
      <c r="BG74" s="107" t="e">
        <f>J74*#REF!</f>
        <v>#REF!</v>
      </c>
      <c r="BH74" s="107" t="e">
        <f>J74*#REF!</f>
        <v>#REF!</v>
      </c>
      <c r="BI74" s="107" t="e">
        <f>J74*#REF!</f>
        <v>#REF!</v>
      </c>
      <c r="BJ74" s="107" t="e">
        <f>J74*#REF!</f>
        <v>#REF!</v>
      </c>
      <c r="BK74" s="107" t="e">
        <f>J74*#REF!</f>
        <v>#REF!</v>
      </c>
      <c r="BL74" s="107" t="e">
        <f>J74*#REF!</f>
        <v>#REF!</v>
      </c>
      <c r="BM74" s="107" t="e">
        <f>J74*#REF!</f>
        <v>#REF!</v>
      </c>
      <c r="BN74" s="107" t="e">
        <f>J74*#REF!</f>
        <v>#REF!</v>
      </c>
      <c r="BO74" s="8"/>
      <c r="BP74" s="8"/>
      <c r="BQ74" s="8"/>
      <c r="BR74" s="114"/>
    </row>
    <row r="75" s="3" customFormat="1" ht="30" customHeight="1" spans="1:70">
      <c r="A75" s="13">
        <v>44866</v>
      </c>
      <c r="B75" s="14" t="s">
        <v>599</v>
      </c>
      <c r="C75" s="42" t="s">
        <v>118</v>
      </c>
      <c r="D75" s="16">
        <v>4500089854</v>
      </c>
      <c r="E75" s="15" t="s">
        <v>770</v>
      </c>
      <c r="F75" s="15" t="s">
        <v>766</v>
      </c>
      <c r="G75" s="15"/>
      <c r="H75" s="18" t="s">
        <v>767</v>
      </c>
      <c r="I75" s="14" t="s">
        <v>659</v>
      </c>
      <c r="J75" s="3">
        <v>2700</v>
      </c>
      <c r="K75" s="3">
        <v>0</v>
      </c>
      <c r="L75" s="3">
        <v>12</v>
      </c>
      <c r="M75" s="3">
        <f t="shared" si="79"/>
        <v>225</v>
      </c>
      <c r="N75" s="47">
        <v>44967</v>
      </c>
      <c r="O75" s="47">
        <v>44963</v>
      </c>
      <c r="P75" s="48"/>
      <c r="Q75" s="48"/>
      <c r="R75" s="48"/>
      <c r="S75" s="194" t="s">
        <v>754</v>
      </c>
      <c r="T75" s="48" t="s">
        <v>332</v>
      </c>
      <c r="U75" s="48" t="s">
        <v>125</v>
      </c>
      <c r="V75" s="48" t="s">
        <v>332</v>
      </c>
      <c r="W75" s="60" t="s">
        <v>768</v>
      </c>
      <c r="X75" s="73" t="s">
        <v>769</v>
      </c>
      <c r="Y75" s="45">
        <v>1.1243</v>
      </c>
      <c r="Z75" s="46">
        <f t="shared" si="80"/>
        <v>3035.61</v>
      </c>
      <c r="AB75" s="69" t="s">
        <v>78</v>
      </c>
      <c r="AC75" s="59"/>
      <c r="AD75" s="59"/>
      <c r="AE75" s="47"/>
      <c r="AF75" s="47"/>
      <c r="AG75" s="78">
        <f t="shared" si="81"/>
        <v>2700</v>
      </c>
      <c r="AH75" s="78"/>
      <c r="AI75" s="78"/>
      <c r="AJ75" s="78">
        <f t="shared" si="82"/>
        <v>2700</v>
      </c>
      <c r="AK75" s="78"/>
      <c r="AL75" s="80"/>
      <c r="AM75" s="78">
        <f t="shared" si="83"/>
        <v>2700</v>
      </c>
      <c r="AN75" s="80"/>
      <c r="AO75" s="91"/>
      <c r="AP75" s="91"/>
      <c r="AQ75" s="91"/>
      <c r="AS75" s="80"/>
      <c r="AT75" s="80">
        <f>J75/12</f>
        <v>225</v>
      </c>
      <c r="AU75" s="80"/>
      <c r="AV75" s="91"/>
      <c r="AW75" s="91"/>
      <c r="AX75" s="91"/>
      <c r="AY75" s="91"/>
      <c r="AZ75" s="91"/>
      <c r="BA75" s="91"/>
      <c r="BB75" s="107" t="e">
        <f>J75*#REF!</f>
        <v>#REF!</v>
      </c>
      <c r="BC75" s="107" t="e">
        <f>J75*#REF!</f>
        <v>#REF!</v>
      </c>
      <c r="BD75" s="107" t="e">
        <f>J75*#REF!</f>
        <v>#REF!</v>
      </c>
      <c r="BE75" s="107" t="e">
        <f>J75*#REF!</f>
        <v>#REF!</v>
      </c>
      <c r="BF75" s="107" t="e">
        <f>J75*#REF!</f>
        <v>#REF!</v>
      </c>
      <c r="BG75" s="107" t="e">
        <f>J75*#REF!</f>
        <v>#REF!</v>
      </c>
      <c r="BH75" s="107" t="e">
        <f>J75*#REF!</f>
        <v>#REF!</v>
      </c>
      <c r="BI75" s="107" t="e">
        <f>J75*#REF!</f>
        <v>#REF!</v>
      </c>
      <c r="BJ75" s="107" t="e">
        <f>J75*#REF!</f>
        <v>#REF!</v>
      </c>
      <c r="BK75" s="107" t="e">
        <f>J75*#REF!</f>
        <v>#REF!</v>
      </c>
      <c r="BL75" s="107" t="e">
        <f>J75*#REF!</f>
        <v>#REF!</v>
      </c>
      <c r="BM75" s="107" t="e">
        <f>J75*#REF!</f>
        <v>#REF!</v>
      </c>
      <c r="BN75" s="107" t="e">
        <f>J75*#REF!</f>
        <v>#REF!</v>
      </c>
      <c r="BO75" s="8"/>
      <c r="BP75" s="8"/>
      <c r="BQ75" s="8"/>
      <c r="BR75" s="114"/>
    </row>
    <row r="76" s="3" customFormat="1" ht="30" customHeight="1" spans="1:68">
      <c r="A76" s="13">
        <v>44840</v>
      </c>
      <c r="B76" s="14" t="s">
        <v>771</v>
      </c>
      <c r="C76" s="42" t="s">
        <v>118</v>
      </c>
      <c r="D76" s="16" t="s">
        <v>771</v>
      </c>
      <c r="E76" s="15"/>
      <c r="F76" s="15"/>
      <c r="G76" s="15"/>
      <c r="H76" s="18" t="s">
        <v>712</v>
      </c>
      <c r="I76" s="14" t="s">
        <v>713</v>
      </c>
      <c r="J76" s="3">
        <v>24480</v>
      </c>
      <c r="K76" s="3">
        <v>0</v>
      </c>
      <c r="L76" s="3">
        <v>1440</v>
      </c>
      <c r="M76" s="3">
        <f t="shared" si="79"/>
        <v>17</v>
      </c>
      <c r="N76" s="47">
        <v>44882</v>
      </c>
      <c r="O76" s="178">
        <v>44900</v>
      </c>
      <c r="P76" s="48"/>
      <c r="Q76" s="48"/>
      <c r="R76" s="48"/>
      <c r="S76" s="194" t="s">
        <v>754</v>
      </c>
      <c r="T76" s="48" t="s">
        <v>332</v>
      </c>
      <c r="U76" s="48" t="s">
        <v>125</v>
      </c>
      <c r="V76" s="48" t="s">
        <v>332</v>
      </c>
      <c r="W76" s="60" t="s">
        <v>772</v>
      </c>
      <c r="X76" s="73"/>
      <c r="Y76" s="45"/>
      <c r="Z76" s="46"/>
      <c r="AB76" s="69" t="s">
        <v>78</v>
      </c>
      <c r="AC76" s="59"/>
      <c r="AD76" s="59">
        <f t="shared" ref="AD76:AD79" si="84">AC76-J76</f>
        <v>-24480</v>
      </c>
      <c r="AE76" s="47"/>
      <c r="AF76" s="47" t="s">
        <v>78</v>
      </c>
      <c r="AG76" s="78">
        <f t="shared" si="81"/>
        <v>24480</v>
      </c>
      <c r="AH76" s="78"/>
      <c r="AI76" s="79"/>
      <c r="AJ76" s="79">
        <f t="shared" si="82"/>
        <v>24480</v>
      </c>
      <c r="AK76" s="78"/>
      <c r="AL76" s="80"/>
      <c r="AM76" s="79">
        <f t="shared" si="83"/>
        <v>24480</v>
      </c>
      <c r="AN76" s="80"/>
      <c r="AO76" s="91"/>
      <c r="AP76" s="91">
        <f>J76/24</f>
        <v>1020</v>
      </c>
      <c r="AQ76" s="91"/>
      <c r="AR76" s="80"/>
      <c r="AS76" s="80"/>
      <c r="AT76" s="91"/>
      <c r="AU76" s="91"/>
      <c r="AV76" s="91"/>
      <c r="AW76" s="91"/>
      <c r="AX76" s="91"/>
      <c r="AY76" s="91"/>
      <c r="AZ76" s="107" t="e">
        <f>J76*#REF!</f>
        <v>#REF!</v>
      </c>
      <c r="BA76" s="107" t="e">
        <f>J76*#REF!</f>
        <v>#REF!</v>
      </c>
      <c r="BB76" s="107" t="e">
        <f>J76*#REF!</f>
        <v>#REF!</v>
      </c>
      <c r="BC76" s="107" t="e">
        <f>J76*#REF!</f>
        <v>#REF!</v>
      </c>
      <c r="BD76" s="107" t="e">
        <f>J76*#REF!</f>
        <v>#REF!</v>
      </c>
      <c r="BE76" s="107" t="e">
        <f>J76*#REF!</f>
        <v>#REF!</v>
      </c>
      <c r="BF76" s="107" t="e">
        <f>J76*#REF!</f>
        <v>#REF!</v>
      </c>
      <c r="BG76" s="107" t="e">
        <f>J76*#REF!</f>
        <v>#REF!</v>
      </c>
      <c r="BH76" s="107" t="e">
        <f>J76*#REF!</f>
        <v>#REF!</v>
      </c>
      <c r="BI76" s="107" t="e">
        <f>J76*#REF!</f>
        <v>#REF!</v>
      </c>
      <c r="BJ76" s="107" t="e">
        <f>J76*#REF!</f>
        <v>#REF!</v>
      </c>
      <c r="BK76" s="107" t="e">
        <f>J76*#REF!</f>
        <v>#REF!</v>
      </c>
      <c r="BL76" s="107" t="e">
        <f>J76*#REF!</f>
        <v>#REF!</v>
      </c>
      <c r="BM76" s="8"/>
      <c r="BN76" s="8"/>
      <c r="BO76" s="8"/>
      <c r="BP76" s="114"/>
    </row>
    <row r="77" s="3" customFormat="1" ht="30" customHeight="1" spans="1:68">
      <c r="A77" s="13">
        <v>44811</v>
      </c>
      <c r="B77" s="14" t="s">
        <v>551</v>
      </c>
      <c r="C77" s="42" t="s">
        <v>268</v>
      </c>
      <c r="D77" s="16">
        <v>4500086276</v>
      </c>
      <c r="E77" s="15" t="s">
        <v>773</v>
      </c>
      <c r="F77" s="16" t="s">
        <v>766</v>
      </c>
      <c r="G77" s="122" t="s">
        <v>727</v>
      </c>
      <c r="H77" s="18" t="s">
        <v>767</v>
      </c>
      <c r="I77" s="14" t="s">
        <v>659</v>
      </c>
      <c r="J77" s="3">
        <v>3048</v>
      </c>
      <c r="K77" s="3">
        <v>0</v>
      </c>
      <c r="L77" s="3">
        <v>12</v>
      </c>
      <c r="M77" s="3">
        <f t="shared" si="79"/>
        <v>254</v>
      </c>
      <c r="N77" s="47">
        <v>44930</v>
      </c>
      <c r="O77" s="179" t="s">
        <v>774</v>
      </c>
      <c r="P77" s="48"/>
      <c r="Q77" s="48"/>
      <c r="R77" s="48"/>
      <c r="S77" s="48" t="s">
        <v>754</v>
      </c>
      <c r="T77" s="48">
        <v>44811</v>
      </c>
      <c r="U77" s="48" t="s">
        <v>75</v>
      </c>
      <c r="V77" s="48" t="s">
        <v>75</v>
      </c>
      <c r="W77" s="60" t="s">
        <v>775</v>
      </c>
      <c r="X77" s="73" t="s">
        <v>716</v>
      </c>
      <c r="Y77" s="45">
        <v>1.48</v>
      </c>
      <c r="Z77" s="46">
        <f t="shared" si="80"/>
        <v>4511.04</v>
      </c>
      <c r="AB77" s="69" t="s">
        <v>78</v>
      </c>
      <c r="AC77" s="59"/>
      <c r="AD77" s="59">
        <f t="shared" si="84"/>
        <v>-3048</v>
      </c>
      <c r="AE77" s="47"/>
      <c r="AF77" s="47" t="s">
        <v>78</v>
      </c>
      <c r="AG77" s="78"/>
      <c r="AH77" s="78">
        <f t="shared" ref="AH77:AH79" si="85">J77</f>
        <v>3048</v>
      </c>
      <c r="AI77" s="78"/>
      <c r="AJ77" s="78">
        <f t="shared" si="82"/>
        <v>3048</v>
      </c>
      <c r="AK77" s="78"/>
      <c r="AL77" s="80"/>
      <c r="AM77" s="78">
        <f t="shared" si="83"/>
        <v>3048</v>
      </c>
      <c r="AN77" s="80"/>
      <c r="AO77" s="91"/>
      <c r="AP77" s="91"/>
      <c r="AQ77" s="91"/>
      <c r="AR77" s="80"/>
      <c r="AS77" s="80">
        <f>J77/12</f>
        <v>254</v>
      </c>
      <c r="AT77" s="91"/>
      <c r="AU77" s="91"/>
      <c r="AV77" s="91"/>
      <c r="AW77" s="91"/>
      <c r="AX77" s="91"/>
      <c r="AY77" s="91"/>
      <c r="AZ77" s="107" t="e">
        <f>J77*#REF!</f>
        <v>#REF!</v>
      </c>
      <c r="BA77" s="107" t="e">
        <f>J77*#REF!</f>
        <v>#REF!</v>
      </c>
      <c r="BB77" s="107" t="e">
        <f>J77*#REF!</f>
        <v>#REF!</v>
      </c>
      <c r="BC77" s="107" t="e">
        <f>J77*#REF!</f>
        <v>#REF!</v>
      </c>
      <c r="BD77" s="107" t="e">
        <f>J77*#REF!</f>
        <v>#REF!</v>
      </c>
      <c r="BE77" s="107" t="e">
        <f>J77*#REF!</f>
        <v>#REF!</v>
      </c>
      <c r="BF77" s="107" t="e">
        <f>J77*#REF!</f>
        <v>#REF!</v>
      </c>
      <c r="BG77" s="107" t="e">
        <f>J77*#REF!</f>
        <v>#REF!</v>
      </c>
      <c r="BH77" s="107" t="e">
        <f>J77*#REF!</f>
        <v>#REF!</v>
      </c>
      <c r="BI77" s="107" t="e">
        <f>J77*#REF!</f>
        <v>#REF!</v>
      </c>
      <c r="BJ77" s="107" t="e">
        <f>J77*#REF!</f>
        <v>#REF!</v>
      </c>
      <c r="BK77" s="107" t="e">
        <f>J77*#REF!</f>
        <v>#REF!</v>
      </c>
      <c r="BL77" s="107" t="e">
        <f>J77*#REF!</f>
        <v>#REF!</v>
      </c>
      <c r="BM77" s="8"/>
      <c r="BN77" s="8"/>
      <c r="BO77" s="8"/>
      <c r="BP77" s="114"/>
    </row>
    <row r="78" s="3" customFormat="1" ht="30" customHeight="1" spans="1:68">
      <c r="A78" s="13">
        <v>44811</v>
      </c>
      <c r="B78" s="14" t="s">
        <v>551</v>
      </c>
      <c r="C78" s="42" t="s">
        <v>268</v>
      </c>
      <c r="D78" s="16">
        <v>4500086276</v>
      </c>
      <c r="E78" s="15" t="s">
        <v>776</v>
      </c>
      <c r="F78" s="16" t="s">
        <v>777</v>
      </c>
      <c r="G78" s="122" t="s">
        <v>727</v>
      </c>
      <c r="H78" s="18" t="s">
        <v>767</v>
      </c>
      <c r="I78" s="14" t="s">
        <v>659</v>
      </c>
      <c r="J78" s="3">
        <v>2676</v>
      </c>
      <c r="K78" s="3">
        <v>0</v>
      </c>
      <c r="L78" s="3">
        <v>12</v>
      </c>
      <c r="M78" s="3">
        <f t="shared" si="79"/>
        <v>223</v>
      </c>
      <c r="N78" s="47">
        <v>44935</v>
      </c>
      <c r="O78" s="179" t="s">
        <v>778</v>
      </c>
      <c r="P78" s="48"/>
      <c r="Q78" s="48"/>
      <c r="R78" s="48"/>
      <c r="S78" s="48" t="s">
        <v>754</v>
      </c>
      <c r="T78" s="48">
        <v>44811</v>
      </c>
      <c r="U78" s="48" t="s">
        <v>75</v>
      </c>
      <c r="V78" s="48" t="s">
        <v>75</v>
      </c>
      <c r="W78" s="60" t="s">
        <v>775</v>
      </c>
      <c r="X78" s="73" t="s">
        <v>716</v>
      </c>
      <c r="Y78" s="45">
        <v>1.48</v>
      </c>
      <c r="Z78" s="46">
        <f t="shared" si="80"/>
        <v>3960.48</v>
      </c>
      <c r="AB78" s="69" t="s">
        <v>78</v>
      </c>
      <c r="AC78" s="59"/>
      <c r="AD78" s="59">
        <f t="shared" si="84"/>
        <v>-2676</v>
      </c>
      <c r="AE78" s="47"/>
      <c r="AF78" s="47" t="s">
        <v>78</v>
      </c>
      <c r="AG78" s="78"/>
      <c r="AH78" s="78">
        <f t="shared" si="85"/>
        <v>2676</v>
      </c>
      <c r="AI78" s="78"/>
      <c r="AJ78" s="78">
        <f t="shared" si="82"/>
        <v>2676</v>
      </c>
      <c r="AK78" s="78"/>
      <c r="AL78" s="80"/>
      <c r="AM78" s="78">
        <f t="shared" si="83"/>
        <v>2676</v>
      </c>
      <c r="AN78" s="80"/>
      <c r="AO78" s="91"/>
      <c r="AP78" s="91"/>
      <c r="AQ78" s="91"/>
      <c r="AR78" s="80"/>
      <c r="AS78" s="80">
        <f>J78/12</f>
        <v>223</v>
      </c>
      <c r="AT78" s="91"/>
      <c r="AU78" s="91"/>
      <c r="AV78" s="91"/>
      <c r="AW78" s="91"/>
      <c r="AX78" s="91"/>
      <c r="AY78" s="91"/>
      <c r="AZ78" s="107" t="e">
        <f>J78*#REF!</f>
        <v>#REF!</v>
      </c>
      <c r="BA78" s="107" t="e">
        <f>J78*#REF!</f>
        <v>#REF!</v>
      </c>
      <c r="BB78" s="107" t="e">
        <f>J78*#REF!</f>
        <v>#REF!</v>
      </c>
      <c r="BC78" s="107" t="e">
        <f>J78*#REF!</f>
        <v>#REF!</v>
      </c>
      <c r="BD78" s="107" t="e">
        <f>J78*#REF!</f>
        <v>#REF!</v>
      </c>
      <c r="BE78" s="107" t="e">
        <f>J78*#REF!</f>
        <v>#REF!</v>
      </c>
      <c r="BF78" s="107" t="e">
        <f>J78*#REF!</f>
        <v>#REF!</v>
      </c>
      <c r="BG78" s="107" t="e">
        <f>J78*#REF!</f>
        <v>#REF!</v>
      </c>
      <c r="BH78" s="107" t="e">
        <f>J78*#REF!</f>
        <v>#REF!</v>
      </c>
      <c r="BI78" s="107" t="e">
        <f>J78*#REF!</f>
        <v>#REF!</v>
      </c>
      <c r="BJ78" s="107" t="e">
        <f>J78*#REF!</f>
        <v>#REF!</v>
      </c>
      <c r="BK78" s="107" t="e">
        <f>J78*#REF!</f>
        <v>#REF!</v>
      </c>
      <c r="BL78" s="107" t="e">
        <f>J78*#REF!</f>
        <v>#REF!</v>
      </c>
      <c r="BM78" s="8"/>
      <c r="BN78" s="8"/>
      <c r="BO78" s="8"/>
      <c r="BP78" s="114"/>
    </row>
    <row r="79" s="3" customFormat="1" ht="30" customHeight="1" spans="1:68">
      <c r="A79" s="13">
        <v>44855</v>
      </c>
      <c r="B79" s="14" t="s">
        <v>779</v>
      </c>
      <c r="C79" s="42" t="s">
        <v>780</v>
      </c>
      <c r="D79" s="16">
        <v>4500089151</v>
      </c>
      <c r="E79" s="15" t="s">
        <v>781</v>
      </c>
      <c r="F79" s="16" t="s">
        <v>782</v>
      </c>
      <c r="G79" s="122"/>
      <c r="H79" s="18" t="s">
        <v>658</v>
      </c>
      <c r="I79" s="14" t="s">
        <v>659</v>
      </c>
      <c r="J79" s="3">
        <v>2640</v>
      </c>
      <c r="K79" s="3">
        <v>0</v>
      </c>
      <c r="L79" s="3">
        <v>24</v>
      </c>
      <c r="M79" s="3">
        <f t="shared" si="79"/>
        <v>110</v>
      </c>
      <c r="N79" s="47">
        <v>44902</v>
      </c>
      <c r="O79" s="179" t="s">
        <v>783</v>
      </c>
      <c r="P79" s="48"/>
      <c r="Q79" s="48"/>
      <c r="R79" s="48"/>
      <c r="S79" s="48" t="s">
        <v>754</v>
      </c>
      <c r="T79" s="48">
        <v>44865</v>
      </c>
      <c r="U79" s="48" t="s">
        <v>75</v>
      </c>
      <c r="V79" s="48">
        <v>44862</v>
      </c>
      <c r="W79" s="60" t="s">
        <v>784</v>
      </c>
      <c r="X79" s="73" t="s">
        <v>785</v>
      </c>
      <c r="Y79" s="45">
        <v>1.1166</v>
      </c>
      <c r="Z79" s="46">
        <f t="shared" si="80"/>
        <v>2947.824</v>
      </c>
      <c r="AB79" s="69" t="s">
        <v>78</v>
      </c>
      <c r="AC79" s="59"/>
      <c r="AD79" s="59">
        <f t="shared" si="84"/>
        <v>-2640</v>
      </c>
      <c r="AE79" s="47"/>
      <c r="AF79" s="47" t="s">
        <v>78</v>
      </c>
      <c r="AG79" s="78"/>
      <c r="AH79" s="78">
        <f t="shared" si="85"/>
        <v>2640</v>
      </c>
      <c r="AI79" s="78"/>
      <c r="AJ79" s="78">
        <f t="shared" si="82"/>
        <v>2640</v>
      </c>
      <c r="AK79" s="78"/>
      <c r="AL79" s="80"/>
      <c r="AM79" s="78">
        <f t="shared" si="83"/>
        <v>2640</v>
      </c>
      <c r="AN79" s="80"/>
      <c r="AO79" s="91"/>
      <c r="AP79" s="91"/>
      <c r="AQ79" s="91">
        <f>J79/24</f>
        <v>110</v>
      </c>
      <c r="AR79" s="80"/>
      <c r="AS79" s="80"/>
      <c r="AT79" s="91"/>
      <c r="AU79" s="91"/>
      <c r="AV79" s="91"/>
      <c r="AW79" s="91"/>
      <c r="AX79" s="91"/>
      <c r="AY79" s="91"/>
      <c r="AZ79" s="107" t="e">
        <f>J79*#REF!</f>
        <v>#REF!</v>
      </c>
      <c r="BA79" s="107" t="e">
        <f>J79*#REF!</f>
        <v>#REF!</v>
      </c>
      <c r="BB79" s="107" t="e">
        <f>J79*#REF!</f>
        <v>#REF!</v>
      </c>
      <c r="BC79" s="107" t="e">
        <f>J79*#REF!</f>
        <v>#REF!</v>
      </c>
      <c r="BD79" s="107" t="e">
        <f>J79*#REF!</f>
        <v>#REF!</v>
      </c>
      <c r="BE79" s="107" t="e">
        <f>J79*#REF!</f>
        <v>#REF!</v>
      </c>
      <c r="BF79" s="107" t="e">
        <f>J79*#REF!</f>
        <v>#REF!</v>
      </c>
      <c r="BG79" s="107" t="e">
        <f>J79*#REF!</f>
        <v>#REF!</v>
      </c>
      <c r="BH79" s="107" t="e">
        <f>J79*#REF!</f>
        <v>#REF!</v>
      </c>
      <c r="BI79" s="107" t="e">
        <f>J79*#REF!</f>
        <v>#REF!</v>
      </c>
      <c r="BJ79" s="107" t="e">
        <f>J79*#REF!</f>
        <v>#REF!</v>
      </c>
      <c r="BK79" s="107" t="e">
        <f>J79*#REF!</f>
        <v>#REF!</v>
      </c>
      <c r="BL79" s="107" t="e">
        <f>J79*#REF!</f>
        <v>#REF!</v>
      </c>
      <c r="BM79" s="8"/>
      <c r="BN79" s="8"/>
      <c r="BO79" s="8"/>
      <c r="BP79" s="114"/>
    </row>
    <row r="80" s="3" customFormat="1" ht="30" customHeight="1" spans="1:68">
      <c r="A80" s="13">
        <v>44859</v>
      </c>
      <c r="B80" s="14" t="s">
        <v>786</v>
      </c>
      <c r="C80" s="42" t="s">
        <v>787</v>
      </c>
      <c r="D80" s="16">
        <v>4500089344</v>
      </c>
      <c r="E80" s="15"/>
      <c r="F80" s="16" t="s">
        <v>788</v>
      </c>
      <c r="G80" s="122" t="s">
        <v>789</v>
      </c>
      <c r="H80" s="18" t="s">
        <v>727</v>
      </c>
      <c r="I80" s="14" t="s">
        <v>659</v>
      </c>
      <c r="J80" s="3">
        <v>4800</v>
      </c>
      <c r="K80" s="3">
        <v>0</v>
      </c>
      <c r="L80" s="3">
        <v>48</v>
      </c>
      <c r="M80" s="3">
        <f t="shared" si="79"/>
        <v>100</v>
      </c>
      <c r="N80" s="47">
        <v>44974</v>
      </c>
      <c r="O80" s="179" t="s">
        <v>790</v>
      </c>
      <c r="P80" s="48"/>
      <c r="Q80" s="48"/>
      <c r="R80" s="48"/>
      <c r="S80" s="48" t="s">
        <v>332</v>
      </c>
      <c r="T80" s="48" t="s">
        <v>75</v>
      </c>
      <c r="U80" s="48" t="s">
        <v>332</v>
      </c>
      <c r="V80" s="48" t="s">
        <v>791</v>
      </c>
      <c r="W80" s="60" t="s">
        <v>785</v>
      </c>
      <c r="X80" s="73">
        <v>1.1082</v>
      </c>
      <c r="Y80" s="45">
        <f>X80*J80</f>
        <v>5319.36</v>
      </c>
      <c r="Z80" s="46"/>
      <c r="AA80" s="3" t="s">
        <v>78</v>
      </c>
      <c r="AB80" s="69"/>
      <c r="AC80" s="59">
        <f>AB80-J80</f>
        <v>-4800</v>
      </c>
      <c r="AD80" s="59"/>
      <c r="AE80" s="47" t="s">
        <v>78</v>
      </c>
      <c r="AF80" s="47"/>
      <c r="AG80" s="78">
        <f>J80</f>
        <v>4800</v>
      </c>
      <c r="AH80" s="78"/>
      <c r="AI80" s="78">
        <f>J80</f>
        <v>4800</v>
      </c>
      <c r="AJ80" s="78"/>
      <c r="AK80" s="78"/>
      <c r="AL80" s="80">
        <f>J80</f>
        <v>4800</v>
      </c>
      <c r="AM80" s="78"/>
      <c r="AN80" s="80"/>
      <c r="AO80" s="91"/>
      <c r="AP80" s="91">
        <f>J80/24</f>
        <v>200</v>
      </c>
      <c r="AQ80" s="91"/>
      <c r="AR80" s="80"/>
      <c r="AS80" s="80"/>
      <c r="AT80" s="91"/>
      <c r="AU80" s="91"/>
      <c r="AV80" s="91"/>
      <c r="AW80" s="91"/>
      <c r="AX80" s="91"/>
      <c r="AY80" s="91" t="e">
        <f>J80*#REF!</f>
        <v>#REF!</v>
      </c>
      <c r="AZ80" s="107" t="e">
        <f>J80*#REF!</f>
        <v>#REF!</v>
      </c>
      <c r="BA80" s="107" t="e">
        <f>J80*#REF!</f>
        <v>#REF!</v>
      </c>
      <c r="BB80" s="107" t="e">
        <f>J80*#REF!</f>
        <v>#REF!</v>
      </c>
      <c r="BC80" s="107" t="e">
        <f>J80*#REF!</f>
        <v>#REF!</v>
      </c>
      <c r="BD80" s="107" t="e">
        <f>J80*#REF!</f>
        <v>#REF!</v>
      </c>
      <c r="BE80" s="107" t="e">
        <f>J80*#REF!</f>
        <v>#REF!</v>
      </c>
      <c r="BF80" s="107" t="e">
        <f>J80*#REF!</f>
        <v>#REF!</v>
      </c>
      <c r="BG80" s="107" t="e">
        <f>J80*#REF!</f>
        <v>#REF!</v>
      </c>
      <c r="BH80" s="107" t="e">
        <f>J80*#REF!</f>
        <v>#REF!</v>
      </c>
      <c r="BI80" s="107" t="e">
        <f>J80*#REF!</f>
        <v>#REF!</v>
      </c>
      <c r="BJ80" s="107" t="e">
        <f>J80*#REF!</f>
        <v>#REF!</v>
      </c>
      <c r="BK80" s="107" t="e">
        <f>J80*#REF!</f>
        <v>#REF!</v>
      </c>
      <c r="BL80" s="107"/>
      <c r="BM80" s="8"/>
      <c r="BN80" s="8"/>
      <c r="BO80" s="8"/>
      <c r="BP80" s="114"/>
    </row>
    <row r="81" s="3" customFormat="1" ht="30" customHeight="1" spans="1:67">
      <c r="A81" s="13">
        <v>44957</v>
      </c>
      <c r="B81" s="14" t="s">
        <v>792</v>
      </c>
      <c r="C81" s="42" t="s">
        <v>118</v>
      </c>
      <c r="D81" s="16">
        <v>4500094129</v>
      </c>
      <c r="E81" s="15" t="s">
        <v>793</v>
      </c>
      <c r="F81" s="16" t="s">
        <v>794</v>
      </c>
      <c r="G81" s="123" t="s">
        <v>795</v>
      </c>
      <c r="H81" s="18" t="s">
        <v>727</v>
      </c>
      <c r="I81" s="14" t="s">
        <v>659</v>
      </c>
      <c r="J81" s="3">
        <v>624</v>
      </c>
      <c r="K81" s="3">
        <v>0</v>
      </c>
      <c r="L81" s="3">
        <v>48</v>
      </c>
      <c r="M81" s="3">
        <f t="shared" si="79"/>
        <v>13</v>
      </c>
      <c r="N81" s="47">
        <v>45034</v>
      </c>
      <c r="O81" s="47" t="s">
        <v>660</v>
      </c>
      <c r="P81" s="180"/>
      <c r="Q81" s="180"/>
      <c r="R81" s="180"/>
      <c r="S81" s="180">
        <v>44998</v>
      </c>
      <c r="T81" s="180" t="s">
        <v>75</v>
      </c>
      <c r="U81" s="180" t="s">
        <v>75</v>
      </c>
      <c r="V81" s="60" t="s">
        <v>796</v>
      </c>
      <c r="W81" s="73" t="s">
        <v>797</v>
      </c>
      <c r="X81" s="45">
        <v>1.0505</v>
      </c>
      <c r="Y81" s="46">
        <f>X81*J81</f>
        <v>655.512</v>
      </c>
      <c r="AA81" s="69" t="s">
        <v>78</v>
      </c>
      <c r="AB81" s="59"/>
      <c r="AC81" s="59">
        <f>AB81-J81</f>
        <v>-624</v>
      </c>
      <c r="AD81" s="47"/>
      <c r="AE81" s="47" t="s">
        <v>78</v>
      </c>
      <c r="AF81" s="78">
        <f>J81</f>
        <v>624</v>
      </c>
      <c r="AG81" s="78"/>
      <c r="AH81" s="78"/>
      <c r="AI81" s="78">
        <f>J81</f>
        <v>624</v>
      </c>
      <c r="AJ81" s="78"/>
      <c r="AK81" s="80"/>
      <c r="AL81" s="78">
        <f>AF81</f>
        <v>624</v>
      </c>
      <c r="AM81" s="80"/>
      <c r="AN81" s="91"/>
      <c r="AO81" s="91">
        <f>J81/24</f>
        <v>26</v>
      </c>
      <c r="AP81" s="91"/>
      <c r="AQ81" s="80"/>
      <c r="AR81" s="80"/>
      <c r="AS81" s="91"/>
      <c r="AT81" s="91"/>
      <c r="AU81" s="91"/>
      <c r="AV81" s="91"/>
      <c r="AW81" s="91"/>
      <c r="AX81" s="91"/>
      <c r="AY81" s="107" t="e">
        <f>J81*#REF!</f>
        <v>#REF!</v>
      </c>
      <c r="AZ81" s="107" t="e">
        <f>J81*#REF!</f>
        <v>#REF!</v>
      </c>
      <c r="BA81" s="107" t="e">
        <f>J81*#REF!</f>
        <v>#REF!</v>
      </c>
      <c r="BB81" s="107" t="e">
        <f>J81*#REF!</f>
        <v>#REF!</v>
      </c>
      <c r="BC81" s="107" t="e">
        <f>J81*#REF!</f>
        <v>#REF!</v>
      </c>
      <c r="BD81" s="107" t="e">
        <f>J81*#REF!</f>
        <v>#REF!</v>
      </c>
      <c r="BE81" s="107" t="e">
        <f>J81*#REF!</f>
        <v>#REF!</v>
      </c>
      <c r="BF81" s="107" t="e">
        <f>J81*#REF!</f>
        <v>#REF!</v>
      </c>
      <c r="BG81" s="107" t="e">
        <f>J81*#REF!</f>
        <v>#REF!</v>
      </c>
      <c r="BH81" s="107" t="e">
        <f>J81*#REF!</f>
        <v>#REF!</v>
      </c>
      <c r="BI81" s="107" t="e">
        <f>J81*#REF!</f>
        <v>#REF!</v>
      </c>
      <c r="BJ81" s="107" t="e">
        <f>J81*#REF!</f>
        <v>#REF!</v>
      </c>
      <c r="BK81" s="107" t="e">
        <f>J81*#REF!</f>
        <v>#REF!</v>
      </c>
      <c r="BL81" s="8"/>
      <c r="BM81" s="8"/>
      <c r="BN81" s="8"/>
      <c r="BO81" s="114"/>
    </row>
    <row r="82" s="3" customFormat="1" ht="30" customHeight="1" spans="1:77">
      <c r="A82" s="13">
        <v>44900</v>
      </c>
      <c r="B82" s="14" t="s">
        <v>798</v>
      </c>
      <c r="C82" s="42" t="s">
        <v>177</v>
      </c>
      <c r="D82" s="16">
        <v>4500091987</v>
      </c>
      <c r="E82" s="15">
        <v>27125605</v>
      </c>
      <c r="F82" s="16" t="s">
        <v>799</v>
      </c>
      <c r="G82" s="123" t="s">
        <v>638</v>
      </c>
      <c r="H82" s="18" t="s">
        <v>638</v>
      </c>
      <c r="I82" s="14" t="s">
        <v>594</v>
      </c>
      <c r="J82" s="3">
        <v>2688</v>
      </c>
      <c r="K82" s="3">
        <v>0</v>
      </c>
      <c r="L82" s="3">
        <v>48</v>
      </c>
      <c r="M82" s="3">
        <f t="shared" si="79"/>
        <v>56</v>
      </c>
      <c r="N82" s="47">
        <v>45092</v>
      </c>
      <c r="O82" s="47" t="s">
        <v>660</v>
      </c>
      <c r="P82" s="180"/>
      <c r="Q82" s="180"/>
      <c r="R82" s="180"/>
      <c r="S82" s="180"/>
      <c r="T82" s="180" t="s">
        <v>332</v>
      </c>
      <c r="U82" s="180" t="s">
        <v>75</v>
      </c>
      <c r="V82" s="60" t="s">
        <v>75</v>
      </c>
      <c r="W82" s="73" t="s">
        <v>800</v>
      </c>
      <c r="X82" s="45" t="s">
        <v>801</v>
      </c>
      <c r="Y82" s="46">
        <v>1.1294</v>
      </c>
      <c r="Z82" s="3">
        <f>J82*Y82</f>
        <v>3035.8272</v>
      </c>
      <c r="AA82" s="69"/>
      <c r="AB82" s="59" t="s">
        <v>78</v>
      </c>
      <c r="AC82" s="59"/>
      <c r="AD82" s="47">
        <f>AC82-J82</f>
        <v>-2688</v>
      </c>
      <c r="AE82" s="47"/>
      <c r="AF82" s="78" t="s">
        <v>78</v>
      </c>
      <c r="AG82" s="78"/>
      <c r="AH82" s="78">
        <f>J82</f>
        <v>2688</v>
      </c>
      <c r="AI82" s="78"/>
      <c r="AJ82" s="78"/>
      <c r="AK82" s="80"/>
      <c r="AL82" s="78"/>
      <c r="AM82" s="80">
        <f>J82</f>
        <v>2688</v>
      </c>
      <c r="AN82" s="91"/>
      <c r="AO82" s="91"/>
      <c r="AP82" s="91"/>
      <c r="AQ82" s="80"/>
      <c r="AR82" s="80">
        <f>J82</f>
        <v>2688</v>
      </c>
      <c r="AS82" s="91"/>
      <c r="AT82" s="91"/>
      <c r="AU82" s="91"/>
      <c r="AV82" s="91"/>
      <c r="AW82" s="91"/>
      <c r="AX82" s="91">
        <f>J82/24</f>
        <v>112</v>
      </c>
      <c r="AY82" s="107"/>
      <c r="AZ82" s="107"/>
      <c r="BA82" s="107"/>
      <c r="BB82" s="107"/>
      <c r="BC82" s="107"/>
      <c r="BD82" s="107"/>
      <c r="BE82" s="107"/>
      <c r="BF82" s="107"/>
      <c r="BG82" s="107"/>
      <c r="BH82" s="107"/>
      <c r="BI82" s="107"/>
      <c r="BJ82" s="107"/>
      <c r="BK82" s="107"/>
      <c r="BL82" s="8"/>
      <c r="BM82" s="8"/>
      <c r="BN82" s="8"/>
      <c r="BO82" s="114"/>
      <c r="BP82" s="3">
        <f>J82/96*12</f>
        <v>336</v>
      </c>
      <c r="BQ82" s="3">
        <f>J82/96*12</f>
        <v>336</v>
      </c>
      <c r="BR82" s="3">
        <f>J82/96*11</f>
        <v>308</v>
      </c>
      <c r="BS82" s="3">
        <f>J82/96*1</f>
        <v>28</v>
      </c>
      <c r="BT82" s="3">
        <f>J82/96*12</f>
        <v>336</v>
      </c>
      <c r="BU82" s="3">
        <f>J82/96*12</f>
        <v>336</v>
      </c>
      <c r="BV82" s="3">
        <f>J82/96*12</f>
        <v>336</v>
      </c>
      <c r="BW82" s="3">
        <f>J82/96*12</f>
        <v>336</v>
      </c>
      <c r="BX82" s="3">
        <f>J82/96*11</f>
        <v>308</v>
      </c>
      <c r="BY82" s="3">
        <f>J82/96*1</f>
        <v>28</v>
      </c>
    </row>
    <row r="83" s="3" customFormat="1" ht="30" customHeight="1" spans="1:77">
      <c r="A83" s="13">
        <v>44900</v>
      </c>
      <c r="B83" s="14" t="s">
        <v>798</v>
      </c>
      <c r="C83" s="42" t="s">
        <v>177</v>
      </c>
      <c r="D83" s="16">
        <v>4500091987</v>
      </c>
      <c r="E83" s="15">
        <v>27125605</v>
      </c>
      <c r="F83" s="16" t="s">
        <v>802</v>
      </c>
      <c r="G83" s="123" t="s">
        <v>638</v>
      </c>
      <c r="H83" s="18" t="s">
        <v>638</v>
      </c>
      <c r="I83" s="14" t="s">
        <v>594</v>
      </c>
      <c r="J83" s="3">
        <v>912</v>
      </c>
      <c r="K83" s="3">
        <v>0</v>
      </c>
      <c r="L83" s="3">
        <v>48</v>
      </c>
      <c r="M83" s="3">
        <f t="shared" si="79"/>
        <v>19</v>
      </c>
      <c r="N83" s="47">
        <v>45092</v>
      </c>
      <c r="O83" s="47" t="s">
        <v>660</v>
      </c>
      <c r="P83" s="180"/>
      <c r="Q83" s="180"/>
      <c r="R83" s="180"/>
      <c r="S83" s="180"/>
      <c r="T83" s="180" t="s">
        <v>332</v>
      </c>
      <c r="U83" s="180" t="s">
        <v>75</v>
      </c>
      <c r="V83" s="60" t="s">
        <v>75</v>
      </c>
      <c r="W83" s="73" t="s">
        <v>800</v>
      </c>
      <c r="X83" s="45" t="s">
        <v>801</v>
      </c>
      <c r="Y83" s="46">
        <v>1.1529</v>
      </c>
      <c r="Z83" s="3">
        <f>J83*Y83</f>
        <v>1051.4448</v>
      </c>
      <c r="AA83" s="69"/>
      <c r="AB83" s="59" t="s">
        <v>78</v>
      </c>
      <c r="AC83" s="59"/>
      <c r="AD83" s="47">
        <f>AC83-J83</f>
        <v>-912</v>
      </c>
      <c r="AE83" s="47"/>
      <c r="AF83" s="78" t="s">
        <v>78</v>
      </c>
      <c r="AG83" s="78"/>
      <c r="AH83" s="78">
        <f>J83</f>
        <v>912</v>
      </c>
      <c r="AI83" s="78"/>
      <c r="AJ83" s="78"/>
      <c r="AK83" s="80"/>
      <c r="AL83" s="78"/>
      <c r="AM83" s="80">
        <f>J83</f>
        <v>912</v>
      </c>
      <c r="AN83" s="91"/>
      <c r="AO83" s="91"/>
      <c r="AP83" s="91"/>
      <c r="AQ83" s="80"/>
      <c r="AR83" s="80">
        <f>J83</f>
        <v>912</v>
      </c>
      <c r="AS83" s="91"/>
      <c r="AT83" s="91"/>
      <c r="AU83" s="91"/>
      <c r="AV83" s="91"/>
      <c r="AW83" s="91"/>
      <c r="AX83" s="91">
        <f>J83/24</f>
        <v>38</v>
      </c>
      <c r="AY83" s="107"/>
      <c r="AZ83" s="107"/>
      <c r="BA83" s="107"/>
      <c r="BB83" s="107"/>
      <c r="BC83" s="107"/>
      <c r="BD83" s="107"/>
      <c r="BE83" s="107"/>
      <c r="BF83" s="107"/>
      <c r="BG83" s="107"/>
      <c r="BH83" s="107"/>
      <c r="BI83" s="107"/>
      <c r="BJ83" s="107"/>
      <c r="BK83" s="107"/>
      <c r="BL83" s="8"/>
      <c r="BM83" s="8"/>
      <c r="BN83" s="8"/>
      <c r="BO83" s="114"/>
      <c r="BP83" s="3">
        <f>J83/96*12</f>
        <v>114</v>
      </c>
      <c r="BQ83" s="3">
        <f>J83/96*12</f>
        <v>114</v>
      </c>
      <c r="BR83" s="3">
        <f>J83/96*11</f>
        <v>104.5</v>
      </c>
      <c r="BS83" s="3">
        <f>J83/96*1</f>
        <v>9.5</v>
      </c>
      <c r="BT83" s="3">
        <f>J83/96*12</f>
        <v>114</v>
      </c>
      <c r="BU83" s="3">
        <f>J83/96*12</f>
        <v>114</v>
      </c>
      <c r="BV83" s="3">
        <f>J83/96*12</f>
        <v>114</v>
      </c>
      <c r="BW83" s="3">
        <f>J83/96*12</f>
        <v>114</v>
      </c>
      <c r="BX83" s="3">
        <f>J83/96*11</f>
        <v>104.5</v>
      </c>
      <c r="BY83" s="3">
        <f>J83/96*1</f>
        <v>9.5</v>
      </c>
    </row>
    <row r="84" s="6" customFormat="1" ht="39" customHeight="1" spans="1:77">
      <c r="A84" s="28">
        <v>44573</v>
      </c>
      <c r="B84" s="34" t="s">
        <v>147</v>
      </c>
      <c r="C84" s="30" t="s">
        <v>118</v>
      </c>
      <c r="D84" s="31">
        <v>4500069141</v>
      </c>
      <c r="E84" s="32" t="s">
        <v>803</v>
      </c>
      <c r="F84" s="32"/>
      <c r="G84" s="33" t="s">
        <v>618</v>
      </c>
      <c r="H84" s="34" t="s">
        <v>619</v>
      </c>
      <c r="I84" s="6">
        <v>1232</v>
      </c>
      <c r="J84" s="6">
        <v>0</v>
      </c>
      <c r="K84" s="6">
        <v>16</v>
      </c>
      <c r="L84" s="6">
        <f t="shared" ref="L84:L87" si="86">I84/K84</f>
        <v>77</v>
      </c>
      <c r="M84" s="82">
        <v>44670</v>
      </c>
      <c r="N84" s="82" t="s">
        <v>804</v>
      </c>
      <c r="O84" s="50"/>
      <c r="P84" s="50"/>
      <c r="Q84" s="50"/>
      <c r="R84" s="50">
        <v>44602</v>
      </c>
      <c r="S84" s="50" t="s">
        <v>75</v>
      </c>
      <c r="T84" s="50" t="s">
        <v>332</v>
      </c>
      <c r="U84" s="61" t="s">
        <v>622</v>
      </c>
      <c r="V84" s="195" t="s">
        <v>623</v>
      </c>
      <c r="W84" s="63">
        <v>2.6215</v>
      </c>
      <c r="X84" s="64">
        <f t="shared" ref="X84:X87" si="87">W84*I84</f>
        <v>3229.688</v>
      </c>
      <c r="AA84" s="50" t="s">
        <v>544</v>
      </c>
      <c r="AB84" s="81"/>
      <c r="AC84" s="81">
        <f t="shared" ref="AC84:AC87" si="88">AB84-I84</f>
        <v>-1232</v>
      </c>
      <c r="AD84" s="82"/>
      <c r="AE84" s="83">
        <f>I84*2</f>
        <v>2464</v>
      </c>
      <c r="AF84" s="83"/>
      <c r="AG84" s="83"/>
      <c r="AH84" s="83"/>
      <c r="AI84" s="83"/>
      <c r="AJ84" s="77"/>
      <c r="AK84" s="83">
        <f>I84*2</f>
        <v>2464</v>
      </c>
      <c r="AL84" s="83"/>
      <c r="AM84" s="83"/>
      <c r="AN84" s="83"/>
      <c r="AO84" s="83"/>
      <c r="AP84" s="77"/>
      <c r="AQ84" s="92">
        <f>I84*2</f>
        <v>2464</v>
      </c>
      <c r="AR84" s="92"/>
      <c r="AS84" s="92"/>
      <c r="AT84" s="92"/>
      <c r="AU84" s="92"/>
      <c r="AV84" s="89"/>
      <c r="AW84" s="89"/>
      <c r="AX84" s="89"/>
      <c r="AY84" s="89"/>
      <c r="AZ84" s="89"/>
      <c r="BA84" s="92"/>
      <c r="BB84" s="92"/>
      <c r="BC84" s="92"/>
      <c r="BD84" s="92"/>
      <c r="BE84" s="89"/>
      <c r="BF84" s="89"/>
      <c r="BG84" s="89"/>
      <c r="BH84" s="89"/>
      <c r="BI84" s="89"/>
      <c r="BJ84" s="89"/>
      <c r="BK84" s="89"/>
      <c r="BL84" s="104">
        <f>I84/96*12*2</f>
        <v>308</v>
      </c>
      <c r="BM84" s="104">
        <f>I84/96*12*2</f>
        <v>308</v>
      </c>
      <c r="BN84" s="105">
        <f>I84/96*11*2</f>
        <v>282.333333333333</v>
      </c>
      <c r="BO84" s="105">
        <f>I84/96*1*2</f>
        <v>25.6666666666667</v>
      </c>
      <c r="BP84" s="104">
        <f>I84/96*12*2</f>
        <v>308</v>
      </c>
      <c r="BQ84" s="104">
        <f>I84/96*12*2</f>
        <v>308</v>
      </c>
      <c r="BR84" s="104">
        <f>I84/96*12*2</f>
        <v>308</v>
      </c>
      <c r="BS84" s="104">
        <f>I84/96*12*2</f>
        <v>308</v>
      </c>
      <c r="BT84" s="105">
        <f>I84/96*11*2</f>
        <v>282.333333333333</v>
      </c>
      <c r="BU84" s="105">
        <f>I84/96*1*2</f>
        <v>25.6666666666667</v>
      </c>
      <c r="BW84" s="34"/>
      <c r="BY84" s="195"/>
    </row>
    <row r="85" s="6" customFormat="1" ht="39" customHeight="1" spans="1:77">
      <c r="A85" s="28">
        <v>44573</v>
      </c>
      <c r="B85" s="34" t="s">
        <v>147</v>
      </c>
      <c r="C85" s="30" t="s">
        <v>118</v>
      </c>
      <c r="D85" s="31">
        <v>4500069141</v>
      </c>
      <c r="E85" s="32" t="s">
        <v>803</v>
      </c>
      <c r="F85" s="32"/>
      <c r="G85" s="33" t="s">
        <v>569</v>
      </c>
      <c r="H85" s="34" t="s">
        <v>568</v>
      </c>
      <c r="I85" s="6">
        <v>612</v>
      </c>
      <c r="J85" s="6">
        <v>0</v>
      </c>
      <c r="K85" s="6">
        <v>12</v>
      </c>
      <c r="L85" s="6">
        <f t="shared" si="86"/>
        <v>51</v>
      </c>
      <c r="M85" s="82">
        <v>44670</v>
      </c>
      <c r="N85" s="82" t="s">
        <v>804</v>
      </c>
      <c r="O85" s="50"/>
      <c r="P85" s="50"/>
      <c r="Q85" s="50"/>
      <c r="R85" s="50">
        <v>44602</v>
      </c>
      <c r="S85" s="50" t="s">
        <v>75</v>
      </c>
      <c r="T85" s="50" t="s">
        <v>332</v>
      </c>
      <c r="U85" s="61" t="s">
        <v>622</v>
      </c>
      <c r="V85" s="195" t="s">
        <v>623</v>
      </c>
      <c r="W85" s="63">
        <v>3.7555</v>
      </c>
      <c r="X85" s="64">
        <f t="shared" si="87"/>
        <v>2298.366</v>
      </c>
      <c r="AA85" s="50" t="s">
        <v>544</v>
      </c>
      <c r="AB85" s="81"/>
      <c r="AC85" s="81">
        <f t="shared" si="88"/>
        <v>-612</v>
      </c>
      <c r="AD85" s="82"/>
      <c r="AE85" s="83">
        <f>I85*3</f>
        <v>1836</v>
      </c>
      <c r="AF85" s="83"/>
      <c r="AG85" s="83"/>
      <c r="AH85" s="83"/>
      <c r="AI85" s="83"/>
      <c r="AJ85" s="77"/>
      <c r="AK85" s="6">
        <f>I85*3</f>
        <v>1836</v>
      </c>
      <c r="AM85" s="83"/>
      <c r="AN85" s="83"/>
      <c r="AO85" s="83"/>
      <c r="AP85" s="77"/>
      <c r="AQ85" s="6">
        <f>I85*3</f>
        <v>1836</v>
      </c>
      <c r="AS85" s="92"/>
      <c r="AT85" s="92"/>
      <c r="AU85" s="92"/>
      <c r="AV85" s="89"/>
      <c r="AW85" s="89"/>
      <c r="AX85" s="89"/>
      <c r="AY85" s="89"/>
      <c r="AZ85" s="89"/>
      <c r="BA85" s="92"/>
      <c r="BB85" s="92"/>
      <c r="BC85" s="92"/>
      <c r="BD85" s="92"/>
      <c r="BE85" s="89"/>
      <c r="BF85" s="89"/>
      <c r="BG85" s="89"/>
      <c r="BH85" s="89"/>
      <c r="BI85" s="89"/>
      <c r="BJ85" s="89"/>
      <c r="BK85" s="89"/>
      <c r="BL85" s="105">
        <f>I85/96*12*3</f>
        <v>229.5</v>
      </c>
      <c r="BM85" s="105">
        <f>I85/96*12*3</f>
        <v>229.5</v>
      </c>
      <c r="BN85" s="105">
        <f>I85/96*11*3</f>
        <v>210.375</v>
      </c>
      <c r="BO85" s="105">
        <f>I85/96*1*3</f>
        <v>19.125</v>
      </c>
      <c r="BP85" s="105">
        <f>I85/96*12*3</f>
        <v>229.5</v>
      </c>
      <c r="BQ85" s="105">
        <f>I85/96*12*3</f>
        <v>229.5</v>
      </c>
      <c r="BR85" s="105">
        <f>I85/96*12*3</f>
        <v>229.5</v>
      </c>
      <c r="BS85" s="105">
        <f>I85/96*12*3</f>
        <v>229.5</v>
      </c>
      <c r="BT85" s="105">
        <f>I85/96*11*3</f>
        <v>210.375</v>
      </c>
      <c r="BU85" s="105">
        <f>I85/96*1*3</f>
        <v>19.125</v>
      </c>
      <c r="BW85" s="34"/>
      <c r="BY85" s="195"/>
    </row>
    <row r="86" s="6" customFormat="1" ht="39" customHeight="1" spans="1:77">
      <c r="A86" s="28">
        <v>44573</v>
      </c>
      <c r="B86" s="34" t="s">
        <v>147</v>
      </c>
      <c r="C86" s="30" t="s">
        <v>118</v>
      </c>
      <c r="D86" s="31">
        <v>4500069136</v>
      </c>
      <c r="E86" s="32" t="s">
        <v>805</v>
      </c>
      <c r="F86" s="32"/>
      <c r="G86" s="33" t="s">
        <v>618</v>
      </c>
      <c r="H86" s="34" t="s">
        <v>619</v>
      </c>
      <c r="I86" s="6">
        <v>656</v>
      </c>
      <c r="J86" s="6">
        <v>0</v>
      </c>
      <c r="K86" s="6">
        <v>16</v>
      </c>
      <c r="L86" s="6">
        <f t="shared" si="86"/>
        <v>41</v>
      </c>
      <c r="M86" s="82">
        <v>44700</v>
      </c>
      <c r="N86" s="82" t="s">
        <v>806</v>
      </c>
      <c r="O86" s="50"/>
      <c r="P86" s="50"/>
      <c r="Q86" s="50"/>
      <c r="R86" s="50" t="s">
        <v>332</v>
      </c>
      <c r="S86" s="50" t="s">
        <v>75</v>
      </c>
      <c r="T86" s="50" t="s">
        <v>332</v>
      </c>
      <c r="U86" s="61" t="s">
        <v>622</v>
      </c>
      <c r="V86" s="195" t="s">
        <v>623</v>
      </c>
      <c r="W86" s="63">
        <v>2.6842</v>
      </c>
      <c r="X86" s="64">
        <f t="shared" si="87"/>
        <v>1760.8352</v>
      </c>
      <c r="AA86" s="50" t="s">
        <v>544</v>
      </c>
      <c r="AB86" s="81"/>
      <c r="AC86" s="81">
        <f t="shared" si="88"/>
        <v>-656</v>
      </c>
      <c r="AD86" s="82"/>
      <c r="AE86" s="83">
        <f>I86*2</f>
        <v>1312</v>
      </c>
      <c r="AF86" s="83"/>
      <c r="AG86" s="83"/>
      <c r="AH86" s="83"/>
      <c r="AI86" s="83"/>
      <c r="AJ86" s="77"/>
      <c r="AK86" s="83">
        <f>I86*2</f>
        <v>1312</v>
      </c>
      <c r="AL86" s="83"/>
      <c r="AM86" s="83"/>
      <c r="AN86" s="83"/>
      <c r="AO86" s="83"/>
      <c r="AP86" s="77"/>
      <c r="AQ86" s="92">
        <f>I86*2</f>
        <v>1312</v>
      </c>
      <c r="AR86" s="92"/>
      <c r="AS86" s="92"/>
      <c r="AT86" s="92"/>
      <c r="AU86" s="92"/>
      <c r="AV86" s="92"/>
      <c r="AW86" s="89"/>
      <c r="AX86" s="89"/>
      <c r="AY86" s="89"/>
      <c r="AZ86" s="89"/>
      <c r="BA86" s="92"/>
      <c r="BB86" s="92"/>
      <c r="BC86" s="92"/>
      <c r="BD86" s="92"/>
      <c r="BE86" s="89"/>
      <c r="BF86" s="89"/>
      <c r="BG86" s="89"/>
      <c r="BH86" s="89"/>
      <c r="BI86" s="89"/>
      <c r="BJ86" s="89"/>
      <c r="BK86" s="89"/>
      <c r="BL86" s="104">
        <f>I86/96*12*2</f>
        <v>164</v>
      </c>
      <c r="BM86" s="104">
        <f>I86/96*12*2</f>
        <v>164</v>
      </c>
      <c r="BN86" s="105">
        <f>I86/96*11*2</f>
        <v>150.333333333333</v>
      </c>
      <c r="BO86" s="105">
        <f>I86/96*1*2</f>
        <v>13.6666666666667</v>
      </c>
      <c r="BP86" s="104">
        <f>I86/96*12*2</f>
        <v>164</v>
      </c>
      <c r="BQ86" s="104">
        <f>I86/96*12*2</f>
        <v>164</v>
      </c>
      <c r="BR86" s="104">
        <f>I86/96*12*2</f>
        <v>164</v>
      </c>
      <c r="BS86" s="104">
        <f>I86/96*12*2</f>
        <v>164</v>
      </c>
      <c r="BT86" s="105">
        <f>I86/96*11*2</f>
        <v>150.333333333333</v>
      </c>
      <c r="BU86" s="105">
        <f>I86/96*1*2</f>
        <v>13.6666666666667</v>
      </c>
      <c r="BW86" s="34"/>
      <c r="BY86" s="195"/>
    </row>
    <row r="87" s="6" customFormat="1" ht="40" customHeight="1" spans="1:77">
      <c r="A87" s="28">
        <v>44573</v>
      </c>
      <c r="B87" s="34" t="s">
        <v>147</v>
      </c>
      <c r="C87" s="30" t="s">
        <v>118</v>
      </c>
      <c r="D87" s="31">
        <v>4500069136</v>
      </c>
      <c r="E87" s="32" t="s">
        <v>805</v>
      </c>
      <c r="F87" s="32"/>
      <c r="G87" s="33" t="s">
        <v>569</v>
      </c>
      <c r="H87" s="34" t="s">
        <v>568</v>
      </c>
      <c r="I87" s="6">
        <v>336</v>
      </c>
      <c r="J87" s="6">
        <v>0</v>
      </c>
      <c r="K87" s="6">
        <v>12</v>
      </c>
      <c r="L87" s="6">
        <f t="shared" si="86"/>
        <v>28</v>
      </c>
      <c r="M87" s="82">
        <v>44700</v>
      </c>
      <c r="N87" s="82" t="s">
        <v>806</v>
      </c>
      <c r="O87" s="50"/>
      <c r="P87" s="51"/>
      <c r="Q87" s="50"/>
      <c r="R87" s="50" t="s">
        <v>332</v>
      </c>
      <c r="S87" s="50" t="s">
        <v>75</v>
      </c>
      <c r="T87" s="50" t="s">
        <v>332</v>
      </c>
      <c r="U87" s="61" t="s">
        <v>622</v>
      </c>
      <c r="V87" s="195" t="s">
        <v>623</v>
      </c>
      <c r="W87" s="63">
        <v>3.7555</v>
      </c>
      <c r="X87" s="64">
        <f t="shared" si="87"/>
        <v>1261.848</v>
      </c>
      <c r="AA87" s="50" t="s">
        <v>544</v>
      </c>
      <c r="AB87" s="81"/>
      <c r="AC87" s="81">
        <f t="shared" si="88"/>
        <v>-336</v>
      </c>
      <c r="AD87" s="82"/>
      <c r="AE87" s="83">
        <f>I87*3</f>
        <v>1008</v>
      </c>
      <c r="AF87" s="83"/>
      <c r="AG87" s="83"/>
      <c r="AH87" s="83"/>
      <c r="AI87" s="83"/>
      <c r="AJ87" s="77"/>
      <c r="AK87" s="6">
        <f>I87*3</f>
        <v>1008</v>
      </c>
      <c r="AM87" s="83"/>
      <c r="AN87" s="83"/>
      <c r="AO87" s="83"/>
      <c r="AP87" s="77"/>
      <c r="AQ87" s="6">
        <f>I87*3</f>
        <v>1008</v>
      </c>
      <c r="AS87" s="92"/>
      <c r="AT87" s="92"/>
      <c r="AU87" s="92"/>
      <c r="AV87" s="89"/>
      <c r="AW87" s="89"/>
      <c r="AX87" s="89"/>
      <c r="AY87" s="89"/>
      <c r="AZ87" s="89"/>
      <c r="BA87" s="89"/>
      <c r="BB87" s="89"/>
      <c r="BC87" s="89"/>
      <c r="BD87" s="89"/>
      <c r="BE87" s="89"/>
      <c r="BF87" s="89"/>
      <c r="BG87" s="89"/>
      <c r="BH87" s="89"/>
      <c r="BI87" s="89"/>
      <c r="BJ87" s="89"/>
      <c r="BK87" s="89"/>
      <c r="BL87" s="105">
        <f>I87/96*12*3</f>
        <v>126</v>
      </c>
      <c r="BM87" s="105">
        <f>I87/96*12*3</f>
        <v>126</v>
      </c>
      <c r="BN87" s="105">
        <f>I87/96*11*3</f>
        <v>115.5</v>
      </c>
      <c r="BO87" s="105">
        <f>I87/96*1*3</f>
        <v>10.5</v>
      </c>
      <c r="BP87" s="105">
        <f>I87/96*12*3</f>
        <v>126</v>
      </c>
      <c r="BQ87" s="105">
        <f>I87/96*12*3</f>
        <v>126</v>
      </c>
      <c r="BR87" s="105">
        <f>I87/96*12*3</f>
        <v>126</v>
      </c>
      <c r="BS87" s="105">
        <f>I87/96*12*3</f>
        <v>126</v>
      </c>
      <c r="BT87" s="105">
        <f>I87/96*11*3</f>
        <v>115.5</v>
      </c>
      <c r="BU87" s="105">
        <f>I87/96*1*3</f>
        <v>10.5</v>
      </c>
      <c r="BW87" s="34"/>
      <c r="BY87" s="195"/>
    </row>
    <row r="88" s="3" customFormat="1" ht="25" customHeight="1" spans="1:65">
      <c r="A88" s="124">
        <v>45071</v>
      </c>
      <c r="B88" s="125" t="s">
        <v>624</v>
      </c>
      <c r="C88" s="126" t="s">
        <v>118</v>
      </c>
      <c r="D88" s="127" t="s">
        <v>807</v>
      </c>
      <c r="E88" s="125" t="s">
        <v>565</v>
      </c>
      <c r="F88" s="127" t="s">
        <v>808</v>
      </c>
      <c r="G88" s="128" t="s">
        <v>658</v>
      </c>
      <c r="H88" s="129" t="s">
        <v>658</v>
      </c>
      <c r="I88" s="132" t="s">
        <v>659</v>
      </c>
      <c r="J88" s="181">
        <v>144</v>
      </c>
      <c r="K88" s="181">
        <v>0</v>
      </c>
      <c r="L88" s="181">
        <v>24</v>
      </c>
      <c r="M88" s="181">
        <f t="shared" ref="M88:M95" si="89">J88/L88</f>
        <v>6</v>
      </c>
      <c r="N88" s="182">
        <v>45107</v>
      </c>
      <c r="O88" s="182" t="s">
        <v>790</v>
      </c>
      <c r="P88" s="183"/>
      <c r="Q88" s="183"/>
      <c r="R88" s="183"/>
      <c r="S88" s="183" t="s">
        <v>75</v>
      </c>
      <c r="T88" s="183" t="s">
        <v>75</v>
      </c>
      <c r="U88" s="183" t="s">
        <v>75</v>
      </c>
      <c r="V88" s="196" t="s">
        <v>809</v>
      </c>
      <c r="W88" s="197" t="s">
        <v>810</v>
      </c>
      <c r="X88" s="198">
        <v>1.236</v>
      </c>
      <c r="Y88" s="219">
        <f t="shared" ref="Y88:Y95" si="90">X88*J88</f>
        <v>177.984</v>
      </c>
      <c r="Z88" s="181"/>
      <c r="AA88" s="181" t="s">
        <v>811</v>
      </c>
      <c r="AB88" s="220"/>
      <c r="AC88" s="220">
        <f t="shared" ref="AC88:AC95" si="91">AB88-J88</f>
        <v>-144</v>
      </c>
      <c r="AD88" s="182"/>
      <c r="AE88" s="182"/>
      <c r="AF88" s="128">
        <f t="shared" ref="AF88:AF95" si="92">J88</f>
        <v>144</v>
      </c>
      <c r="AG88" s="128"/>
      <c r="AH88" s="128"/>
      <c r="AI88" s="128">
        <f t="shared" ref="AI88:AI91" si="93">J88</f>
        <v>144</v>
      </c>
      <c r="AJ88" s="237"/>
      <c r="AK88" s="128">
        <f t="shared" ref="AK88:AK91" si="94">J88</f>
        <v>144</v>
      </c>
      <c r="AL88" s="238"/>
      <c r="AM88" s="238">
        <f>J88/24</f>
        <v>6</v>
      </c>
      <c r="AN88" s="238"/>
      <c r="AO88" s="238"/>
      <c r="AP88" s="238"/>
      <c r="AQ88" s="237"/>
      <c r="AR88" s="237"/>
      <c r="AS88" s="237"/>
      <c r="AT88" s="237"/>
      <c r="AU88" s="238"/>
      <c r="AV88" s="238"/>
      <c r="AW88" s="252" t="e">
        <f>J88*#REF!</f>
        <v>#REF!</v>
      </c>
      <c r="AX88" s="252" t="e">
        <f>J88*#REF!</f>
        <v>#REF!</v>
      </c>
      <c r="AY88" s="252" t="e">
        <f>J88*#REF!</f>
        <v>#REF!</v>
      </c>
      <c r="AZ88" s="252" t="e">
        <f>J88*#REF!</f>
        <v>#REF!</v>
      </c>
      <c r="BA88" s="252" t="e">
        <f>J88*#REF!</f>
        <v>#REF!</v>
      </c>
      <c r="BB88" s="252" t="e">
        <f>J88*#REF!</f>
        <v>#REF!</v>
      </c>
      <c r="BC88" s="252" t="e">
        <f>J88*#REF!</f>
        <v>#REF!</v>
      </c>
      <c r="BD88" s="252" t="e">
        <f>J88*#REF!</f>
        <v>#REF!</v>
      </c>
      <c r="BE88" s="252" t="e">
        <f>J88*#REF!</f>
        <v>#REF!</v>
      </c>
      <c r="BF88" s="252" t="e">
        <f>J88*#REF!</f>
        <v>#REF!</v>
      </c>
      <c r="BG88" s="252" t="e">
        <f>J88*#REF!</f>
        <v>#REF!</v>
      </c>
      <c r="BH88" s="252" t="e">
        <f>J88*#REF!</f>
        <v>#REF!</v>
      </c>
      <c r="BI88" s="252" t="e">
        <f>J88*#REF!</f>
        <v>#REF!</v>
      </c>
      <c r="BJ88" s="8"/>
      <c r="BK88" s="8"/>
      <c r="BL88" s="8"/>
      <c r="BM88" s="114"/>
    </row>
    <row r="89" s="3" customFormat="1" ht="25" customHeight="1" spans="1:65">
      <c r="A89" s="130">
        <v>45125</v>
      </c>
      <c r="B89" s="131" t="s">
        <v>599</v>
      </c>
      <c r="C89" s="132" t="s">
        <v>118</v>
      </c>
      <c r="D89" s="133">
        <v>4500109173</v>
      </c>
      <c r="E89" s="131" t="s">
        <v>812</v>
      </c>
      <c r="F89" s="133" t="s">
        <v>813</v>
      </c>
      <c r="G89" s="134" t="s">
        <v>814</v>
      </c>
      <c r="H89" s="129" t="s">
        <v>767</v>
      </c>
      <c r="I89" s="132" t="s">
        <v>659</v>
      </c>
      <c r="J89" s="181">
        <v>37296</v>
      </c>
      <c r="K89" s="181">
        <v>0</v>
      </c>
      <c r="L89" s="181">
        <v>12</v>
      </c>
      <c r="M89" s="181">
        <f t="shared" si="89"/>
        <v>3108</v>
      </c>
      <c r="N89" s="182">
        <v>45177</v>
      </c>
      <c r="O89" s="184" t="s">
        <v>815</v>
      </c>
      <c r="P89" s="183"/>
      <c r="Q89" s="183"/>
      <c r="R89" s="183"/>
      <c r="S89" s="183">
        <v>45128</v>
      </c>
      <c r="T89" s="183" t="s">
        <v>125</v>
      </c>
      <c r="U89" s="183" t="s">
        <v>816</v>
      </c>
      <c r="V89" s="131" t="s">
        <v>817</v>
      </c>
      <c r="W89" s="62" t="s">
        <v>818</v>
      </c>
      <c r="X89" s="198">
        <v>1.0665</v>
      </c>
      <c r="Y89" s="219">
        <f t="shared" si="90"/>
        <v>39776.184</v>
      </c>
      <c r="Z89" s="181"/>
      <c r="AA89" s="181" t="s">
        <v>78</v>
      </c>
      <c r="AB89" s="220"/>
      <c r="AC89" s="220"/>
      <c r="AD89" s="182"/>
      <c r="AE89" s="182" t="s">
        <v>78</v>
      </c>
      <c r="AF89" s="128">
        <f t="shared" si="92"/>
        <v>37296</v>
      </c>
      <c r="AG89" s="128"/>
      <c r="AH89" s="128"/>
      <c r="AI89" s="128">
        <f t="shared" si="93"/>
        <v>37296</v>
      </c>
      <c r="AJ89" s="237"/>
      <c r="AK89" s="128">
        <f t="shared" si="94"/>
        <v>37296</v>
      </c>
      <c r="AL89" s="238"/>
      <c r="AN89" s="238"/>
      <c r="AO89" s="238"/>
      <c r="AP89" s="238"/>
      <c r="AR89" s="237"/>
      <c r="AS89" s="237">
        <f t="shared" ref="AS89:AS95" si="95">J89/12</f>
        <v>3108</v>
      </c>
      <c r="AT89" s="237"/>
      <c r="AU89" s="238"/>
      <c r="AV89" s="238"/>
      <c r="AW89" s="252" t="e">
        <f>J89*#REF!</f>
        <v>#REF!</v>
      </c>
      <c r="AX89" s="252" t="e">
        <f>J89*#REF!</f>
        <v>#REF!</v>
      </c>
      <c r="AY89" s="252" t="e">
        <f>J89*#REF!</f>
        <v>#REF!</v>
      </c>
      <c r="AZ89" s="252" t="e">
        <f>J89*#REF!</f>
        <v>#REF!</v>
      </c>
      <c r="BA89" s="252" t="e">
        <f>J89*#REF!</f>
        <v>#REF!</v>
      </c>
      <c r="BB89" s="252" t="e">
        <f>J89*#REF!</f>
        <v>#REF!</v>
      </c>
      <c r="BC89" s="252" t="e">
        <f>J89*#REF!</f>
        <v>#REF!</v>
      </c>
      <c r="BD89" s="252" t="e">
        <f>J89*#REF!</f>
        <v>#REF!</v>
      </c>
      <c r="BE89" s="252" t="e">
        <f>J89*#REF!</f>
        <v>#REF!</v>
      </c>
      <c r="BF89" s="252" t="e">
        <f>J89*#REF!</f>
        <v>#REF!</v>
      </c>
      <c r="BG89" s="252" t="e">
        <f>J89*#REF!</f>
        <v>#REF!</v>
      </c>
      <c r="BH89" s="252" t="e">
        <f>J89*#REF!</f>
        <v>#REF!</v>
      </c>
      <c r="BI89" s="252" t="e">
        <f>J89*#REF!</f>
        <v>#REF!</v>
      </c>
      <c r="BJ89" s="8"/>
      <c r="BK89" s="8"/>
      <c r="BL89" s="8"/>
      <c r="BM89" s="114"/>
    </row>
    <row r="90" s="7" customFormat="1" ht="25" customHeight="1" spans="1:65">
      <c r="A90" s="135">
        <v>45188</v>
      </c>
      <c r="B90" s="136" t="s">
        <v>819</v>
      </c>
      <c r="C90" s="137" t="s">
        <v>118</v>
      </c>
      <c r="D90" s="138">
        <v>4500113518</v>
      </c>
      <c r="E90" s="136" t="s">
        <v>820</v>
      </c>
      <c r="F90" s="138" t="s">
        <v>821</v>
      </c>
      <c r="G90" s="139"/>
      <c r="H90" s="140" t="s">
        <v>767</v>
      </c>
      <c r="I90" s="137" t="s">
        <v>659</v>
      </c>
      <c r="J90" s="185">
        <v>6864</v>
      </c>
      <c r="K90" s="185">
        <v>0</v>
      </c>
      <c r="L90" s="185">
        <v>12</v>
      </c>
      <c r="M90" s="185">
        <f t="shared" si="89"/>
        <v>572</v>
      </c>
      <c r="N90" s="186">
        <v>45237</v>
      </c>
      <c r="O90" s="186">
        <v>45233</v>
      </c>
      <c r="P90" s="187"/>
      <c r="Q90" s="187"/>
      <c r="R90" s="187"/>
      <c r="S90" s="187">
        <v>45191</v>
      </c>
      <c r="T90" s="187" t="s">
        <v>75</v>
      </c>
      <c r="U90" s="187" t="s">
        <v>75</v>
      </c>
      <c r="V90" s="136" t="s">
        <v>822</v>
      </c>
      <c r="W90" s="199" t="s">
        <v>823</v>
      </c>
      <c r="X90" s="200">
        <v>1.03</v>
      </c>
      <c r="Y90" s="221">
        <f t="shared" si="90"/>
        <v>7069.92</v>
      </c>
      <c r="Z90" s="185"/>
      <c r="AA90" s="185"/>
      <c r="AB90" s="222"/>
      <c r="AC90" s="222"/>
      <c r="AD90" s="186"/>
      <c r="AE90" s="186"/>
      <c r="AF90" s="223">
        <f t="shared" si="92"/>
        <v>6864</v>
      </c>
      <c r="AG90" s="223"/>
      <c r="AH90" s="223"/>
      <c r="AI90" s="223">
        <f t="shared" si="93"/>
        <v>6864</v>
      </c>
      <c r="AJ90" s="239"/>
      <c r="AK90" s="223">
        <f t="shared" si="94"/>
        <v>6864</v>
      </c>
      <c r="AL90" s="240"/>
      <c r="AN90" s="240"/>
      <c r="AO90" s="240"/>
      <c r="AP90" s="240"/>
      <c r="AS90" s="239">
        <f t="shared" si="95"/>
        <v>572</v>
      </c>
      <c r="AT90" s="239"/>
      <c r="AU90" s="240"/>
      <c r="AV90" s="240"/>
      <c r="AW90" s="253" t="e">
        <f>J90*#REF!</f>
        <v>#REF!</v>
      </c>
      <c r="AX90" s="253" t="e">
        <f>J90*#REF!</f>
        <v>#REF!</v>
      </c>
      <c r="AY90" s="253" t="e">
        <f>J90*#REF!</f>
        <v>#REF!</v>
      </c>
      <c r="AZ90" s="253" t="e">
        <f>J90*#REF!</f>
        <v>#REF!</v>
      </c>
      <c r="BA90" s="253" t="e">
        <f>J90*#REF!</f>
        <v>#REF!</v>
      </c>
      <c r="BB90" s="253" t="e">
        <f>J90*#REF!</f>
        <v>#REF!</v>
      </c>
      <c r="BC90" s="253" t="e">
        <f>J90*#REF!</f>
        <v>#REF!</v>
      </c>
      <c r="BD90" s="253" t="e">
        <f>J90*#REF!</f>
        <v>#REF!</v>
      </c>
      <c r="BE90" s="253" t="e">
        <f>J90*#REF!</f>
        <v>#REF!</v>
      </c>
      <c r="BF90" s="253" t="e">
        <f>J90*#REF!</f>
        <v>#REF!</v>
      </c>
      <c r="BG90" s="253" t="e">
        <f>J90*#REF!</f>
        <v>#REF!</v>
      </c>
      <c r="BH90" s="253" t="e">
        <f>J90*#REF!</f>
        <v>#REF!</v>
      </c>
      <c r="BI90" s="253" t="e">
        <f>J90*#REF!</f>
        <v>#REF!</v>
      </c>
      <c r="BJ90" s="257"/>
      <c r="BK90" s="257"/>
      <c r="BL90" s="257"/>
      <c r="BM90" s="261"/>
    </row>
    <row r="91" s="7" customFormat="1" ht="25" customHeight="1" spans="1:65">
      <c r="A91" s="135">
        <v>45188</v>
      </c>
      <c r="B91" s="136" t="s">
        <v>819</v>
      </c>
      <c r="C91" s="137" t="s">
        <v>118</v>
      </c>
      <c r="D91" s="138">
        <v>4500113518</v>
      </c>
      <c r="E91" s="136" t="s">
        <v>824</v>
      </c>
      <c r="F91" s="138" t="s">
        <v>825</v>
      </c>
      <c r="G91" s="139"/>
      <c r="H91" s="140" t="s">
        <v>767</v>
      </c>
      <c r="I91" s="137" t="s">
        <v>659</v>
      </c>
      <c r="J91" s="185">
        <v>9552</v>
      </c>
      <c r="K91" s="185">
        <v>0</v>
      </c>
      <c r="L91" s="185">
        <v>12</v>
      </c>
      <c r="M91" s="185">
        <f t="shared" si="89"/>
        <v>796</v>
      </c>
      <c r="N91" s="186">
        <v>45237</v>
      </c>
      <c r="O91" s="186">
        <v>45233</v>
      </c>
      <c r="P91" s="187"/>
      <c r="Q91" s="187"/>
      <c r="R91" s="187"/>
      <c r="S91" s="187">
        <v>45191</v>
      </c>
      <c r="T91" s="187" t="s">
        <v>75</v>
      </c>
      <c r="U91" s="187" t="s">
        <v>75</v>
      </c>
      <c r="V91" s="136" t="s">
        <v>822</v>
      </c>
      <c r="W91" s="199" t="s">
        <v>823</v>
      </c>
      <c r="X91" s="200">
        <v>1.03</v>
      </c>
      <c r="Y91" s="221">
        <f t="shared" si="90"/>
        <v>9838.56</v>
      </c>
      <c r="Z91" s="185"/>
      <c r="AA91" s="185"/>
      <c r="AB91" s="222"/>
      <c r="AC91" s="222"/>
      <c r="AD91" s="186"/>
      <c r="AE91" s="186"/>
      <c r="AF91" s="223">
        <f t="shared" si="92"/>
        <v>9552</v>
      </c>
      <c r="AG91" s="223"/>
      <c r="AH91" s="223"/>
      <c r="AI91" s="223">
        <f t="shared" si="93"/>
        <v>9552</v>
      </c>
      <c r="AJ91" s="239"/>
      <c r="AK91" s="223">
        <f t="shared" si="94"/>
        <v>9552</v>
      </c>
      <c r="AL91" s="240"/>
      <c r="AN91" s="240"/>
      <c r="AO91" s="240"/>
      <c r="AP91" s="240"/>
      <c r="AS91" s="239">
        <f t="shared" si="95"/>
        <v>796</v>
      </c>
      <c r="AT91" s="239"/>
      <c r="AU91" s="240"/>
      <c r="AV91" s="240"/>
      <c r="AW91" s="253" t="e">
        <f>J91*#REF!</f>
        <v>#REF!</v>
      </c>
      <c r="AX91" s="253" t="e">
        <f>J91*#REF!</f>
        <v>#REF!</v>
      </c>
      <c r="AY91" s="253" t="e">
        <f>J91*#REF!</f>
        <v>#REF!</v>
      </c>
      <c r="AZ91" s="253" t="e">
        <f>J91*#REF!</f>
        <v>#REF!</v>
      </c>
      <c r="BA91" s="253" t="e">
        <f>J91*#REF!</f>
        <v>#REF!</v>
      </c>
      <c r="BB91" s="253" t="e">
        <f>J91*#REF!</f>
        <v>#REF!</v>
      </c>
      <c r="BC91" s="253" t="e">
        <f>J91*#REF!</f>
        <v>#REF!</v>
      </c>
      <c r="BD91" s="253" t="e">
        <f>J91*#REF!</f>
        <v>#REF!</v>
      </c>
      <c r="BE91" s="253" t="e">
        <f>J91*#REF!</f>
        <v>#REF!</v>
      </c>
      <c r="BF91" s="253" t="e">
        <f>J91*#REF!</f>
        <v>#REF!</v>
      </c>
      <c r="BG91" s="253" t="e">
        <f>J91*#REF!</f>
        <v>#REF!</v>
      </c>
      <c r="BH91" s="253" t="e">
        <f>J91*#REF!</f>
        <v>#REF!</v>
      </c>
      <c r="BI91" s="253" t="e">
        <f>J91*#REF!</f>
        <v>#REF!</v>
      </c>
      <c r="BJ91" s="257"/>
      <c r="BK91" s="257"/>
      <c r="BL91" s="257"/>
      <c r="BM91" s="261"/>
    </row>
    <row r="92" s="8" customFormat="1" ht="30" customHeight="1" spans="1:59">
      <c r="A92" s="141">
        <v>45203</v>
      </c>
      <c r="B92" s="142" t="s">
        <v>826</v>
      </c>
      <c r="C92" s="121" t="s">
        <v>268</v>
      </c>
      <c r="D92" s="143">
        <v>4500114373</v>
      </c>
      <c r="E92" s="144">
        <v>2401526561</v>
      </c>
      <c r="F92" s="145" t="s">
        <v>827</v>
      </c>
      <c r="G92" s="146" t="s">
        <v>828</v>
      </c>
      <c r="H92" s="147" t="s">
        <v>828</v>
      </c>
      <c r="I92" s="153" t="s">
        <v>829</v>
      </c>
      <c r="J92" s="188">
        <v>624</v>
      </c>
      <c r="K92" s="188">
        <v>0</v>
      </c>
      <c r="L92" s="188">
        <v>12</v>
      </c>
      <c r="M92" s="188">
        <f t="shared" si="89"/>
        <v>52</v>
      </c>
      <c r="N92" s="49">
        <v>45260</v>
      </c>
      <c r="O92" s="49" t="s">
        <v>790</v>
      </c>
      <c r="P92" s="189" t="s">
        <v>830</v>
      </c>
      <c r="Q92" s="189"/>
      <c r="R92" s="189"/>
      <c r="S92" s="189">
        <v>45218</v>
      </c>
      <c r="T92" s="189" t="s">
        <v>75</v>
      </c>
      <c r="U92" s="189" t="s">
        <v>75</v>
      </c>
      <c r="V92" s="201" t="s">
        <v>831</v>
      </c>
      <c r="W92" s="49" t="s">
        <v>832</v>
      </c>
      <c r="X92" s="202">
        <v>1.22</v>
      </c>
      <c r="Y92" s="204">
        <f t="shared" si="90"/>
        <v>761.28</v>
      </c>
      <c r="Z92" s="224"/>
      <c r="AA92" s="224" t="s">
        <v>78</v>
      </c>
      <c r="AB92" s="225"/>
      <c r="AC92" s="225">
        <f t="shared" si="91"/>
        <v>-624</v>
      </c>
      <c r="AD92" s="49"/>
      <c r="AE92" s="49"/>
      <c r="AF92" s="226">
        <f t="shared" si="92"/>
        <v>624</v>
      </c>
      <c r="AG92" s="226"/>
      <c r="AH92" s="226"/>
      <c r="AI92" s="226"/>
      <c r="AJ92" s="226"/>
      <c r="AK92" s="226">
        <f t="shared" ref="AK92:AK95" si="96">AF92</f>
        <v>624</v>
      </c>
      <c r="AL92" s="241"/>
      <c r="AM92" s="241">
        <f t="shared" ref="AM92:AM95" si="97">J92</f>
        <v>624</v>
      </c>
      <c r="AN92" s="241"/>
      <c r="AO92" s="241">
        <f t="shared" ref="AO92:AO95" si="98">J92</f>
        <v>624</v>
      </c>
      <c r="AP92" s="251"/>
      <c r="AQ92" s="251"/>
      <c r="AR92" s="242"/>
      <c r="AS92" s="242">
        <f t="shared" si="95"/>
        <v>52</v>
      </c>
      <c r="AT92" s="242"/>
      <c r="AU92" s="242"/>
      <c r="AV92" s="242"/>
      <c r="AW92" s="242"/>
      <c r="AX92" s="242"/>
      <c r="AY92" s="254">
        <f t="shared" ref="AY92:AY95" si="99">J92*0.125</f>
        <v>78</v>
      </c>
      <c r="AZ92" s="254">
        <f t="shared" ref="AZ92:AZ95" si="100">J92*0.1042</f>
        <v>65.0208</v>
      </c>
      <c r="BA92" s="254">
        <f t="shared" ref="BA92:BA95" si="101">J92*0.021</f>
        <v>13.104</v>
      </c>
      <c r="BB92" s="254">
        <f t="shared" ref="BB92:BB95" si="102">J92*0.125</f>
        <v>78</v>
      </c>
      <c r="BC92" s="254">
        <f t="shared" ref="BC92:BC95" si="103">J92*0.125</f>
        <v>78</v>
      </c>
      <c r="BD92" s="254">
        <f t="shared" ref="BD92:BD95" si="104">J92*0.125</f>
        <v>78</v>
      </c>
      <c r="BE92" s="254">
        <f t="shared" ref="BE92:BE95" si="105">J92*0.125</f>
        <v>78</v>
      </c>
      <c r="BF92" s="254">
        <f t="shared" ref="BF92:BF95" si="106">J92*0.125</f>
        <v>78</v>
      </c>
      <c r="BG92" s="254">
        <f t="shared" ref="BG92:BG95" si="107">J92*0.125</f>
        <v>78</v>
      </c>
    </row>
    <row r="93" s="8" customFormat="1" ht="30" customHeight="1" spans="1:59">
      <c r="A93" s="141">
        <v>45203</v>
      </c>
      <c r="B93" s="142" t="s">
        <v>826</v>
      </c>
      <c r="C93" s="121" t="s">
        <v>268</v>
      </c>
      <c r="D93" s="143">
        <v>4500114373</v>
      </c>
      <c r="E93" s="144">
        <v>3501526561</v>
      </c>
      <c r="F93" s="145" t="s">
        <v>833</v>
      </c>
      <c r="G93" s="146" t="s">
        <v>828</v>
      </c>
      <c r="H93" s="147" t="s">
        <v>828</v>
      </c>
      <c r="I93" s="153" t="s">
        <v>829</v>
      </c>
      <c r="J93" s="188">
        <v>2172</v>
      </c>
      <c r="K93" s="188">
        <v>0</v>
      </c>
      <c r="L93" s="188">
        <v>12</v>
      </c>
      <c r="M93" s="188">
        <f t="shared" si="89"/>
        <v>181</v>
      </c>
      <c r="N93" s="49">
        <v>45260</v>
      </c>
      <c r="O93" s="49" t="s">
        <v>790</v>
      </c>
      <c r="P93" s="189" t="s">
        <v>830</v>
      </c>
      <c r="Q93" s="189"/>
      <c r="R93" s="189"/>
      <c r="S93" s="189">
        <v>45218</v>
      </c>
      <c r="T93" s="189" t="s">
        <v>75</v>
      </c>
      <c r="U93" s="189" t="s">
        <v>75</v>
      </c>
      <c r="V93" s="201" t="s">
        <v>831</v>
      </c>
      <c r="W93" s="49" t="s">
        <v>832</v>
      </c>
      <c r="X93" s="202">
        <v>1.22</v>
      </c>
      <c r="Y93" s="204">
        <f t="shared" si="90"/>
        <v>2649.84</v>
      </c>
      <c r="Z93" s="224"/>
      <c r="AA93" s="224" t="s">
        <v>78</v>
      </c>
      <c r="AB93" s="225"/>
      <c r="AC93" s="225">
        <f t="shared" si="91"/>
        <v>-2172</v>
      </c>
      <c r="AD93" s="49"/>
      <c r="AE93" s="49"/>
      <c r="AF93" s="226">
        <f t="shared" si="92"/>
        <v>2172</v>
      </c>
      <c r="AG93" s="226"/>
      <c r="AH93" s="226"/>
      <c r="AI93" s="226"/>
      <c r="AJ93" s="226"/>
      <c r="AK93" s="226">
        <f t="shared" si="96"/>
        <v>2172</v>
      </c>
      <c r="AL93" s="241"/>
      <c r="AM93" s="241">
        <f t="shared" si="97"/>
        <v>2172</v>
      </c>
      <c r="AN93" s="241"/>
      <c r="AO93" s="241">
        <f t="shared" si="98"/>
        <v>2172</v>
      </c>
      <c r="AP93" s="251"/>
      <c r="AQ93" s="251"/>
      <c r="AR93" s="242"/>
      <c r="AS93" s="242">
        <f t="shared" si="95"/>
        <v>181</v>
      </c>
      <c r="AT93" s="242"/>
      <c r="AU93" s="242"/>
      <c r="AV93" s="242"/>
      <c r="AW93" s="242"/>
      <c r="AX93" s="242"/>
      <c r="AY93" s="254">
        <f t="shared" si="99"/>
        <v>271.5</v>
      </c>
      <c r="AZ93" s="254">
        <f t="shared" si="100"/>
        <v>226.3224</v>
      </c>
      <c r="BA93" s="254">
        <f t="shared" si="101"/>
        <v>45.612</v>
      </c>
      <c r="BB93" s="254">
        <f t="shared" si="102"/>
        <v>271.5</v>
      </c>
      <c r="BC93" s="254">
        <f t="shared" si="103"/>
        <v>271.5</v>
      </c>
      <c r="BD93" s="254">
        <f t="shared" si="104"/>
        <v>271.5</v>
      </c>
      <c r="BE93" s="254">
        <f t="shared" si="105"/>
        <v>271.5</v>
      </c>
      <c r="BF93" s="254">
        <f t="shared" si="106"/>
        <v>271.5</v>
      </c>
      <c r="BG93" s="254">
        <f t="shared" si="107"/>
        <v>271.5</v>
      </c>
    </row>
    <row r="94" s="8" customFormat="1" ht="30" customHeight="1" spans="1:59">
      <c r="A94" s="141">
        <v>45203</v>
      </c>
      <c r="B94" s="142" t="s">
        <v>826</v>
      </c>
      <c r="C94" s="121" t="s">
        <v>268</v>
      </c>
      <c r="D94" s="143">
        <v>4500114374</v>
      </c>
      <c r="E94" s="144">
        <v>2401526574</v>
      </c>
      <c r="F94" s="145" t="s">
        <v>834</v>
      </c>
      <c r="G94" s="146" t="s">
        <v>828</v>
      </c>
      <c r="H94" s="147" t="s">
        <v>828</v>
      </c>
      <c r="I94" s="153" t="s">
        <v>829</v>
      </c>
      <c r="J94" s="188">
        <v>420</v>
      </c>
      <c r="K94" s="188">
        <v>0</v>
      </c>
      <c r="L94" s="188">
        <v>12</v>
      </c>
      <c r="M94" s="188">
        <f t="shared" si="89"/>
        <v>35</v>
      </c>
      <c r="N94" s="49">
        <v>45287</v>
      </c>
      <c r="O94" s="49" t="s">
        <v>790</v>
      </c>
      <c r="P94" s="189" t="s">
        <v>835</v>
      </c>
      <c r="Q94" s="189"/>
      <c r="R94" s="189"/>
      <c r="S94" s="189" t="s">
        <v>332</v>
      </c>
      <c r="T94" s="189" t="s">
        <v>75</v>
      </c>
      <c r="U94" s="189" t="s">
        <v>75</v>
      </c>
      <c r="V94" s="201" t="s">
        <v>836</v>
      </c>
      <c r="W94" s="49" t="s">
        <v>832</v>
      </c>
      <c r="X94" s="202">
        <v>1.22</v>
      </c>
      <c r="Y94" s="204">
        <f t="shared" si="90"/>
        <v>512.4</v>
      </c>
      <c r="Z94" s="224"/>
      <c r="AA94" s="224" t="s">
        <v>78</v>
      </c>
      <c r="AB94" s="225"/>
      <c r="AC94" s="225">
        <f t="shared" si="91"/>
        <v>-420</v>
      </c>
      <c r="AD94" s="49"/>
      <c r="AE94" s="49"/>
      <c r="AF94" s="226">
        <f t="shared" si="92"/>
        <v>420</v>
      </c>
      <c r="AG94" s="226"/>
      <c r="AH94" s="226"/>
      <c r="AI94" s="226"/>
      <c r="AJ94" s="226"/>
      <c r="AK94" s="226">
        <f t="shared" si="96"/>
        <v>420</v>
      </c>
      <c r="AL94" s="241"/>
      <c r="AM94" s="241">
        <f t="shared" si="97"/>
        <v>420</v>
      </c>
      <c r="AN94" s="241"/>
      <c r="AO94" s="241">
        <f t="shared" si="98"/>
        <v>420</v>
      </c>
      <c r="AP94" s="251"/>
      <c r="AQ94" s="251"/>
      <c r="AR94" s="242"/>
      <c r="AS94" s="242">
        <f t="shared" si="95"/>
        <v>35</v>
      </c>
      <c r="AT94" s="242"/>
      <c r="AU94" s="242"/>
      <c r="AV94" s="242"/>
      <c r="AW94" s="242"/>
      <c r="AX94" s="242"/>
      <c r="AY94" s="254">
        <f t="shared" si="99"/>
        <v>52.5</v>
      </c>
      <c r="AZ94" s="254">
        <f t="shared" si="100"/>
        <v>43.764</v>
      </c>
      <c r="BA94" s="254">
        <f t="shared" si="101"/>
        <v>8.82</v>
      </c>
      <c r="BB94" s="254">
        <f t="shared" si="102"/>
        <v>52.5</v>
      </c>
      <c r="BC94" s="254">
        <f t="shared" si="103"/>
        <v>52.5</v>
      </c>
      <c r="BD94" s="254">
        <f t="shared" si="104"/>
        <v>52.5</v>
      </c>
      <c r="BE94" s="254">
        <f t="shared" si="105"/>
        <v>52.5</v>
      </c>
      <c r="BF94" s="254">
        <f t="shared" si="106"/>
        <v>52.5</v>
      </c>
      <c r="BG94" s="254">
        <f t="shared" si="107"/>
        <v>52.5</v>
      </c>
    </row>
    <row r="95" s="8" customFormat="1" ht="30" customHeight="1" spans="1:59">
      <c r="A95" s="141">
        <v>45203</v>
      </c>
      <c r="B95" s="142" t="s">
        <v>826</v>
      </c>
      <c r="C95" s="121" t="s">
        <v>268</v>
      </c>
      <c r="D95" s="143">
        <v>4500114374</v>
      </c>
      <c r="E95" s="144">
        <v>3501526574</v>
      </c>
      <c r="F95" s="145" t="s">
        <v>837</v>
      </c>
      <c r="G95" s="146" t="s">
        <v>828</v>
      </c>
      <c r="H95" s="147" t="s">
        <v>828</v>
      </c>
      <c r="I95" s="153" t="s">
        <v>829</v>
      </c>
      <c r="J95" s="188">
        <v>1440</v>
      </c>
      <c r="K95" s="188">
        <v>0</v>
      </c>
      <c r="L95" s="188">
        <v>12</v>
      </c>
      <c r="M95" s="188">
        <f t="shared" si="89"/>
        <v>120</v>
      </c>
      <c r="N95" s="49">
        <v>45287</v>
      </c>
      <c r="O95" s="49" t="s">
        <v>790</v>
      </c>
      <c r="P95" s="189" t="s">
        <v>835</v>
      </c>
      <c r="Q95" s="189"/>
      <c r="R95" s="189"/>
      <c r="S95" s="189" t="s">
        <v>332</v>
      </c>
      <c r="T95" s="189" t="s">
        <v>75</v>
      </c>
      <c r="U95" s="189" t="s">
        <v>75</v>
      </c>
      <c r="V95" s="201" t="s">
        <v>836</v>
      </c>
      <c r="W95" s="49" t="s">
        <v>832</v>
      </c>
      <c r="X95" s="202">
        <v>1.22</v>
      </c>
      <c r="Y95" s="204">
        <f t="shared" si="90"/>
        <v>1756.8</v>
      </c>
      <c r="Z95" s="224"/>
      <c r="AA95" s="224" t="s">
        <v>78</v>
      </c>
      <c r="AB95" s="225"/>
      <c r="AC95" s="225">
        <f t="shared" si="91"/>
        <v>-1440</v>
      </c>
      <c r="AD95" s="49"/>
      <c r="AE95" s="49"/>
      <c r="AF95" s="226">
        <f t="shared" si="92"/>
        <v>1440</v>
      </c>
      <c r="AG95" s="226"/>
      <c r="AH95" s="226"/>
      <c r="AI95" s="226"/>
      <c r="AJ95" s="226"/>
      <c r="AK95" s="226">
        <f t="shared" si="96"/>
        <v>1440</v>
      </c>
      <c r="AL95" s="241"/>
      <c r="AM95" s="241">
        <f t="shared" si="97"/>
        <v>1440</v>
      </c>
      <c r="AN95" s="241"/>
      <c r="AO95" s="241">
        <f t="shared" si="98"/>
        <v>1440</v>
      </c>
      <c r="AP95" s="251"/>
      <c r="AQ95" s="251"/>
      <c r="AR95" s="242"/>
      <c r="AS95" s="242">
        <f t="shared" si="95"/>
        <v>120</v>
      </c>
      <c r="AT95" s="242"/>
      <c r="AU95" s="242"/>
      <c r="AV95" s="242"/>
      <c r="AW95" s="242"/>
      <c r="AX95" s="242"/>
      <c r="AY95" s="254">
        <f t="shared" si="99"/>
        <v>180</v>
      </c>
      <c r="AZ95" s="254">
        <f t="shared" si="100"/>
        <v>150.048</v>
      </c>
      <c r="BA95" s="254">
        <f t="shared" si="101"/>
        <v>30.24</v>
      </c>
      <c r="BB95" s="254">
        <f t="shared" si="102"/>
        <v>180</v>
      </c>
      <c r="BC95" s="254">
        <f t="shared" si="103"/>
        <v>180</v>
      </c>
      <c r="BD95" s="254">
        <f t="shared" si="104"/>
        <v>180</v>
      </c>
      <c r="BE95" s="254">
        <f t="shared" si="105"/>
        <v>180</v>
      </c>
      <c r="BF95" s="254">
        <f t="shared" si="106"/>
        <v>180</v>
      </c>
      <c r="BG95" s="254">
        <f t="shared" si="107"/>
        <v>180</v>
      </c>
    </row>
    <row r="96" s="8" customFormat="1" ht="30" customHeight="1" spans="1:81">
      <c r="A96" s="141">
        <v>45294</v>
      </c>
      <c r="B96" s="142" t="s">
        <v>838</v>
      </c>
      <c r="C96" s="121" t="s">
        <v>118</v>
      </c>
      <c r="D96" s="143">
        <v>4500122527</v>
      </c>
      <c r="E96" s="144">
        <v>81775</v>
      </c>
      <c r="F96" s="145" t="s">
        <v>839</v>
      </c>
      <c r="G96" s="146" t="s">
        <v>840</v>
      </c>
      <c r="H96" s="147" t="s">
        <v>841</v>
      </c>
      <c r="I96" s="153">
        <v>5016</v>
      </c>
      <c r="J96" s="188">
        <v>0</v>
      </c>
      <c r="K96" s="188">
        <v>24</v>
      </c>
      <c r="L96" s="188">
        <v>209</v>
      </c>
      <c r="M96" s="188">
        <v>45372</v>
      </c>
      <c r="N96" s="49" t="s">
        <v>790</v>
      </c>
      <c r="O96" s="49" t="s">
        <v>842</v>
      </c>
      <c r="P96" s="189" t="s">
        <v>843</v>
      </c>
      <c r="Q96" s="189"/>
      <c r="R96" s="189">
        <v>45294</v>
      </c>
      <c r="S96" s="189" t="s">
        <v>75</v>
      </c>
      <c r="T96" s="189" t="s">
        <v>844</v>
      </c>
      <c r="U96" s="189" t="s">
        <v>845</v>
      </c>
      <c r="V96" s="201" t="s">
        <v>823</v>
      </c>
      <c r="W96" s="49">
        <v>0.9069</v>
      </c>
      <c r="X96" s="202">
        <v>4549.0104</v>
      </c>
      <c r="Y96" s="204"/>
      <c r="Z96" s="224"/>
      <c r="AA96" s="224">
        <v>-5016</v>
      </c>
      <c r="AB96" s="225"/>
      <c r="AC96" s="225"/>
      <c r="AD96" s="49" t="s">
        <v>846</v>
      </c>
      <c r="AE96" s="49">
        <v>5016</v>
      </c>
      <c r="AF96" s="226">
        <v>5016</v>
      </c>
      <c r="AG96" s="226"/>
      <c r="AH96" s="226">
        <v>5016</v>
      </c>
      <c r="AI96" s="226"/>
      <c r="AJ96" s="226"/>
      <c r="AK96" s="226"/>
      <c r="AL96" s="241"/>
      <c r="AM96" s="241"/>
      <c r="AN96" s="241"/>
      <c r="AO96" s="241"/>
      <c r="AP96" s="251"/>
      <c r="AQ96" s="251"/>
      <c r="AR96" s="242"/>
      <c r="AS96" s="242">
        <v>5016</v>
      </c>
      <c r="AT96" s="242"/>
      <c r="AU96" s="242"/>
      <c r="AV96" s="242"/>
      <c r="AW96" s="242"/>
      <c r="AX96" s="242"/>
      <c r="AY96" s="254"/>
      <c r="AZ96" s="254"/>
      <c r="BA96" s="254"/>
      <c r="BB96" s="254"/>
      <c r="BC96" s="254"/>
      <c r="BD96" s="254"/>
      <c r="BE96" s="254"/>
      <c r="BF96" s="254"/>
      <c r="BG96" s="254"/>
      <c r="BK96" s="8">
        <v>627</v>
      </c>
      <c r="BL96" s="8">
        <v>522.6672</v>
      </c>
      <c r="BM96" s="8">
        <v>105.336</v>
      </c>
      <c r="BN96" s="8">
        <v>627</v>
      </c>
      <c r="BO96" s="8">
        <v>627</v>
      </c>
      <c r="BP96" s="8">
        <v>627</v>
      </c>
      <c r="BQ96" s="8">
        <v>627</v>
      </c>
      <c r="BR96" s="8">
        <v>627</v>
      </c>
      <c r="BS96" s="8">
        <v>627</v>
      </c>
      <c r="BU96" s="8">
        <v>45223</v>
      </c>
      <c r="BV96" s="8">
        <v>38160.9109333334</v>
      </c>
      <c r="BW96" s="8">
        <v>45231</v>
      </c>
      <c r="BX96" s="8">
        <v>7435.55466666669</v>
      </c>
      <c r="BY96" s="8">
        <v>47231</v>
      </c>
      <c r="BZ96" s="8">
        <v>45231</v>
      </c>
      <c r="CA96" s="8">
        <v>45231</v>
      </c>
      <c r="CB96" s="8">
        <v>45731</v>
      </c>
      <c r="CC96" s="8">
        <v>45231</v>
      </c>
    </row>
    <row r="97" s="8" customFormat="1" ht="30" customHeight="1" spans="1:91">
      <c r="A97" s="148">
        <v>45380</v>
      </c>
      <c r="B97" s="149" t="s">
        <v>847</v>
      </c>
      <c r="C97" s="150" t="s">
        <v>268</v>
      </c>
      <c r="D97" s="151">
        <v>4500128507</v>
      </c>
      <c r="E97" s="150" t="s">
        <v>848</v>
      </c>
      <c r="F97" s="151" t="s">
        <v>849</v>
      </c>
      <c r="G97" s="152" t="s">
        <v>850</v>
      </c>
      <c r="H97" s="153" t="s">
        <v>851</v>
      </c>
      <c r="I97" s="188">
        <v>16</v>
      </c>
      <c r="J97" s="188">
        <v>0</v>
      </c>
      <c r="K97" s="188">
        <v>16</v>
      </c>
      <c r="L97" s="188">
        <f t="shared" ref="L97:L110" si="108">I97/K97</f>
        <v>1</v>
      </c>
      <c r="M97" s="49">
        <v>45420</v>
      </c>
      <c r="N97" s="49">
        <v>45416</v>
      </c>
      <c r="O97" s="189" t="s">
        <v>852</v>
      </c>
      <c r="P97" s="189"/>
      <c r="Q97" s="189"/>
      <c r="R97" s="189">
        <v>45380</v>
      </c>
      <c r="S97" s="189" t="s">
        <v>125</v>
      </c>
      <c r="T97" s="189" t="s">
        <v>332</v>
      </c>
      <c r="U97" s="201" t="s">
        <v>853</v>
      </c>
      <c r="V97" s="203" t="s">
        <v>854</v>
      </c>
      <c r="W97" s="202">
        <v>2.3708</v>
      </c>
      <c r="X97" s="204">
        <f>W97*I97</f>
        <v>37.9328</v>
      </c>
      <c r="Y97" s="224"/>
      <c r="Z97" s="225"/>
      <c r="AA97" s="225">
        <f t="shared" ref="AA97:AA102" si="109">Z97-I97</f>
        <v>-16</v>
      </c>
      <c r="AB97" s="49"/>
      <c r="AC97" s="49"/>
      <c r="AD97" s="147"/>
      <c r="AE97" s="224"/>
      <c r="AF97" s="226"/>
      <c r="AG97" s="241"/>
      <c r="AH97" s="241"/>
      <c r="AI97" s="241"/>
      <c r="AJ97" s="242"/>
      <c r="AK97" s="242"/>
      <c r="AL97" s="242"/>
      <c r="AM97" s="242"/>
      <c r="AN97" s="242"/>
      <c r="AO97" s="242"/>
      <c r="AP97" s="242"/>
      <c r="AQ97" s="242"/>
      <c r="AR97" s="242"/>
      <c r="AS97" s="242"/>
      <c r="AT97" s="242"/>
      <c r="AU97" s="242"/>
      <c r="AV97" s="226">
        <f>I97*2</f>
        <v>32</v>
      </c>
      <c r="AW97" s="226"/>
      <c r="AX97" s="226">
        <f t="shared" ref="AX97:AX101" si="110">AV97</f>
        <v>32</v>
      </c>
      <c r="AY97" s="226"/>
      <c r="AZ97" s="226"/>
      <c r="BA97" s="3"/>
      <c r="BB97" s="49"/>
      <c r="BC97" s="241"/>
      <c r="BE97" s="241"/>
      <c r="BF97" s="241">
        <f>AX97</f>
        <v>32</v>
      </c>
      <c r="BG97" s="258"/>
      <c r="BH97" s="258">
        <f>BF97</f>
        <v>32</v>
      </c>
      <c r="BI97" s="241"/>
      <c r="BJ97" s="241"/>
      <c r="BK97" s="251"/>
      <c r="BL97" s="251"/>
      <c r="BM97" s="242"/>
      <c r="BN97" s="242"/>
      <c r="BO97" s="242">
        <f>I97</f>
        <v>16</v>
      </c>
      <c r="BP97" s="242"/>
      <c r="BQ97" s="242">
        <f>BO97</f>
        <v>16</v>
      </c>
      <c r="BR97" s="242"/>
      <c r="BS97" s="242"/>
      <c r="BT97" s="242"/>
      <c r="BU97" s="254">
        <f>I97*0.125*2</f>
        <v>4</v>
      </c>
      <c r="BV97" s="254">
        <f>I97*0.1042*2</f>
        <v>3.3344</v>
      </c>
      <c r="BW97" s="254">
        <f>I97*0.021*2</f>
        <v>0.672</v>
      </c>
      <c r="BX97" s="254">
        <f>I97*0.125*2</f>
        <v>4</v>
      </c>
      <c r="BY97" s="254">
        <f>I97*0.125*2</f>
        <v>4</v>
      </c>
      <c r="BZ97" s="254">
        <f>I97*0.125*2</f>
        <v>4</v>
      </c>
      <c r="CA97" s="254">
        <f>I97*0.125*2</f>
        <v>4</v>
      </c>
      <c r="CB97" s="254">
        <f>I97*0.125*2</f>
        <v>4</v>
      </c>
      <c r="CC97" s="254">
        <f>I97*0.125*2</f>
        <v>4</v>
      </c>
      <c r="CE97" s="266" t="e">
        <f>'77593旧排期'!#REF!-BU97-BS97</f>
        <v>#REF!</v>
      </c>
      <c r="CF97" s="266" t="e">
        <f>'77593旧排期'!#REF!-BV97-BS97-BR97</f>
        <v>#REF!</v>
      </c>
      <c r="CG97" s="266" t="e">
        <f>'77593旧排期'!#REF!-BX97</f>
        <v>#REF!</v>
      </c>
      <c r="CH97" s="266" t="e">
        <f>'77593旧排期'!#REF!-BW97</f>
        <v>#REF!</v>
      </c>
      <c r="CI97" s="266" t="e">
        <f>'77593旧排期'!#REF!-BY97</f>
        <v>#REF!</v>
      </c>
      <c r="CJ97" s="266" t="e">
        <f>'77593旧排期'!#REF!-BZ97</f>
        <v>#REF!</v>
      </c>
      <c r="CK97" s="266" t="e">
        <f>'77593旧排期'!#REF!-CA97</f>
        <v>#REF!</v>
      </c>
      <c r="CL97" s="266" t="e">
        <f>'77593旧排期'!#REF!-CB97</f>
        <v>#REF!</v>
      </c>
      <c r="CM97" s="266" t="e">
        <f>'77593旧排期'!#REF!-CC97</f>
        <v>#REF!</v>
      </c>
    </row>
    <row r="98" s="8" customFormat="1" ht="30" customHeight="1" spans="1:91">
      <c r="A98" s="148">
        <v>45344</v>
      </c>
      <c r="B98" s="149" t="s">
        <v>681</v>
      </c>
      <c r="C98" s="150" t="s">
        <v>118</v>
      </c>
      <c r="D98" s="151">
        <v>4500125041</v>
      </c>
      <c r="E98" s="150">
        <v>9331070236</v>
      </c>
      <c r="F98" s="154" t="s">
        <v>855</v>
      </c>
      <c r="G98" s="152" t="s">
        <v>856</v>
      </c>
      <c r="H98" s="153" t="s">
        <v>857</v>
      </c>
      <c r="I98" s="188">
        <v>1848</v>
      </c>
      <c r="J98" s="188">
        <v>0</v>
      </c>
      <c r="K98" s="188">
        <v>1848</v>
      </c>
      <c r="L98" s="188">
        <f t="shared" si="108"/>
        <v>1</v>
      </c>
      <c r="M98" s="49">
        <v>45418</v>
      </c>
      <c r="N98" s="190" t="s">
        <v>858</v>
      </c>
      <c r="O98" s="191" t="s">
        <v>859</v>
      </c>
      <c r="P98" s="189"/>
      <c r="Q98" s="189"/>
      <c r="R98" s="189" t="s">
        <v>860</v>
      </c>
      <c r="S98" s="189" t="s">
        <v>125</v>
      </c>
      <c r="T98" s="189" t="s">
        <v>861</v>
      </c>
      <c r="U98" s="201" t="s">
        <v>862</v>
      </c>
      <c r="V98" s="203" t="s">
        <v>863</v>
      </c>
      <c r="W98" s="202">
        <v>1765.7621</v>
      </c>
      <c r="X98" s="204">
        <f t="shared" ref="X98:X107" si="111">L98*W98</f>
        <v>1765.7621</v>
      </c>
      <c r="Y98" s="224"/>
      <c r="Z98" s="225"/>
      <c r="AA98" s="225">
        <f t="shared" si="109"/>
        <v>-1848</v>
      </c>
      <c r="AB98" s="49"/>
      <c r="AC98" s="49"/>
      <c r="AD98" s="147" t="s">
        <v>856</v>
      </c>
      <c r="AE98" s="224" t="s">
        <v>78</v>
      </c>
      <c r="AF98" s="226"/>
      <c r="AG98" s="241"/>
      <c r="AH98" s="241"/>
      <c r="AI98" s="241"/>
      <c r="AJ98" s="242"/>
      <c r="AK98" s="242"/>
      <c r="AL98" s="242"/>
      <c r="AM98" s="242"/>
      <c r="AN98" s="242"/>
      <c r="AO98" s="242"/>
      <c r="AP98" s="242"/>
      <c r="AQ98" s="242"/>
      <c r="AR98" s="242"/>
      <c r="AS98" s="242"/>
      <c r="AT98" s="242"/>
      <c r="AU98" s="242"/>
      <c r="AV98" s="226">
        <f>I98</f>
        <v>1848</v>
      </c>
      <c r="AW98" s="226"/>
      <c r="AX98" s="226">
        <f t="shared" si="110"/>
        <v>1848</v>
      </c>
      <c r="AY98" s="226"/>
      <c r="AZ98" s="226"/>
      <c r="BA98" s="3"/>
      <c r="BB98" s="49"/>
      <c r="BC98" s="241">
        <f>AV98</f>
        <v>1848</v>
      </c>
      <c r="BD98" s="241"/>
      <c r="BE98" s="241"/>
      <c r="BF98" s="258"/>
      <c r="BG98" s="258"/>
      <c r="BH98" s="258">
        <f>BC98</f>
        <v>1848</v>
      </c>
      <c r="BI98" s="241"/>
      <c r="BJ98" s="241"/>
      <c r="BK98" s="251"/>
      <c r="BL98" s="251"/>
      <c r="BM98" s="242">
        <f>I98/12</f>
        <v>154</v>
      </c>
      <c r="BN98" s="242"/>
      <c r="BO98" s="242"/>
      <c r="BP98" s="242"/>
      <c r="BQ98" s="242"/>
      <c r="BR98" s="242"/>
      <c r="BS98" s="242"/>
      <c r="BT98" s="242"/>
      <c r="BU98" s="254">
        <f>I98*0.125</f>
        <v>231</v>
      </c>
      <c r="BV98" s="254">
        <f>I98*0.1042</f>
        <v>192.5616</v>
      </c>
      <c r="BW98" s="254">
        <f>I98*0.021</f>
        <v>38.808</v>
      </c>
      <c r="BX98" s="254">
        <f>I98*0.125</f>
        <v>231</v>
      </c>
      <c r="BY98" s="254">
        <f>I98*0.125</f>
        <v>231</v>
      </c>
      <c r="BZ98" s="254">
        <f t="shared" ref="BZ98:BZ106" si="112">I98*0.125</f>
        <v>231</v>
      </c>
      <c r="CA98" s="254">
        <f t="shared" ref="CA98:CA107" si="113">I98*0.125</f>
        <v>231</v>
      </c>
      <c r="CB98" s="254">
        <f t="shared" ref="CB98:CB107" si="114">I98*0.125</f>
        <v>231</v>
      </c>
      <c r="CC98" s="254">
        <f t="shared" ref="CC98:CC107" si="115">I98*0.125</f>
        <v>231</v>
      </c>
      <c r="CE98" s="266" t="e">
        <f>'77593旧排期'!#REF!-BU98-BS98</f>
        <v>#REF!</v>
      </c>
      <c r="CF98" s="266" t="e">
        <f>'77593旧排期'!#REF!-BV98-BS98-BR98</f>
        <v>#REF!</v>
      </c>
      <c r="CG98" s="266" t="e">
        <f>'77593旧排期'!#REF!-BX98</f>
        <v>#REF!</v>
      </c>
      <c r="CH98" s="266" t="e">
        <f>'77593旧排期'!#REF!-BW98</f>
        <v>#REF!</v>
      </c>
      <c r="CI98" s="266" t="e">
        <f>'77593旧排期'!#REF!-BY98</f>
        <v>#REF!</v>
      </c>
      <c r="CJ98" s="266" t="e">
        <f>'77593旧排期'!#REF!-BZ98</f>
        <v>#REF!</v>
      </c>
      <c r="CK98" s="266" t="e">
        <f>'77593旧排期'!#REF!-CA98</f>
        <v>#REF!</v>
      </c>
      <c r="CL98" s="266" t="e">
        <f>'77593旧排期'!#REF!-CB98</f>
        <v>#REF!</v>
      </c>
      <c r="CM98" s="266" t="e">
        <f>'77593旧排期'!#REF!-CC98</f>
        <v>#REF!</v>
      </c>
    </row>
    <row r="99" s="8" customFormat="1" ht="30" customHeight="1" spans="1:91">
      <c r="A99" s="155">
        <v>45344</v>
      </c>
      <c r="B99" s="156" t="s">
        <v>681</v>
      </c>
      <c r="C99" s="157" t="s">
        <v>118</v>
      </c>
      <c r="D99" s="31">
        <v>4500125036</v>
      </c>
      <c r="E99" s="144">
        <v>9331070237</v>
      </c>
      <c r="F99" s="158" t="s">
        <v>864</v>
      </c>
      <c r="G99" s="152" t="s">
        <v>856</v>
      </c>
      <c r="H99" s="153" t="s">
        <v>857</v>
      </c>
      <c r="I99" s="188">
        <v>1848</v>
      </c>
      <c r="J99" s="188">
        <v>0</v>
      </c>
      <c r="K99" s="188">
        <v>1848</v>
      </c>
      <c r="L99" s="188">
        <f t="shared" si="108"/>
        <v>1</v>
      </c>
      <c r="M99" s="49">
        <v>45397</v>
      </c>
      <c r="N99" s="190" t="s">
        <v>858</v>
      </c>
      <c r="O99" s="191" t="s">
        <v>865</v>
      </c>
      <c r="P99" s="189" t="s">
        <v>866</v>
      </c>
      <c r="Q99" s="189"/>
      <c r="R99" s="189" t="s">
        <v>860</v>
      </c>
      <c r="S99" s="189" t="s">
        <v>125</v>
      </c>
      <c r="T99" s="189" t="s">
        <v>861</v>
      </c>
      <c r="U99" s="201" t="s">
        <v>862</v>
      </c>
      <c r="V99" s="203" t="s">
        <v>863</v>
      </c>
      <c r="W99" s="202">
        <v>1765.7621</v>
      </c>
      <c r="X99" s="204">
        <f t="shared" si="111"/>
        <v>1765.7621</v>
      </c>
      <c r="Y99" s="224"/>
      <c r="Z99" s="225"/>
      <c r="AA99" s="225">
        <f t="shared" si="109"/>
        <v>-1848</v>
      </c>
      <c r="AB99" s="49"/>
      <c r="AC99" s="49"/>
      <c r="AD99" s="147" t="s">
        <v>856</v>
      </c>
      <c r="AE99" s="224" t="s">
        <v>78</v>
      </c>
      <c r="AF99" s="226"/>
      <c r="AG99" s="241"/>
      <c r="AH99" s="241"/>
      <c r="AI99" s="241"/>
      <c r="AJ99" s="242"/>
      <c r="AK99" s="242"/>
      <c r="AL99" s="242"/>
      <c r="AM99" s="242"/>
      <c r="AN99" s="242"/>
      <c r="AO99" s="242"/>
      <c r="AP99" s="242"/>
      <c r="AQ99" s="242"/>
      <c r="AR99" s="242"/>
      <c r="AS99" s="242"/>
      <c r="AT99" s="242"/>
      <c r="AU99" s="242"/>
      <c r="AV99" s="226">
        <f>I99</f>
        <v>1848</v>
      </c>
      <c r="AW99" s="226"/>
      <c r="AX99" s="226">
        <f t="shared" si="110"/>
        <v>1848</v>
      </c>
      <c r="AY99" s="226"/>
      <c r="AZ99" s="226"/>
      <c r="BA99" s="3"/>
      <c r="BB99" s="49"/>
      <c r="BC99" s="241">
        <f>AV99</f>
        <v>1848</v>
      </c>
      <c r="BD99" s="241"/>
      <c r="BE99" s="241"/>
      <c r="BF99" s="258"/>
      <c r="BG99" s="258"/>
      <c r="BH99" s="258">
        <f>BC99</f>
        <v>1848</v>
      </c>
      <c r="BI99" s="241"/>
      <c r="BJ99" s="241"/>
      <c r="BK99" s="251"/>
      <c r="BL99" s="251"/>
      <c r="BM99" s="242">
        <f>I99/12</f>
        <v>154</v>
      </c>
      <c r="BN99" s="242"/>
      <c r="BO99" s="242"/>
      <c r="BP99" s="242"/>
      <c r="BQ99" s="242"/>
      <c r="BR99" s="242"/>
      <c r="BS99" s="242"/>
      <c r="BT99" s="242"/>
      <c r="BU99" s="254">
        <f>I99*0.125</f>
        <v>231</v>
      </c>
      <c r="BV99" s="254">
        <f>I99*0.1042</f>
        <v>192.5616</v>
      </c>
      <c r="BW99" s="254">
        <f>I99*0.021</f>
        <v>38.808</v>
      </c>
      <c r="BX99" s="254">
        <f>I99*0.125</f>
        <v>231</v>
      </c>
      <c r="BY99" s="254">
        <f>I99*0.125</f>
        <v>231</v>
      </c>
      <c r="BZ99" s="254">
        <f t="shared" si="112"/>
        <v>231</v>
      </c>
      <c r="CA99" s="254">
        <f t="shared" si="113"/>
        <v>231</v>
      </c>
      <c r="CB99" s="254">
        <f t="shared" si="114"/>
        <v>231</v>
      </c>
      <c r="CC99" s="254">
        <f t="shared" si="115"/>
        <v>231</v>
      </c>
      <c r="CE99" s="266" t="e">
        <f>CE98-BU99-BS99</f>
        <v>#REF!</v>
      </c>
      <c r="CF99" s="266" t="e">
        <f>CF98-BV99-BS99-BR99</f>
        <v>#REF!</v>
      </c>
      <c r="CG99" s="266" t="e">
        <f>CG98-BX99</f>
        <v>#REF!</v>
      </c>
      <c r="CH99" s="266" t="e">
        <f>CH98-BW99</f>
        <v>#REF!</v>
      </c>
      <c r="CI99" s="266" t="e">
        <f t="shared" ref="CI99:CM99" si="116">CI98-BY99</f>
        <v>#REF!</v>
      </c>
      <c r="CJ99" s="266" t="e">
        <f t="shared" si="116"/>
        <v>#REF!</v>
      </c>
      <c r="CK99" s="266" t="e">
        <f t="shared" si="116"/>
        <v>#REF!</v>
      </c>
      <c r="CL99" s="266" t="e">
        <f t="shared" si="116"/>
        <v>#REF!</v>
      </c>
      <c r="CM99" s="266" t="e">
        <f t="shared" si="116"/>
        <v>#REF!</v>
      </c>
    </row>
    <row r="100" s="8" customFormat="1" ht="30" customHeight="1" spans="1:91">
      <c r="A100" s="148">
        <v>45344</v>
      </c>
      <c r="B100" s="149" t="s">
        <v>681</v>
      </c>
      <c r="C100" s="150" t="s">
        <v>118</v>
      </c>
      <c r="D100" s="151">
        <v>4500125037</v>
      </c>
      <c r="E100" s="150">
        <v>9331070234</v>
      </c>
      <c r="F100" s="154" t="s">
        <v>867</v>
      </c>
      <c r="G100" s="152" t="s">
        <v>856</v>
      </c>
      <c r="H100" s="153" t="s">
        <v>857</v>
      </c>
      <c r="I100" s="188">
        <v>1848</v>
      </c>
      <c r="J100" s="188">
        <v>0</v>
      </c>
      <c r="K100" s="188">
        <v>1848</v>
      </c>
      <c r="L100" s="188">
        <f t="shared" si="108"/>
        <v>1</v>
      </c>
      <c r="M100" s="49">
        <v>45401</v>
      </c>
      <c r="N100" s="49" t="s">
        <v>858</v>
      </c>
      <c r="O100" s="191" t="s">
        <v>865</v>
      </c>
      <c r="P100" s="189"/>
      <c r="Q100" s="189"/>
      <c r="R100" s="189" t="s">
        <v>860</v>
      </c>
      <c r="S100" s="189" t="s">
        <v>125</v>
      </c>
      <c r="T100" s="189" t="s">
        <v>861</v>
      </c>
      <c r="U100" s="201" t="s">
        <v>862</v>
      </c>
      <c r="V100" s="203" t="s">
        <v>863</v>
      </c>
      <c r="W100" s="202">
        <v>1765.7621</v>
      </c>
      <c r="X100" s="204">
        <f t="shared" si="111"/>
        <v>1765.7621</v>
      </c>
      <c r="Y100" s="224"/>
      <c r="Z100" s="225"/>
      <c r="AA100" s="225">
        <f t="shared" si="109"/>
        <v>-1848</v>
      </c>
      <c r="AB100" s="49"/>
      <c r="AC100" s="49"/>
      <c r="AD100" s="147" t="s">
        <v>856</v>
      </c>
      <c r="AE100" s="224" t="s">
        <v>78</v>
      </c>
      <c r="AF100" s="226"/>
      <c r="AG100" s="241"/>
      <c r="AH100" s="241"/>
      <c r="AI100" s="241"/>
      <c r="AJ100" s="242"/>
      <c r="AK100" s="242"/>
      <c r="AL100" s="242"/>
      <c r="AM100" s="242"/>
      <c r="AN100" s="242"/>
      <c r="AO100" s="242"/>
      <c r="AP100" s="242"/>
      <c r="AQ100" s="242"/>
      <c r="AR100" s="242"/>
      <c r="AS100" s="242"/>
      <c r="AT100" s="242"/>
      <c r="AU100" s="242"/>
      <c r="AV100" s="226">
        <f>I100</f>
        <v>1848</v>
      </c>
      <c r="AW100" s="226"/>
      <c r="AX100" s="226">
        <f t="shared" si="110"/>
        <v>1848</v>
      </c>
      <c r="AY100" s="226"/>
      <c r="AZ100" s="226"/>
      <c r="BA100" s="3"/>
      <c r="BB100" s="49"/>
      <c r="BC100" s="241">
        <f>AV100</f>
        <v>1848</v>
      </c>
      <c r="BD100" s="241"/>
      <c r="BE100" s="241"/>
      <c r="BF100" s="258"/>
      <c r="BG100" s="258"/>
      <c r="BH100" s="258">
        <f>BC100</f>
        <v>1848</v>
      </c>
      <c r="BI100" s="241"/>
      <c r="BJ100" s="241"/>
      <c r="BK100" s="251"/>
      <c r="BL100" s="251"/>
      <c r="BM100" s="242">
        <f>I100/12</f>
        <v>154</v>
      </c>
      <c r="BN100" s="242"/>
      <c r="BO100" s="242"/>
      <c r="BP100" s="242"/>
      <c r="BQ100" s="242"/>
      <c r="BR100" s="242"/>
      <c r="BS100" s="242"/>
      <c r="BT100" s="242"/>
      <c r="BU100" s="254">
        <f>I100*0.125</f>
        <v>231</v>
      </c>
      <c r="BV100" s="254">
        <f>I100*0.1042</f>
        <v>192.5616</v>
      </c>
      <c r="BW100" s="254">
        <f>I100*0.021</f>
        <v>38.808</v>
      </c>
      <c r="BX100" s="254">
        <f>I100*0.125</f>
        <v>231</v>
      </c>
      <c r="BY100" s="254">
        <f>I100*0.125</f>
        <v>231</v>
      </c>
      <c r="BZ100" s="254">
        <f t="shared" si="112"/>
        <v>231</v>
      </c>
      <c r="CA100" s="254">
        <f t="shared" si="113"/>
        <v>231</v>
      </c>
      <c r="CB100" s="254">
        <f t="shared" si="114"/>
        <v>231</v>
      </c>
      <c r="CC100" s="254">
        <f t="shared" si="115"/>
        <v>231</v>
      </c>
      <c r="CE100" s="266" t="e">
        <f>'77593旧排期'!#REF!-BU100-BS100</f>
        <v>#REF!</v>
      </c>
      <c r="CF100" s="266" t="e">
        <f>'77593旧排期'!#REF!-BV100-BS100-BR100</f>
        <v>#REF!</v>
      </c>
      <c r="CG100" s="266" t="e">
        <f>'77593旧排期'!#REF!-BX100</f>
        <v>#REF!</v>
      </c>
      <c r="CH100" s="266" t="e">
        <f>'77593旧排期'!#REF!-BW100</f>
        <v>#REF!</v>
      </c>
      <c r="CI100" s="266" t="e">
        <f>'77593旧排期'!#REF!-BY100</f>
        <v>#REF!</v>
      </c>
      <c r="CJ100" s="266" t="e">
        <f>'77593旧排期'!#REF!-BZ100</f>
        <v>#REF!</v>
      </c>
      <c r="CK100" s="266" t="e">
        <f>'77593旧排期'!#REF!-CA100</f>
        <v>#REF!</v>
      </c>
      <c r="CL100" s="266" t="e">
        <f>'77593旧排期'!#REF!-CB100</f>
        <v>#REF!</v>
      </c>
      <c r="CM100" s="266" t="e">
        <f>'77593旧排期'!#REF!-CC100</f>
        <v>#REF!</v>
      </c>
    </row>
    <row r="101" s="8" customFormat="1" ht="30" customHeight="1" spans="1:91">
      <c r="A101" s="148">
        <v>45344</v>
      </c>
      <c r="B101" s="149" t="s">
        <v>681</v>
      </c>
      <c r="C101" s="150" t="s">
        <v>118</v>
      </c>
      <c r="D101" s="151">
        <v>4500125037</v>
      </c>
      <c r="E101" s="150">
        <v>9331070238</v>
      </c>
      <c r="F101" s="154" t="s">
        <v>868</v>
      </c>
      <c r="G101" s="152" t="s">
        <v>856</v>
      </c>
      <c r="H101" s="153" t="s">
        <v>857</v>
      </c>
      <c r="I101" s="188">
        <v>1848</v>
      </c>
      <c r="J101" s="188">
        <v>0</v>
      </c>
      <c r="K101" s="188">
        <v>1848</v>
      </c>
      <c r="L101" s="188">
        <f t="shared" si="108"/>
        <v>1</v>
      </c>
      <c r="M101" s="49">
        <v>45401</v>
      </c>
      <c r="N101" s="49" t="s">
        <v>858</v>
      </c>
      <c r="O101" s="191" t="s">
        <v>865</v>
      </c>
      <c r="P101" s="189"/>
      <c r="Q101" s="189"/>
      <c r="R101" s="189" t="s">
        <v>860</v>
      </c>
      <c r="S101" s="189" t="s">
        <v>125</v>
      </c>
      <c r="T101" s="189" t="s">
        <v>861</v>
      </c>
      <c r="U101" s="201" t="s">
        <v>862</v>
      </c>
      <c r="V101" s="203" t="s">
        <v>863</v>
      </c>
      <c r="W101" s="202">
        <v>1765.7621</v>
      </c>
      <c r="X101" s="204">
        <f t="shared" si="111"/>
        <v>1765.7621</v>
      </c>
      <c r="Y101" s="224"/>
      <c r="Z101" s="225"/>
      <c r="AA101" s="225">
        <f t="shared" si="109"/>
        <v>-1848</v>
      </c>
      <c r="AB101" s="49"/>
      <c r="AC101" s="49"/>
      <c r="AD101" s="147" t="s">
        <v>856</v>
      </c>
      <c r="AE101" s="224" t="s">
        <v>78</v>
      </c>
      <c r="AF101" s="226"/>
      <c r="AG101" s="241"/>
      <c r="AH101" s="241"/>
      <c r="AI101" s="241"/>
      <c r="AJ101" s="242"/>
      <c r="AK101" s="242"/>
      <c r="AL101" s="242"/>
      <c r="AM101" s="242"/>
      <c r="AN101" s="242"/>
      <c r="AO101" s="242"/>
      <c r="AP101" s="242"/>
      <c r="AQ101" s="242"/>
      <c r="AR101" s="242"/>
      <c r="AS101" s="242"/>
      <c r="AT101" s="242"/>
      <c r="AU101" s="242"/>
      <c r="AV101" s="226">
        <f>I101</f>
        <v>1848</v>
      </c>
      <c r="AW101" s="226"/>
      <c r="AX101" s="226">
        <f t="shared" si="110"/>
        <v>1848</v>
      </c>
      <c r="AY101" s="226"/>
      <c r="AZ101" s="226"/>
      <c r="BA101" s="3"/>
      <c r="BB101" s="49"/>
      <c r="BC101" s="241">
        <f>AV101</f>
        <v>1848</v>
      </c>
      <c r="BD101" s="241"/>
      <c r="BE101" s="241"/>
      <c r="BF101" s="258"/>
      <c r="BG101" s="258"/>
      <c r="BH101" s="258">
        <f>BC101</f>
        <v>1848</v>
      </c>
      <c r="BI101" s="241"/>
      <c r="BJ101" s="241"/>
      <c r="BK101" s="251"/>
      <c r="BL101" s="251"/>
      <c r="BM101" s="242">
        <f>I101/12</f>
        <v>154</v>
      </c>
      <c r="BN101" s="242"/>
      <c r="BO101" s="242"/>
      <c r="BP101" s="242"/>
      <c r="BQ101" s="242"/>
      <c r="BR101" s="242"/>
      <c r="BS101" s="242"/>
      <c r="BT101" s="242"/>
      <c r="BU101" s="254">
        <f>I101*0.125</f>
        <v>231</v>
      </c>
      <c r="BV101" s="254">
        <f>I101*0.1042</f>
        <v>192.5616</v>
      </c>
      <c r="BW101" s="254">
        <f>I101*0.021</f>
        <v>38.808</v>
      </c>
      <c r="BX101" s="254">
        <f>I101*0.125</f>
        <v>231</v>
      </c>
      <c r="BY101" s="254">
        <f>I101*0.125</f>
        <v>231</v>
      </c>
      <c r="BZ101" s="254">
        <f t="shared" si="112"/>
        <v>231</v>
      </c>
      <c r="CA101" s="254">
        <f t="shared" si="113"/>
        <v>231</v>
      </c>
      <c r="CB101" s="254">
        <f t="shared" si="114"/>
        <v>231</v>
      </c>
      <c r="CC101" s="254">
        <f t="shared" si="115"/>
        <v>231</v>
      </c>
      <c r="CE101" s="266" t="e">
        <f>CE100-BU101-BS101</f>
        <v>#REF!</v>
      </c>
      <c r="CF101" s="266" t="e">
        <f>CF100-BV101-BS101-BR101</f>
        <v>#REF!</v>
      </c>
      <c r="CG101" s="266" t="e">
        <f>CG100-BX101</f>
        <v>#REF!</v>
      </c>
      <c r="CH101" s="266" t="e">
        <f>CH100-BW101</f>
        <v>#REF!</v>
      </c>
      <c r="CI101" s="266" t="e">
        <f t="shared" ref="CI101:CM101" si="117">CI100-BY101</f>
        <v>#REF!</v>
      </c>
      <c r="CJ101" s="266" t="e">
        <f t="shared" si="117"/>
        <v>#REF!</v>
      </c>
      <c r="CK101" s="266" t="e">
        <f t="shared" si="117"/>
        <v>#REF!</v>
      </c>
      <c r="CL101" s="266" t="e">
        <f t="shared" si="117"/>
        <v>#REF!</v>
      </c>
      <c r="CM101" s="266" t="e">
        <f t="shared" si="117"/>
        <v>#REF!</v>
      </c>
    </row>
    <row r="102" s="8" customFormat="1" ht="30" customHeight="1" spans="1:93">
      <c r="A102" s="159">
        <v>45383</v>
      </c>
      <c r="B102" s="160" t="s">
        <v>869</v>
      </c>
      <c r="C102" s="161" t="s">
        <v>671</v>
      </c>
      <c r="D102" s="41">
        <v>4500128123</v>
      </c>
      <c r="E102" s="144" t="s">
        <v>870</v>
      </c>
      <c r="F102" s="41" t="s">
        <v>871</v>
      </c>
      <c r="G102" s="152" t="s">
        <v>150</v>
      </c>
      <c r="H102" s="153" t="s">
        <v>151</v>
      </c>
      <c r="I102" s="188">
        <v>504</v>
      </c>
      <c r="J102" s="188">
        <v>0</v>
      </c>
      <c r="K102" s="188">
        <v>12</v>
      </c>
      <c r="L102" s="188">
        <f t="shared" si="108"/>
        <v>42</v>
      </c>
      <c r="M102" s="49">
        <v>45429</v>
      </c>
      <c r="N102" s="49" t="s">
        <v>872</v>
      </c>
      <c r="O102" s="189" t="s">
        <v>873</v>
      </c>
      <c r="P102" s="189"/>
      <c r="Q102" s="189"/>
      <c r="R102" s="189" t="s">
        <v>874</v>
      </c>
      <c r="S102" s="189" t="s">
        <v>125</v>
      </c>
      <c r="T102" s="189">
        <v>45394</v>
      </c>
      <c r="U102" s="201" t="s">
        <v>875</v>
      </c>
      <c r="V102" s="205" t="s">
        <v>876</v>
      </c>
      <c r="W102" s="202">
        <v>2.93</v>
      </c>
      <c r="X102" s="204">
        <f t="shared" si="111"/>
        <v>123.06</v>
      </c>
      <c r="Y102" s="224"/>
      <c r="Z102" s="225">
        <v>504</v>
      </c>
      <c r="AA102" s="225">
        <f t="shared" si="109"/>
        <v>0</v>
      </c>
      <c r="AB102" s="49"/>
      <c r="AC102" s="49"/>
      <c r="AD102" s="152" t="s">
        <v>150</v>
      </c>
      <c r="AE102" s="224" t="s">
        <v>78</v>
      </c>
      <c r="AF102" s="226">
        <f t="shared" ref="AF102:AF106" si="118">I102*2</f>
        <v>1008</v>
      </c>
      <c r="AG102" s="241">
        <f t="shared" ref="AG102:AG107" si="119">AF102</f>
        <v>1008</v>
      </c>
      <c r="AH102" s="241"/>
      <c r="AI102" s="241">
        <f t="shared" ref="AI102:AI107" si="120">AG102</f>
        <v>1008</v>
      </c>
      <c r="AJ102" s="242"/>
      <c r="AK102" s="242"/>
      <c r="AL102" s="243"/>
      <c r="AM102" s="242"/>
      <c r="AN102" s="242"/>
      <c r="AO102" s="242"/>
      <c r="AP102" s="242"/>
      <c r="AQ102" s="242"/>
      <c r="AR102" s="242">
        <f t="shared" ref="AR102:AR106" si="121">I102</f>
        <v>504</v>
      </c>
      <c r="AS102" s="242"/>
      <c r="AT102" s="242">
        <f t="shared" ref="AT102:AT106" si="122">AR102</f>
        <v>504</v>
      </c>
      <c r="AU102" s="242"/>
      <c r="AV102" s="226"/>
      <c r="AW102" s="226"/>
      <c r="AX102" s="226">
        <f t="shared" ref="AX102:AX106" si="123">I102*2</f>
        <v>1008</v>
      </c>
      <c r="AY102" s="226"/>
      <c r="AZ102" s="226"/>
      <c r="BA102" s="3"/>
      <c r="BB102" s="49"/>
      <c r="BC102" s="241"/>
      <c r="BD102" s="241"/>
      <c r="BE102" s="241"/>
      <c r="BF102" s="241"/>
      <c r="BG102" s="241"/>
      <c r="BH102" s="241"/>
      <c r="BI102" s="241"/>
      <c r="BJ102" s="241"/>
      <c r="BK102" s="251"/>
      <c r="BL102" s="251"/>
      <c r="BM102" s="242"/>
      <c r="BN102" s="242"/>
      <c r="BO102" s="242"/>
      <c r="BP102" s="242"/>
      <c r="BQ102" s="242"/>
      <c r="BR102" s="242"/>
      <c r="BS102" s="242"/>
      <c r="BT102" s="242"/>
      <c r="BU102" s="242"/>
      <c r="BV102" s="242"/>
      <c r="BW102" s="254">
        <f t="shared" ref="BW102:BW106" si="124">I102*0.125</f>
        <v>63</v>
      </c>
      <c r="BX102" s="254">
        <f t="shared" ref="BX102:BX106" si="125">I102*0.1042</f>
        <v>52.5168</v>
      </c>
      <c r="BY102" s="254">
        <f t="shared" ref="BY102:BY106" si="126">I102*0.021</f>
        <v>10.584</v>
      </c>
      <c r="BZ102" s="254">
        <f t="shared" si="112"/>
        <v>63</v>
      </c>
      <c r="CA102" s="254">
        <f t="shared" si="113"/>
        <v>63</v>
      </c>
      <c r="CB102" s="254">
        <f t="shared" si="114"/>
        <v>63</v>
      </c>
      <c r="CC102" s="254">
        <f t="shared" si="115"/>
        <v>63</v>
      </c>
      <c r="CD102" s="254">
        <f t="shared" ref="CD102:CD107" si="127">I102*0.125</f>
        <v>63</v>
      </c>
      <c r="CE102" s="254">
        <f t="shared" ref="CE102:CE107" si="128">I102*0.125</f>
        <v>63</v>
      </c>
      <c r="CG102" s="266" t="e">
        <f>'77593旧排期'!#REF!-BW102-BU102</f>
        <v>#REF!</v>
      </c>
      <c r="CH102" s="266" t="e">
        <f>'77593旧排期'!#REF!-BX102-BU102-BT102</f>
        <v>#REF!</v>
      </c>
      <c r="CI102" s="266" t="e">
        <f>'77593旧排期'!#REF!-BZ102</f>
        <v>#REF!</v>
      </c>
      <c r="CJ102" s="266" t="e">
        <f>'77593旧排期'!#REF!-BY102</f>
        <v>#REF!</v>
      </c>
      <c r="CK102" s="266" t="e">
        <f>'77593旧排期'!#REF!-CA102</f>
        <v>#REF!</v>
      </c>
      <c r="CL102" s="266" t="e">
        <f>'77593旧排期'!#REF!-CB102</f>
        <v>#REF!</v>
      </c>
      <c r="CM102" s="266" t="e">
        <f>'77593旧排期'!#REF!-CC102</f>
        <v>#REF!</v>
      </c>
      <c r="CN102" s="266" t="e">
        <f>'77593旧排期'!#REF!-CD102</f>
        <v>#REF!</v>
      </c>
      <c r="CO102" s="266" t="e">
        <f>'77593旧排期'!#REF!-CE102</f>
        <v>#REF!</v>
      </c>
    </row>
    <row r="103" s="8" customFormat="1" ht="30" customHeight="1" spans="1:93">
      <c r="A103" s="162">
        <v>45442</v>
      </c>
      <c r="B103" s="163" t="s">
        <v>877</v>
      </c>
      <c r="C103" s="164" t="s">
        <v>118</v>
      </c>
      <c r="D103" s="151">
        <v>4500135267</v>
      </c>
      <c r="E103" s="160" t="s">
        <v>878</v>
      </c>
      <c r="F103" s="151" t="s">
        <v>879</v>
      </c>
      <c r="G103" s="165" t="s">
        <v>150</v>
      </c>
      <c r="H103" s="153" t="s">
        <v>151</v>
      </c>
      <c r="I103" s="188">
        <v>360</v>
      </c>
      <c r="J103" s="188">
        <v>0</v>
      </c>
      <c r="K103" s="188">
        <v>12</v>
      </c>
      <c r="L103" s="188">
        <f t="shared" si="108"/>
        <v>30</v>
      </c>
      <c r="M103" s="49">
        <v>45490</v>
      </c>
      <c r="N103" s="49" t="s">
        <v>880</v>
      </c>
      <c r="O103" s="189" t="s">
        <v>881</v>
      </c>
      <c r="P103" s="189"/>
      <c r="Q103" s="189"/>
      <c r="R103" s="189">
        <v>45442</v>
      </c>
      <c r="S103" s="189" t="s">
        <v>125</v>
      </c>
      <c r="T103" s="189" t="s">
        <v>882</v>
      </c>
      <c r="U103" s="201" t="s">
        <v>883</v>
      </c>
      <c r="V103" s="160" t="s">
        <v>854</v>
      </c>
      <c r="W103" s="202">
        <v>2.288</v>
      </c>
      <c r="X103" s="204">
        <f t="shared" si="111"/>
        <v>68.64</v>
      </c>
      <c r="Y103" s="227"/>
      <c r="Z103" s="228"/>
      <c r="AA103" s="225"/>
      <c r="AB103" s="229"/>
      <c r="AC103" s="229"/>
      <c r="AD103" s="147" t="s">
        <v>150</v>
      </c>
      <c r="AE103" s="224" t="s">
        <v>78</v>
      </c>
      <c r="AF103" s="226">
        <f t="shared" si="118"/>
        <v>720</v>
      </c>
      <c r="AG103" s="241">
        <f t="shared" si="119"/>
        <v>720</v>
      </c>
      <c r="AH103" s="244"/>
      <c r="AI103" s="241">
        <f t="shared" si="120"/>
        <v>720</v>
      </c>
      <c r="AJ103" s="245"/>
      <c r="AK103" s="245"/>
      <c r="AL103" s="245"/>
      <c r="AM103" s="245"/>
      <c r="AN103" s="245"/>
      <c r="AO103" s="245"/>
      <c r="AP103" s="245"/>
      <c r="AQ103" s="245"/>
      <c r="AR103" s="245">
        <f t="shared" si="121"/>
        <v>360</v>
      </c>
      <c r="AS103" s="245"/>
      <c r="AT103" s="242">
        <f t="shared" si="122"/>
        <v>360</v>
      </c>
      <c r="AU103" s="245"/>
      <c r="AV103" s="226"/>
      <c r="AW103" s="255"/>
      <c r="AX103" s="226">
        <f t="shared" si="123"/>
        <v>720</v>
      </c>
      <c r="AY103" s="255"/>
      <c r="AZ103" s="226"/>
      <c r="BA103" s="255"/>
      <c r="BB103" s="229"/>
      <c r="BC103" s="241"/>
      <c r="BD103" s="244"/>
      <c r="BE103" s="244"/>
      <c r="BF103" s="244"/>
      <c r="BG103" s="244"/>
      <c r="BH103" s="241"/>
      <c r="BI103" s="241"/>
      <c r="BJ103" s="241"/>
      <c r="BK103" s="251"/>
      <c r="BL103" s="251"/>
      <c r="BM103" s="3"/>
      <c r="BN103" s="242"/>
      <c r="BO103" s="242"/>
      <c r="BP103" s="242"/>
      <c r="BQ103" s="245"/>
      <c r="BR103" s="245"/>
      <c r="BS103" s="245"/>
      <c r="BT103" s="245"/>
      <c r="BU103" s="245"/>
      <c r="BV103" s="245"/>
      <c r="BW103" s="254">
        <f t="shared" si="124"/>
        <v>45</v>
      </c>
      <c r="BX103" s="254">
        <f t="shared" si="125"/>
        <v>37.512</v>
      </c>
      <c r="BY103" s="254">
        <f t="shared" si="126"/>
        <v>7.56</v>
      </c>
      <c r="BZ103" s="254">
        <f t="shared" si="112"/>
        <v>45</v>
      </c>
      <c r="CA103" s="254">
        <f t="shared" si="113"/>
        <v>45</v>
      </c>
      <c r="CB103" s="254">
        <f t="shared" si="114"/>
        <v>45</v>
      </c>
      <c r="CC103" s="254">
        <f t="shared" si="115"/>
        <v>45</v>
      </c>
      <c r="CD103" s="254">
        <f t="shared" si="127"/>
        <v>45</v>
      </c>
      <c r="CE103" s="254">
        <f t="shared" si="128"/>
        <v>45</v>
      </c>
      <c r="CG103" s="266" t="e">
        <f>取消单!CG106-BW103-BU103</f>
        <v>#REF!</v>
      </c>
      <c r="CH103" s="266" t="e">
        <f>取消单!CH106-BX103-BU103-BT103</f>
        <v>#REF!</v>
      </c>
      <c r="CI103" s="266" t="e">
        <f>取消单!CI106-BZ103</f>
        <v>#REF!</v>
      </c>
      <c r="CJ103" s="266" t="e">
        <f>取消单!CJ106-BY103</f>
        <v>#REF!</v>
      </c>
      <c r="CK103" s="266" t="e">
        <f>取消单!CK106-CA103</f>
        <v>#REF!</v>
      </c>
      <c r="CL103" s="266" t="e">
        <f>取消单!CL106-CB103</f>
        <v>#REF!</v>
      </c>
      <c r="CM103" s="266" t="e">
        <f>取消单!CM106-CC103</f>
        <v>#REF!</v>
      </c>
      <c r="CN103" s="266" t="e">
        <f>取消单!CN106-CD103</f>
        <v>#REF!</v>
      </c>
      <c r="CO103" s="266" t="e">
        <f>取消单!CO106-CE103</f>
        <v>#REF!</v>
      </c>
    </row>
    <row r="104" s="8" customFormat="1" ht="30" customHeight="1" spans="1:93">
      <c r="A104" s="162">
        <v>45442</v>
      </c>
      <c r="B104" s="163" t="s">
        <v>877</v>
      </c>
      <c r="C104" s="164" t="s">
        <v>118</v>
      </c>
      <c r="D104" s="151">
        <v>4500135282</v>
      </c>
      <c r="E104" s="160" t="s">
        <v>884</v>
      </c>
      <c r="F104" s="151" t="s">
        <v>885</v>
      </c>
      <c r="G104" s="165" t="s">
        <v>150</v>
      </c>
      <c r="H104" s="153" t="s">
        <v>151</v>
      </c>
      <c r="I104" s="188">
        <v>2208</v>
      </c>
      <c r="J104" s="188">
        <v>0</v>
      </c>
      <c r="K104" s="188">
        <v>12</v>
      </c>
      <c r="L104" s="188">
        <f t="shared" si="108"/>
        <v>184</v>
      </c>
      <c r="M104" s="49">
        <v>45490</v>
      </c>
      <c r="N104" s="49" t="s">
        <v>880</v>
      </c>
      <c r="O104" s="189" t="s">
        <v>881</v>
      </c>
      <c r="P104" s="189"/>
      <c r="Q104" s="189"/>
      <c r="R104" s="189">
        <v>45442</v>
      </c>
      <c r="S104" s="189" t="s">
        <v>125</v>
      </c>
      <c r="T104" s="189" t="s">
        <v>882</v>
      </c>
      <c r="U104" s="201" t="s">
        <v>886</v>
      </c>
      <c r="V104" s="160" t="s">
        <v>854</v>
      </c>
      <c r="W104" s="202">
        <v>2.214</v>
      </c>
      <c r="X104" s="204">
        <f t="shared" si="111"/>
        <v>407.376</v>
      </c>
      <c r="Y104" s="227"/>
      <c r="Z104" s="228"/>
      <c r="AA104" s="225"/>
      <c r="AB104" s="229"/>
      <c r="AC104" s="229"/>
      <c r="AD104" s="147" t="s">
        <v>150</v>
      </c>
      <c r="AE104" s="224" t="s">
        <v>78</v>
      </c>
      <c r="AF104" s="226">
        <f t="shared" si="118"/>
        <v>4416</v>
      </c>
      <c r="AG104" s="241">
        <f t="shared" si="119"/>
        <v>4416</v>
      </c>
      <c r="AH104" s="244"/>
      <c r="AI104" s="241">
        <f t="shared" si="120"/>
        <v>4416</v>
      </c>
      <c r="AJ104" s="245"/>
      <c r="AK104" s="245"/>
      <c r="AL104" s="245"/>
      <c r="AM104" s="245"/>
      <c r="AN104" s="245"/>
      <c r="AO104" s="245"/>
      <c r="AP104" s="245"/>
      <c r="AQ104" s="245"/>
      <c r="AR104" s="245">
        <f t="shared" si="121"/>
        <v>2208</v>
      </c>
      <c r="AS104" s="245"/>
      <c r="AT104" s="242">
        <f t="shared" si="122"/>
        <v>2208</v>
      </c>
      <c r="AU104" s="245"/>
      <c r="AV104" s="226"/>
      <c r="AW104" s="255"/>
      <c r="AX104" s="226">
        <f t="shared" si="123"/>
        <v>4416</v>
      </c>
      <c r="AY104" s="255"/>
      <c r="AZ104" s="226"/>
      <c r="BA104" s="255"/>
      <c r="BB104" s="229"/>
      <c r="BC104" s="241"/>
      <c r="BD104" s="244"/>
      <c r="BE104" s="244"/>
      <c r="BF104" s="244"/>
      <c r="BG104" s="244"/>
      <c r="BH104" s="241"/>
      <c r="BI104" s="241"/>
      <c r="BJ104" s="241"/>
      <c r="BK104" s="251"/>
      <c r="BL104" s="251"/>
      <c r="BM104" s="3"/>
      <c r="BN104" s="242"/>
      <c r="BO104" s="242"/>
      <c r="BP104" s="242"/>
      <c r="BQ104" s="245"/>
      <c r="BR104" s="245"/>
      <c r="BS104" s="245"/>
      <c r="BT104" s="245"/>
      <c r="BU104" s="245"/>
      <c r="BV104" s="245"/>
      <c r="BW104" s="254">
        <f t="shared" si="124"/>
        <v>276</v>
      </c>
      <c r="BX104" s="254">
        <f t="shared" si="125"/>
        <v>230.0736</v>
      </c>
      <c r="BY104" s="254">
        <f t="shared" si="126"/>
        <v>46.368</v>
      </c>
      <c r="BZ104" s="254">
        <f t="shared" si="112"/>
        <v>276</v>
      </c>
      <c r="CA104" s="254">
        <f t="shared" si="113"/>
        <v>276</v>
      </c>
      <c r="CB104" s="254">
        <f t="shared" si="114"/>
        <v>276</v>
      </c>
      <c r="CC104" s="254">
        <f t="shared" si="115"/>
        <v>276</v>
      </c>
      <c r="CD104" s="254">
        <f t="shared" si="127"/>
        <v>276</v>
      </c>
      <c r="CE104" s="254">
        <f t="shared" si="128"/>
        <v>276</v>
      </c>
      <c r="CG104" s="266" t="e">
        <f>'77593旧排期'!#REF!-BW104-BU104</f>
        <v>#REF!</v>
      </c>
      <c r="CH104" s="266" t="e">
        <f>'77593旧排期'!#REF!-BX104-BU104-BT104</f>
        <v>#REF!</v>
      </c>
      <c r="CI104" s="266" t="e">
        <f>'77593旧排期'!#REF!-BZ104</f>
        <v>#REF!</v>
      </c>
      <c r="CJ104" s="266" t="e">
        <f>'77593旧排期'!#REF!-BY104</f>
        <v>#REF!</v>
      </c>
      <c r="CK104" s="266" t="e">
        <f>'77593旧排期'!#REF!-CA104</f>
        <v>#REF!</v>
      </c>
      <c r="CL104" s="266" t="e">
        <f>'77593旧排期'!#REF!-CB104</f>
        <v>#REF!</v>
      </c>
      <c r="CM104" s="266" t="e">
        <f>'77593旧排期'!#REF!-CC104</f>
        <v>#REF!</v>
      </c>
      <c r="CN104" s="266" t="e">
        <f>'77593旧排期'!#REF!-CD104</f>
        <v>#REF!</v>
      </c>
      <c r="CO104" s="266" t="e">
        <f>'77593旧排期'!#REF!-CE104</f>
        <v>#REF!</v>
      </c>
    </row>
    <row r="105" s="8" customFormat="1" ht="30" customHeight="1" spans="1:93">
      <c r="A105" s="162">
        <v>45442</v>
      </c>
      <c r="B105" s="163" t="s">
        <v>877</v>
      </c>
      <c r="C105" s="164" t="s">
        <v>118</v>
      </c>
      <c r="D105" s="151">
        <v>4500135282</v>
      </c>
      <c r="E105" s="160" t="s">
        <v>884</v>
      </c>
      <c r="F105" s="151" t="s">
        <v>887</v>
      </c>
      <c r="G105" s="165" t="s">
        <v>150</v>
      </c>
      <c r="H105" s="153" t="s">
        <v>151</v>
      </c>
      <c r="I105" s="188">
        <v>120</v>
      </c>
      <c r="J105" s="188">
        <v>0</v>
      </c>
      <c r="K105" s="188">
        <v>12</v>
      </c>
      <c r="L105" s="188">
        <f t="shared" si="108"/>
        <v>10</v>
      </c>
      <c r="M105" s="49">
        <v>45490</v>
      </c>
      <c r="N105" s="49" t="s">
        <v>880</v>
      </c>
      <c r="O105" s="189" t="s">
        <v>881</v>
      </c>
      <c r="P105" s="189"/>
      <c r="Q105" s="189"/>
      <c r="R105" s="189">
        <v>45442</v>
      </c>
      <c r="S105" s="189" t="s">
        <v>125</v>
      </c>
      <c r="T105" s="189" t="s">
        <v>882</v>
      </c>
      <c r="U105" s="201" t="s">
        <v>886</v>
      </c>
      <c r="V105" s="160" t="s">
        <v>854</v>
      </c>
      <c r="W105" s="202">
        <v>2.2514</v>
      </c>
      <c r="X105" s="204">
        <f t="shared" si="111"/>
        <v>22.514</v>
      </c>
      <c r="Y105" s="227"/>
      <c r="Z105" s="228"/>
      <c r="AA105" s="225"/>
      <c r="AB105" s="229"/>
      <c r="AC105" s="229"/>
      <c r="AD105" s="147" t="s">
        <v>150</v>
      </c>
      <c r="AE105" s="224" t="s">
        <v>78</v>
      </c>
      <c r="AF105" s="226">
        <f t="shared" si="118"/>
        <v>240</v>
      </c>
      <c r="AG105" s="241">
        <f t="shared" si="119"/>
        <v>240</v>
      </c>
      <c r="AH105" s="244"/>
      <c r="AI105" s="241">
        <f t="shared" si="120"/>
        <v>240</v>
      </c>
      <c r="AJ105" s="245"/>
      <c r="AK105" s="245"/>
      <c r="AL105" s="245"/>
      <c r="AM105" s="245"/>
      <c r="AN105" s="245"/>
      <c r="AO105" s="245"/>
      <c r="AP105" s="245"/>
      <c r="AQ105" s="245"/>
      <c r="AR105" s="245">
        <f t="shared" si="121"/>
        <v>120</v>
      </c>
      <c r="AS105" s="245"/>
      <c r="AT105" s="242">
        <f t="shared" si="122"/>
        <v>120</v>
      </c>
      <c r="AU105" s="245"/>
      <c r="AV105" s="226"/>
      <c r="AW105" s="255"/>
      <c r="AX105" s="226">
        <f t="shared" si="123"/>
        <v>240</v>
      </c>
      <c r="AY105" s="255"/>
      <c r="AZ105" s="226"/>
      <c r="BA105" s="255"/>
      <c r="BB105" s="229"/>
      <c r="BC105" s="241"/>
      <c r="BD105" s="244"/>
      <c r="BE105" s="244"/>
      <c r="BF105" s="244"/>
      <c r="BG105" s="244"/>
      <c r="BH105" s="241"/>
      <c r="BI105" s="241"/>
      <c r="BJ105" s="241"/>
      <c r="BK105" s="251"/>
      <c r="BL105" s="251"/>
      <c r="BM105" s="3"/>
      <c r="BN105" s="242"/>
      <c r="BO105" s="242"/>
      <c r="BP105" s="242"/>
      <c r="BQ105" s="245"/>
      <c r="BR105" s="245"/>
      <c r="BS105" s="245"/>
      <c r="BT105" s="245"/>
      <c r="BU105" s="245"/>
      <c r="BV105" s="245"/>
      <c r="BW105" s="254">
        <f t="shared" si="124"/>
        <v>15</v>
      </c>
      <c r="BX105" s="254">
        <f t="shared" si="125"/>
        <v>12.504</v>
      </c>
      <c r="BY105" s="254">
        <f t="shared" si="126"/>
        <v>2.52</v>
      </c>
      <c r="BZ105" s="254">
        <f t="shared" si="112"/>
        <v>15</v>
      </c>
      <c r="CA105" s="254">
        <f t="shared" si="113"/>
        <v>15</v>
      </c>
      <c r="CB105" s="254">
        <f t="shared" si="114"/>
        <v>15</v>
      </c>
      <c r="CC105" s="254">
        <f t="shared" si="115"/>
        <v>15</v>
      </c>
      <c r="CD105" s="254">
        <f t="shared" si="127"/>
        <v>15</v>
      </c>
      <c r="CE105" s="254">
        <f t="shared" si="128"/>
        <v>15</v>
      </c>
      <c r="CG105" s="266" t="e">
        <f>CG104-BW105-BU105</f>
        <v>#REF!</v>
      </c>
      <c r="CH105" s="266" t="e">
        <f>CH104-BX105-BU105-BT105</f>
        <v>#REF!</v>
      </c>
      <c r="CI105" s="266" t="e">
        <f>CI104-BZ105</f>
        <v>#REF!</v>
      </c>
      <c r="CJ105" s="266" t="e">
        <f>CJ104-BY105</f>
        <v>#REF!</v>
      </c>
      <c r="CK105" s="266" t="e">
        <f t="shared" ref="CK105:CO105" si="129">CK104-CA105</f>
        <v>#REF!</v>
      </c>
      <c r="CL105" s="266" t="e">
        <f t="shared" si="129"/>
        <v>#REF!</v>
      </c>
      <c r="CM105" s="266" t="e">
        <f t="shared" si="129"/>
        <v>#REF!</v>
      </c>
      <c r="CN105" s="266" t="e">
        <f t="shared" si="129"/>
        <v>#REF!</v>
      </c>
      <c r="CO105" s="266" t="e">
        <f t="shared" si="129"/>
        <v>#REF!</v>
      </c>
    </row>
    <row r="106" s="8" customFormat="1" ht="30" customHeight="1" spans="1:93">
      <c r="A106" s="162">
        <v>45442</v>
      </c>
      <c r="B106" s="163" t="s">
        <v>877</v>
      </c>
      <c r="C106" s="164" t="s">
        <v>118</v>
      </c>
      <c r="D106" s="151">
        <v>4500135282</v>
      </c>
      <c r="E106" s="160" t="s">
        <v>884</v>
      </c>
      <c r="F106" s="151" t="s">
        <v>888</v>
      </c>
      <c r="G106" s="165" t="s">
        <v>150</v>
      </c>
      <c r="H106" s="153" t="s">
        <v>151</v>
      </c>
      <c r="I106" s="188">
        <v>864</v>
      </c>
      <c r="J106" s="188">
        <v>0</v>
      </c>
      <c r="K106" s="188">
        <v>12</v>
      </c>
      <c r="L106" s="188">
        <f t="shared" si="108"/>
        <v>72</v>
      </c>
      <c r="M106" s="49">
        <v>45490</v>
      </c>
      <c r="N106" s="49" t="s">
        <v>880</v>
      </c>
      <c r="O106" s="189" t="s">
        <v>881</v>
      </c>
      <c r="P106" s="189"/>
      <c r="Q106" s="189"/>
      <c r="R106" s="189">
        <v>45442</v>
      </c>
      <c r="S106" s="189" t="s">
        <v>125</v>
      </c>
      <c r="T106" s="189" t="s">
        <v>882</v>
      </c>
      <c r="U106" s="201" t="s">
        <v>886</v>
      </c>
      <c r="V106" s="160" t="s">
        <v>854</v>
      </c>
      <c r="W106" s="202">
        <v>2.214</v>
      </c>
      <c r="X106" s="204">
        <f t="shared" si="111"/>
        <v>159.408</v>
      </c>
      <c r="Y106" s="227"/>
      <c r="Z106" s="228"/>
      <c r="AA106" s="225"/>
      <c r="AB106" s="229"/>
      <c r="AC106" s="229"/>
      <c r="AD106" s="147" t="s">
        <v>150</v>
      </c>
      <c r="AE106" s="224" t="s">
        <v>78</v>
      </c>
      <c r="AF106" s="226">
        <f t="shared" si="118"/>
        <v>1728</v>
      </c>
      <c r="AG106" s="241">
        <f t="shared" si="119"/>
        <v>1728</v>
      </c>
      <c r="AH106" s="244"/>
      <c r="AI106" s="241">
        <f t="shared" si="120"/>
        <v>1728</v>
      </c>
      <c r="AJ106" s="245"/>
      <c r="AK106" s="245"/>
      <c r="AL106" s="245"/>
      <c r="AM106" s="245"/>
      <c r="AN106" s="245"/>
      <c r="AO106" s="245"/>
      <c r="AP106" s="245"/>
      <c r="AQ106" s="245"/>
      <c r="AR106" s="245">
        <f t="shared" si="121"/>
        <v>864</v>
      </c>
      <c r="AS106" s="245"/>
      <c r="AT106" s="242">
        <f t="shared" si="122"/>
        <v>864</v>
      </c>
      <c r="AU106" s="245"/>
      <c r="AV106" s="226"/>
      <c r="AW106" s="255"/>
      <c r="AX106" s="226">
        <f t="shared" si="123"/>
        <v>1728</v>
      </c>
      <c r="AY106" s="255"/>
      <c r="AZ106" s="226"/>
      <c r="BA106" s="255"/>
      <c r="BB106" s="229"/>
      <c r="BC106" s="241"/>
      <c r="BD106" s="244"/>
      <c r="BE106" s="244"/>
      <c r="BF106" s="244"/>
      <c r="BG106" s="244"/>
      <c r="BH106" s="241"/>
      <c r="BI106" s="241"/>
      <c r="BJ106" s="241"/>
      <c r="BK106" s="251"/>
      <c r="BL106" s="251"/>
      <c r="BM106" s="3"/>
      <c r="BN106" s="242"/>
      <c r="BO106" s="242"/>
      <c r="BP106" s="242"/>
      <c r="BQ106" s="245"/>
      <c r="BR106" s="245"/>
      <c r="BS106" s="245"/>
      <c r="BT106" s="245"/>
      <c r="BU106" s="245"/>
      <c r="BV106" s="245"/>
      <c r="BW106" s="254">
        <f t="shared" si="124"/>
        <v>108</v>
      </c>
      <c r="BX106" s="254">
        <f t="shared" si="125"/>
        <v>90.0288</v>
      </c>
      <c r="BY106" s="254">
        <f t="shared" si="126"/>
        <v>18.144</v>
      </c>
      <c r="BZ106" s="254">
        <f t="shared" si="112"/>
        <v>108</v>
      </c>
      <c r="CA106" s="254">
        <f t="shared" si="113"/>
        <v>108</v>
      </c>
      <c r="CB106" s="254">
        <f t="shared" si="114"/>
        <v>108</v>
      </c>
      <c r="CC106" s="254">
        <f t="shared" si="115"/>
        <v>108</v>
      </c>
      <c r="CD106" s="254">
        <f t="shared" si="127"/>
        <v>108</v>
      </c>
      <c r="CE106" s="254">
        <f t="shared" si="128"/>
        <v>108</v>
      </c>
      <c r="CG106" s="266" t="e">
        <f>CG105-BW106-BU106</f>
        <v>#REF!</v>
      </c>
      <c r="CH106" s="266" t="e">
        <f>CH105-BX106-BU106-BT106</f>
        <v>#REF!</v>
      </c>
      <c r="CI106" s="266" t="e">
        <f>CI105-BZ106</f>
        <v>#REF!</v>
      </c>
      <c r="CJ106" s="266" t="e">
        <f>CJ105-BY106</f>
        <v>#REF!</v>
      </c>
      <c r="CK106" s="266" t="e">
        <f t="shared" ref="CK106:CO106" si="130">CK105-CA106</f>
        <v>#REF!</v>
      </c>
      <c r="CL106" s="266" t="e">
        <f t="shared" si="130"/>
        <v>#REF!</v>
      </c>
      <c r="CM106" s="266" t="e">
        <f t="shared" si="130"/>
        <v>#REF!</v>
      </c>
      <c r="CN106" s="266" t="e">
        <f t="shared" si="130"/>
        <v>#REF!</v>
      </c>
      <c r="CO106" s="266" t="e">
        <f t="shared" si="130"/>
        <v>#REF!</v>
      </c>
    </row>
    <row r="107" s="8" customFormat="1" ht="26" customHeight="1" spans="1:113">
      <c r="A107" s="166">
        <v>45441</v>
      </c>
      <c r="B107" s="125" t="s">
        <v>889</v>
      </c>
      <c r="C107" s="126" t="s">
        <v>285</v>
      </c>
      <c r="D107" s="127">
        <v>4500134591</v>
      </c>
      <c r="E107" s="125" t="s">
        <v>890</v>
      </c>
      <c r="F107" s="127" t="s">
        <v>891</v>
      </c>
      <c r="G107" s="167" t="s">
        <v>192</v>
      </c>
      <c r="H107" s="142" t="s">
        <v>892</v>
      </c>
      <c r="I107" s="192">
        <v>3360</v>
      </c>
      <c r="J107" s="192">
        <v>0</v>
      </c>
      <c r="K107" s="192">
        <v>24</v>
      </c>
      <c r="L107" s="192">
        <f t="shared" si="108"/>
        <v>140</v>
      </c>
      <c r="M107" s="182">
        <v>45481</v>
      </c>
      <c r="N107" s="182">
        <v>45477</v>
      </c>
      <c r="O107" s="183"/>
      <c r="P107" s="183"/>
      <c r="Q107" s="183"/>
      <c r="R107" s="189" t="s">
        <v>332</v>
      </c>
      <c r="S107" s="183" t="s">
        <v>75</v>
      </c>
      <c r="T107" s="189" t="s">
        <v>75</v>
      </c>
      <c r="U107" s="131" t="s">
        <v>893</v>
      </c>
      <c r="V107" s="206" t="s">
        <v>145</v>
      </c>
      <c r="W107" s="207">
        <v>1.263</v>
      </c>
      <c r="X107" s="208">
        <f t="shared" si="111"/>
        <v>176.82</v>
      </c>
      <c r="Y107" s="181"/>
      <c r="Z107" s="134"/>
      <c r="AA107" s="225"/>
      <c r="AB107" s="220"/>
      <c r="AC107" s="220"/>
      <c r="AD107" s="220" t="s">
        <v>192</v>
      </c>
      <c r="AE107" s="230" t="s">
        <v>78</v>
      </c>
      <c r="AF107" s="231">
        <f>I107</f>
        <v>3360</v>
      </c>
      <c r="AG107" s="246">
        <f t="shared" si="119"/>
        <v>3360</v>
      </c>
      <c r="AH107" s="247"/>
      <c r="AI107" s="246">
        <f t="shared" si="120"/>
        <v>3360</v>
      </c>
      <c r="AJ107" s="220"/>
      <c r="AK107" s="220"/>
      <c r="AL107" s="220"/>
      <c r="AM107" s="220"/>
      <c r="AN107" s="220"/>
      <c r="AO107" s="242"/>
      <c r="AP107" s="242"/>
      <c r="AQ107" s="220"/>
      <c r="AR107" s="220"/>
      <c r="AS107" s="220"/>
      <c r="AT107" s="220"/>
      <c r="AU107" s="220"/>
      <c r="AV107" s="220"/>
      <c r="AW107" s="220"/>
      <c r="AX107" s="220"/>
      <c r="AY107" s="226">
        <f>I107</f>
        <v>3360</v>
      </c>
      <c r="AZ107" s="220"/>
      <c r="BA107" s="220"/>
      <c r="BB107" s="220"/>
      <c r="BC107" s="220"/>
      <c r="BD107" s="220"/>
      <c r="BE107" s="220"/>
      <c r="BF107" s="220"/>
      <c r="BG107" s="259"/>
      <c r="BH107" s="220"/>
      <c r="BI107" s="128"/>
      <c r="BJ107" s="128"/>
      <c r="BK107" s="129"/>
      <c r="BL107" s="128"/>
      <c r="BM107" s="129"/>
      <c r="BN107" s="129"/>
      <c r="BO107" s="129"/>
      <c r="BP107" s="129"/>
      <c r="BQ107" s="237"/>
      <c r="BR107" s="237"/>
      <c r="BS107" s="237"/>
      <c r="BT107" s="237"/>
      <c r="BU107" s="3"/>
      <c r="BV107" s="237"/>
      <c r="BW107" s="237"/>
      <c r="BX107" s="254">
        <f>I107*0.125</f>
        <v>420</v>
      </c>
      <c r="BY107" s="254">
        <f>I107*0.1042</f>
        <v>350.112</v>
      </c>
      <c r="BZ107" s="254">
        <f>I107*0.021</f>
        <v>70.56</v>
      </c>
      <c r="CA107" s="254">
        <f t="shared" si="113"/>
        <v>420</v>
      </c>
      <c r="CB107" s="254">
        <f t="shared" si="114"/>
        <v>420</v>
      </c>
      <c r="CC107" s="254">
        <f t="shared" si="115"/>
        <v>420</v>
      </c>
      <c r="CD107" s="254">
        <f t="shared" si="127"/>
        <v>420</v>
      </c>
      <c r="CE107" s="254">
        <f t="shared" si="128"/>
        <v>420</v>
      </c>
      <c r="CF107" s="254">
        <f>I107*0.125</f>
        <v>420</v>
      </c>
      <c r="CG107" s="267"/>
      <c r="CH107" s="266" t="e">
        <f>'77593旧排期'!#REF!-BX107-BV107</f>
        <v>#REF!</v>
      </c>
      <c r="CI107" s="266" t="e">
        <f>'77593旧排期'!#REF!-BY107-BV107-BU107</f>
        <v>#REF!</v>
      </c>
      <c r="CJ107" s="266" t="e">
        <f>'77593旧排期'!#REF!-CA107</f>
        <v>#REF!</v>
      </c>
      <c r="CK107" s="266" t="e">
        <f>'77593旧排期'!#REF!-BZ107</f>
        <v>#REF!</v>
      </c>
      <c r="CL107" s="266" t="e">
        <f>'77593旧排期'!#REF!-CB107</f>
        <v>#REF!</v>
      </c>
      <c r="CM107" s="266" t="e">
        <f>'77593旧排期'!#REF!-CC107</f>
        <v>#REF!</v>
      </c>
      <c r="CN107" s="266" t="e">
        <f>'77593旧排期'!#REF!-CD107</f>
        <v>#REF!</v>
      </c>
      <c r="CO107" s="266" t="e">
        <f>'77593旧排期'!#REF!-CE107</f>
        <v>#REF!</v>
      </c>
      <c r="CP107" s="266" t="e">
        <f>'77593旧排期'!#REF!-CF107</f>
        <v>#REF!</v>
      </c>
      <c r="CQ107" s="267"/>
      <c r="CR107" s="267"/>
      <c r="CS107" s="267"/>
      <c r="CT107" s="269"/>
      <c r="CU107" s="2"/>
      <c r="CV107" s="269"/>
      <c r="CW107" s="269"/>
      <c r="CX107" s="269"/>
      <c r="CY107" s="269"/>
      <c r="CZ107" s="269"/>
      <c r="DA107" s="269"/>
      <c r="DB107" s="269"/>
      <c r="DC107" s="269"/>
      <c r="DD107" s="269"/>
      <c r="DE107" s="269"/>
      <c r="DF107" s="269"/>
      <c r="DG107" s="269"/>
      <c r="DH107" s="269"/>
      <c r="DI107" s="269"/>
    </row>
    <row r="108" s="9" customFormat="1" ht="30" customHeight="1" spans="1:95">
      <c r="A108" s="168">
        <v>45526</v>
      </c>
      <c r="B108" s="169" t="s">
        <v>877</v>
      </c>
      <c r="C108" s="170" t="s">
        <v>118</v>
      </c>
      <c r="D108" s="171" t="s">
        <v>894</v>
      </c>
      <c r="E108" s="172" t="s">
        <v>895</v>
      </c>
      <c r="F108" s="171" t="s">
        <v>896</v>
      </c>
      <c r="G108" s="173" t="s">
        <v>850</v>
      </c>
      <c r="H108" s="174" t="s">
        <v>851</v>
      </c>
      <c r="I108" s="193">
        <v>528</v>
      </c>
      <c r="J108" s="193">
        <v>0</v>
      </c>
      <c r="K108" s="193">
        <v>16</v>
      </c>
      <c r="L108" s="193">
        <f t="shared" si="108"/>
        <v>33</v>
      </c>
      <c r="M108" s="190">
        <v>45576</v>
      </c>
      <c r="N108" s="190" t="s">
        <v>897</v>
      </c>
      <c r="O108" s="191"/>
      <c r="P108" s="191"/>
      <c r="Q108" s="191"/>
      <c r="R108" s="209">
        <v>45526</v>
      </c>
      <c r="S108" s="210" t="s">
        <v>125</v>
      </c>
      <c r="T108" s="211" t="s">
        <v>882</v>
      </c>
      <c r="U108" s="212" t="s">
        <v>898</v>
      </c>
      <c r="V108" s="213" t="s">
        <v>854</v>
      </c>
      <c r="W108" s="214">
        <v>2.2954</v>
      </c>
      <c r="X108" s="215">
        <f>W108*I108</f>
        <v>1211.9712</v>
      </c>
      <c r="Y108" s="232"/>
      <c r="Z108" s="233"/>
      <c r="AA108" s="234"/>
      <c r="AB108" s="235"/>
      <c r="AC108" s="235"/>
      <c r="AD108" s="172" t="s">
        <v>850</v>
      </c>
      <c r="AE108" s="224" t="s">
        <v>78</v>
      </c>
      <c r="AF108" s="236"/>
      <c r="AG108" s="248"/>
      <c r="AH108" s="248"/>
      <c r="AI108" s="248"/>
      <c r="AJ108" s="249"/>
      <c r="AK108" s="249"/>
      <c r="AL108" s="249"/>
      <c r="AM108" s="249"/>
      <c r="AN108" s="250"/>
      <c r="AO108" s="250"/>
      <c r="AP108" s="249"/>
      <c r="AQ108" s="249"/>
      <c r="AR108" s="249"/>
      <c r="AS108" s="249"/>
      <c r="AT108" s="249"/>
      <c r="AU108" s="249"/>
      <c r="AV108" s="249"/>
      <c r="AW108" s="249"/>
      <c r="AX108" s="236">
        <f>I108*2</f>
        <v>1056</v>
      </c>
      <c r="AY108" s="256"/>
      <c r="AZ108" s="236">
        <f>I108*2</f>
        <v>1056</v>
      </c>
      <c r="BA108" s="256"/>
      <c r="BB108" s="236"/>
      <c r="BC108" s="256"/>
      <c r="BD108" s="235"/>
      <c r="BE108" s="248"/>
      <c r="BF108" s="260"/>
      <c r="BG108" s="260">
        <f>I108*2</f>
        <v>1056</v>
      </c>
      <c r="BH108" s="260"/>
      <c r="BI108" s="260"/>
      <c r="BJ108" s="248">
        <f>I108*2</f>
        <v>1056</v>
      </c>
      <c r="BK108" s="260"/>
      <c r="BL108" s="260"/>
      <c r="BM108" s="262"/>
      <c r="BN108" s="262"/>
      <c r="BO108" s="263"/>
      <c r="BP108" s="250"/>
      <c r="BQ108" s="250"/>
      <c r="BR108" s="250"/>
      <c r="BS108" s="249">
        <f>I108</f>
        <v>528</v>
      </c>
      <c r="BT108" s="249">
        <f>I108</f>
        <v>528</v>
      </c>
      <c r="BU108" s="249"/>
      <c r="BV108" s="249"/>
      <c r="BW108" s="249"/>
      <c r="BX108" s="249"/>
      <c r="BY108" s="265">
        <f>I108*0.125*2</f>
        <v>132</v>
      </c>
      <c r="BZ108" s="265">
        <f>I108*0.1042*2</f>
        <v>110.0352</v>
      </c>
      <c r="CA108" s="265">
        <f>I108*0.021*2</f>
        <v>22.176</v>
      </c>
      <c r="CB108" s="265">
        <f>I108*0.125*2</f>
        <v>132</v>
      </c>
      <c r="CC108" s="265">
        <f>I108*0.125*2</f>
        <v>132</v>
      </c>
      <c r="CD108" s="265">
        <f>I108*0.125*2</f>
        <v>132</v>
      </c>
      <c r="CE108" s="265">
        <f>I108*0.125*2</f>
        <v>132</v>
      </c>
      <c r="CF108" s="265">
        <f>I108*0.125*2</f>
        <v>132</v>
      </c>
      <c r="CG108" s="265">
        <f>I108*0.125*2</f>
        <v>132</v>
      </c>
      <c r="CI108" s="268"/>
      <c r="CJ108" s="268"/>
      <c r="CK108" s="268"/>
      <c r="CL108" s="268"/>
      <c r="CM108" s="268"/>
      <c r="CN108" s="268"/>
      <c r="CO108" s="268"/>
      <c r="CP108" s="268"/>
      <c r="CQ108" s="268"/>
    </row>
    <row r="109" s="9" customFormat="1" ht="30" customHeight="1" spans="1:95">
      <c r="A109" s="168">
        <v>45526</v>
      </c>
      <c r="B109" s="169" t="s">
        <v>877</v>
      </c>
      <c r="C109" s="170" t="s">
        <v>118</v>
      </c>
      <c r="D109" s="171">
        <v>4500143730</v>
      </c>
      <c r="E109" s="172" t="s">
        <v>899</v>
      </c>
      <c r="F109" s="171" t="s">
        <v>900</v>
      </c>
      <c r="G109" s="173" t="s">
        <v>850</v>
      </c>
      <c r="H109" s="174" t="s">
        <v>851</v>
      </c>
      <c r="I109" s="193">
        <v>480</v>
      </c>
      <c r="J109" s="193">
        <v>0</v>
      </c>
      <c r="K109" s="193">
        <v>16</v>
      </c>
      <c r="L109" s="193">
        <f t="shared" si="108"/>
        <v>30</v>
      </c>
      <c r="M109" s="190">
        <v>45576</v>
      </c>
      <c r="N109" s="190" t="s">
        <v>897</v>
      </c>
      <c r="O109" s="191"/>
      <c r="P109" s="191"/>
      <c r="Q109" s="191"/>
      <c r="R109" s="209">
        <v>45526</v>
      </c>
      <c r="S109" s="210" t="s">
        <v>125</v>
      </c>
      <c r="T109" s="211" t="s">
        <v>882</v>
      </c>
      <c r="U109" s="212" t="s">
        <v>901</v>
      </c>
      <c r="V109" s="213" t="s">
        <v>854</v>
      </c>
      <c r="W109" s="214">
        <v>2.2954</v>
      </c>
      <c r="X109" s="215">
        <f>W109*I109</f>
        <v>1101.792</v>
      </c>
      <c r="Y109" s="232"/>
      <c r="Z109" s="233"/>
      <c r="AA109" s="234"/>
      <c r="AB109" s="235"/>
      <c r="AC109" s="235"/>
      <c r="AD109" s="172" t="s">
        <v>850</v>
      </c>
      <c r="AE109" s="224" t="s">
        <v>78</v>
      </c>
      <c r="AF109" s="236"/>
      <c r="AG109" s="248"/>
      <c r="AH109" s="248"/>
      <c r="AI109" s="248"/>
      <c r="AJ109" s="249"/>
      <c r="AK109" s="249"/>
      <c r="AL109" s="249"/>
      <c r="AM109" s="249"/>
      <c r="AN109" s="250"/>
      <c r="AO109" s="250"/>
      <c r="AP109" s="249"/>
      <c r="AQ109" s="249"/>
      <c r="AR109" s="249"/>
      <c r="AS109" s="249"/>
      <c r="AT109" s="249"/>
      <c r="AU109" s="249"/>
      <c r="AV109" s="249"/>
      <c r="AW109" s="249"/>
      <c r="AX109" s="236">
        <f>I109*2</f>
        <v>960</v>
      </c>
      <c r="AY109" s="256"/>
      <c r="AZ109" s="236">
        <f>I109*2</f>
        <v>960</v>
      </c>
      <c r="BA109" s="256"/>
      <c r="BB109" s="236"/>
      <c r="BC109" s="256"/>
      <c r="BD109" s="235"/>
      <c r="BE109" s="248"/>
      <c r="BF109" s="260"/>
      <c r="BG109" s="260">
        <f>I109*2</f>
        <v>960</v>
      </c>
      <c r="BH109" s="260"/>
      <c r="BI109" s="260"/>
      <c r="BJ109" s="248">
        <f>I109*2</f>
        <v>960</v>
      </c>
      <c r="BK109" s="260"/>
      <c r="BL109" s="260"/>
      <c r="BM109" s="262"/>
      <c r="BN109" s="262"/>
      <c r="BO109" s="263"/>
      <c r="BP109" s="250"/>
      <c r="BQ109" s="250"/>
      <c r="BR109" s="250"/>
      <c r="BS109" s="249">
        <f>I109</f>
        <v>480</v>
      </c>
      <c r="BT109" s="249">
        <f>I109</f>
        <v>480</v>
      </c>
      <c r="BU109" s="249"/>
      <c r="BV109" s="249"/>
      <c r="BW109" s="249"/>
      <c r="BX109" s="249"/>
      <c r="BY109" s="265">
        <f>I109*0.125*2</f>
        <v>120</v>
      </c>
      <c r="BZ109" s="265">
        <f>I109*0.1042*2</f>
        <v>100.032</v>
      </c>
      <c r="CA109" s="265">
        <f>I109*0.021*2</f>
        <v>20.16</v>
      </c>
      <c r="CB109" s="265">
        <f>I109*0.125*2</f>
        <v>120</v>
      </c>
      <c r="CC109" s="265">
        <f>I109*0.125*2</f>
        <v>120</v>
      </c>
      <c r="CD109" s="265">
        <f>I109*0.125*2</f>
        <v>120</v>
      </c>
      <c r="CE109" s="265">
        <f>I109*0.125*2</f>
        <v>120</v>
      </c>
      <c r="CF109" s="265">
        <f>I109*0.125*2</f>
        <v>120</v>
      </c>
      <c r="CG109" s="265">
        <f>I109*0.125*2</f>
        <v>120</v>
      </c>
      <c r="CI109" s="268"/>
      <c r="CJ109" s="268"/>
      <c r="CK109" s="268"/>
      <c r="CL109" s="268"/>
      <c r="CM109" s="268"/>
      <c r="CN109" s="268"/>
      <c r="CO109" s="268"/>
      <c r="CP109" s="268"/>
      <c r="CQ109" s="268"/>
    </row>
    <row r="110" s="8" customFormat="1" ht="30" customHeight="1" spans="1:95">
      <c r="A110" s="175">
        <v>45594</v>
      </c>
      <c r="B110" s="176" t="s">
        <v>117</v>
      </c>
      <c r="C110" s="121" t="s">
        <v>118</v>
      </c>
      <c r="D110" s="177">
        <v>4500149426</v>
      </c>
      <c r="E110" s="147" t="s">
        <v>902</v>
      </c>
      <c r="F110" s="177" t="s">
        <v>903</v>
      </c>
      <c r="G110" s="152" t="s">
        <v>121</v>
      </c>
      <c r="H110" s="153" t="s">
        <v>122</v>
      </c>
      <c r="I110" s="188">
        <v>2328</v>
      </c>
      <c r="J110" s="188">
        <v>0</v>
      </c>
      <c r="K110" s="188">
        <v>8</v>
      </c>
      <c r="L110" s="188">
        <f t="shared" si="108"/>
        <v>291</v>
      </c>
      <c r="M110" s="49">
        <v>45660</v>
      </c>
      <c r="N110" s="49" t="s">
        <v>904</v>
      </c>
      <c r="O110" s="189" t="s">
        <v>905</v>
      </c>
      <c r="P110" s="189" t="s">
        <v>906</v>
      </c>
      <c r="Q110" s="216"/>
      <c r="R110" s="189">
        <v>45595</v>
      </c>
      <c r="S110" s="183" t="s">
        <v>125</v>
      </c>
      <c r="T110" s="217" t="s">
        <v>126</v>
      </c>
      <c r="U110" s="218" t="s">
        <v>907</v>
      </c>
      <c r="V110" s="73" t="s">
        <v>128</v>
      </c>
      <c r="W110" s="202">
        <v>1.0695</v>
      </c>
      <c r="X110" s="204">
        <f>L110*W110</f>
        <v>311.2245</v>
      </c>
      <c r="Y110" s="227"/>
      <c r="Z110" s="228"/>
      <c r="AA110" s="225">
        <f>Z110-I110</f>
        <v>-2328</v>
      </c>
      <c r="AB110" s="229"/>
      <c r="AC110" s="229"/>
      <c r="AD110" s="147" t="s">
        <v>121</v>
      </c>
      <c r="AE110" s="224" t="s">
        <v>78</v>
      </c>
      <c r="AF110" s="226">
        <f>I110</f>
        <v>2328</v>
      </c>
      <c r="AG110" s="241">
        <f>AF110</f>
        <v>2328</v>
      </c>
      <c r="AH110" s="241"/>
      <c r="AI110" s="241">
        <f>AG110</f>
        <v>2328</v>
      </c>
      <c r="AJ110" s="245"/>
      <c r="AK110" s="245"/>
      <c r="AL110" s="245"/>
      <c r="AM110" s="245"/>
      <c r="AN110" s="245"/>
      <c r="AO110" s="245"/>
      <c r="AP110" s="245">
        <f>I110/8</f>
        <v>291</v>
      </c>
      <c r="AQ110" s="245"/>
      <c r="AR110" s="245"/>
      <c r="AS110" s="245"/>
      <c r="AT110" s="245"/>
      <c r="AU110" s="245"/>
      <c r="AV110" s="245"/>
      <c r="AW110" s="245"/>
      <c r="AX110" s="255"/>
      <c r="AY110" s="255"/>
      <c r="AZ110" s="226">
        <f>I110</f>
        <v>2328</v>
      </c>
      <c r="BA110" s="255"/>
      <c r="BB110" s="255"/>
      <c r="BC110" s="255"/>
      <c r="BD110" s="229"/>
      <c r="BE110" s="244"/>
      <c r="BF110" s="244"/>
      <c r="BG110" s="244"/>
      <c r="BH110" s="244"/>
      <c r="BI110" s="244"/>
      <c r="BJ110" s="244"/>
      <c r="BK110" s="244"/>
      <c r="BL110" s="244"/>
      <c r="BM110" s="264"/>
      <c r="BN110" s="264"/>
      <c r="BO110" s="245"/>
      <c r="BP110" s="245"/>
      <c r="BQ110" s="245"/>
      <c r="BR110" s="245"/>
      <c r="BS110" s="245"/>
      <c r="BT110" s="245"/>
      <c r="BU110" s="245"/>
      <c r="BV110" s="245"/>
      <c r="BW110" s="245"/>
      <c r="BX110" s="245"/>
      <c r="BY110" s="254">
        <f>I110*0.125</f>
        <v>291</v>
      </c>
      <c r="BZ110" s="254">
        <f>I110*0.1042</f>
        <v>242.5776</v>
      </c>
      <c r="CA110" s="254">
        <f>I110*0.021</f>
        <v>48.888</v>
      </c>
      <c r="CB110" s="254">
        <f>I110*0.125</f>
        <v>291</v>
      </c>
      <c r="CC110" s="254">
        <f>I110*0.125</f>
        <v>291</v>
      </c>
      <c r="CD110" s="254">
        <f>I110*0.125</f>
        <v>291</v>
      </c>
      <c r="CE110" s="254">
        <f>I110*0.125</f>
        <v>291</v>
      </c>
      <c r="CF110" s="254">
        <f>I110*0.125</f>
        <v>291</v>
      </c>
      <c r="CG110" s="254">
        <f>I110*0.125</f>
        <v>291</v>
      </c>
      <c r="CI110" s="266">
        <f>'77593旧排期'!BK8-BY110-BW110</f>
        <v>10641.125</v>
      </c>
      <c r="CJ110" s="266">
        <f>'77593旧排期'!BL8-BZ110-BW110-BV110</f>
        <v>9044.02656666653</v>
      </c>
      <c r="CK110" s="266">
        <f>'77593旧排期'!BM8-CB110</f>
        <v>10654.125</v>
      </c>
      <c r="CL110" s="266">
        <f>'77593旧排期'!BN8-CA110</f>
        <v>1683.63283333331</v>
      </c>
      <c r="CM110" s="266">
        <f>'77593旧排期'!BO8-CC110</f>
        <v>8776.125</v>
      </c>
      <c r="CN110" s="266">
        <f>'77593旧排期'!BP8-CD110</f>
        <v>10654.125</v>
      </c>
      <c r="CO110" s="266">
        <f>'77593旧排期'!BQ8-CE110</f>
        <v>10654.125</v>
      </c>
      <c r="CP110" s="266">
        <f>'77593旧排期'!BR8-CF110</f>
        <v>11054.125</v>
      </c>
      <c r="CQ110" s="266">
        <f>'77593旧排期'!BS8-CG110</f>
        <v>10654.125</v>
      </c>
    </row>
  </sheetData>
  <autoFilter ref="A1:CH110">
    <extLst/>
  </autoFilter>
  <conditionalFormatting sqref="Q1:S1">
    <cfRule type="cellIs" dxfId="1" priority="122" operator="equal">
      <formula>"欠"</formula>
    </cfRule>
  </conditionalFormatting>
  <conditionalFormatting sqref="Y8:Z8">
    <cfRule type="cellIs" dxfId="1" priority="127" operator="equal">
      <formula>"欠"</formula>
    </cfRule>
  </conditionalFormatting>
  <conditionalFormatting sqref="Q28:S28">
    <cfRule type="cellIs" dxfId="1" priority="123" operator="equal">
      <formula>"欠"</formula>
    </cfRule>
  </conditionalFormatting>
  <conditionalFormatting sqref="Q29">
    <cfRule type="cellIs" dxfId="1" priority="115" operator="equal">
      <formula>"欠"</formula>
    </cfRule>
  </conditionalFormatting>
  <conditionalFormatting sqref="R29:S29">
    <cfRule type="cellIs" dxfId="1" priority="114" operator="equal">
      <formula>"欠"</formula>
    </cfRule>
  </conditionalFormatting>
  <conditionalFormatting sqref="Q30">
    <cfRule type="cellIs" dxfId="1" priority="113" operator="equal">
      <formula>"欠"</formula>
    </cfRule>
  </conditionalFormatting>
  <conditionalFormatting sqref="R30:S30">
    <cfRule type="cellIs" dxfId="1" priority="112" operator="equal">
      <formula>"欠"</formula>
    </cfRule>
  </conditionalFormatting>
  <conditionalFormatting sqref="Q31">
    <cfRule type="cellIs" dxfId="1" priority="111" operator="equal">
      <formula>"欠"</formula>
    </cfRule>
  </conditionalFormatting>
  <conditionalFormatting sqref="R31:S31">
    <cfRule type="cellIs" dxfId="1" priority="110" operator="equal">
      <formula>"欠"</formula>
    </cfRule>
  </conditionalFormatting>
  <conditionalFormatting sqref="Q32:S32">
    <cfRule type="cellIs" dxfId="1" priority="109" operator="equal">
      <formula>"欠"</formula>
    </cfRule>
  </conditionalFormatting>
  <conditionalFormatting sqref="Q35:S35">
    <cfRule type="cellIs" dxfId="1" priority="107" operator="equal">
      <formula>"欠"</formula>
    </cfRule>
  </conditionalFormatting>
  <conditionalFormatting sqref="Q36:S36">
    <cfRule type="cellIs" dxfId="1" priority="97" operator="equal">
      <formula>"欠"</formula>
    </cfRule>
  </conditionalFormatting>
  <conditionalFormatting sqref="Q44:S44">
    <cfRule type="cellIs" dxfId="1" priority="94" operator="equal">
      <formula>"欠"</formula>
    </cfRule>
  </conditionalFormatting>
  <conditionalFormatting sqref="Q45:S45">
    <cfRule type="cellIs" dxfId="1" priority="93" operator="equal">
      <formula>"欠"</formula>
    </cfRule>
  </conditionalFormatting>
  <conditionalFormatting sqref="R66:T66">
    <cfRule type="cellIs" dxfId="1" priority="89" operator="equal">
      <formula>"欠"</formula>
    </cfRule>
  </conditionalFormatting>
  <conditionalFormatting sqref="R67">
    <cfRule type="cellIs" dxfId="1" priority="86" operator="equal">
      <formula>"欠"</formula>
    </cfRule>
  </conditionalFormatting>
  <conditionalFormatting sqref="S67">
    <cfRule type="cellIs" dxfId="1" priority="88" operator="equal">
      <formula>"欠"</formula>
    </cfRule>
  </conditionalFormatting>
  <conditionalFormatting sqref="T67">
    <cfRule type="cellIs" dxfId="1" priority="87" operator="equal">
      <formula>"欠"</formula>
    </cfRule>
  </conditionalFormatting>
  <conditionalFormatting sqref="R68:T68">
    <cfRule type="cellIs" dxfId="1" priority="85" operator="equal">
      <formula>"欠"</formula>
    </cfRule>
  </conditionalFormatting>
  <conditionalFormatting sqref="S69">
    <cfRule type="cellIs" dxfId="1" priority="82" operator="equal">
      <formula>"欠"</formula>
    </cfRule>
  </conditionalFormatting>
  <conditionalFormatting sqref="T69">
    <cfRule type="cellIs" dxfId="1" priority="84" operator="equal">
      <formula>"欠"</formula>
    </cfRule>
  </conditionalFormatting>
  <conditionalFormatting sqref="U69">
    <cfRule type="cellIs" dxfId="1" priority="83" operator="equal">
      <formula>"欠"</formula>
    </cfRule>
  </conditionalFormatting>
  <conditionalFormatting sqref="S70:U70">
    <cfRule type="cellIs" dxfId="1" priority="81" operator="equal">
      <formula>"欠"</formula>
    </cfRule>
  </conditionalFormatting>
  <conditionalFormatting sqref="S73:U73">
    <cfRule type="cellIs" dxfId="1" priority="78" operator="equal">
      <formula>"欠"</formula>
    </cfRule>
  </conditionalFormatting>
  <conditionalFormatting sqref="T74">
    <cfRule type="cellIs" dxfId="1" priority="75" operator="equal">
      <formula>"欠"</formula>
    </cfRule>
  </conditionalFormatting>
  <conditionalFormatting sqref="U74">
    <cfRule type="cellIs" dxfId="1" priority="77" operator="equal">
      <formula>"欠"</formula>
    </cfRule>
  </conditionalFormatting>
  <conditionalFormatting sqref="V74">
    <cfRule type="cellIs" dxfId="1" priority="76" operator="equal">
      <formula>"欠"</formula>
    </cfRule>
  </conditionalFormatting>
  <conditionalFormatting sqref="T75">
    <cfRule type="cellIs" dxfId="1" priority="72" operator="equal">
      <formula>"欠"</formula>
    </cfRule>
  </conditionalFormatting>
  <conditionalFormatting sqref="U75">
    <cfRule type="cellIs" dxfId="1" priority="74" operator="equal">
      <formula>"欠"</formula>
    </cfRule>
  </conditionalFormatting>
  <conditionalFormatting sqref="V75">
    <cfRule type="cellIs" dxfId="1" priority="73" operator="equal">
      <formula>"欠"</formula>
    </cfRule>
  </conditionalFormatting>
  <conditionalFormatting sqref="T76">
    <cfRule type="cellIs" dxfId="1" priority="71" operator="equal">
      <formula>"欠"</formula>
    </cfRule>
  </conditionalFormatting>
  <conditionalFormatting sqref="U76:V76">
    <cfRule type="cellIs" dxfId="1" priority="70" operator="equal">
      <formula>"欠"</formula>
    </cfRule>
  </conditionalFormatting>
  <conditionalFormatting sqref="T77">
    <cfRule type="cellIs" dxfId="1" priority="69" operator="equal">
      <formula>"欠"</formula>
    </cfRule>
  </conditionalFormatting>
  <conditionalFormatting sqref="U77">
    <cfRule type="cellIs" dxfId="1" priority="68" operator="equal">
      <formula>"欠"</formula>
    </cfRule>
  </conditionalFormatting>
  <conditionalFormatting sqref="V77">
    <cfRule type="cellIs" dxfId="1" priority="67" operator="equal">
      <formula>"欠"</formula>
    </cfRule>
  </conditionalFormatting>
  <conditionalFormatting sqref="T78">
    <cfRule type="cellIs" dxfId="1" priority="66" operator="equal">
      <formula>"欠"</formula>
    </cfRule>
  </conditionalFormatting>
  <conditionalFormatting sqref="U78">
    <cfRule type="cellIs" dxfId="1" priority="65" operator="equal">
      <formula>"欠"</formula>
    </cfRule>
  </conditionalFormatting>
  <conditionalFormatting sqref="V78">
    <cfRule type="cellIs" dxfId="1" priority="64" operator="equal">
      <formula>"欠"</formula>
    </cfRule>
  </conditionalFormatting>
  <conditionalFormatting sqref="T79">
    <cfRule type="cellIs" dxfId="1" priority="60" operator="equal">
      <formula>"欠"</formula>
    </cfRule>
  </conditionalFormatting>
  <conditionalFormatting sqref="U79">
    <cfRule type="cellIs" dxfId="1" priority="59" operator="equal">
      <formula>"欠"</formula>
    </cfRule>
  </conditionalFormatting>
  <conditionalFormatting sqref="V79">
    <cfRule type="cellIs" dxfId="1" priority="58" operator="equal">
      <formula>"欠"</formula>
    </cfRule>
  </conditionalFormatting>
  <conditionalFormatting sqref="T80">
    <cfRule type="cellIs" dxfId="1" priority="54" operator="equal">
      <formula>"欠"</formula>
    </cfRule>
  </conditionalFormatting>
  <conditionalFormatting sqref="U80">
    <cfRule type="cellIs" dxfId="1" priority="53" operator="equal">
      <formula>"欠"</formula>
    </cfRule>
  </conditionalFormatting>
  <conditionalFormatting sqref="V80">
    <cfRule type="cellIs" dxfId="1" priority="52" operator="equal">
      <formula>"欠"</formula>
    </cfRule>
  </conditionalFormatting>
  <conditionalFormatting sqref="S81">
    <cfRule type="cellIs" dxfId="1" priority="51" operator="equal">
      <formula>"欠"</formula>
    </cfRule>
  </conditionalFormatting>
  <conditionalFormatting sqref="T81">
    <cfRule type="cellIs" dxfId="1" priority="49" operator="equal">
      <formula>"欠"</formula>
    </cfRule>
  </conditionalFormatting>
  <conditionalFormatting sqref="U81">
    <cfRule type="cellIs" dxfId="1" priority="50" operator="equal">
      <formula>"欠"</formula>
    </cfRule>
  </conditionalFormatting>
  <conditionalFormatting sqref="S82">
    <cfRule type="cellIs" dxfId="1" priority="47" operator="equal">
      <formula>"欠"</formula>
    </cfRule>
  </conditionalFormatting>
  <conditionalFormatting sqref="T82">
    <cfRule type="cellIs" dxfId="1" priority="45" operator="equal">
      <formula>"欠"</formula>
    </cfRule>
  </conditionalFormatting>
  <conditionalFormatting sqref="U82">
    <cfRule type="cellIs" dxfId="1" priority="46" operator="equal">
      <formula>"欠"</formula>
    </cfRule>
  </conditionalFormatting>
  <conditionalFormatting sqref="S83">
    <cfRule type="cellIs" dxfId="1" priority="44" operator="equal">
      <formula>"欠"</formula>
    </cfRule>
  </conditionalFormatting>
  <conditionalFormatting sqref="T83">
    <cfRule type="cellIs" dxfId="1" priority="42" operator="equal">
      <formula>"欠"</formula>
    </cfRule>
  </conditionalFormatting>
  <conditionalFormatting sqref="U83">
    <cfRule type="cellIs" dxfId="1" priority="43" operator="equal">
      <formula>"欠"</formula>
    </cfRule>
  </conditionalFormatting>
  <conditionalFormatting sqref="S88">
    <cfRule type="cellIs" dxfId="1" priority="40" operator="equal">
      <formula>"欠"</formula>
    </cfRule>
  </conditionalFormatting>
  <conditionalFormatting sqref="T88">
    <cfRule type="cellIs" dxfId="1" priority="39" operator="equal">
      <formula>"欠"</formula>
    </cfRule>
  </conditionalFormatting>
  <conditionalFormatting sqref="U88">
    <cfRule type="cellIs" dxfId="1" priority="38" operator="equal">
      <formula>"欠"</formula>
    </cfRule>
  </conditionalFormatting>
  <conditionalFormatting sqref="S89">
    <cfRule type="cellIs" dxfId="1" priority="36" operator="equal">
      <formula>"欠"</formula>
    </cfRule>
  </conditionalFormatting>
  <conditionalFormatting sqref="T89">
    <cfRule type="cellIs" dxfId="1" priority="37" operator="equal">
      <formula>"欠"</formula>
    </cfRule>
  </conditionalFormatting>
  <conditionalFormatting sqref="U89">
    <cfRule type="cellIs" dxfId="1" priority="35" operator="equal">
      <formula>"欠"</formula>
    </cfRule>
  </conditionalFormatting>
  <conditionalFormatting sqref="S96:U96">
    <cfRule type="cellIs" dxfId="1" priority="29" operator="equal">
      <formula>"欠"</formula>
    </cfRule>
  </conditionalFormatting>
  <conditionalFormatting sqref="R97:T97">
    <cfRule type="cellIs" dxfId="1" priority="28" operator="equal">
      <formula>"欠"</formula>
    </cfRule>
  </conditionalFormatting>
  <conditionalFormatting sqref="R98:T98">
    <cfRule type="cellIs" dxfId="1" priority="27" operator="equal">
      <formula>"欠"</formula>
    </cfRule>
  </conditionalFormatting>
  <conditionalFormatting sqref="T98">
    <cfRule type="containsText" dxfId="0" priority="26" operator="between" text="欠">
      <formula>NOT(ISERROR(SEARCH("欠",T98)))</formula>
    </cfRule>
  </conditionalFormatting>
  <conditionalFormatting sqref="R99:T99">
    <cfRule type="cellIs" dxfId="1" priority="24" operator="equal">
      <formula>"欠"</formula>
    </cfRule>
  </conditionalFormatting>
  <conditionalFormatting sqref="R102:T102">
    <cfRule type="cellIs" dxfId="1" priority="23" operator="equal">
      <formula>"欠"</formula>
    </cfRule>
  </conditionalFormatting>
  <conditionalFormatting sqref="T102">
    <cfRule type="containsText" dxfId="0" priority="22" operator="between" text="欠">
      <formula>NOT(ISERROR(SEARCH("欠",T102)))</formula>
    </cfRule>
  </conditionalFormatting>
  <conditionalFormatting sqref="R103:S103">
    <cfRule type="cellIs" dxfId="1" priority="21" operator="equal">
      <formula>"欠"</formula>
    </cfRule>
  </conditionalFormatting>
  <conditionalFormatting sqref="T103">
    <cfRule type="cellIs" dxfId="1" priority="20" operator="equal">
      <formula>"欠"</formula>
    </cfRule>
    <cfRule type="containsText" dxfId="0" priority="19" operator="between" text="欠">
      <formula>NOT(ISERROR(SEARCH("欠",T103)))</formula>
    </cfRule>
  </conditionalFormatting>
  <conditionalFormatting sqref="R107">
    <cfRule type="cellIs" dxfId="1" priority="11" operator="equal">
      <formula>"欠"</formula>
    </cfRule>
  </conditionalFormatting>
  <conditionalFormatting sqref="S107">
    <cfRule type="cellIs" dxfId="1" priority="14" operator="equal">
      <formula>"欠"</formula>
    </cfRule>
    <cfRule type="containsText" dxfId="0" priority="12" operator="between" text="欠">
      <formula>NOT(ISERROR(SEARCH("欠",S107)))</formula>
    </cfRule>
  </conditionalFormatting>
  <conditionalFormatting sqref="T107">
    <cfRule type="cellIs" dxfId="1" priority="10" operator="equal">
      <formula>"欠"</formula>
    </cfRule>
    <cfRule type="containsText" dxfId="0" priority="9" operator="between" text="欠">
      <formula>NOT(ISERROR(SEARCH("欠",T107)))</formula>
    </cfRule>
  </conditionalFormatting>
  <conditionalFormatting sqref="BG107">
    <cfRule type="cellIs" dxfId="1" priority="15" operator="equal">
      <formula>"欠"</formula>
    </cfRule>
  </conditionalFormatting>
  <conditionalFormatting sqref="CV107:DI107">
    <cfRule type="cellIs" dxfId="1" priority="13" operator="lessThan">
      <formula>0</formula>
    </cfRule>
  </conditionalFormatting>
  <conditionalFormatting sqref="R110">
    <cfRule type="containsText" dxfId="0" priority="4" operator="between" text="欠">
      <formula>NOT(ISERROR(SEARCH("欠",R110)))</formula>
    </cfRule>
  </conditionalFormatting>
  <conditionalFormatting sqref="S110:T110">
    <cfRule type="containsText" dxfId="0" priority="3" operator="between" text="欠">
      <formula>NOT(ISERROR(SEARCH("欠",S110)))</formula>
    </cfRule>
  </conditionalFormatting>
  <conditionalFormatting sqref="S110">
    <cfRule type="cellIs" dxfId="1" priority="2" operator="equal">
      <formula>"欠"</formula>
    </cfRule>
  </conditionalFormatting>
  <conditionalFormatting sqref="T110">
    <cfRule type="cellIs" dxfId="1" priority="1" operator="equal">
      <formula>"欠"</formula>
    </cfRule>
  </conditionalFormatting>
  <conditionalFormatting sqref="R60:R65">
    <cfRule type="cellIs" dxfId="1" priority="90" operator="equal">
      <formula>"欠"</formula>
    </cfRule>
  </conditionalFormatting>
  <conditionalFormatting sqref="R108:R109">
    <cfRule type="containsText" dxfId="0" priority="8" operator="between" text="欠">
      <formula>NOT(ISERROR(SEARCH("欠",R108)))</formula>
    </cfRule>
  </conditionalFormatting>
  <conditionalFormatting sqref="S90:S91">
    <cfRule type="cellIs" dxfId="1" priority="34" operator="equal">
      <formula>"欠"</formula>
    </cfRule>
  </conditionalFormatting>
  <conditionalFormatting sqref="S108:S109">
    <cfRule type="cellIs" dxfId="1" priority="7" operator="equal">
      <formula>"欠"</formula>
    </cfRule>
  </conditionalFormatting>
  <conditionalFormatting sqref="T90:T91">
    <cfRule type="cellIs" dxfId="1" priority="33" operator="equal">
      <formula>"欠"</formula>
    </cfRule>
  </conditionalFormatting>
  <conditionalFormatting sqref="T104:T106">
    <cfRule type="cellIs" dxfId="1" priority="17" operator="equal">
      <formula>"欠"</formula>
    </cfRule>
    <cfRule type="containsText" dxfId="0" priority="16" operator="between" text="欠">
      <formula>NOT(ISERROR(SEARCH("欠",T104)))</formula>
    </cfRule>
  </conditionalFormatting>
  <conditionalFormatting sqref="T108:T109">
    <cfRule type="cellIs" dxfId="1" priority="6" operator="equal">
      <formula>"欠"</formula>
    </cfRule>
  </conditionalFormatting>
  <conditionalFormatting sqref="U90:U91">
    <cfRule type="cellIs" dxfId="1" priority="32" operator="equal">
      <formula>"欠"</formula>
    </cfRule>
  </conditionalFormatting>
  <conditionalFormatting sqref="Y2:Z7">
    <cfRule type="cellIs" dxfId="1" priority="128" operator="equal">
      <formula>"欠"</formula>
    </cfRule>
  </conditionalFormatting>
  <conditionalFormatting sqref="X9:Y23">
    <cfRule type="cellIs" dxfId="1" priority="129" operator="equal">
      <formula>"欠"</formula>
    </cfRule>
  </conditionalFormatting>
  <conditionalFormatting sqref="X24:Y27">
    <cfRule type="cellIs" dxfId="1" priority="130" operator="equal">
      <formula>"欠"</formula>
    </cfRule>
  </conditionalFormatting>
  <conditionalFormatting sqref="Q33:S34">
    <cfRule type="cellIs" dxfId="1" priority="108" operator="equal">
      <formula>"欠"</formula>
    </cfRule>
  </conditionalFormatting>
  <conditionalFormatting sqref="R37:S40 Q37:Q40">
    <cfRule type="cellIs" dxfId="1" priority="96" operator="equal">
      <formula>"欠"</formula>
    </cfRule>
  </conditionalFormatting>
  <conditionalFormatting sqref="Q41:S43">
    <cfRule type="cellIs" dxfId="1" priority="95" operator="equal">
      <formula>"欠"</formula>
    </cfRule>
  </conditionalFormatting>
  <conditionalFormatting sqref="R46:T59">
    <cfRule type="cellIs" dxfId="1" priority="92" operator="equal">
      <formula>"欠"</formula>
    </cfRule>
  </conditionalFormatting>
  <conditionalFormatting sqref="S60:T65">
    <cfRule type="cellIs" dxfId="1" priority="91" operator="equal">
      <formula>"欠"</formula>
    </cfRule>
  </conditionalFormatting>
  <conditionalFormatting sqref="S71:U72">
    <cfRule type="cellIs" dxfId="1" priority="80" operator="equal">
      <formula>"欠"</formula>
    </cfRule>
  </conditionalFormatting>
  <conditionalFormatting sqref="R84:T87">
    <cfRule type="cellIs" dxfId="1" priority="41" operator="equal">
      <formula>"欠"</formula>
    </cfRule>
  </conditionalFormatting>
  <conditionalFormatting sqref="S92:U95">
    <cfRule type="cellIs" dxfId="1" priority="31" operator="equal">
      <formula>"欠"</formula>
    </cfRule>
  </conditionalFormatting>
  <conditionalFormatting sqref="R100:T101">
    <cfRule type="cellIs" dxfId="1" priority="25" operator="equal">
      <formula>"欠"</formula>
    </cfRule>
  </conditionalFormatting>
  <conditionalFormatting sqref="R104:S106">
    <cfRule type="cellIs" dxfId="1" priority="18" operator="equal">
      <formula>"欠"</formula>
    </cfRule>
  </conditionalFormatting>
  <conditionalFormatting sqref="S108:T109">
    <cfRule type="containsText" dxfId="0" priority="5" operator="between" text="欠">
      <formula>NOT(ISERROR(SEARCH("欠",S108)))</formula>
    </cfRule>
  </conditionalFormatting>
  <dataValidations count="3">
    <dataValidation type="list" allowBlank="1" showInputMessage="1" showErrorMessage="1" sqref="AD96 AA92:AA95 AE97:AE106 AE108:AE110">
      <formula1>"无BOM,已入,#"</formula1>
    </dataValidation>
    <dataValidation type="list" allowBlank="1" showInputMessage="1" showErrorMessage="1" sqref="S107:S110 T88:T91">
      <formula1>"有,无"</formula1>
    </dataValidation>
    <dataValidation type="list" allowBlank="1" showInputMessage="1" showErrorMessage="1" sqref="AA88:AA91">
      <formula1>"不入,已入"</formula1>
    </dataValidation>
  </dataValidations>
  <pageMargins left="0.75" right="0.75" top="1" bottom="1" header="0.5" footer="0.5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77593旧排期</vt:lpstr>
      <vt:lpstr>77593 </vt:lpstr>
      <vt:lpstr>77489 77593生产MA</vt:lpstr>
      <vt:lpstr>77489 77593包装MA</vt:lpstr>
      <vt:lpstr>取消单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.念.</cp:lastModifiedBy>
  <dcterms:created xsi:type="dcterms:W3CDTF">2020-08-29T02:35:00Z</dcterms:created>
  <dcterms:modified xsi:type="dcterms:W3CDTF">2026-02-26T02:45:26Z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KSOReadingLayout">
    <vt:bool>false</vt:bool>
  </property>
  <property fmtid="{D5CDD505-2E9C-101B-9397-08002B2CF9AE}" pid="4" name="ICV">
    <vt:lpwstr>DB5A9D7CA79542CFB3415F0D60D90F40_13</vt:lpwstr>
  </property>
</Properties>
</file>